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ton365-my.sharepoint.com/personal/ktn93610_koton_com_tr/Documents/Masaüstü/"/>
    </mc:Choice>
  </mc:AlternateContent>
  <xr:revisionPtr revIDLastSave="38" documentId="8_{EA54285B-B2E6-4827-8685-1505C5E7AF7B}" xr6:coauthVersionLast="47" xr6:coauthVersionMax="47" xr10:uidLastSave="{BFA8B3C2-2D0F-49DE-884C-CDCA9456EAFC}"/>
  <bookViews>
    <workbookView xWindow="-110" yWindow="-110" windowWidth="19420" windowHeight="11500" firstSheet="1" activeTab="2" xr2:uid="{BCAE2FAE-924A-42DD-BCE1-65EF91BDF9F0}"/>
  </bookViews>
  <sheets>
    <sheet name="2026 Mayıs Eski Format" sheetId="1" r:id="rId1"/>
    <sheet name="İşten Ayrılanlar" sheetId="7" r:id="rId2"/>
    <sheet name="Güncel Çalışanlar" sheetId="8" r:id="rId3"/>
    <sheet name="TO-Yeni Format MTD-YTD" sheetId="3" r:id="rId4"/>
    <sheet name="Mayıs Detay Tablo" sheetId="5" r:id="rId5"/>
    <sheet name="Yasal Bildirim " sheetId="4" r:id="rId6"/>
  </sheets>
  <definedNames>
    <definedName name="_xlnm._FilterDatabase" localSheetId="0" hidden="1">'2026 Mayıs Eski Format'!$A$1:$H$212</definedName>
    <definedName name="_xlnm._FilterDatabase" localSheetId="3" hidden="1">'TO-Yeni Format MTD-YTD'!$V$2:$AS$2</definedName>
    <definedName name="_xlnm._FilterDatabase" localSheetId="5" hidden="1">'Yasal Bildirim '!$A$1:$G$18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5" l="1"/>
  <c r="AH2" i="5"/>
  <c r="AG2" i="5"/>
  <c r="AF2" i="5"/>
  <c r="AE2" i="5" s="1"/>
  <c r="AC2" i="5"/>
  <c r="AD2" i="5" s="1"/>
  <c r="AA2" i="5"/>
  <c r="AB2" i="5" s="1"/>
  <c r="Y2" i="5"/>
  <c r="Z2" i="5" s="1"/>
  <c r="W2" i="5"/>
  <c r="X2" i="5" s="1"/>
  <c r="U2" i="5"/>
  <c r="V2" i="5" s="1"/>
  <c r="I2" i="5"/>
  <c r="AD186" i="3"/>
  <c r="AD184" i="3"/>
  <c r="AD179" i="3"/>
  <c r="AD178" i="3"/>
  <c r="AD177" i="3"/>
  <c r="AD176" i="3"/>
  <c r="AD174" i="3"/>
  <c r="AD173" i="3"/>
  <c r="AD172" i="3"/>
  <c r="AD165" i="3"/>
  <c r="AD163" i="3"/>
  <c r="AD162" i="3"/>
  <c r="AD161" i="3"/>
  <c r="AD160" i="3"/>
  <c r="AD159" i="3"/>
  <c r="AD158" i="3"/>
  <c r="AD151" i="3"/>
  <c r="AD150" i="3"/>
  <c r="AD148" i="3"/>
  <c r="AD147" i="3"/>
  <c r="AD146" i="3"/>
  <c r="AD145" i="3"/>
  <c r="AD144" i="3"/>
  <c r="AD137" i="3"/>
  <c r="AD136" i="3"/>
  <c r="AD135" i="3"/>
  <c r="AD133" i="3"/>
  <c r="AD132" i="3"/>
  <c r="AD131" i="3"/>
  <c r="AD130" i="3"/>
  <c r="AD122" i="3"/>
  <c r="AD119" i="3"/>
  <c r="AD118" i="3"/>
  <c r="AD117" i="3"/>
  <c r="AD116" i="3"/>
  <c r="AD109" i="3"/>
  <c r="AD108" i="3"/>
  <c r="AD107" i="3"/>
  <c r="AD105" i="3"/>
  <c r="AD104" i="3"/>
  <c r="AD103" i="3"/>
  <c r="AD102" i="3"/>
  <c r="AD94" i="3"/>
  <c r="AD93" i="3"/>
  <c r="AD87" i="3"/>
  <c r="AD86" i="3"/>
  <c r="AD76" i="3"/>
  <c r="AD72" i="3"/>
  <c r="AD69" i="3"/>
  <c r="AD60" i="3"/>
  <c r="AD58" i="3"/>
  <c r="AD53" i="3"/>
  <c r="AD50" i="3"/>
  <c r="AD49" i="3"/>
  <c r="AD47" i="3"/>
  <c r="AD39" i="3"/>
  <c r="AD38" i="3"/>
  <c r="AD37" i="3"/>
  <c r="AD36" i="3"/>
  <c r="AD35" i="3"/>
  <c r="AD23" i="3"/>
  <c r="AD22" i="3"/>
  <c r="AD21" i="3"/>
  <c r="AD20" i="3"/>
  <c r="AD18" i="3"/>
  <c r="AD10" i="3"/>
  <c r="AD8" i="3"/>
  <c r="AD7" i="3"/>
  <c r="AD6" i="3"/>
  <c r="AD5" i="3"/>
  <c r="K2" i="3"/>
  <c r="AD175" i="3"/>
  <c r="AD106" i="3"/>
  <c r="AD91" i="3"/>
  <c r="AD81" i="3"/>
  <c r="AD74" i="3"/>
  <c r="J2" i="3"/>
  <c r="AD213" i="3"/>
  <c r="AD212" i="3"/>
  <c r="AD211" i="3"/>
  <c r="AD210" i="3"/>
  <c r="AD209" i="3"/>
  <c r="AD208" i="3"/>
  <c r="AD207" i="3"/>
  <c r="AD206" i="3"/>
  <c r="AD205" i="3"/>
  <c r="AD204" i="3"/>
  <c r="AD203" i="3"/>
  <c r="AD202" i="3"/>
  <c r="AD201" i="3"/>
  <c r="AD200" i="3"/>
  <c r="AD199" i="3"/>
  <c r="AD198" i="3"/>
  <c r="AD197" i="3"/>
  <c r="AD196" i="3"/>
  <c r="AD195" i="3"/>
  <c r="AD194" i="3"/>
  <c r="AD193" i="3"/>
  <c r="AD192" i="3"/>
  <c r="AD191" i="3"/>
  <c r="AD190" i="3"/>
  <c r="AD189" i="3"/>
  <c r="AD188" i="3"/>
  <c r="AD185" i="3"/>
  <c r="AD183" i="3"/>
  <c r="AD182" i="3"/>
  <c r="AD181" i="3"/>
  <c r="AD180" i="3"/>
  <c r="AD171" i="3"/>
  <c r="AD170" i="3"/>
  <c r="AD169" i="3"/>
  <c r="AD168" i="3"/>
  <c r="AD167" i="3"/>
  <c r="AD166" i="3"/>
  <c r="AD157" i="3"/>
  <c r="AD156" i="3"/>
  <c r="AD155" i="3"/>
  <c r="AD154" i="3"/>
  <c r="AD153" i="3"/>
  <c r="AD152" i="3"/>
  <c r="AD143" i="3"/>
  <c r="AD142" i="3"/>
  <c r="AD141" i="3"/>
  <c r="AD140" i="3"/>
  <c r="AD139" i="3"/>
  <c r="AD138" i="3"/>
  <c r="AD129" i="3"/>
  <c r="AD128" i="3"/>
  <c r="AD127" i="3"/>
  <c r="AD126" i="3"/>
  <c r="AD125" i="3"/>
  <c r="AD124" i="3"/>
  <c r="AD115" i="3"/>
  <c r="AD114" i="3"/>
  <c r="AD113" i="3"/>
  <c r="AD112" i="3"/>
  <c r="AD111" i="3"/>
  <c r="AD110" i="3"/>
  <c r="AD101" i="3"/>
  <c r="AD100" i="3"/>
  <c r="AD99" i="3"/>
  <c r="AD98" i="3"/>
  <c r="AD97" i="3"/>
  <c r="AD96" i="3"/>
  <c r="AD95" i="3"/>
  <c r="AD85" i="3"/>
  <c r="AD84" i="3"/>
  <c r="AD83" i="3"/>
  <c r="AD82" i="3"/>
  <c r="AD80" i="3"/>
  <c r="AD79" i="3"/>
  <c r="AD78" i="3"/>
  <c r="AD77" i="3"/>
  <c r="AD73" i="3"/>
  <c r="AD71" i="3"/>
  <c r="AD70" i="3"/>
  <c r="AD68" i="3"/>
  <c r="AD67" i="3"/>
  <c r="AD66" i="3"/>
  <c r="AD65" i="3"/>
  <c r="AD64" i="3"/>
  <c r="AD63" i="3"/>
  <c r="AD59" i="3"/>
  <c r="AD57" i="3"/>
  <c r="AD56" i="3"/>
  <c r="AD55" i="3"/>
  <c r="AD54" i="3"/>
  <c r="AD45" i="3"/>
  <c r="AD44" i="3"/>
  <c r="AD43" i="3"/>
  <c r="AD42" i="3"/>
  <c r="AD41" i="3"/>
  <c r="AD40" i="3"/>
  <c r="AD31" i="3"/>
  <c r="AD29" i="3"/>
  <c r="AD28" i="3"/>
  <c r="AD27" i="3"/>
  <c r="AD26" i="3"/>
  <c r="AD25" i="3"/>
  <c r="AD24" i="3"/>
  <c r="AD17" i="3"/>
  <c r="AD15" i="3"/>
  <c r="AD14" i="3"/>
  <c r="AD13" i="3"/>
  <c r="AD12" i="3"/>
  <c r="AD11" i="3"/>
  <c r="AD9" i="3"/>
  <c r="AD4" i="3"/>
  <c r="AC2" i="3"/>
  <c r="AB2" i="3"/>
  <c r="AD2" i="3" s="1"/>
  <c r="AI2" i="3"/>
  <c r="AH2" i="3"/>
  <c r="Q2" i="3"/>
  <c r="P2" i="3"/>
  <c r="AL2" i="3"/>
  <c r="AK2" i="3"/>
  <c r="T2" i="3"/>
  <c r="S2" i="3"/>
  <c r="N2" i="5" l="1"/>
  <c r="P2" i="5"/>
  <c r="M2" i="5"/>
  <c r="L2" i="5"/>
  <c r="O2" i="5"/>
  <c r="AD30" i="3"/>
  <c r="AD51" i="3"/>
  <c r="AD121" i="3"/>
  <c r="AD164" i="3"/>
  <c r="AD52" i="3"/>
  <c r="AD149" i="3"/>
  <c r="AD16" i="3"/>
  <c r="AD123" i="3"/>
  <c r="AD48" i="3"/>
  <c r="AD32" i="3"/>
  <c r="AD46" i="3"/>
  <c r="AD88" i="3"/>
  <c r="AD19" i="3"/>
  <c r="AD33" i="3"/>
  <c r="AD61" i="3"/>
  <c r="AD75" i="3"/>
  <c r="AD89" i="3"/>
  <c r="AD187" i="3"/>
  <c r="AD34" i="3"/>
  <c r="AD62" i="3"/>
  <c r="AD90" i="3"/>
  <c r="AD92" i="3"/>
  <c r="AD120" i="3"/>
  <c r="AD134" i="3"/>
  <c r="AJ2" i="3"/>
  <c r="L2" i="3"/>
  <c r="R2" i="3"/>
  <c r="AM2" i="3"/>
  <c r="U2" i="3"/>
  <c r="AR2" i="3"/>
  <c r="AQ2" i="3"/>
  <c r="AO2" i="3"/>
  <c r="AN2" i="3"/>
  <c r="Z2" i="3"/>
  <c r="Y2" i="3"/>
  <c r="W2" i="3"/>
  <c r="V2" i="3"/>
  <c r="R2" i="5" l="1"/>
  <c r="T2" i="5"/>
  <c r="K2" i="5"/>
  <c r="Q2" i="5" s="1"/>
  <c r="S2" i="5"/>
  <c r="AA2" i="3"/>
  <c r="AP2" i="3"/>
  <c r="AS2" i="3"/>
  <c r="X2" i="3"/>
  <c r="H212" i="1"/>
  <c r="G212" i="1"/>
  <c r="F212" i="1"/>
</calcChain>
</file>

<file path=xl/sharedStrings.xml><?xml version="1.0" encoding="utf-8"?>
<sst xmlns="http://schemas.openxmlformats.org/spreadsheetml/2006/main" count="68320" uniqueCount="6822">
  <si>
    <t>Mağaza Kodu</t>
  </si>
  <si>
    <t>Mağaza Yeni Kod</t>
  </si>
  <si>
    <t>Mağaza Adı</t>
  </si>
  <si>
    <t>Yıl</t>
  </si>
  <si>
    <t>Ay</t>
  </si>
  <si>
    <t>DönemBaşıPersonelSayısı</t>
  </si>
  <si>
    <t>DönemSonuPersonelSayısı</t>
  </si>
  <si>
    <t>Gönüllü ÇıkışSayısı</t>
  </si>
  <si>
    <t>M0768</t>
  </si>
  <si>
    <t>Kayseri Forum Mağaza</t>
  </si>
  <si>
    <t>M06</t>
  </si>
  <si>
    <t>M0836</t>
  </si>
  <si>
    <t>M0839</t>
  </si>
  <si>
    <t>M0843</t>
  </si>
  <si>
    <t>M0845</t>
  </si>
  <si>
    <t>Amasya Park Denim</t>
  </si>
  <si>
    <t>M0848</t>
  </si>
  <si>
    <t>M0849</t>
  </si>
  <si>
    <t>M0853</t>
  </si>
  <si>
    <t>M0891</t>
  </si>
  <si>
    <t>M0905</t>
  </si>
  <si>
    <t>M0906</t>
  </si>
  <si>
    <t>Lüleburgaz 39 Burda</t>
  </si>
  <si>
    <t>M0994</t>
  </si>
  <si>
    <t>M1014</t>
  </si>
  <si>
    <t>İzmit Ncity Mağazası</t>
  </si>
  <si>
    <t>M1020</t>
  </si>
  <si>
    <t>M1022</t>
  </si>
  <si>
    <t>M1151</t>
  </si>
  <si>
    <t>M1157</t>
  </si>
  <si>
    <t>M1161</t>
  </si>
  <si>
    <t>M1170</t>
  </si>
  <si>
    <t>M122</t>
  </si>
  <si>
    <t>M0047</t>
  </si>
  <si>
    <t>M1260</t>
  </si>
  <si>
    <t>M1275</t>
  </si>
  <si>
    <t>M1287</t>
  </si>
  <si>
    <t>M1288</t>
  </si>
  <si>
    <t>M1544</t>
  </si>
  <si>
    <t>M1290</t>
  </si>
  <si>
    <t>İstanbul 212 Mağaza</t>
  </si>
  <si>
    <t>M1291</t>
  </si>
  <si>
    <t>M1292</t>
  </si>
  <si>
    <t>M145</t>
  </si>
  <si>
    <t>M0069</t>
  </si>
  <si>
    <t>M146</t>
  </si>
  <si>
    <t>M0041</t>
  </si>
  <si>
    <t>M168</t>
  </si>
  <si>
    <t>M0055</t>
  </si>
  <si>
    <t>M179</t>
  </si>
  <si>
    <t>M0095</t>
  </si>
  <si>
    <t>M190</t>
  </si>
  <si>
    <t>M0076</t>
  </si>
  <si>
    <t>M209</t>
  </si>
  <si>
    <t>M0065</t>
  </si>
  <si>
    <t>M210</t>
  </si>
  <si>
    <t>M0068</t>
  </si>
  <si>
    <t>Aydın Forum Mağaza</t>
  </si>
  <si>
    <t>M219</t>
  </si>
  <si>
    <t>M0052</t>
  </si>
  <si>
    <t>M225</t>
  </si>
  <si>
    <t>M0111</t>
  </si>
  <si>
    <t>M232</t>
  </si>
  <si>
    <t>M0038</t>
  </si>
  <si>
    <t>M239</t>
  </si>
  <si>
    <t>M0023</t>
  </si>
  <si>
    <t>M277</t>
  </si>
  <si>
    <t>M0021</t>
  </si>
  <si>
    <t>M278</t>
  </si>
  <si>
    <t>M0025</t>
  </si>
  <si>
    <t>Adana Real Mağaza</t>
  </si>
  <si>
    <t>M0022</t>
  </si>
  <si>
    <t>M253</t>
  </si>
  <si>
    <t>M280</t>
  </si>
  <si>
    <t>M0078</t>
  </si>
  <si>
    <t>Konya Real Mağaza</t>
  </si>
  <si>
    <t>M453</t>
  </si>
  <si>
    <t>M0037</t>
  </si>
  <si>
    <t>M454</t>
  </si>
  <si>
    <t>M0110</t>
  </si>
  <si>
    <t>M462</t>
  </si>
  <si>
    <t>M0107</t>
  </si>
  <si>
    <t>M468</t>
  </si>
  <si>
    <t>M0109</t>
  </si>
  <si>
    <t>M470</t>
  </si>
  <si>
    <t>M0117</t>
  </si>
  <si>
    <t>Nevşehir Mağaza</t>
  </si>
  <si>
    <t>M481</t>
  </si>
  <si>
    <t>M0127</t>
  </si>
  <si>
    <t>M49</t>
  </si>
  <si>
    <t>M0031</t>
  </si>
  <si>
    <t>M494</t>
  </si>
  <si>
    <t>M0056</t>
  </si>
  <si>
    <t>M502</t>
  </si>
  <si>
    <t>M0121</t>
  </si>
  <si>
    <t>M512</t>
  </si>
  <si>
    <t>M0139</t>
  </si>
  <si>
    <t>M513</t>
  </si>
  <si>
    <t>M0197</t>
  </si>
  <si>
    <t>Manisa Cadde Mağaza</t>
  </si>
  <si>
    <t>M521</t>
  </si>
  <si>
    <t>M0142</t>
  </si>
  <si>
    <t>M528</t>
  </si>
  <si>
    <t>M0166</t>
  </si>
  <si>
    <t>Aydın Söke Mağaza</t>
  </si>
  <si>
    <t>M53</t>
  </si>
  <si>
    <t>M0030</t>
  </si>
  <si>
    <t>M537</t>
  </si>
  <si>
    <t>M0149</t>
  </si>
  <si>
    <t>M540</t>
  </si>
  <si>
    <t>M0151</t>
  </si>
  <si>
    <t>M542</t>
  </si>
  <si>
    <t>M0153</t>
  </si>
  <si>
    <t>M543</t>
  </si>
  <si>
    <t>M0260</t>
  </si>
  <si>
    <t>M545</t>
  </si>
  <si>
    <t>M0138</t>
  </si>
  <si>
    <t>Adana Optimum Mağaza</t>
  </si>
  <si>
    <t>M550</t>
  </si>
  <si>
    <t>M0187</t>
  </si>
  <si>
    <t>M551</t>
  </si>
  <si>
    <t>M0271</t>
  </si>
  <si>
    <t>M566</t>
  </si>
  <si>
    <t>M0206</t>
  </si>
  <si>
    <t>M567</t>
  </si>
  <si>
    <t>M0218</t>
  </si>
  <si>
    <t>M571</t>
  </si>
  <si>
    <t>M0181</t>
  </si>
  <si>
    <t>M574</t>
  </si>
  <si>
    <t>M0330</t>
  </si>
  <si>
    <t>M583</t>
  </si>
  <si>
    <t>M0156</t>
  </si>
  <si>
    <t>Osmaniye Mağaza</t>
  </si>
  <si>
    <t>M59</t>
  </si>
  <si>
    <t>M0014</t>
  </si>
  <si>
    <t>M617</t>
  </si>
  <si>
    <t>M0214</t>
  </si>
  <si>
    <t>M619</t>
  </si>
  <si>
    <t>M0061</t>
  </si>
  <si>
    <t>Trabzon Forum Mağaza</t>
  </si>
  <si>
    <t>M626</t>
  </si>
  <si>
    <t>M0175</t>
  </si>
  <si>
    <t>Samsun Bulvar Mağaza</t>
  </si>
  <si>
    <t>M629</t>
  </si>
  <si>
    <t>M0032</t>
  </si>
  <si>
    <t>M635</t>
  </si>
  <si>
    <t>M0103</t>
  </si>
  <si>
    <t>M636</t>
  </si>
  <si>
    <t>M0200</t>
  </si>
  <si>
    <t>M637</t>
  </si>
  <si>
    <t>M0190</t>
  </si>
  <si>
    <t>M643</t>
  </si>
  <si>
    <t>M0192</t>
  </si>
  <si>
    <t>M644</t>
  </si>
  <si>
    <t>M0199</t>
  </si>
  <si>
    <t>M645</t>
  </si>
  <si>
    <t>M0203</t>
  </si>
  <si>
    <t>M666</t>
  </si>
  <si>
    <t>M0202</t>
  </si>
  <si>
    <t>M667</t>
  </si>
  <si>
    <t>M0208</t>
  </si>
  <si>
    <t>M670</t>
  </si>
  <si>
    <t>M0204</t>
  </si>
  <si>
    <t>M672</t>
  </si>
  <si>
    <t>M0193</t>
  </si>
  <si>
    <t>M673</t>
  </si>
  <si>
    <t>M0211</t>
  </si>
  <si>
    <t>M677</t>
  </si>
  <si>
    <t>M0207</t>
  </si>
  <si>
    <t>M678</t>
  </si>
  <si>
    <t>M0213</t>
  </si>
  <si>
    <t>M679</t>
  </si>
  <si>
    <t>M0216</t>
  </si>
  <si>
    <t>M688</t>
  </si>
  <si>
    <t>M0027</t>
  </si>
  <si>
    <t>M689</t>
  </si>
  <si>
    <t>M0219</t>
  </si>
  <si>
    <t>Marmaris Mağaza</t>
  </si>
  <si>
    <t>M692</t>
  </si>
  <si>
    <t>M0220</t>
  </si>
  <si>
    <t>Giresun Cadde Mağaza</t>
  </si>
  <si>
    <t>M693</t>
  </si>
  <si>
    <t>M0226</t>
  </si>
  <si>
    <t>M694</t>
  </si>
  <si>
    <t>M0007</t>
  </si>
  <si>
    <t>Konya Kule Mağaza</t>
  </si>
  <si>
    <t>M696</t>
  </si>
  <si>
    <t>M0237</t>
  </si>
  <si>
    <t>Ankara Taurus Mağaza</t>
  </si>
  <si>
    <t>M697</t>
  </si>
  <si>
    <t>M0176</t>
  </si>
  <si>
    <t>M705</t>
  </si>
  <si>
    <t>M0236</t>
  </si>
  <si>
    <t>M706</t>
  </si>
  <si>
    <t>M0233</t>
  </si>
  <si>
    <t>M709</t>
  </si>
  <si>
    <t>M0230</t>
  </si>
  <si>
    <t>M710</t>
  </si>
  <si>
    <t>M0252</t>
  </si>
  <si>
    <t>M711</t>
  </si>
  <si>
    <t>M0238</t>
  </si>
  <si>
    <t>M712</t>
  </si>
  <si>
    <t>M0246</t>
  </si>
  <si>
    <t>Yalova Liman Mağaza</t>
  </si>
  <si>
    <t>M715</t>
  </si>
  <si>
    <t>M0244</t>
  </si>
  <si>
    <t>M736</t>
  </si>
  <si>
    <t>M0254</t>
  </si>
  <si>
    <t>M738</t>
  </si>
  <si>
    <t>M0261</t>
  </si>
  <si>
    <t>Tokat Novada Mağaza</t>
  </si>
  <si>
    <t>M741</t>
  </si>
  <si>
    <t>M0267</t>
  </si>
  <si>
    <t>M0240</t>
  </si>
  <si>
    <t>M717</t>
  </si>
  <si>
    <t>M742</t>
  </si>
  <si>
    <t>M0258</t>
  </si>
  <si>
    <t>Sivas Cadde Mağaza</t>
  </si>
  <si>
    <t>M745</t>
  </si>
  <si>
    <t>M0265</t>
  </si>
  <si>
    <t>M746</t>
  </si>
  <si>
    <t>M0272</t>
  </si>
  <si>
    <t>M747</t>
  </si>
  <si>
    <t>M0148</t>
  </si>
  <si>
    <t>Artvin Hopa Mağaza</t>
  </si>
  <si>
    <t>M750</t>
  </si>
  <si>
    <t>M0264</t>
  </si>
  <si>
    <t>Muğla Park Mağaza</t>
  </si>
  <si>
    <t>M753</t>
  </si>
  <si>
    <t>M0275</t>
  </si>
  <si>
    <t>M758</t>
  </si>
  <si>
    <t>M0278</t>
  </si>
  <si>
    <t>M759</t>
  </si>
  <si>
    <t>M0283</t>
  </si>
  <si>
    <t>Ordu Cadde Mağaza</t>
  </si>
  <si>
    <t>M765</t>
  </si>
  <si>
    <t>M0279</t>
  </si>
  <si>
    <t>M768</t>
  </si>
  <si>
    <t>M0290</t>
  </si>
  <si>
    <t>M769</t>
  </si>
  <si>
    <t>M0288</t>
  </si>
  <si>
    <t>M770</t>
  </si>
  <si>
    <t>M0284</t>
  </si>
  <si>
    <t>M772</t>
  </si>
  <si>
    <t>M0276</t>
  </si>
  <si>
    <t>M774</t>
  </si>
  <si>
    <t>M0085</t>
  </si>
  <si>
    <t>M780</t>
  </si>
  <si>
    <t>M0313</t>
  </si>
  <si>
    <t>İzmir Park Mağaza</t>
  </si>
  <si>
    <t>M782</t>
  </si>
  <si>
    <t>M0299</t>
  </si>
  <si>
    <t>M794</t>
  </si>
  <si>
    <t>M0002</t>
  </si>
  <si>
    <t>M797</t>
  </si>
  <si>
    <t>M0418</t>
  </si>
  <si>
    <t>M811</t>
  </si>
  <si>
    <t>M0301</t>
  </si>
  <si>
    <t>M834</t>
  </si>
  <si>
    <t>M0314</t>
  </si>
  <si>
    <t>M835</t>
  </si>
  <si>
    <t>M0320</t>
  </si>
  <si>
    <t>M836</t>
  </si>
  <si>
    <t>M0328</t>
  </si>
  <si>
    <t>M838</t>
  </si>
  <si>
    <t>M0094</t>
  </si>
  <si>
    <t>M847</t>
  </si>
  <si>
    <t>M0329</t>
  </si>
  <si>
    <t>M851</t>
  </si>
  <si>
    <t>M0325</t>
  </si>
  <si>
    <t>İzmir Bergama Mağaza</t>
  </si>
  <si>
    <t>M852</t>
  </si>
  <si>
    <t>M0338</t>
  </si>
  <si>
    <t>M854</t>
  </si>
  <si>
    <t>M0332</t>
  </si>
  <si>
    <t>İzmit Symbol Mağaza</t>
  </si>
  <si>
    <t>M857</t>
  </si>
  <si>
    <t>M0331</t>
  </si>
  <si>
    <t>M859</t>
  </si>
  <si>
    <t>M0326</t>
  </si>
  <si>
    <t>M860</t>
  </si>
  <si>
    <t>M0347</t>
  </si>
  <si>
    <t>M861</t>
  </si>
  <si>
    <t>M0003</t>
  </si>
  <si>
    <t>M87</t>
  </si>
  <si>
    <t>M0019</t>
  </si>
  <si>
    <t>M872</t>
  </si>
  <si>
    <t>M0337</t>
  </si>
  <si>
    <t>M880</t>
  </si>
  <si>
    <t>M0358</t>
  </si>
  <si>
    <t>M882</t>
  </si>
  <si>
    <t>M0268</t>
  </si>
  <si>
    <t>İzmit Arasta Mağaza</t>
  </si>
  <si>
    <t>M884</t>
  </si>
  <si>
    <t>M0354</t>
  </si>
  <si>
    <t>M895</t>
  </si>
  <si>
    <t>M0375</t>
  </si>
  <si>
    <t>M898</t>
  </si>
  <si>
    <t>M0379</t>
  </si>
  <si>
    <t>Bolu 14 Burda Mağaza</t>
  </si>
  <si>
    <t>M901</t>
  </si>
  <si>
    <t>M0353</t>
  </si>
  <si>
    <t>M902</t>
  </si>
  <si>
    <t>M0359</t>
  </si>
  <si>
    <t>Mersin Marina Mağaza</t>
  </si>
  <si>
    <t>M908</t>
  </si>
  <si>
    <t>M0376</t>
  </si>
  <si>
    <t>M910</t>
  </si>
  <si>
    <t>M0432</t>
  </si>
  <si>
    <t>M912</t>
  </si>
  <si>
    <t>M0372</t>
  </si>
  <si>
    <t>M914</t>
  </si>
  <si>
    <t>M0386</t>
  </si>
  <si>
    <t>M915</t>
  </si>
  <si>
    <t>M0374</t>
  </si>
  <si>
    <t>M916</t>
  </si>
  <si>
    <t>M0378</t>
  </si>
  <si>
    <t>Kars Cadde Mağaza</t>
  </si>
  <si>
    <t>M917</t>
  </si>
  <si>
    <t>M0398</t>
  </si>
  <si>
    <t>M918</t>
  </si>
  <si>
    <t>M0395</t>
  </si>
  <si>
    <t>M926</t>
  </si>
  <si>
    <t>M0350</t>
  </si>
  <si>
    <t>M942</t>
  </si>
  <si>
    <t>M0383</t>
  </si>
  <si>
    <t>M944</t>
  </si>
  <si>
    <t>M0377</t>
  </si>
  <si>
    <t>M973</t>
  </si>
  <si>
    <t>M0637</t>
  </si>
  <si>
    <t>M975</t>
  </si>
  <si>
    <t>M0639</t>
  </si>
  <si>
    <t>Düzce Cadde Mağaza</t>
  </si>
  <si>
    <t>M981</t>
  </si>
  <si>
    <t>M0412</t>
  </si>
  <si>
    <t>M984</t>
  </si>
  <si>
    <t>M0641</t>
  </si>
  <si>
    <t>M987</t>
  </si>
  <si>
    <t>M0421</t>
  </si>
  <si>
    <t>M992</t>
  </si>
  <si>
    <t>M0642</t>
  </si>
  <si>
    <t>S003</t>
  </si>
  <si>
    <t>M0407</t>
  </si>
  <si>
    <t>S010</t>
  </si>
  <si>
    <t>M0394</t>
  </si>
  <si>
    <t>M0482</t>
  </si>
  <si>
    <t>M986</t>
  </si>
  <si>
    <t>S012</t>
  </si>
  <si>
    <t>M0384</t>
  </si>
  <si>
    <t>S019</t>
  </si>
  <si>
    <t>M0414</t>
  </si>
  <si>
    <t>S021</t>
  </si>
  <si>
    <t>M0406</t>
  </si>
  <si>
    <t>S024</t>
  </si>
  <si>
    <t>M0460</t>
  </si>
  <si>
    <t>S026</t>
  </si>
  <si>
    <t>M0415</t>
  </si>
  <si>
    <t>S041</t>
  </si>
  <si>
    <t>M0420</t>
  </si>
  <si>
    <t>Sinop Cadde Mağaza</t>
  </si>
  <si>
    <t>S042</t>
  </si>
  <si>
    <t>M0429</t>
  </si>
  <si>
    <t>S043</t>
  </si>
  <si>
    <t>M0382</t>
  </si>
  <si>
    <t>Adapazarı Çark Cadde</t>
  </si>
  <si>
    <t>S047</t>
  </si>
  <si>
    <t>M0417</t>
  </si>
  <si>
    <t>S050</t>
  </si>
  <si>
    <t>M0426</t>
  </si>
  <si>
    <t>S055</t>
  </si>
  <si>
    <t>M0477</t>
  </si>
  <si>
    <t>S080</t>
  </si>
  <si>
    <t>M0468</t>
  </si>
  <si>
    <t>S085</t>
  </si>
  <si>
    <t>M0650</t>
  </si>
  <si>
    <t>S095</t>
  </si>
  <si>
    <t>M0479</t>
  </si>
  <si>
    <t>S096</t>
  </si>
  <si>
    <t>M0655</t>
  </si>
  <si>
    <t>S099</t>
  </si>
  <si>
    <t>M0658</t>
  </si>
  <si>
    <t>Hiltown Rönesans</t>
  </si>
  <si>
    <t>S100</t>
  </si>
  <si>
    <t>M0476</t>
  </si>
  <si>
    <t>Edirne Erasta Mağaza</t>
  </si>
  <si>
    <t>S124</t>
  </si>
  <si>
    <t>M0120</t>
  </si>
  <si>
    <t>S131</t>
  </si>
  <si>
    <t>M0437</t>
  </si>
  <si>
    <t>S135</t>
  </si>
  <si>
    <t>M0440</t>
  </si>
  <si>
    <t>S139</t>
  </si>
  <si>
    <t>M0446</t>
  </si>
  <si>
    <t>S142</t>
  </si>
  <si>
    <t>M0478</t>
  </si>
  <si>
    <t>S170</t>
  </si>
  <si>
    <t>M0670</t>
  </si>
  <si>
    <t>S181</t>
  </si>
  <si>
    <t>M0466</t>
  </si>
  <si>
    <t>S189</t>
  </si>
  <si>
    <t>M0480</t>
  </si>
  <si>
    <t>S214</t>
  </si>
  <si>
    <t>M0628</t>
  </si>
  <si>
    <t>S262</t>
  </si>
  <si>
    <t>M0690</t>
  </si>
  <si>
    <t>S263</t>
  </si>
  <si>
    <t>M0787</t>
  </si>
  <si>
    <t>S264</t>
  </si>
  <si>
    <t>M0691</t>
  </si>
  <si>
    <t>S268</t>
  </si>
  <si>
    <t>M0780</t>
  </si>
  <si>
    <t>S272</t>
  </si>
  <si>
    <t>M0765</t>
  </si>
  <si>
    <t>S288</t>
  </si>
  <si>
    <t>M0767</t>
  </si>
  <si>
    <t>S291</t>
  </si>
  <si>
    <t>M0872</t>
  </si>
  <si>
    <t>M1284</t>
  </si>
  <si>
    <t>Rize Şimal Mağaza</t>
  </si>
  <si>
    <t>M1333</t>
  </si>
  <si>
    <t>M1283</t>
  </si>
  <si>
    <t>M1353</t>
  </si>
  <si>
    <t>M1352</t>
  </si>
  <si>
    <t>Malatyapark Mağaza</t>
  </si>
  <si>
    <t>M1354</t>
  </si>
  <si>
    <t>M1286</t>
  </si>
  <si>
    <t>M1350</t>
  </si>
  <si>
    <t>M1440</t>
  </si>
  <si>
    <t>M1446</t>
  </si>
  <si>
    <t>M1189</t>
  </si>
  <si>
    <t>M1428</t>
  </si>
  <si>
    <t>M1499</t>
  </si>
  <si>
    <t>M1498</t>
  </si>
  <si>
    <t>Aydın OpsMall Avm Mağaza</t>
  </si>
  <si>
    <t>Toplam</t>
  </si>
  <si>
    <t>Maltepe Piazza Mağaza</t>
  </si>
  <si>
    <t>İzmir Kıbrıs Şehitleri Mağaza 2</t>
  </si>
  <si>
    <t>Kocaeli Gebze Mağaza</t>
  </si>
  <si>
    <t>İstanbul Ümr Alemdağ Cadde 2 Mağaza</t>
  </si>
  <si>
    <t>Ankara Tunalı Hilmi Mağaza</t>
  </si>
  <si>
    <t>Saha Görsel</t>
  </si>
  <si>
    <t>Ataşehir Water Garden Mağaza</t>
  </si>
  <si>
    <t>İzmir Westpark AVM Mağaza</t>
  </si>
  <si>
    <t>İstanbul Beyoğlu Odakule Cadde Mağaza</t>
  </si>
  <si>
    <t>İzmir Karşıyaka Hilltown Szn-Avm</t>
  </si>
  <si>
    <t>İstanbul Üsküdar Nev AVM</t>
  </si>
  <si>
    <t>Adana 01 Burda Mağaza</t>
  </si>
  <si>
    <t>İstanbul Pendorya Mağaza</t>
  </si>
  <si>
    <t>Elazığ Elysium Mağaza</t>
  </si>
  <si>
    <t>Gaziantep Sanko Mağaza</t>
  </si>
  <si>
    <t>Antalya Land Of Legends</t>
  </si>
  <si>
    <t>Eskişehir Es Park Mağaza</t>
  </si>
  <si>
    <t>İstanbul Perlavista Mağaza Sezon</t>
  </si>
  <si>
    <t>Trabzon Cevahir Mağaza</t>
  </si>
  <si>
    <t>İzmir İstinyepark Mağaza</t>
  </si>
  <si>
    <t>Isparta Meydan AVM Mağaza</t>
  </si>
  <si>
    <t>İstanbul Güngören Kale Center</t>
  </si>
  <si>
    <t>Ankara A-City Mağaza</t>
  </si>
  <si>
    <t>İstanbul Viaport Venezia AVM</t>
  </si>
  <si>
    <t>İstanbul Viaport Mağaza</t>
  </si>
  <si>
    <t>İstanbul Kartal Marina AVM Mağaza</t>
  </si>
  <si>
    <t>Ankara Gordion Mağaza</t>
  </si>
  <si>
    <t>Antalya Terracity Mağaza</t>
  </si>
  <si>
    <t>İstanbul Kozzy Mağaza</t>
  </si>
  <si>
    <t>İstanbul Metropol Mağaza</t>
  </si>
  <si>
    <t>Balıkesir Milli Kuvvetler Cadde Mağaza</t>
  </si>
  <si>
    <t>İstanbul Beylikdüzü Miğros Mağaza</t>
  </si>
  <si>
    <t>İzmir Agora mağaza</t>
  </si>
  <si>
    <t>Bursa Korupark Mağaza</t>
  </si>
  <si>
    <t>Muğla Rüya 48 Avm Mağaza</t>
  </si>
  <si>
    <t>İstanbul Olivium Mağaza</t>
  </si>
  <si>
    <t>Ankara Antares Mağaza</t>
  </si>
  <si>
    <t>Ankara Eryaman Mağaza</t>
  </si>
  <si>
    <t>AfyonPark Mağaza</t>
  </si>
  <si>
    <t>Ankara Kentpark Mağaza</t>
  </si>
  <si>
    <t>Tekirdağ Tekira Mağaza</t>
  </si>
  <si>
    <t>İstanbul Fatih Historia Mağaza</t>
  </si>
  <si>
    <t>Bursa Kent Meydanı Mağaza</t>
  </si>
  <si>
    <t>Bursa Anatolium Mağaza</t>
  </si>
  <si>
    <t>İstanbul M1 Meydan Ümraniye Mağaza</t>
  </si>
  <si>
    <t>Bursa Zafer Plaza Mağaza</t>
  </si>
  <si>
    <t>İstanbul Nautilius Mağaza</t>
  </si>
  <si>
    <t>İstanbul Kavacık Mağaza</t>
  </si>
  <si>
    <t>İstanbul Kemerburgaz Mağaza</t>
  </si>
  <si>
    <t>İstanbul Neomarin Mağaza Mix</t>
  </si>
  <si>
    <t>İstanbul Harbiye Mağaza</t>
  </si>
  <si>
    <t>İstanbul Demirören Mağaza</t>
  </si>
  <si>
    <t>İzmir Bornova Forum Mağaza</t>
  </si>
  <si>
    <t>Denizli Çamlık mağaza</t>
  </si>
  <si>
    <t>İstanbul Pelikan Mağaza</t>
  </si>
  <si>
    <t>Mersin Forum 2 Mağaza</t>
  </si>
  <si>
    <t>Bursa İnegöl İnevia Mağaza</t>
  </si>
  <si>
    <t>Kayseri Park Mağaza</t>
  </si>
  <si>
    <t>İstanbul Arenapark Mağaza</t>
  </si>
  <si>
    <t>Trabzon Gazipaşa mağaza</t>
  </si>
  <si>
    <t>Balıkesir Bandırma liman Mağaza</t>
  </si>
  <si>
    <t>İstanbul Trump Towers Mağ</t>
  </si>
  <si>
    <t>İstanbul Marmarapark Mağaza</t>
  </si>
  <si>
    <t>Diyarbakır Ceylanpark Mağaza</t>
  </si>
  <si>
    <t>İstanbul Ataşehir Brandium Mağaza</t>
  </si>
  <si>
    <t>İstanbul Kağıthane Axis Mağaza</t>
  </si>
  <si>
    <t>İstanbul Pendik Çarşı Mağaza</t>
  </si>
  <si>
    <t>Antalya Alanya Cadde Mağaza</t>
  </si>
  <si>
    <t>Balıkesir Susurluk Mağaza SRS</t>
  </si>
  <si>
    <t>Samsun Yeşilyurt Mağaza</t>
  </si>
  <si>
    <t>İskenderun Prime Mall Mağaza</t>
  </si>
  <si>
    <t>İstanbul Beşiktaş Ihlamurdere Mağaza</t>
  </si>
  <si>
    <t>Konya Kent Plaza Mağaza</t>
  </si>
  <si>
    <t>İstanbul ABC Şirinevler Mağaza</t>
  </si>
  <si>
    <t>Zonguldak Ereğli Mağaza</t>
  </si>
  <si>
    <t>İzmit İstasyon Cadde Mağaza</t>
  </si>
  <si>
    <t>Adana Atatürk Cadde Mağaza</t>
  </si>
  <si>
    <t>Antalya Erasta Mağaza</t>
  </si>
  <si>
    <t>Ankara Atlantis Mağaza</t>
  </si>
  <si>
    <t>İzmir Çiğli Mağaza SRS</t>
  </si>
  <si>
    <t>Ankara Anatolium Mağaza</t>
  </si>
  <si>
    <t>Kahramanmaraş Piazza Mağaza</t>
  </si>
  <si>
    <t>İstanbul Vialand Mağaza</t>
  </si>
  <si>
    <t>İstanbul Büyükçekmece Atirus Mağaza</t>
  </si>
  <si>
    <t>Antalya Markantalya Mağaza</t>
  </si>
  <si>
    <t>Samsun Lovelet Mağaza SRS</t>
  </si>
  <si>
    <t>Urfa Piazza Mağaza</t>
  </si>
  <si>
    <t>Gaziantep Forum Mağaza</t>
  </si>
  <si>
    <t>İstanbul Ümraniye Canpark</t>
  </si>
  <si>
    <t>Mersin Palm City Mağaza</t>
  </si>
  <si>
    <t>İzmir Balçova Novada Mağaza</t>
  </si>
  <si>
    <t>Balıkesir Ayvalık Cadde Mağaza</t>
  </si>
  <si>
    <t>İstanbul Güneşli Park Mağaza</t>
  </si>
  <si>
    <t>Mall Of İstanbul</t>
  </si>
  <si>
    <t>Ankara ATB Gimat Mağaza</t>
  </si>
  <si>
    <t>Zonguldak Demirpark Mağaza</t>
  </si>
  <si>
    <t>Ordu Fatsa Cadde Mağaza</t>
  </si>
  <si>
    <t>Bodrum Milas Pomelon Mağaza</t>
  </si>
  <si>
    <t>İstanbul Özdilek Mağaza</t>
  </si>
  <si>
    <t>İstanbul Metro Garden Mağaza</t>
  </si>
  <si>
    <t>Kırıkkale Podium Mağaza</t>
  </si>
  <si>
    <t>Antalya Özdilek Mağaza</t>
  </si>
  <si>
    <t>İzmir Gaziemir Optimum SRS</t>
  </si>
  <si>
    <t>Tekirdağ Çorlu Orion Mağaza</t>
  </si>
  <si>
    <t>İstanbul Silivri Cadde Mağaza</t>
  </si>
  <si>
    <t>Bursa FSM Cadde Mağaza</t>
  </si>
  <si>
    <t>İstanbul Ataköy A Plus Mağaza</t>
  </si>
  <si>
    <t>Çanakkale 17 Burda Mağaza</t>
  </si>
  <si>
    <t>Adapazarı Agora Mağaza</t>
  </si>
  <si>
    <t>Isparta İyaşpark Mağaza</t>
  </si>
  <si>
    <t>İzmir Buca Cadde Mağaza</t>
  </si>
  <si>
    <t>Manisa Akhisar Novada Mağaza</t>
  </si>
  <si>
    <t>Bodrum Midtown 2 Mağaza</t>
  </si>
  <si>
    <t>İstanbul Beyoğlu Büyük Cadde</t>
  </si>
  <si>
    <t>İstanbul Forum Bayrampaşa Mağaza</t>
  </si>
  <si>
    <t>İstanbul Capitol Mağaza</t>
  </si>
  <si>
    <t>İstanbul Cevahir Plaza Mağaza</t>
  </si>
  <si>
    <t>Samsun Bafra Çelikpark Mağaza</t>
  </si>
  <si>
    <t>İzmir Konak Pier Mağaza</t>
  </si>
  <si>
    <t>İzmir Ödemiş Cadde Mağaza</t>
  </si>
  <si>
    <t>Bursa As Merkez Mağaza</t>
  </si>
  <si>
    <t>Mersin GMK Bulvar Mağaza</t>
  </si>
  <si>
    <t>Kırşehir Cadde Mağaza</t>
  </si>
  <si>
    <t>Tekirdağ Çerkezköy Cadde Mağaza</t>
  </si>
  <si>
    <t>İzmir Karşıyaka Mavibahçe Mağaza</t>
  </si>
  <si>
    <t>İstanbul Tuzla Viaport Marina AVM</t>
  </si>
  <si>
    <t>İzmir Point Bornova Mağaza</t>
  </si>
  <si>
    <t>Antalya Migros Mağaza</t>
  </si>
  <si>
    <t>Kuşadası Akdoğan Pasajı Mağaza</t>
  </si>
  <si>
    <t>İstanbul Atlaspark Sultanbeyli Mağaza</t>
  </si>
  <si>
    <t>İzmit 41 Burda AVM</t>
  </si>
  <si>
    <t>Van AVM Mağaza</t>
  </si>
  <si>
    <t>Balıkesir Edremit Novada Mağaza</t>
  </si>
  <si>
    <t>Ankara Metro Mall Mağaza</t>
  </si>
  <si>
    <t>Edirne Keşan Bendis Mağaza</t>
  </si>
  <si>
    <t>Bursa Marka AVM Mağaza</t>
  </si>
  <si>
    <t>Antalya Manavgat Novada AVM</t>
  </si>
  <si>
    <t>İstanbul Kadıköy Denim Mağaza</t>
  </si>
  <si>
    <t>Muğla Marmaris-2 Sahil Cadde</t>
  </si>
  <si>
    <t>Ankara Kızılay Meydan Mağaza</t>
  </si>
  <si>
    <t>İstanbul Bahçeşehir Akbatı Mağaza</t>
  </si>
  <si>
    <t>Sivas Primemall Mağaza</t>
  </si>
  <si>
    <t>Ankara Ankamall Mağaza</t>
  </si>
  <si>
    <t>Adana Ceyhan Mağaza</t>
  </si>
  <si>
    <t>İstanbul Haramidere Torium Mağaza</t>
  </si>
  <si>
    <t>Mersin Tarsus Tarsu Mağaza</t>
  </si>
  <si>
    <t>Erzincan Cadde Mağaza</t>
  </si>
  <si>
    <t>Çorum AHL Park  Mağaza</t>
  </si>
  <si>
    <t>İzmir Kemeraltı Cadde Mağaza</t>
  </si>
  <si>
    <t>Antalya Mall Of Mağaza</t>
  </si>
  <si>
    <t>İstanbul Vadi İstanbul Mağaza</t>
  </si>
  <si>
    <t>Denizli Teraspark SRS</t>
  </si>
  <si>
    <t>Diyarbakır Ninova Mağaza SRS</t>
  </si>
  <si>
    <t>Trabzon Maraş Cadde Mağaza</t>
  </si>
  <si>
    <t>Antalya Agora Mağaza</t>
  </si>
  <si>
    <t>İzmir Gaziemir Mağaza</t>
  </si>
  <si>
    <t>Ordu Novada Denim Mağaza</t>
  </si>
  <si>
    <t>İstanbul Metroport Mağaza</t>
  </si>
  <si>
    <t>İstanbul Capacity Mağaza 2</t>
  </si>
  <si>
    <t>Erzurum MNG Mağaza</t>
  </si>
  <si>
    <t>Nevşehir Nissara AVM Mağaza</t>
  </si>
  <si>
    <t>İstanbul Marmara Forum 3</t>
  </si>
  <si>
    <t>İstanbul Esenyurt City</t>
  </si>
  <si>
    <t>İzmir Novada Menemen</t>
  </si>
  <si>
    <t>-</t>
  </si>
  <si>
    <t>M1748</t>
  </si>
  <si>
    <t>M1749</t>
  </si>
  <si>
    <t>Masraf Kodu</t>
  </si>
  <si>
    <t>Yeni Masraf Kodu</t>
  </si>
  <si>
    <t>Mağaza</t>
  </si>
  <si>
    <t>BM</t>
  </si>
  <si>
    <t>PM</t>
  </si>
  <si>
    <t>HRBP</t>
  </si>
  <si>
    <t>Segment</t>
  </si>
  <si>
    <t>İl</t>
  </si>
  <si>
    <t>Gönüllü Çıkış Sayısı</t>
  </si>
  <si>
    <t>Ortalama Çalışan Sayısı</t>
  </si>
  <si>
    <t>Gönüllü TO Nisan (%)</t>
  </si>
  <si>
    <t xml:space="preserve">Gönüllü Çıkış Sayısı </t>
  </si>
  <si>
    <t xml:space="preserve">Ortalama Çalışan Sayısı </t>
  </si>
  <si>
    <t xml:space="preserve">Gönüllü TO 2026 (%) </t>
  </si>
  <si>
    <t>Gönüllü Çıkıs Sayısı</t>
  </si>
  <si>
    <t>Ortalama Çalısan Sayısı</t>
  </si>
  <si>
    <t>Gönüllü TO 2025 (%)</t>
  </si>
  <si>
    <t>Gönüllü Çıkıs Sayısı 2025 YTD</t>
  </si>
  <si>
    <t xml:space="preserve">Ortalama Çalısan Sayısı </t>
  </si>
  <si>
    <t xml:space="preserve">Gönüllü TO 2025 YTD (%)  </t>
  </si>
  <si>
    <t>Ahmet Altınel</t>
  </si>
  <si>
    <t>Bihter Örgün</t>
  </si>
  <si>
    <t>Makbule Başaran</t>
  </si>
  <si>
    <t>FS</t>
  </si>
  <si>
    <t>Kayseri</t>
  </si>
  <si>
    <t>Maltepe Piazza Mağaz</t>
  </si>
  <si>
    <t>Oğuz Güneş</t>
  </si>
  <si>
    <t>Bora Altıntaş</t>
  </si>
  <si>
    <t>Damla Kösemen Sezer</t>
  </si>
  <si>
    <t>A++</t>
  </si>
  <si>
    <t>İstanbul</t>
  </si>
  <si>
    <t>İzmkıbrıs Şehitleri2</t>
  </si>
  <si>
    <t>Timuçin Özdemir</t>
  </si>
  <si>
    <t>Gizem Bilgen</t>
  </si>
  <si>
    <t>A+</t>
  </si>
  <si>
    <t>İzmir</t>
  </si>
  <si>
    <t>İzmit Gebze Mağaza 2</t>
  </si>
  <si>
    <t>Kocaeli</t>
  </si>
  <si>
    <t>Tayfun Dursun</t>
  </si>
  <si>
    <t>Mahmut Güneş</t>
  </si>
  <si>
    <t>C</t>
  </si>
  <si>
    <t>Amasya</t>
  </si>
  <si>
    <t>İstanbul Ümr Cd 2</t>
  </si>
  <si>
    <t>Sami Ok</t>
  </si>
  <si>
    <t>İdil Tuna Çayıroğlu</t>
  </si>
  <si>
    <t>Ankara Tunalı Hilmi</t>
  </si>
  <si>
    <t>Çetin Çavdar</t>
  </si>
  <si>
    <t>Ankara</t>
  </si>
  <si>
    <t>Balıkesir 10 Burda</t>
  </si>
  <si>
    <t>Erdal Coşar</t>
  </si>
  <si>
    <t>Balıkesir</t>
  </si>
  <si>
    <t>Ataşehir Watergarden</t>
  </si>
  <si>
    <t>A</t>
  </si>
  <si>
    <t>İzmir Westpark Avm</t>
  </si>
  <si>
    <t>Sevinç Işık Çelebi</t>
  </si>
  <si>
    <t>Dursun Ali Ubay</t>
  </si>
  <si>
    <t>Büşra Aydoğdu</t>
  </si>
  <si>
    <t>Kırklareli</t>
  </si>
  <si>
    <t>İstanbul Odakule Cad</t>
  </si>
  <si>
    <t>Ömer Aydın</t>
  </si>
  <si>
    <t>Eren Döğüş</t>
  </si>
  <si>
    <t>Sami Ok (Vekalet)</t>
  </si>
  <si>
    <t>D</t>
  </si>
  <si>
    <t>İzmir Hiltown Avm</t>
  </si>
  <si>
    <t>Hatice Tosuner</t>
  </si>
  <si>
    <t>Üsküdar Nev Avm</t>
  </si>
  <si>
    <t>B</t>
  </si>
  <si>
    <t>Adana 01 Burda Avm S</t>
  </si>
  <si>
    <t>Hasan Öztepe</t>
  </si>
  <si>
    <t>Adana</t>
  </si>
  <si>
    <t>Elazığ Elysium Mağaz</t>
  </si>
  <si>
    <t>Kubilay Ekinci</t>
  </si>
  <si>
    <t>Elazığ</t>
  </si>
  <si>
    <t>Gaziantep Sanko</t>
  </si>
  <si>
    <t>Gaziantep</t>
  </si>
  <si>
    <t>Antalya Land Of Lege</t>
  </si>
  <si>
    <t>Filiz Çelik</t>
  </si>
  <si>
    <t>Antalya</t>
  </si>
  <si>
    <t>Eskişehir Es Park Ma</t>
  </si>
  <si>
    <t>Eskişehir</t>
  </si>
  <si>
    <t>İstanbul Perlavista</t>
  </si>
  <si>
    <t>Trabzon Cevahir Szn</t>
  </si>
  <si>
    <t>Fatih Yılmaz</t>
  </si>
  <si>
    <t>Trabzon</t>
  </si>
  <si>
    <t>İzmir İstinyepark Ma</t>
  </si>
  <si>
    <t>Rize</t>
  </si>
  <si>
    <t>Isparta Meydan Avm</t>
  </si>
  <si>
    <t>Isparta</t>
  </si>
  <si>
    <t>İstanbul Kale Mağaza</t>
  </si>
  <si>
    <t>Turgay Kara</t>
  </si>
  <si>
    <t>Ankara A-Cıty Mağaza</t>
  </si>
  <si>
    <t>İstanbul Vıaport Ven</t>
  </si>
  <si>
    <t>Viaport 2 Avm</t>
  </si>
  <si>
    <t>İstanbul Kartal Mari</t>
  </si>
  <si>
    <t>Ankara Gordion Avm</t>
  </si>
  <si>
    <t>Malatya</t>
  </si>
  <si>
    <t>Antalya Terracity Ma</t>
  </si>
  <si>
    <t>İst Kozzy Mağaza</t>
  </si>
  <si>
    <t>Metropol Mağaza</t>
  </si>
  <si>
    <t>Balıkesir Cadde Mağa</t>
  </si>
  <si>
    <t>Beylikdüzü Migros Ma</t>
  </si>
  <si>
    <t>İzmir Agora Mağaza</t>
  </si>
  <si>
    <t>Bursa Korupark Mağaz</t>
  </si>
  <si>
    <t>Bursa</t>
  </si>
  <si>
    <t>Aydın Opsmall Avm</t>
  </si>
  <si>
    <t>Pınar Akın</t>
  </si>
  <si>
    <t>Aydın</t>
  </si>
  <si>
    <t>Muğla Rüya 48 Avm</t>
  </si>
  <si>
    <t>Muğla</t>
  </si>
  <si>
    <t>İstanbul Olivium Mağ</t>
  </si>
  <si>
    <t>Ankara Antares Mağaz</t>
  </si>
  <si>
    <t>Ankara Eryaman Mağaz</t>
  </si>
  <si>
    <t>Afyonpark Mağaza</t>
  </si>
  <si>
    <t>Afyonkarahisar</t>
  </si>
  <si>
    <t>Ankara Kentpark Mağa</t>
  </si>
  <si>
    <t>Tekirdağ Tekira Mağa</t>
  </si>
  <si>
    <t>Tekirdağ</t>
  </si>
  <si>
    <t>İstanbul Fatih Histo</t>
  </si>
  <si>
    <t>Bursa Kent Meydanı M</t>
  </si>
  <si>
    <t>Bursa Anatolıum Mağa</t>
  </si>
  <si>
    <t>İstanbul M1 Meydan Ü</t>
  </si>
  <si>
    <t>Bursa Zafer Plaza Ma</t>
  </si>
  <si>
    <t>İstanbul Nautilius M</t>
  </si>
  <si>
    <t>Konya</t>
  </si>
  <si>
    <t>İstanbul Kavacık Mağ</t>
  </si>
  <si>
    <t>İstanbul Kemerburgaz</t>
  </si>
  <si>
    <t>İstanbul Neomarin Ma</t>
  </si>
  <si>
    <t>İstanbul Harbiye Mağ</t>
  </si>
  <si>
    <t>Nevşehir</t>
  </si>
  <si>
    <t>İstanbul Demirören M</t>
  </si>
  <si>
    <t>İzmir Bornova Forum</t>
  </si>
  <si>
    <t>Denizli Çamlık Mağaz</t>
  </si>
  <si>
    <t>Denizli</t>
  </si>
  <si>
    <t>İstanbul Pelikan Mağ</t>
  </si>
  <si>
    <t>Mersin Forum 2 Mağaz</t>
  </si>
  <si>
    <t>Emre Yılmaz</t>
  </si>
  <si>
    <t>Mersin</t>
  </si>
  <si>
    <t>Manisa</t>
  </si>
  <si>
    <t>Bursa İnegöl İnevia</t>
  </si>
  <si>
    <t>Kayseri Mağaza</t>
  </si>
  <si>
    <t>İstanbul Arenapark M</t>
  </si>
  <si>
    <t>Trabzon Gazipaşa Mağ</t>
  </si>
  <si>
    <t>Balıkesir Bandırma L</t>
  </si>
  <si>
    <t>İstanbul Trump Tower</t>
  </si>
  <si>
    <t>İstanbul Marmara Par</t>
  </si>
  <si>
    <t>Diyarbakır Ceylan Pa</t>
  </si>
  <si>
    <t>Diyarbakır</t>
  </si>
  <si>
    <t>İstanbul Kağıthane A</t>
  </si>
  <si>
    <t>İstanbul Pendik Çarş</t>
  </si>
  <si>
    <t>Antalya Alanya Cadde</t>
  </si>
  <si>
    <t>Osmaniye</t>
  </si>
  <si>
    <t>Balıkesir Susurluk M</t>
  </si>
  <si>
    <t>Samsun</t>
  </si>
  <si>
    <t>Samsun Yeşilyurt Mağ</t>
  </si>
  <si>
    <t>İskenderun Prime Mal</t>
  </si>
  <si>
    <t>Hatay</t>
  </si>
  <si>
    <t>İstanbul Beşiktaş Ih</t>
  </si>
  <si>
    <t>Konya Kent Plaza Mağ</t>
  </si>
  <si>
    <t>İstanbul Abc Şirinev</t>
  </si>
  <si>
    <t>Zonguldak Ereğli Mağ</t>
  </si>
  <si>
    <t>Oğuz Güneş  (Vekalet)</t>
  </si>
  <si>
    <t>Zonguldak</t>
  </si>
  <si>
    <t>İzmit İstasyon Cadde</t>
  </si>
  <si>
    <t>Adana Atatürk Cadde</t>
  </si>
  <si>
    <t>Antalya Erasta Mağaz</t>
  </si>
  <si>
    <t>Ankara Atlantis Mağa</t>
  </si>
  <si>
    <t>İzmir Çiğli Mağaza S</t>
  </si>
  <si>
    <t>Ankara Anatolıum Mağ</t>
  </si>
  <si>
    <t>Samsun Pıazza Mağaza</t>
  </si>
  <si>
    <t>Kahramanmaraş Pıazza</t>
  </si>
  <si>
    <t>Kahramanmaraş</t>
  </si>
  <si>
    <t>İstanbul Vıaland Mağ</t>
  </si>
  <si>
    <t>İstanbul Büyükçekmec</t>
  </si>
  <si>
    <t>Giresun</t>
  </si>
  <si>
    <t>Antalya Markantalya</t>
  </si>
  <si>
    <t>Samsun Lovelet Mağaz</t>
  </si>
  <si>
    <t>Urfa Pıazza Mağaza</t>
  </si>
  <si>
    <t>Şanlıurfa</t>
  </si>
  <si>
    <t>Gaziantep Forum Mağa</t>
  </si>
  <si>
    <t>Gaziantep Primemall</t>
  </si>
  <si>
    <t>İstanbul Ümraniye Cp</t>
  </si>
  <si>
    <t>Mersin Palm Cıty Mağ</t>
  </si>
  <si>
    <t>Yalova</t>
  </si>
  <si>
    <t>İzmir Balçova Novada</t>
  </si>
  <si>
    <t>Balıkesir Ayvalık Ca</t>
  </si>
  <si>
    <t>Tokat</t>
  </si>
  <si>
    <t>İstanbul Güneşlipark</t>
  </si>
  <si>
    <t>Sivas</t>
  </si>
  <si>
    <t>Mall Of İstanbul Mağ</t>
  </si>
  <si>
    <t>Ankara Atb Gimat Mağ</t>
  </si>
  <si>
    <t>Artvin</t>
  </si>
  <si>
    <t>Zonguldak Demirpark</t>
  </si>
  <si>
    <t>Ordu Fatsa Cadde</t>
  </si>
  <si>
    <t>Ordu</t>
  </si>
  <si>
    <t>Milas Pomelon Mağaza</t>
  </si>
  <si>
    <t>İstanbul Özdilek Mağ</t>
  </si>
  <si>
    <t>İstanbul Metro Garde</t>
  </si>
  <si>
    <t>Kırıkkale Podium Mağ</t>
  </si>
  <si>
    <t>Kırıkkale</t>
  </si>
  <si>
    <t>Fethiye Erasta Mağaz</t>
  </si>
  <si>
    <t>Antalya Özdilek Mağ.</t>
  </si>
  <si>
    <t>İzmir Gaziemir Outle</t>
  </si>
  <si>
    <t>Tekirdağ Çorlu Mağ.</t>
  </si>
  <si>
    <t>Bursa Fsm Cadde Mağa</t>
  </si>
  <si>
    <t>İstanbul Ataköy A Pl</t>
  </si>
  <si>
    <t>Çanakkale 17 Burda</t>
  </si>
  <si>
    <t>Çanakkale</t>
  </si>
  <si>
    <t>Adapazarı Agora Mağa</t>
  </si>
  <si>
    <t>Sakarya</t>
  </si>
  <si>
    <t>Isparta İyaşpark Mağ</t>
  </si>
  <si>
    <t>İzmir Buca Cadde Mağ</t>
  </si>
  <si>
    <t>Akhisar Novada Mağaz</t>
  </si>
  <si>
    <t>Bodrum Mıdtown 2</t>
  </si>
  <si>
    <t>İstanbul Beyoğlu Büy</t>
  </si>
  <si>
    <t>İstanbul Forum Bayra</t>
  </si>
  <si>
    <t>İstanbul Capıtol Mağ</t>
  </si>
  <si>
    <t>İstanbul Cevahir Pla</t>
  </si>
  <si>
    <t>Bafra Çelikpark Mağa</t>
  </si>
  <si>
    <t>İzmir Konak Pier Mağ</t>
  </si>
  <si>
    <t>İzmir Ödemiş Cadde M</t>
  </si>
  <si>
    <t>Bursa As Merkez Mağa</t>
  </si>
  <si>
    <t>Bolu</t>
  </si>
  <si>
    <t>Mersin Gmk Bulvar Ma</t>
  </si>
  <si>
    <t>Kırşehir Cadde Mağaz</t>
  </si>
  <si>
    <t>Kırşehir</t>
  </si>
  <si>
    <t>Tekirda Çerkezköy</t>
  </si>
  <si>
    <t>İzmir Mavibahçe</t>
  </si>
  <si>
    <t>İstanbul Tuzla Vıapo</t>
  </si>
  <si>
    <t>İzmir Point Bornova</t>
  </si>
  <si>
    <t>Kars</t>
  </si>
  <si>
    <t>Antalya Migros Mağaz</t>
  </si>
  <si>
    <t>Kuşadası Akdoğan Pas</t>
  </si>
  <si>
    <t>İstanbul Atlaspark</t>
  </si>
  <si>
    <t>İzmit 41 Burda Avm</t>
  </si>
  <si>
    <t>Van Avm Mağaza</t>
  </si>
  <si>
    <t>Van</t>
  </si>
  <si>
    <t>Emaar Libadiye Avm</t>
  </si>
  <si>
    <t>Düzce</t>
  </si>
  <si>
    <t>Balıkesir Edremit No</t>
  </si>
  <si>
    <t>Ankara Metro Mall</t>
  </si>
  <si>
    <t>Edirne Keşan Bendis</t>
  </si>
  <si>
    <t>Edirne</t>
  </si>
  <si>
    <t>Bursa Marka Avm</t>
  </si>
  <si>
    <t>Antalya Manavgat Avm</t>
  </si>
  <si>
    <t>İst Kadıköy Denim</t>
  </si>
  <si>
    <t>Muğla Marmaris 2 Sah</t>
  </si>
  <si>
    <t>Ankara Kızılay Meyda</t>
  </si>
  <si>
    <t>İstanbul Bahçeşehir</t>
  </si>
  <si>
    <t>Sivas Primemall Mağ</t>
  </si>
  <si>
    <t>Ankara Ankamall Mağa</t>
  </si>
  <si>
    <t>Sinop</t>
  </si>
  <si>
    <t>Adana Ceyhan</t>
  </si>
  <si>
    <t>İstanbul Torium</t>
  </si>
  <si>
    <t>Mersin Tarsus Tarsu</t>
  </si>
  <si>
    <t>Erzincan Cadde Mağaz</t>
  </si>
  <si>
    <t>Erzincan</t>
  </si>
  <si>
    <t>Çorum Ahl Park</t>
  </si>
  <si>
    <t>Çorum</t>
  </si>
  <si>
    <t>İzmir Kemeraltı Ökte</t>
  </si>
  <si>
    <t>Antalya Mall Of Avm</t>
  </si>
  <si>
    <t>İst. Vadi İstanbul</t>
  </si>
  <si>
    <t>Adapazarı Serdivan</t>
  </si>
  <si>
    <t>Denizli Terasparksrs</t>
  </si>
  <si>
    <t>Trabzon Maraş Cadde</t>
  </si>
  <si>
    <t>Antalya Agora</t>
  </si>
  <si>
    <t>İzmir Gaziemir Optim</t>
  </si>
  <si>
    <t>Ordu Novada Denim</t>
  </si>
  <si>
    <t>İstanbul Metroport</t>
  </si>
  <si>
    <t>Bakırköy Capacity 2</t>
  </si>
  <si>
    <t>Erzurum Mng Mağaza</t>
  </si>
  <si>
    <t>Erzurum</t>
  </si>
  <si>
    <t>Nevşehir Nissara Avm</t>
  </si>
  <si>
    <t>İzmir Karşıyaka Çarş</t>
  </si>
  <si>
    <t>İstanbul Marmara Fr3</t>
  </si>
  <si>
    <t>İstanbul Esenyurt C</t>
  </si>
  <si>
    <t>Novada Menemen Srs</t>
  </si>
  <si>
    <t>İstanbul Pendorya Ma</t>
  </si>
  <si>
    <t>İstanbul Ataşehir Br</t>
  </si>
  <si>
    <t>İstanbul Silivri Cad</t>
  </si>
  <si>
    <t>Diyarbakırninova Srs</t>
  </si>
  <si>
    <t>2026 MAYIS</t>
  </si>
  <si>
    <t>2026 YTD</t>
  </si>
  <si>
    <t>2025 MAYIS</t>
  </si>
  <si>
    <t>2025 YTD</t>
  </si>
  <si>
    <t>Sicil No</t>
  </si>
  <si>
    <t>Ad-Soyad</t>
  </si>
  <si>
    <t>Masraf Yeri</t>
  </si>
  <si>
    <t>Bildirim Tarihi</t>
  </si>
  <si>
    <t>İşten Ayrılma Tarihi</t>
  </si>
  <si>
    <t>Fark Gün</t>
  </si>
  <si>
    <t>Şehriban Özbay</t>
  </si>
  <si>
    <t>BODRUM MIDTOWN 2</t>
  </si>
  <si>
    <t>Buket Bektaş</t>
  </si>
  <si>
    <t>Solmaz Melek Bayrak</t>
  </si>
  <si>
    <t>İZMİT İSTASYON CADDE</t>
  </si>
  <si>
    <t>Dilara Tan</t>
  </si>
  <si>
    <t>Nisa Çap</t>
  </si>
  <si>
    <t>İSTANBUL KAVACIK MAĞ</t>
  </si>
  <si>
    <t>Serpil Civiloğlu</t>
  </si>
  <si>
    <t>İSTANBUL BÜYÜKÇEKMEC</t>
  </si>
  <si>
    <t>Sılanaz Koç</t>
  </si>
  <si>
    <t>Muhammed Talha Çayhan</t>
  </si>
  <si>
    <t>BOLU 14 BURDA MAĞAZA</t>
  </si>
  <si>
    <t>Esra Acar</t>
  </si>
  <si>
    <t>ANKARA TUNALI HİLMİ</t>
  </si>
  <si>
    <t>Özge Nisa Yüksek</t>
  </si>
  <si>
    <t>GAZİANTEP PRİMEMALL</t>
  </si>
  <si>
    <t>Ezgi Mert</t>
  </si>
  <si>
    <t>MUĞLA MARMARİS 2 SAH</t>
  </si>
  <si>
    <t>Sultan Uçan</t>
  </si>
  <si>
    <t>ANKARA KIZILAY MEYDA</t>
  </si>
  <si>
    <t>Zeynep Abide Sayar</t>
  </si>
  <si>
    <t>TEKİRDAĞ ÇORLU MAĞ.</t>
  </si>
  <si>
    <t>Yaren Özsüt</t>
  </si>
  <si>
    <t>ADANA 01 BURDA AVM S</t>
  </si>
  <si>
    <t>Yağmur Karakurt</t>
  </si>
  <si>
    <t>Muhammet Nuroğlu</t>
  </si>
  <si>
    <t>İSTANBUL PELİKAN MAĞ</t>
  </si>
  <si>
    <t>Enes Ucum</t>
  </si>
  <si>
    <t>TEKİRDAĞ TEKİRA MAĞA</t>
  </si>
  <si>
    <t>Balıkesir 10 Burda AVM</t>
  </si>
  <si>
    <t>2026 NİSAN</t>
  </si>
  <si>
    <t>Gönüllü TO 2026 (%)</t>
  </si>
  <si>
    <t>Gönüllü Çıkış Sayısı2</t>
  </si>
  <si>
    <t>Ortalama Çalışan Sayısı3</t>
  </si>
  <si>
    <t>2025 NİSAN</t>
  </si>
  <si>
    <t>Gönüllü Çıkıs Sayısı2</t>
  </si>
  <si>
    <t>Ortalama Çalısan Sayısı3</t>
  </si>
  <si>
    <t>Gönüllü TO 2025 (%)4</t>
  </si>
  <si>
    <t>2026 MART</t>
  </si>
  <si>
    <t>Gönüllü Çıkış Sayısı3</t>
  </si>
  <si>
    <t>Ortalama Çalışan Sayısı4</t>
  </si>
  <si>
    <t>Gönüllü TO 2026 (%)5</t>
  </si>
  <si>
    <t>2025 MART</t>
  </si>
  <si>
    <t>Gönüllü Çıkıs Sayısı3</t>
  </si>
  <si>
    <t>Ortalama Çalısan Sayısı4</t>
  </si>
  <si>
    <t>Gönüllü TO 2025 (%)5</t>
  </si>
  <si>
    <t>2026 ŞUBAT</t>
  </si>
  <si>
    <t>Gönüllü Çıkış Sayısı4</t>
  </si>
  <si>
    <t>Ortalama Çalışan Sayısı5</t>
  </si>
  <si>
    <t>Gönüllü TO 2026 (%)6</t>
  </si>
  <si>
    <t>2025 ŞUBAT</t>
  </si>
  <si>
    <t>Gönüllü Çıkıs Sayısı4</t>
  </si>
  <si>
    <t>Ortalama Çalısan Sayısı5</t>
  </si>
  <si>
    <t>Gönüllü TO 2025 (%)6</t>
  </si>
  <si>
    <t>2025 Ocak</t>
  </si>
  <si>
    <t>2026 Ocak</t>
  </si>
  <si>
    <t>Gönüllü Çıkış Sayısı5</t>
  </si>
  <si>
    <t>Ortalama Çalışan Sayısı6</t>
  </si>
  <si>
    <t>Gönüllü TO 2026 (%)7</t>
  </si>
  <si>
    <t>Gönüllü Çıkış Sayısı6</t>
  </si>
  <si>
    <t>Ortalama Çalışan Sayısı7</t>
  </si>
  <si>
    <t>Gönüllü TO 2026 (%)8</t>
  </si>
  <si>
    <t>Unvan TO</t>
  </si>
  <si>
    <t>Nisan Dönem Başı Çalışan Sayısı</t>
  </si>
  <si>
    <t>İşe Giren Sayısı</t>
  </si>
  <si>
    <t>İşten Ayrılan Sayısı</t>
  </si>
  <si>
    <t>Gönülsüz Çıkış Sayısı</t>
  </si>
  <si>
    <t>Zorunlu Çıkış Sayısı</t>
  </si>
  <si>
    <t>Nisan Dönem Sonu Çalışan Sayısı</t>
  </si>
  <si>
    <t>Nisan Ortalama Çalışan Sayısı</t>
  </si>
  <si>
    <t>Tüm Turnover</t>
  </si>
  <si>
    <t>Gönüllü Turnover</t>
  </si>
  <si>
    <t>Gönülsüz Turnover</t>
  </si>
  <si>
    <t>Zorunlu Turnover</t>
  </si>
  <si>
    <t>Mağaza Müdürü Gönüllü Çıkış Sayısı</t>
  </si>
  <si>
    <t>Mağaza Müdürü Gönüllü Turnover</t>
  </si>
  <si>
    <t>MMY Gönüllü Çıkış Sayısı</t>
  </si>
  <si>
    <t>MMY Gönüllü Turnover</t>
  </si>
  <si>
    <t>VM Gönüllü Çıkış Sayısı</t>
  </si>
  <si>
    <t>VM Gönüllü Turnover</t>
  </si>
  <si>
    <t>Sorumlu Ekip Gönüllü Çıkış Sayısı</t>
  </si>
  <si>
    <t>Sorumlu Ekip Gönüllü Turnover</t>
  </si>
  <si>
    <t>Satış Ekibi Gönüllü Çıkış Sayısı</t>
  </si>
  <si>
    <t>Satış Ekibi Gönüllü Turnover</t>
  </si>
  <si>
    <t xml:space="preserve">Tüm Turnover </t>
  </si>
  <si>
    <t xml:space="preserve">Gönüllü Turnover    </t>
  </si>
  <si>
    <t xml:space="preserve">Tüm Turnover   </t>
  </si>
  <si>
    <t xml:space="preserve">Gönüllü Turnover </t>
  </si>
  <si>
    <t>0</t>
  </si>
  <si>
    <t>Grup İçi Part-Time</t>
  </si>
  <si>
    <t>Grup İçi Full Time</t>
  </si>
  <si>
    <t>Sicil</t>
  </si>
  <si>
    <t>Adı-Soyadı</t>
  </si>
  <si>
    <t>MasrafYeri</t>
  </si>
  <si>
    <t>Durum</t>
  </si>
  <si>
    <t>Çıkış Tarihi</t>
  </si>
  <si>
    <t>Yasal İşten Ayrılma Nedeni</t>
  </si>
  <si>
    <t>TO Nedeni</t>
  </si>
  <si>
    <t>Pozisyon</t>
  </si>
  <si>
    <t>İş</t>
  </si>
  <si>
    <t>GirişTarihi</t>
  </si>
  <si>
    <t>ÇalışanAltGrubu</t>
  </si>
  <si>
    <t>ÇalışanGrubu</t>
  </si>
  <si>
    <t>Harun Reşit Muslu</t>
  </si>
  <si>
    <t>Pasif</t>
  </si>
  <si>
    <t>Yaş Dışı Koşulların Sağlanması</t>
  </si>
  <si>
    <t>Zorunlu</t>
  </si>
  <si>
    <t>Mağaza Müdürü</t>
  </si>
  <si>
    <t>Tam Zamanlı</t>
  </si>
  <si>
    <t>Yönetici</t>
  </si>
  <si>
    <t>Yüksel Ergül</t>
  </si>
  <si>
    <t>Fatma Ece</t>
  </si>
  <si>
    <t>BURSA FSM CADDE MAĞA</t>
  </si>
  <si>
    <t>İstifa</t>
  </si>
  <si>
    <t>Gönüllü</t>
  </si>
  <si>
    <t>Satış Danışmanı FT</t>
  </si>
  <si>
    <t>Satış Destek Ekip</t>
  </si>
  <si>
    <t>Beyaz Yakalı</t>
  </si>
  <si>
    <t>Aylin Eliş</t>
  </si>
  <si>
    <t>ADANA ATATÜRK CADDE</t>
  </si>
  <si>
    <t>Kadın İşçi Evlenme</t>
  </si>
  <si>
    <t>Zerin Can Seyis</t>
  </si>
  <si>
    <t>İSKENDERUN PRİME MAL</t>
  </si>
  <si>
    <t>Bölge Görsel Düzenleme Sorumlusu</t>
  </si>
  <si>
    <t>Bölge VM</t>
  </si>
  <si>
    <t>Gözde Nacar</t>
  </si>
  <si>
    <t>Kasiyer PT</t>
  </si>
  <si>
    <t>Yarı Zamanlı</t>
  </si>
  <si>
    <t>Cemre Kübra Ağaçtutan</t>
  </si>
  <si>
    <t>İSTANBUL NEOMARİN MA</t>
  </si>
  <si>
    <t>Miraç Ahmet Genç</t>
  </si>
  <si>
    <t>Bursa Marka AVM</t>
  </si>
  <si>
    <t>Askerlik</t>
  </si>
  <si>
    <t>Derin Su Gökduman</t>
  </si>
  <si>
    <t>ANKARA ATLANTİS MAĞA</t>
  </si>
  <si>
    <t>Satış Danışmanı PT</t>
  </si>
  <si>
    <t>Asuman Bayar</t>
  </si>
  <si>
    <t>KIRIKKALE PODİUM MAĞ</t>
  </si>
  <si>
    <t>Selenay Durmaz</t>
  </si>
  <si>
    <t>Aysel Nur Aktan</t>
  </si>
  <si>
    <t>İZMİR KEMERALTI ÖKTE</t>
  </si>
  <si>
    <t>Reyon Yöneticisi</t>
  </si>
  <si>
    <t>Sorumlu Ekip</t>
  </si>
  <si>
    <t>Firdevsi Tosun</t>
  </si>
  <si>
    <t>Aydın OpsMall Avm</t>
  </si>
  <si>
    <t>Satış Danışmanı KPT</t>
  </si>
  <si>
    <t>Sedanur Aras</t>
  </si>
  <si>
    <t>ORDU CADDE MAĞAZA</t>
  </si>
  <si>
    <t>Celal Can Taşcı</t>
  </si>
  <si>
    <t>Barış Özdemir</t>
  </si>
  <si>
    <t>4857 Nolu Kanun Md. 25-II-C</t>
  </si>
  <si>
    <t>Gönülsüz</t>
  </si>
  <si>
    <t>Mağaza Müdür Yardımcısı</t>
  </si>
  <si>
    <t>Görsel Sunum Uzmanı</t>
  </si>
  <si>
    <t>VM</t>
  </si>
  <si>
    <t>Fatih Aksakal</t>
  </si>
  <si>
    <t>İSTANBUL GÜNEŞLİPARK</t>
  </si>
  <si>
    <t>Zeynep Dönmez</t>
  </si>
  <si>
    <t>VAN AVM MAĞAZA</t>
  </si>
  <si>
    <t>Nazlı Edemen</t>
  </si>
  <si>
    <t>MERSİN MARİNA MAĞAZA</t>
  </si>
  <si>
    <t>Gülyaz Partal</t>
  </si>
  <si>
    <t>Ebru Başkuş</t>
  </si>
  <si>
    <t>ADAPAZARI ÇARK CADDE</t>
  </si>
  <si>
    <t>Kasiyer FT</t>
  </si>
  <si>
    <t>İrem Nur Bekar</t>
  </si>
  <si>
    <t>ADAPAZARI SERDİVAN</t>
  </si>
  <si>
    <t>Duygu Karatay</t>
  </si>
  <si>
    <t>YALOVA LİMAN MAĞAZA</t>
  </si>
  <si>
    <t>Oğuzhan Aydınoğlu</t>
  </si>
  <si>
    <t>BEYLİKDÜZÜ MİGROS MA</t>
  </si>
  <si>
    <t>Ecenur Arısoy</t>
  </si>
  <si>
    <t>Hümeyra Kuş</t>
  </si>
  <si>
    <t>İSTANBUL PERLAVİSTA</t>
  </si>
  <si>
    <t>Kasiyer</t>
  </si>
  <si>
    <t>Muhammet Kayalı</t>
  </si>
  <si>
    <t>Nil Ebrar Kaydın</t>
  </si>
  <si>
    <t>İSTANBUL ÖZDİLEK MAĞ</t>
  </si>
  <si>
    <t>Şenol Cafer</t>
  </si>
  <si>
    <t>Esmanur Eyüpoğlu</t>
  </si>
  <si>
    <t>Rana Karababalar</t>
  </si>
  <si>
    <t>Fatıma Şazimov</t>
  </si>
  <si>
    <t>ANTALYA ALANYA CADDE</t>
  </si>
  <si>
    <t>Tuğba Yılmaz</t>
  </si>
  <si>
    <t>Cansu Arısoy</t>
  </si>
  <si>
    <t>ADANA REAL MAĞAZA</t>
  </si>
  <si>
    <t>Ayşe Sıla Saltan</t>
  </si>
  <si>
    <t>Gamze Özen</t>
  </si>
  <si>
    <t>SİVAS CADDE MAĞAZA</t>
  </si>
  <si>
    <t>Beyzanur Boz</t>
  </si>
  <si>
    <t>BALIKESİR BANDIRMA L</t>
  </si>
  <si>
    <t>Stok ve Depo Sorumlusu</t>
  </si>
  <si>
    <t>Mehri Çetin</t>
  </si>
  <si>
    <t>KIRŞEHİR CADDE MAĞAZ</t>
  </si>
  <si>
    <t>Azize İzel Şen</t>
  </si>
  <si>
    <t>KAP</t>
  </si>
  <si>
    <t>Kerem Döşeme</t>
  </si>
  <si>
    <t>İZMİR BALÇOVA NOVADA</t>
  </si>
  <si>
    <t>Semiha Yıldırım</t>
  </si>
  <si>
    <t>Muhammet Demir</t>
  </si>
  <si>
    <t>İZMİT SYMBOL MAĞAZA</t>
  </si>
  <si>
    <t>Halime Kübra Soylugan</t>
  </si>
  <si>
    <t>BURSA AS MERKEZ MAĞA</t>
  </si>
  <si>
    <t>Özlem Dalma</t>
  </si>
  <si>
    <t>Asiye Betül Çölgeçen</t>
  </si>
  <si>
    <t>Umut Can Aslan</t>
  </si>
  <si>
    <t>Elif Karadayı Onat</t>
  </si>
  <si>
    <t>ANKARA ANKAMALL MAĞA</t>
  </si>
  <si>
    <t>Esma Ünveren</t>
  </si>
  <si>
    <t>Sözdar Hasan</t>
  </si>
  <si>
    <t>İSTANBUL HARBİYE MAĞ</t>
  </si>
  <si>
    <t>Ayşe Zurnacı</t>
  </si>
  <si>
    <t>METROPOL MAĞAZA</t>
  </si>
  <si>
    <t>Gamze Kalkan</t>
  </si>
  <si>
    <t>İSTANBUL KEMERBURGAZ</t>
  </si>
  <si>
    <t>Yağmur Güneş</t>
  </si>
  <si>
    <t>ÇANAKKALE 17 BURDA</t>
  </si>
  <si>
    <t>Emine Işık</t>
  </si>
  <si>
    <t>Engelli-Aktif</t>
  </si>
  <si>
    <t>Raziye Derya Ünlü</t>
  </si>
  <si>
    <t>DENİZLİ ÇAMLIK MAĞAZ</t>
  </si>
  <si>
    <t>Tuğçe Yıldız</t>
  </si>
  <si>
    <t>TRABZON FORUM MAĞAZA</t>
  </si>
  <si>
    <t>Eren Kanber</t>
  </si>
  <si>
    <t>İSTANBUL TORİUM</t>
  </si>
  <si>
    <t>Hikmet Can Batman</t>
  </si>
  <si>
    <t>BURSA ANATOLIUM MAĞA</t>
  </si>
  <si>
    <t>Merve Almadağ</t>
  </si>
  <si>
    <t>Yaren Şengül</t>
  </si>
  <si>
    <t>BURSA KORUPARK MAĞAZ</t>
  </si>
  <si>
    <t>Kübra Acar</t>
  </si>
  <si>
    <t>İzmir Hiltown AVM</t>
  </si>
  <si>
    <t>Meryem Çelik</t>
  </si>
  <si>
    <t>İZMİR GAZİEMİR OUTLE</t>
  </si>
  <si>
    <t>Ecem Fatma Narlıoğlu</t>
  </si>
  <si>
    <t>Yasemin Dur</t>
  </si>
  <si>
    <t>Nursima Aktaş</t>
  </si>
  <si>
    <t>Elif Sude Aslantaş</t>
  </si>
  <si>
    <t>İSTANBUL BEYOĞLU BÜY</t>
  </si>
  <si>
    <t>Sıla Başak</t>
  </si>
  <si>
    <t>İZMİR WESTPARK AVM</t>
  </si>
  <si>
    <t>Melek Sude Naz Çakır</t>
  </si>
  <si>
    <t>İbrahim Kaplan</t>
  </si>
  <si>
    <t>AFYONPARK MAĞAZA</t>
  </si>
  <si>
    <t>Melike Arslan</t>
  </si>
  <si>
    <t>SAMSUN BULVAR MAĞAZA</t>
  </si>
  <si>
    <t>Beyza Düzgüngü</t>
  </si>
  <si>
    <t>İSTANBUL TUZLA VIAPO</t>
  </si>
  <si>
    <t>Reyhan Örnek</t>
  </si>
  <si>
    <t>DENİZLİ TERASPARKSRS</t>
  </si>
  <si>
    <t>Özlem Bilgin</t>
  </si>
  <si>
    <t>Nursena Tanyıldızı</t>
  </si>
  <si>
    <t>İzmKıbrıs Şehitleri2</t>
  </si>
  <si>
    <t>Nesibe Çiftçi</t>
  </si>
  <si>
    <t>ANTALYA AGORA</t>
  </si>
  <si>
    <t>Yunus Altun</t>
  </si>
  <si>
    <t>Zehra Bozkır</t>
  </si>
  <si>
    <t>İSTANBUL CEVAHİR PLA</t>
  </si>
  <si>
    <t>Gül Sarcan</t>
  </si>
  <si>
    <t>İSTANBUL PENDİK ÇARŞ</t>
  </si>
  <si>
    <t>İclal Zengizor</t>
  </si>
  <si>
    <t>ESKİŞEHİR ES PARK MA</t>
  </si>
  <si>
    <t>Ufuk Başdağ</t>
  </si>
  <si>
    <t>Şeyma Beyret</t>
  </si>
  <si>
    <t>İSTANBUL VIAPORT VEN</t>
  </si>
  <si>
    <t>Kasa ve Back Office Yöneticisi</t>
  </si>
  <si>
    <t>İrem Gövdeli</t>
  </si>
  <si>
    <t>Sanem Yalçın</t>
  </si>
  <si>
    <t>SİNOP CADDE MAĞAZA</t>
  </si>
  <si>
    <t>Ali Osman Acar</t>
  </si>
  <si>
    <t>Berşan Aslan</t>
  </si>
  <si>
    <t>ANKARA TAURUS MAĞAZA</t>
  </si>
  <si>
    <t>Songül Töre</t>
  </si>
  <si>
    <t>Kübra Çalışkan</t>
  </si>
  <si>
    <t>Sefa Demir</t>
  </si>
  <si>
    <t>İSTANBUL 212 MAĞAZA</t>
  </si>
  <si>
    <t>Berkay Çoruh</t>
  </si>
  <si>
    <t>Cem Çınarkesen</t>
  </si>
  <si>
    <t>Vildan Zeynep Kurt</t>
  </si>
  <si>
    <t>Sude Naz Şener</t>
  </si>
  <si>
    <t>Yankı Bozkurt Ataş</t>
  </si>
  <si>
    <t>İZMİR ÇİĞLİ MAĞAZA S</t>
  </si>
  <si>
    <t>Sinem Arslan</t>
  </si>
  <si>
    <t>KAYSERİ FORUM MAĞAZA</t>
  </si>
  <si>
    <t>Nazmiye Merve Döğdü</t>
  </si>
  <si>
    <t>KONYA REAL MAĞAZA</t>
  </si>
  <si>
    <t>Enes Erdem</t>
  </si>
  <si>
    <t>Zehra Demir</t>
  </si>
  <si>
    <t>Begüm Aydoğan</t>
  </si>
  <si>
    <t>İZMİT ARASTA MAĞAZA</t>
  </si>
  <si>
    <t>Aycan Acer</t>
  </si>
  <si>
    <t>Nur Altın</t>
  </si>
  <si>
    <t>Ebru Ertürk</t>
  </si>
  <si>
    <t>Muhammet Burak Kuş</t>
  </si>
  <si>
    <t>Ahmet Yavuzkurt</t>
  </si>
  <si>
    <t>MERSİN FORUM 2 MAĞAZ</t>
  </si>
  <si>
    <t>Hacer Soğancıoğlu</t>
  </si>
  <si>
    <t>Derya Kılıç</t>
  </si>
  <si>
    <t>Sude Dursun</t>
  </si>
  <si>
    <t>Büşra Üstün</t>
  </si>
  <si>
    <t>Çağan Taguç</t>
  </si>
  <si>
    <t>Nurten Kesiktaş</t>
  </si>
  <si>
    <t>Semanur Kaya</t>
  </si>
  <si>
    <t>Ömer Faruk Aşı</t>
  </si>
  <si>
    <t>BURSA ZAFER PLAZA MA</t>
  </si>
  <si>
    <t>Mert Çalışkan</t>
  </si>
  <si>
    <t>NOVADA MENEMEN SRS</t>
  </si>
  <si>
    <t>Afranur Sağlam</t>
  </si>
  <si>
    <t>ANKARA ERYAMAN MAĞAZ</t>
  </si>
  <si>
    <t>Burcu Demir</t>
  </si>
  <si>
    <t>Neşe Karaçam</t>
  </si>
  <si>
    <t>Zeliha Demir</t>
  </si>
  <si>
    <t>KUŞADASI AKDOĞAN PAS</t>
  </si>
  <si>
    <t>Gökben Alkınoğlu Yılmaz</t>
  </si>
  <si>
    <t>KAYSERİ MAĞAZA</t>
  </si>
  <si>
    <t>Mehmet Mıhçı</t>
  </si>
  <si>
    <t>Zeynep Yılmaz</t>
  </si>
  <si>
    <t>Ayşenur Kama</t>
  </si>
  <si>
    <t>İSTANBUL ÜMR CD 2</t>
  </si>
  <si>
    <t>Sudenaz Torun</t>
  </si>
  <si>
    <t>ANKARA KENTPARK MAĞA</t>
  </si>
  <si>
    <t>Melisa Tahtacı</t>
  </si>
  <si>
    <t>İlayda Çarıklıoğlu</t>
  </si>
  <si>
    <t>Halit Örsel</t>
  </si>
  <si>
    <t>İZMİR BORNOVA FORUM</t>
  </si>
  <si>
    <t>Bayram Onursal</t>
  </si>
  <si>
    <t>Ekin Kaynak</t>
  </si>
  <si>
    <t>Ankara Gordion AVM</t>
  </si>
  <si>
    <t>4857 Nolu Kanun Md. 25-II-E</t>
  </si>
  <si>
    <t>Semih Tırıçoğlu</t>
  </si>
  <si>
    <t>İSTANBUL FORUM BAYRA</t>
  </si>
  <si>
    <t>Nesrin Alptekin</t>
  </si>
  <si>
    <t>İSTANBUL MARMARA FR3</t>
  </si>
  <si>
    <t>Ayşenur Can</t>
  </si>
  <si>
    <t>Elif Nur Derinyar</t>
  </si>
  <si>
    <t>İSTANBUL M1 MEYDAN Ü</t>
  </si>
  <si>
    <t>Ebrar Açıkgöz</t>
  </si>
  <si>
    <t>Nevşehir Nissara AVM</t>
  </si>
  <si>
    <t>Alperen Akar</t>
  </si>
  <si>
    <t>ANKARA ANTARES MAĞAZ</t>
  </si>
  <si>
    <t>Hakan Işık</t>
  </si>
  <si>
    <t>İZMİR MAVİBAHÇE</t>
  </si>
  <si>
    <t>Oğuz Can Çetin</t>
  </si>
  <si>
    <t>DİYARBAKIR CEYLAN PA</t>
  </si>
  <si>
    <t>Selcan Hazal Alandağlı</t>
  </si>
  <si>
    <t>ANKARA ANATOLIUM MAĞ</t>
  </si>
  <si>
    <t>Rojin Berk</t>
  </si>
  <si>
    <t>ANTALYA LAND OF LEGE</t>
  </si>
  <si>
    <t>Berçin İrem Melikan</t>
  </si>
  <si>
    <t>Hakan Kaya</t>
  </si>
  <si>
    <t>Ela Nur Muratoğlu</t>
  </si>
  <si>
    <t>Şeyma Turan</t>
  </si>
  <si>
    <t>Afra Nur Nargül</t>
  </si>
  <si>
    <t>Esra Ölmez</t>
  </si>
  <si>
    <t>Ayşe Nur Üzülgü</t>
  </si>
  <si>
    <t>Damla Özdemir</t>
  </si>
  <si>
    <t>Ece Lila</t>
  </si>
  <si>
    <t>Üsküdar Nev AVM</t>
  </si>
  <si>
    <t>Ezginaz Sancak</t>
  </si>
  <si>
    <t>Kıymet Nur Kaya</t>
  </si>
  <si>
    <t>Sena Üşdi</t>
  </si>
  <si>
    <t>Buğşan Rabia Yeğen</t>
  </si>
  <si>
    <t>ATAŞEHİR WATERGARDEN</t>
  </si>
  <si>
    <t>Eslem Beyza Ertem</t>
  </si>
  <si>
    <t>Özge Sağır</t>
  </si>
  <si>
    <t>Sıla Çobanoğlu</t>
  </si>
  <si>
    <t>Mert Tuna Aksaç</t>
  </si>
  <si>
    <t>Zeynep Hatice Altıntaş</t>
  </si>
  <si>
    <t>Emine Şahin</t>
  </si>
  <si>
    <t>VİAPORT 2 AVM</t>
  </si>
  <si>
    <t>Işıl Kılıç</t>
  </si>
  <si>
    <t>ANTALYA MANAVGAT AVM</t>
  </si>
  <si>
    <t>Tuğba Bozkurt</t>
  </si>
  <si>
    <t>ANTALYA MİGROS MAĞAZ</t>
  </si>
  <si>
    <t>Elif Kocagöl</t>
  </si>
  <si>
    <t>Barış Taş</t>
  </si>
  <si>
    <t>Gökhan Yıldız</t>
  </si>
  <si>
    <t>Antalya Mall Of AVM</t>
  </si>
  <si>
    <t>Beyza Irkıçatal</t>
  </si>
  <si>
    <t>Ece Kesman</t>
  </si>
  <si>
    <t>Şeyma Bozkaya</t>
  </si>
  <si>
    <t>KAHRAMANMARAŞ PIAZZA</t>
  </si>
  <si>
    <t>Ebubekir Şeyran</t>
  </si>
  <si>
    <t>İkranur İnan</t>
  </si>
  <si>
    <t>Gizem Nur Mumcu</t>
  </si>
  <si>
    <t>Hazin Karataş</t>
  </si>
  <si>
    <t>Rabia Türlü</t>
  </si>
  <si>
    <t>Cansu Şen</t>
  </si>
  <si>
    <t>Hamit Zehir</t>
  </si>
  <si>
    <t>Bengisu Tağal</t>
  </si>
  <si>
    <t>Aysu Türkmen</t>
  </si>
  <si>
    <t>İZMİT 41 BURDA AVM</t>
  </si>
  <si>
    <t>İrem Fatma Kılıçin</t>
  </si>
  <si>
    <t>İlayda Şahin</t>
  </si>
  <si>
    <t>Esra Serbest</t>
  </si>
  <si>
    <t>Duygu Dalğa</t>
  </si>
  <si>
    <t>Ülkü Yolcu</t>
  </si>
  <si>
    <t>BALIKESİR CADDE MAĞA</t>
  </si>
  <si>
    <t>ZEYNEP İREM HOBBA</t>
  </si>
  <si>
    <t>Semanur Cerit</t>
  </si>
  <si>
    <t>Elif Sude Acar</t>
  </si>
  <si>
    <t>Diyar Solak</t>
  </si>
  <si>
    <t>Gülcan Çınarlıdere</t>
  </si>
  <si>
    <t>Merve Baydağ</t>
  </si>
  <si>
    <t>İSTANBUL ÜMRANİYE CP</t>
  </si>
  <si>
    <t>Şeyma Topkara</t>
  </si>
  <si>
    <t>Aslı Tosun</t>
  </si>
  <si>
    <t>Derya Deniz</t>
  </si>
  <si>
    <t>Semanur Kavakçı</t>
  </si>
  <si>
    <t>Nevzat Batuhan Köroğlu</t>
  </si>
  <si>
    <t>Arda Kütük</t>
  </si>
  <si>
    <t>Ayşe Bürge Çetin</t>
  </si>
  <si>
    <t>Sıla İnci</t>
  </si>
  <si>
    <t>AYDIN SÖKE MAĞAZA</t>
  </si>
  <si>
    <t>Melike Kut</t>
  </si>
  <si>
    <t>İSTANBUL FATİH HİSTO</t>
  </si>
  <si>
    <t>Eda Aslan</t>
  </si>
  <si>
    <t>Sudem Karaman</t>
  </si>
  <si>
    <t>Mustafa Bayındır</t>
  </si>
  <si>
    <t>Elif Su Gölbek</t>
  </si>
  <si>
    <t>Kadir Çağan</t>
  </si>
  <si>
    <t>İSTANBUL METROPORT</t>
  </si>
  <si>
    <t>Efe Arman Yünel</t>
  </si>
  <si>
    <t>Ferda Süyüm</t>
  </si>
  <si>
    <t>Büşra Arıtürk</t>
  </si>
  <si>
    <t>FETHİYE ERASTA MAĞAZ</t>
  </si>
  <si>
    <t>Mehmet Emin Çevik</t>
  </si>
  <si>
    <t>Esra Öztürk</t>
  </si>
  <si>
    <t>Kardelen Tokunç</t>
  </si>
  <si>
    <t>KARS CADDE MAĞAZA</t>
  </si>
  <si>
    <t>Mert Nuri Söylemez</t>
  </si>
  <si>
    <t>İSTANBUL DEMİRÖREN M</t>
  </si>
  <si>
    <t>Samet Enes Helvacı</t>
  </si>
  <si>
    <t>Şeyma Şahin</t>
  </si>
  <si>
    <t>Esmanur Tanış</t>
  </si>
  <si>
    <t>İmihan Sarıtemur</t>
  </si>
  <si>
    <t>Gönül Alabey</t>
  </si>
  <si>
    <t>Isparta Meydan AVM</t>
  </si>
  <si>
    <t>Rukiye Kaynar</t>
  </si>
  <si>
    <t>Emine Naz Aslan</t>
  </si>
  <si>
    <t>BALIKESİR EDREMİT NO</t>
  </si>
  <si>
    <t>Yılmaz Sipahi</t>
  </si>
  <si>
    <t>Nurşah İrem Aydın</t>
  </si>
  <si>
    <t>Ceren Nur Düger</t>
  </si>
  <si>
    <t>Mihriban Yulaf</t>
  </si>
  <si>
    <t>Aslan Demirci</t>
  </si>
  <si>
    <t>Ecehan Aydın</t>
  </si>
  <si>
    <t>Alper Yaman</t>
  </si>
  <si>
    <t>İrem Nur Ak</t>
  </si>
  <si>
    <t>Ahmet Said Boztürk</t>
  </si>
  <si>
    <t>Hejar Tergek</t>
  </si>
  <si>
    <t>Sıla Arslan</t>
  </si>
  <si>
    <t>Beren Su Aygün</t>
  </si>
  <si>
    <t>Ceren Yıldız</t>
  </si>
  <si>
    <t>Ayşe Selin Yüksel</t>
  </si>
  <si>
    <t>Nesime Yıldız</t>
  </si>
  <si>
    <t>İSTANBUL ATAKÖY A PL</t>
  </si>
  <si>
    <t>Anıl Can Ulu</t>
  </si>
  <si>
    <t>Musa Kurt</t>
  </si>
  <si>
    <t>Defne Taşkın</t>
  </si>
  <si>
    <t>Semra İnaç</t>
  </si>
  <si>
    <t>Eda Altunbay</t>
  </si>
  <si>
    <t>Dilek Çelebi</t>
  </si>
  <si>
    <t>Meryem Buse Köseoğlu</t>
  </si>
  <si>
    <t>Rıza Karakoç</t>
  </si>
  <si>
    <t>Yağmur Kılıç</t>
  </si>
  <si>
    <t>Tuana Şahinoğlu</t>
  </si>
  <si>
    <t>İSTANBUL MARMARA PAR</t>
  </si>
  <si>
    <t>Selman Akça</t>
  </si>
  <si>
    <t>Rümeysa Sıla Kaya</t>
  </si>
  <si>
    <t>İbrahim Bulut</t>
  </si>
  <si>
    <t>Gizem Dirlik</t>
  </si>
  <si>
    <t>ANTALYA ÖZDİLEK MAĞ.</t>
  </si>
  <si>
    <t>Sümeyye Karakaş</t>
  </si>
  <si>
    <t>Hamza Subaşı</t>
  </si>
  <si>
    <t>Ebru Sarı</t>
  </si>
  <si>
    <t>SAMSUN LOVELET MAĞAZ</t>
  </si>
  <si>
    <t>Meryem Koçal</t>
  </si>
  <si>
    <t>Gaye Topçu</t>
  </si>
  <si>
    <t>MALL OF İSTANBUL MAĞ</t>
  </si>
  <si>
    <t>Yunus Emre Tulum</t>
  </si>
  <si>
    <t>ANTALYA MARKANTALYA</t>
  </si>
  <si>
    <t>Gülüzar Satılmış</t>
  </si>
  <si>
    <t>Naime Ateş</t>
  </si>
  <si>
    <t>Husna Temel</t>
  </si>
  <si>
    <t>Melike Gümüştaş</t>
  </si>
  <si>
    <t>Büşra Kaymiş</t>
  </si>
  <si>
    <t>Irmak Turna Çetin</t>
  </si>
  <si>
    <t>Buse Dolaşkan</t>
  </si>
  <si>
    <t>Şevval Karataş</t>
  </si>
  <si>
    <t>ADANA OPTİMUM MAĞAZA</t>
  </si>
  <si>
    <t>Zeynep Şeyda Özbal</t>
  </si>
  <si>
    <t>Sedef Güney</t>
  </si>
  <si>
    <t>Emirhan Bayansalduz</t>
  </si>
  <si>
    <t>Tuba Çılgın</t>
  </si>
  <si>
    <t>Ceren Mesude Vaysal</t>
  </si>
  <si>
    <t>Selin İclal Şandır</t>
  </si>
  <si>
    <t>Nehir Polat</t>
  </si>
  <si>
    <t>Damla Bingöl</t>
  </si>
  <si>
    <t>Büşra Türksoy</t>
  </si>
  <si>
    <t>İkbal Karasu</t>
  </si>
  <si>
    <t>Deneme Süresi İçinde(İşveren)</t>
  </si>
  <si>
    <t>Gülcan Çirik</t>
  </si>
  <si>
    <t>İSTANBUL BEŞİKTAŞ IH</t>
  </si>
  <si>
    <t>Tuna Binkut</t>
  </si>
  <si>
    <t>İSTANBUL KAĞITHANE A</t>
  </si>
  <si>
    <t>Hüseyin Tamer</t>
  </si>
  <si>
    <t>Hasan Ulu</t>
  </si>
  <si>
    <t>İZMİR POİNT BORNOVA</t>
  </si>
  <si>
    <t>Azra Topcuparlak</t>
  </si>
  <si>
    <t>İSTANBUL KALE MAĞAZA</t>
  </si>
  <si>
    <t>Sudenaz Aslan</t>
  </si>
  <si>
    <t>Şevval Ünverdi</t>
  </si>
  <si>
    <t>Berkcan Ertürk</t>
  </si>
  <si>
    <t>İrem Çelebi</t>
  </si>
  <si>
    <t>Ceren İşbilen</t>
  </si>
  <si>
    <t>Özge Sena Eşki</t>
  </si>
  <si>
    <t>Vildan Bıçak</t>
  </si>
  <si>
    <t>Seyide Hanım Şahin</t>
  </si>
  <si>
    <t>Berkay Yalçın</t>
  </si>
  <si>
    <t>Muhammet Furkan Yılmaz</t>
  </si>
  <si>
    <t>Nurbanu Kaplan</t>
  </si>
  <si>
    <t>Muhammed Çağlar</t>
  </si>
  <si>
    <t>Sezenay Bezgin</t>
  </si>
  <si>
    <t>İSTANBUL CAPITOL MAĞ</t>
  </si>
  <si>
    <t>Aslı Yeşil</t>
  </si>
  <si>
    <t>Azra Ensari</t>
  </si>
  <si>
    <t>Ceylin Bozdağ</t>
  </si>
  <si>
    <t>Pınar Salcan</t>
  </si>
  <si>
    <t>Gökhan Sarıabdullahoğlu</t>
  </si>
  <si>
    <t>Hatice Buse Sorgun</t>
  </si>
  <si>
    <t>Mine Erdoğan</t>
  </si>
  <si>
    <t>Ömer Faruk Erdoğan</t>
  </si>
  <si>
    <t>Emre Taylan Akatın</t>
  </si>
  <si>
    <t>Feda Ölmez</t>
  </si>
  <si>
    <t>Zarina Özkan</t>
  </si>
  <si>
    <t>Berivan Akbulut</t>
  </si>
  <si>
    <t>Şerife Sedef Dinçer</t>
  </si>
  <si>
    <t>Mehmet Şimşek</t>
  </si>
  <si>
    <t>Münevver Hocaoğlu</t>
  </si>
  <si>
    <t>Gizem Temel</t>
  </si>
  <si>
    <t>Şeymanur Ölez</t>
  </si>
  <si>
    <t>Fatma Nur Nalbat</t>
  </si>
  <si>
    <t>Ceyda Dursun</t>
  </si>
  <si>
    <t>Bircan Karakaya</t>
  </si>
  <si>
    <t>Zeynep Çetin</t>
  </si>
  <si>
    <t>Tuba Nur Şengün</t>
  </si>
  <si>
    <t>Melike Karaçalı</t>
  </si>
  <si>
    <t>Ebrar Arar</t>
  </si>
  <si>
    <t>Sıla Özbek</t>
  </si>
  <si>
    <t>Hayrunnisa Demirbilek</t>
  </si>
  <si>
    <t>TOKAT NOVADA MAĞAZA</t>
  </si>
  <si>
    <t>Beyza Nur Kara</t>
  </si>
  <si>
    <t>Fatma Gökmen</t>
  </si>
  <si>
    <t>Belgin Öztürk Burhan</t>
  </si>
  <si>
    <t>Merve Abanozoğlu</t>
  </si>
  <si>
    <t>Ayşe Özkal</t>
  </si>
  <si>
    <t>Mahmut Hüseyin Demirdağ</t>
  </si>
  <si>
    <t>Burak Altunbulat</t>
  </si>
  <si>
    <t>İrem Safoğlu</t>
  </si>
  <si>
    <t>Deneme Süresi İçinde(İşçi)</t>
  </si>
  <si>
    <t>Melek Harmancı</t>
  </si>
  <si>
    <t>Meryem Ergin</t>
  </si>
  <si>
    <t>Bahri Altunay</t>
  </si>
  <si>
    <t>MİLAS POMELON MAĞAZA</t>
  </si>
  <si>
    <t>Rabia Başak</t>
  </si>
  <si>
    <t>Hayriye Eylül Gülnar</t>
  </si>
  <si>
    <t>Hatice Tok</t>
  </si>
  <si>
    <t>Aysun Ertürk</t>
  </si>
  <si>
    <t>İrem Gözüngü</t>
  </si>
  <si>
    <t>Nurgüzel Demir</t>
  </si>
  <si>
    <t>Ceren Ayhan</t>
  </si>
  <si>
    <t>Sudenur Fincan</t>
  </si>
  <si>
    <t>Zehra Doğan</t>
  </si>
  <si>
    <t>İZMİT GEBZE MAĞAZA 2</t>
  </si>
  <si>
    <t>Nisa Güner</t>
  </si>
  <si>
    <t>Mahmut Sami Sert</t>
  </si>
  <si>
    <t>Sena Anaç</t>
  </si>
  <si>
    <t>Beyza Gürbüz</t>
  </si>
  <si>
    <t>Tuğba Yıldız</t>
  </si>
  <si>
    <t>Ebru Aşkıseven</t>
  </si>
  <si>
    <t>Duygu Topal</t>
  </si>
  <si>
    <t>Kader Kuralay</t>
  </si>
  <si>
    <t>Melike Özdemir</t>
  </si>
  <si>
    <t>Ali Tunç</t>
  </si>
  <si>
    <t>İbrahim Taner Seviş</t>
  </si>
  <si>
    <t>Edanur Doğruyol</t>
  </si>
  <si>
    <t>ANKARA A-CITY MAĞAZA</t>
  </si>
  <si>
    <t>Melda Sönmez</t>
  </si>
  <si>
    <t>Fatma Aslanlı</t>
  </si>
  <si>
    <t>Elif Çakır</t>
  </si>
  <si>
    <t>Caner Kardeş</t>
  </si>
  <si>
    <t>Gülseren Naz Balıkçı</t>
  </si>
  <si>
    <t>Sudenaz Deniz</t>
  </si>
  <si>
    <t>İrem Aycan Uluçay</t>
  </si>
  <si>
    <t>ANTALYA ERASTA MAĞAZ</t>
  </si>
  <si>
    <t>Azra Sude Çiftçi</t>
  </si>
  <si>
    <t>İlayda Alıcı</t>
  </si>
  <si>
    <t>Benay Konak</t>
  </si>
  <si>
    <t>Emel Kıvrak</t>
  </si>
  <si>
    <t>Fatma Sıla Tokgöz</t>
  </si>
  <si>
    <t>Aysu Savaş</t>
  </si>
  <si>
    <t>Helin Saitoğlu</t>
  </si>
  <si>
    <t>MERSİN PALM CITY MAĞ</t>
  </si>
  <si>
    <t>Dilara Can</t>
  </si>
  <si>
    <t>4857 Nolu Kanun Md. 25-II-G</t>
  </si>
  <si>
    <t>Ebubekir Nemli</t>
  </si>
  <si>
    <t>Sıla Çamur</t>
  </si>
  <si>
    <t>Sudenaz Ceylan</t>
  </si>
  <si>
    <t>Gamze Kurtboz</t>
  </si>
  <si>
    <t>Selin Yeşilbaş</t>
  </si>
  <si>
    <t>Yasin Aden</t>
  </si>
  <si>
    <t>Havlenur Hocaoğlu</t>
  </si>
  <si>
    <t>Sevilay Tosun</t>
  </si>
  <si>
    <t>İSTANBUL BAHÇEŞEHİR</t>
  </si>
  <si>
    <t>Elçin Sefer</t>
  </si>
  <si>
    <t>Tuğçe Ayabakan</t>
  </si>
  <si>
    <t>Büşra Güneş</t>
  </si>
  <si>
    <t>Sedat Songüral</t>
  </si>
  <si>
    <t>Utku Atmaca</t>
  </si>
  <si>
    <t>Ali Gür</t>
  </si>
  <si>
    <t>Beyza Şen</t>
  </si>
  <si>
    <t>Şule Ok</t>
  </si>
  <si>
    <t>Havin Kılıç</t>
  </si>
  <si>
    <t>Zarife Yağmur Çelik</t>
  </si>
  <si>
    <t>Belinay Yıldırım</t>
  </si>
  <si>
    <t>Serhat Gün</t>
  </si>
  <si>
    <t>Sezer Tuncer</t>
  </si>
  <si>
    <t>Irmak İleri</t>
  </si>
  <si>
    <t>Tuğçe Altuner</t>
  </si>
  <si>
    <t>Fatoş Aktan</t>
  </si>
  <si>
    <t>TEKİRDA ÇERKEZKÖY</t>
  </si>
  <si>
    <t>Ayşe Koca</t>
  </si>
  <si>
    <t>Rabia Güner</t>
  </si>
  <si>
    <t>Ilgın Sınırtaş</t>
  </si>
  <si>
    <t>Arda Varol</t>
  </si>
  <si>
    <t>Sudenaz Öncüloğlu</t>
  </si>
  <si>
    <t>Sude Naz Yaman</t>
  </si>
  <si>
    <t>İbrahim Solmaz</t>
  </si>
  <si>
    <t>KONYA KULE MAĞAZA</t>
  </si>
  <si>
    <t>Aynur Küçükkahyaoğlu</t>
  </si>
  <si>
    <t>Fırat Payam</t>
  </si>
  <si>
    <t>Gözde Sıla Yılmaz</t>
  </si>
  <si>
    <t>Meryem Kaplan</t>
  </si>
  <si>
    <t>Büşra Cengiz</t>
  </si>
  <si>
    <t>MARMARİS MAĞAZA</t>
  </si>
  <si>
    <t>Gülistan Tunç</t>
  </si>
  <si>
    <t>Tuana Engin</t>
  </si>
  <si>
    <t>Ecenur İlbeyi</t>
  </si>
  <si>
    <t>Murat Hatipoğlu</t>
  </si>
  <si>
    <t>Yasin Alış</t>
  </si>
  <si>
    <t>Talha Çelik</t>
  </si>
  <si>
    <t>Sümeyye Barış</t>
  </si>
  <si>
    <t>Emir Ahmet Bayram</t>
  </si>
  <si>
    <t>Sena Şahin</t>
  </si>
  <si>
    <t>KONYA KENT PLAZA MAĞ</t>
  </si>
  <si>
    <t>Sudenur Türker</t>
  </si>
  <si>
    <t>Merve Öceş</t>
  </si>
  <si>
    <t>Huriye Acar</t>
  </si>
  <si>
    <t>Ömer Faruk Duran</t>
  </si>
  <si>
    <t>Güllüzar Gül Tapsız</t>
  </si>
  <si>
    <t>Meltem Çakmaklı</t>
  </si>
  <si>
    <t>Betülnisa Arslan</t>
  </si>
  <si>
    <t>Merve Kahraman</t>
  </si>
  <si>
    <t>İSTANBUL ABC ŞİRİNEV</t>
  </si>
  <si>
    <t>Beyza Ergelen</t>
  </si>
  <si>
    <t>Asiye Demir</t>
  </si>
  <si>
    <t>Yasemin Işık</t>
  </si>
  <si>
    <t>Sıla Çakır</t>
  </si>
  <si>
    <t>Didem Güçlü</t>
  </si>
  <si>
    <t>Sevir Er</t>
  </si>
  <si>
    <t>Büşra Rabia Yavuz</t>
  </si>
  <si>
    <t>Rojin Öztünç</t>
  </si>
  <si>
    <t>Mehmet Güler</t>
  </si>
  <si>
    <t>Sümeyra Arık</t>
  </si>
  <si>
    <t>Önceki Dönem HRBP</t>
  </si>
  <si>
    <t>Damla Sezer</t>
  </si>
  <si>
    <t>Yiğit Burak Kılınç</t>
  </si>
  <si>
    <t>Cinsiyet</t>
  </si>
  <si>
    <t>826</t>
  </si>
  <si>
    <t>Murselin İzer</t>
  </si>
  <si>
    <t>Beyaz Yaka</t>
  </si>
  <si>
    <t>Kadın</t>
  </si>
  <si>
    <t>1116</t>
  </si>
  <si>
    <t>Fulya Gökçe Tan</t>
  </si>
  <si>
    <t>2078</t>
  </si>
  <si>
    <t>Berna Liman</t>
  </si>
  <si>
    <t>5500</t>
  </si>
  <si>
    <t>Selin Bilge Güllüce</t>
  </si>
  <si>
    <t>Hak.Seb.Bildirmeden İşt.Çıkar.</t>
  </si>
  <si>
    <t>13826</t>
  </si>
  <si>
    <t>Kamile Özgören Tokmak</t>
  </si>
  <si>
    <t>MUĞLA PARK MAĞAZA</t>
  </si>
  <si>
    <t>İşyerinin Kapanması</t>
  </si>
  <si>
    <t>16113</t>
  </si>
  <si>
    <t>Şima Nur Kasapoğlu</t>
  </si>
  <si>
    <t>Bölge Görsel Düzenleme Uzmanı</t>
  </si>
  <si>
    <t>21202</t>
  </si>
  <si>
    <t>Nurcan Taş</t>
  </si>
  <si>
    <t>25429</t>
  </si>
  <si>
    <t>Büşra Pilatin</t>
  </si>
  <si>
    <t>25569</t>
  </si>
  <si>
    <t>Hatice Ulutaş Ülgül</t>
  </si>
  <si>
    <t>35523</t>
  </si>
  <si>
    <t>Dilaver Atılgan</t>
  </si>
  <si>
    <t>Stok ve Depo Yöneticisi</t>
  </si>
  <si>
    <t>Erkek</t>
  </si>
  <si>
    <t>37738</t>
  </si>
  <si>
    <t>Zühra Aykan</t>
  </si>
  <si>
    <t>45917</t>
  </si>
  <si>
    <t>Aynur Tutuk</t>
  </si>
  <si>
    <t>MERSİN TARSUS TARSU</t>
  </si>
  <si>
    <t>47161</t>
  </si>
  <si>
    <t>Samet Can Yarar</t>
  </si>
  <si>
    <t>54831</t>
  </si>
  <si>
    <t>Ali Altay</t>
  </si>
  <si>
    <t>56934</t>
  </si>
  <si>
    <t>Tolga Şahin</t>
  </si>
  <si>
    <t>58339</t>
  </si>
  <si>
    <t>Ayşe Karaaslan</t>
  </si>
  <si>
    <t>61407</t>
  </si>
  <si>
    <t>Halitcan Parmaksız</t>
  </si>
  <si>
    <t>61946</t>
  </si>
  <si>
    <t>Fatih Yaşar</t>
  </si>
  <si>
    <t>4857 Nolu Kanun Md. 25-II-D</t>
  </si>
  <si>
    <t>62692</t>
  </si>
  <si>
    <t>Fatma Akşeker</t>
  </si>
  <si>
    <t>62988</t>
  </si>
  <si>
    <t>Nida Küçük</t>
  </si>
  <si>
    <t>64358</t>
  </si>
  <si>
    <t>Berru Elif Delav</t>
  </si>
  <si>
    <t>65310</t>
  </si>
  <si>
    <t>Yusuf Kaya</t>
  </si>
  <si>
    <t>URFA PIAZZA MAĞAZA</t>
  </si>
  <si>
    <t>67060</t>
  </si>
  <si>
    <t>Ümmü Ekiz</t>
  </si>
  <si>
    <t>69556</t>
  </si>
  <si>
    <t>Yusuf Beştaş</t>
  </si>
  <si>
    <t>69806</t>
  </si>
  <si>
    <t>Rabia Esengül Yelen</t>
  </si>
  <si>
    <t>71272</t>
  </si>
  <si>
    <t>İrem Doğan</t>
  </si>
  <si>
    <t>71887</t>
  </si>
  <si>
    <t>Gonca Ezgi Cantekin</t>
  </si>
  <si>
    <t>72891</t>
  </si>
  <si>
    <t>Selin Erkoç</t>
  </si>
  <si>
    <t>73046</t>
  </si>
  <si>
    <t>Ahmet Can Gültekin</t>
  </si>
  <si>
    <t>74468</t>
  </si>
  <si>
    <t>Yonca Tunçtürk</t>
  </si>
  <si>
    <t>ZONGULDAK DEMİRPARK</t>
  </si>
  <si>
    <t>75207</t>
  </si>
  <si>
    <t>İrem Küçükünal</t>
  </si>
  <si>
    <t>76079</t>
  </si>
  <si>
    <t>Melike Yılmaz</t>
  </si>
  <si>
    <t>76742</t>
  </si>
  <si>
    <t>Yeliz Kutlu</t>
  </si>
  <si>
    <t>BURSA KENT MEYDANI M</t>
  </si>
  <si>
    <t>77323</t>
  </si>
  <si>
    <t>Esmanur Yılmaz</t>
  </si>
  <si>
    <t>78179</t>
  </si>
  <si>
    <t>İbrahim Selçuk</t>
  </si>
  <si>
    <t>78559</t>
  </si>
  <si>
    <t>Nisanur Arslan</t>
  </si>
  <si>
    <t>TRABZON CEVAHİR SZN</t>
  </si>
  <si>
    <t>78567</t>
  </si>
  <si>
    <t>Fatma Melek Dalkılıç</t>
  </si>
  <si>
    <t>ARTVİN HOPA MAĞAZA</t>
  </si>
  <si>
    <t>78833</t>
  </si>
  <si>
    <t>Eray Yurtseven</t>
  </si>
  <si>
    <t>80041</t>
  </si>
  <si>
    <t>Emine İrem Kısak</t>
  </si>
  <si>
    <t>80425</t>
  </si>
  <si>
    <t>Erdem Yapık</t>
  </si>
  <si>
    <t>80981</t>
  </si>
  <si>
    <t>Eda Kaya</t>
  </si>
  <si>
    <t>81177</t>
  </si>
  <si>
    <t>Dudu Barut</t>
  </si>
  <si>
    <t>81626</t>
  </si>
  <si>
    <t>Hazal Nasır</t>
  </si>
  <si>
    <t>81681</t>
  </si>
  <si>
    <t>Ahmet Doğan</t>
  </si>
  <si>
    <t>BAFRA ÇELİKPARK MAĞA</t>
  </si>
  <si>
    <t>81802</t>
  </si>
  <si>
    <t>Buse Dal</t>
  </si>
  <si>
    <t>82878</t>
  </si>
  <si>
    <t>Hatice Akyürek</t>
  </si>
  <si>
    <t>82948</t>
  </si>
  <si>
    <t>Faruk Büyüktanır</t>
  </si>
  <si>
    <t>83735</t>
  </si>
  <si>
    <t>Aleyna Bilgehan</t>
  </si>
  <si>
    <t>AYDIN FORUM MAĞAZA</t>
  </si>
  <si>
    <t>83950</t>
  </si>
  <si>
    <t>Delfin Cengiz</t>
  </si>
  <si>
    <t>84060</t>
  </si>
  <si>
    <t>Mustafa Emir Demirbilek</t>
  </si>
  <si>
    <t>84459</t>
  </si>
  <si>
    <t>Zuha Pamukçu</t>
  </si>
  <si>
    <t>84486</t>
  </si>
  <si>
    <t>Ahmet Şamil Alçın</t>
  </si>
  <si>
    <t>OSMANİYE MAĞAZA</t>
  </si>
  <si>
    <t>84543</t>
  </si>
  <si>
    <t>Dilay Kaş</t>
  </si>
  <si>
    <t>84808</t>
  </si>
  <si>
    <t>85393</t>
  </si>
  <si>
    <t>Rabia Birdal</t>
  </si>
  <si>
    <t>İSTANBUL ESENYURT C</t>
  </si>
  <si>
    <t>85554</t>
  </si>
  <si>
    <t>Burak Usta</t>
  </si>
  <si>
    <t>85580</t>
  </si>
  <si>
    <t>Arzu Say</t>
  </si>
  <si>
    <t>85611</t>
  </si>
  <si>
    <t>Beyzanur Aydın</t>
  </si>
  <si>
    <t>85951</t>
  </si>
  <si>
    <t>Reyhan Türkoğlu</t>
  </si>
  <si>
    <t>İSTANBUL NAUTİLİUS M</t>
  </si>
  <si>
    <t>86333</t>
  </si>
  <si>
    <t>Meldanur Parlar</t>
  </si>
  <si>
    <t>86793</t>
  </si>
  <si>
    <t>Hatice Yatkın</t>
  </si>
  <si>
    <t>86942</t>
  </si>
  <si>
    <t>Buket Altay</t>
  </si>
  <si>
    <t>86961</t>
  </si>
  <si>
    <t>Bahar Öztürk</t>
  </si>
  <si>
    <t>87058</t>
  </si>
  <si>
    <t>Solmaz Nisa Memiş</t>
  </si>
  <si>
    <t>MERSİN GMK BULVAR MA</t>
  </si>
  <si>
    <t>87191</t>
  </si>
  <si>
    <t>Kübra Yaşarsoy</t>
  </si>
  <si>
    <t>87451</t>
  </si>
  <si>
    <t>Murat Yıldız</t>
  </si>
  <si>
    <t>87568</t>
  </si>
  <si>
    <t>Gizem Karaboğa</t>
  </si>
  <si>
    <t>İZMİR PARK MAĞAZA</t>
  </si>
  <si>
    <t>87771</t>
  </si>
  <si>
    <t>Mahmut Can Bayraktaroğlu</t>
  </si>
  <si>
    <t>88131</t>
  </si>
  <si>
    <t>Edanur Baler</t>
  </si>
  <si>
    <t>88713</t>
  </si>
  <si>
    <t>Betül Çelik</t>
  </si>
  <si>
    <t>89656</t>
  </si>
  <si>
    <t>Beraat Toptaş</t>
  </si>
  <si>
    <t>89704</t>
  </si>
  <si>
    <t>Şenel Aleyna Marangoz</t>
  </si>
  <si>
    <t>89744</t>
  </si>
  <si>
    <t>Melek Yıldırım</t>
  </si>
  <si>
    <t>90238</t>
  </si>
  <si>
    <t>İsmail Eren</t>
  </si>
  <si>
    <t>90444</t>
  </si>
  <si>
    <t>Ümmühan Kalkan</t>
  </si>
  <si>
    <t>90451</t>
  </si>
  <si>
    <t>Hakan Nesim Doğdaş</t>
  </si>
  <si>
    <t>90553</t>
  </si>
  <si>
    <t>Akkız Demirhan</t>
  </si>
  <si>
    <t>90936</t>
  </si>
  <si>
    <t>Havva Ekin</t>
  </si>
  <si>
    <t>91216</t>
  </si>
  <si>
    <t>İlsu Dilara Aksoy</t>
  </si>
  <si>
    <t>İZMİR KONAK PİER MAĞ</t>
  </si>
  <si>
    <t>91242</t>
  </si>
  <si>
    <t>Yasemin Yılmaz</t>
  </si>
  <si>
    <t>91304</t>
  </si>
  <si>
    <t>Berivan Ablak</t>
  </si>
  <si>
    <t>91424</t>
  </si>
  <si>
    <t>Bora Caner Öztürk</t>
  </si>
  <si>
    <t>91704</t>
  </si>
  <si>
    <t>Neslihan Kaylar</t>
  </si>
  <si>
    <t>91720</t>
  </si>
  <si>
    <t>Evin Örs</t>
  </si>
  <si>
    <t>91913</t>
  </si>
  <si>
    <t>Arda Tatar</t>
  </si>
  <si>
    <t>92113</t>
  </si>
  <si>
    <t>Yunus Emre Çetin</t>
  </si>
  <si>
    <t>92473</t>
  </si>
  <si>
    <t>Beyza Meryem Çiftçi</t>
  </si>
  <si>
    <t>92638</t>
  </si>
  <si>
    <t>Buse Toksal</t>
  </si>
  <si>
    <t>92684</t>
  </si>
  <si>
    <t>Kübra Örs</t>
  </si>
  <si>
    <t>92980</t>
  </si>
  <si>
    <t>Gül Ay</t>
  </si>
  <si>
    <t>93048</t>
  </si>
  <si>
    <t>Gülben Ergen</t>
  </si>
  <si>
    <t>93049</t>
  </si>
  <si>
    <t>Gülcan Çelik</t>
  </si>
  <si>
    <t>93279</t>
  </si>
  <si>
    <t>Eren Okyar</t>
  </si>
  <si>
    <t>93589</t>
  </si>
  <si>
    <t>Senanur Cömert</t>
  </si>
  <si>
    <t>93854</t>
  </si>
  <si>
    <t>Selin Korkmaz</t>
  </si>
  <si>
    <t>94285</t>
  </si>
  <si>
    <t>Zeynep Göktai</t>
  </si>
  <si>
    <t>94299</t>
  </si>
  <si>
    <t>Simge Akalın</t>
  </si>
  <si>
    <t>94775</t>
  </si>
  <si>
    <t>Şeyma Kahraman</t>
  </si>
  <si>
    <t>94981</t>
  </si>
  <si>
    <t>Sema Yaşar</t>
  </si>
  <si>
    <t>95100</t>
  </si>
  <si>
    <t>Ferah Gürses</t>
  </si>
  <si>
    <t>İZMİR ÖDEMİŞ CADDE M</t>
  </si>
  <si>
    <t>95173</t>
  </si>
  <si>
    <t>Ayşenur Çelen</t>
  </si>
  <si>
    <t>95409</t>
  </si>
  <si>
    <t>Mevlane Aygün</t>
  </si>
  <si>
    <t>95693</t>
  </si>
  <si>
    <t>Murat Temur</t>
  </si>
  <si>
    <t>95695</t>
  </si>
  <si>
    <t>Yasemin Yıldırımcan</t>
  </si>
  <si>
    <t>95801</t>
  </si>
  <si>
    <t>Sinem Tuğba Doğan</t>
  </si>
  <si>
    <t>95844</t>
  </si>
  <si>
    <t>Dilek Kabak</t>
  </si>
  <si>
    <t>96067</t>
  </si>
  <si>
    <t>Gülbahar Duman</t>
  </si>
  <si>
    <t>96124</t>
  </si>
  <si>
    <t>Ümmügülsüm Günal</t>
  </si>
  <si>
    <t>96130</t>
  </si>
  <si>
    <t>Sıla Akkuş</t>
  </si>
  <si>
    <t>96204</t>
  </si>
  <si>
    <t>Abdul Samet Çelik</t>
  </si>
  <si>
    <t>96251</t>
  </si>
  <si>
    <t>Sudenaz Zereden</t>
  </si>
  <si>
    <t>96397</t>
  </si>
  <si>
    <t>Kardelen Altun</t>
  </si>
  <si>
    <t>96440</t>
  </si>
  <si>
    <t>Reyhan Memek</t>
  </si>
  <si>
    <t>96519</t>
  </si>
  <si>
    <t>Ömer Çetin</t>
  </si>
  <si>
    <t>96699</t>
  </si>
  <si>
    <t>Sıla Akay</t>
  </si>
  <si>
    <t>96754</t>
  </si>
  <si>
    <t>Tuçe İlhan</t>
  </si>
  <si>
    <t>96905</t>
  </si>
  <si>
    <t>Yağmur Cemre Durademir</t>
  </si>
  <si>
    <t>97116</t>
  </si>
  <si>
    <t>Işıl Nazlı Özdemir</t>
  </si>
  <si>
    <t>97159</t>
  </si>
  <si>
    <t>Zelal İpek</t>
  </si>
  <si>
    <t>97185</t>
  </si>
  <si>
    <t>Ece Zanzalak</t>
  </si>
  <si>
    <t>97197</t>
  </si>
  <si>
    <t>Hüseyin Yücel</t>
  </si>
  <si>
    <t>97210</t>
  </si>
  <si>
    <t>Yusuf Kandiş</t>
  </si>
  <si>
    <t>97258</t>
  </si>
  <si>
    <t>Rana Kayabaşı</t>
  </si>
  <si>
    <t>97325</t>
  </si>
  <si>
    <t>Buse İnceli</t>
  </si>
  <si>
    <t>97367</t>
  </si>
  <si>
    <t>Buse Özaltın</t>
  </si>
  <si>
    <t>97381</t>
  </si>
  <si>
    <t>Sümeyye Şahin</t>
  </si>
  <si>
    <t>97398</t>
  </si>
  <si>
    <t>Gamze Özçalı</t>
  </si>
  <si>
    <t>97404</t>
  </si>
  <si>
    <t>Sıla Begüm Şanal</t>
  </si>
  <si>
    <t>97491</t>
  </si>
  <si>
    <t>Büşra Işık</t>
  </si>
  <si>
    <t>97514</t>
  </si>
  <si>
    <t>Zehra Şeker</t>
  </si>
  <si>
    <t>97645</t>
  </si>
  <si>
    <t>Gülpiye Horasan</t>
  </si>
  <si>
    <t>97671</t>
  </si>
  <si>
    <t>Emrullah Şümşet</t>
  </si>
  <si>
    <t>97720</t>
  </si>
  <si>
    <t>Aleyna Gamze Çarkcı</t>
  </si>
  <si>
    <t>97740</t>
  </si>
  <si>
    <t>Serra Feyza Babacan</t>
  </si>
  <si>
    <t>97766</t>
  </si>
  <si>
    <t>Ahmet Taha Savaş</t>
  </si>
  <si>
    <t>97799</t>
  </si>
  <si>
    <t>Nazar Satar</t>
  </si>
  <si>
    <t>97867</t>
  </si>
  <si>
    <t>Mahmut Aktaş</t>
  </si>
  <si>
    <t>97914</t>
  </si>
  <si>
    <t>Duygu Temizoğlu</t>
  </si>
  <si>
    <t>İSTANBUL TRUMP TOWER</t>
  </si>
  <si>
    <t>98013</t>
  </si>
  <si>
    <t>Ece Yağmur Aşık</t>
  </si>
  <si>
    <t>98033</t>
  </si>
  <si>
    <t>Emine Nur Gürbüz</t>
  </si>
  <si>
    <t>98057</t>
  </si>
  <si>
    <t>Gürkan Şahin</t>
  </si>
  <si>
    <t>98178</t>
  </si>
  <si>
    <t>Öznur Solmaz</t>
  </si>
  <si>
    <t>98212</t>
  </si>
  <si>
    <t>Ceren Deniz Bozkurt</t>
  </si>
  <si>
    <t>98225</t>
  </si>
  <si>
    <t>Ömer Faruk Mercimek</t>
  </si>
  <si>
    <t>98273</t>
  </si>
  <si>
    <t>Emine Güler</t>
  </si>
  <si>
    <t>98284</t>
  </si>
  <si>
    <t>Mehmet Fatih Umar</t>
  </si>
  <si>
    <t>98338</t>
  </si>
  <si>
    <t>Elif Nur Ulusoy</t>
  </si>
  <si>
    <t>98340</t>
  </si>
  <si>
    <t>İrem Daşdan</t>
  </si>
  <si>
    <t>98388</t>
  </si>
  <si>
    <t>Ayşe Nur Abuş</t>
  </si>
  <si>
    <t>98392</t>
  </si>
  <si>
    <t>Selda Akan</t>
  </si>
  <si>
    <t>98398</t>
  </si>
  <si>
    <t>İrem Keyik</t>
  </si>
  <si>
    <t>98399</t>
  </si>
  <si>
    <t>Suzan Demirci</t>
  </si>
  <si>
    <t>98403</t>
  </si>
  <si>
    <t>Edanur Kömürcü</t>
  </si>
  <si>
    <t>98443</t>
  </si>
  <si>
    <t>Muhammed Arif Ulukaya</t>
  </si>
  <si>
    <t>98472</t>
  </si>
  <si>
    <t>Betül Özcan</t>
  </si>
  <si>
    <t>98559</t>
  </si>
  <si>
    <t>Sümeyye Özdem</t>
  </si>
  <si>
    <t>98612</t>
  </si>
  <si>
    <t>98626</t>
  </si>
  <si>
    <t>Hilal Doğru</t>
  </si>
  <si>
    <t>98647</t>
  </si>
  <si>
    <t>Vefanur Çamur</t>
  </si>
  <si>
    <t>98682</t>
  </si>
  <si>
    <t>Burak Yarar</t>
  </si>
  <si>
    <t>98696</t>
  </si>
  <si>
    <t>Berfe Korkmaz</t>
  </si>
  <si>
    <t>98706</t>
  </si>
  <si>
    <t>Ali Haydar Altıntaş</t>
  </si>
  <si>
    <t>98752</t>
  </si>
  <si>
    <t>Eylem Nur Aydoğan</t>
  </si>
  <si>
    <t>98793</t>
  </si>
  <si>
    <t>Zehra Yavuz</t>
  </si>
  <si>
    <t>98885</t>
  </si>
  <si>
    <t>Müberra Yazıcı</t>
  </si>
  <si>
    <t>98887</t>
  </si>
  <si>
    <t>Zeliha İrik</t>
  </si>
  <si>
    <t>98888</t>
  </si>
  <si>
    <t>Şeyda Çöpoğlu</t>
  </si>
  <si>
    <t>98889</t>
  </si>
  <si>
    <t>Melike Tuğçe Arıkan</t>
  </si>
  <si>
    <t>98933</t>
  </si>
  <si>
    <t>Melisa Şencan</t>
  </si>
  <si>
    <t>98962</t>
  </si>
  <si>
    <t>Mehmet Çınar Özpınar</t>
  </si>
  <si>
    <t>99016</t>
  </si>
  <si>
    <t>Rabia Elfida Atbaş</t>
  </si>
  <si>
    <t>99043</t>
  </si>
  <si>
    <t>Bedirhan Kıral</t>
  </si>
  <si>
    <t>99063</t>
  </si>
  <si>
    <t>Nezahat Çiftçioğlu</t>
  </si>
  <si>
    <t>99110</t>
  </si>
  <si>
    <t>Melike Hezenci</t>
  </si>
  <si>
    <t>99134</t>
  </si>
  <si>
    <t>Şeymanur Efe</t>
  </si>
  <si>
    <t>99154</t>
  </si>
  <si>
    <t>Nisanur Karadağ</t>
  </si>
  <si>
    <t>99155</t>
  </si>
  <si>
    <t>Eflin Berra Taşkın</t>
  </si>
  <si>
    <t>99180</t>
  </si>
  <si>
    <t>Büşranur Cömert</t>
  </si>
  <si>
    <t>99181</t>
  </si>
  <si>
    <t>Eren Can Avlamış</t>
  </si>
  <si>
    <t>99198</t>
  </si>
  <si>
    <t>Ülkü Gizem Gök</t>
  </si>
  <si>
    <t>99278</t>
  </si>
  <si>
    <t>Ahmet Balaban</t>
  </si>
  <si>
    <t>99285</t>
  </si>
  <si>
    <t>Menekşe Arısoy</t>
  </si>
  <si>
    <t>99289</t>
  </si>
  <si>
    <t>Arife Nur Mıkçı</t>
  </si>
  <si>
    <t>99307</t>
  </si>
  <si>
    <t>Cengiz Yıldırım</t>
  </si>
  <si>
    <t>99313</t>
  </si>
  <si>
    <t>Ayşe Göker</t>
  </si>
  <si>
    <t>99340</t>
  </si>
  <si>
    <t>Hacer Kirman</t>
  </si>
  <si>
    <t>99356</t>
  </si>
  <si>
    <t>Duygu Alaoğlu</t>
  </si>
  <si>
    <t>99376</t>
  </si>
  <si>
    <t>Sinem Ovalı</t>
  </si>
  <si>
    <t>99380</t>
  </si>
  <si>
    <t>Ebrar Demirkol</t>
  </si>
  <si>
    <t>99387</t>
  </si>
  <si>
    <t>Emirhan Akardere</t>
  </si>
  <si>
    <t>99420</t>
  </si>
  <si>
    <t>Sıla Işık</t>
  </si>
  <si>
    <t>99451</t>
  </si>
  <si>
    <t>Muhammet Şahan</t>
  </si>
  <si>
    <t>99487</t>
  </si>
  <si>
    <t>Hasan Poyraz Yıldırım</t>
  </si>
  <si>
    <t>99506</t>
  </si>
  <si>
    <t>Meryem Paraltı</t>
  </si>
  <si>
    <t>99525</t>
  </si>
  <si>
    <t>Yağmur Yazıcı</t>
  </si>
  <si>
    <t>99533</t>
  </si>
  <si>
    <t>Ferdi Korkmaz</t>
  </si>
  <si>
    <t>99539</t>
  </si>
  <si>
    <t>Dilara Kara</t>
  </si>
  <si>
    <t>99540</t>
  </si>
  <si>
    <t>Havvanur Solak</t>
  </si>
  <si>
    <t>99560</t>
  </si>
  <si>
    <t>İsa Nazlıgül</t>
  </si>
  <si>
    <t>99561</t>
  </si>
  <si>
    <t>Demet Akar</t>
  </si>
  <si>
    <t>99565</t>
  </si>
  <si>
    <t>Melis Nisa Koraş</t>
  </si>
  <si>
    <t>99567</t>
  </si>
  <si>
    <t>Sudenaz Sevimli</t>
  </si>
  <si>
    <t>99585</t>
  </si>
  <si>
    <t>Sudem Naz Ceylan</t>
  </si>
  <si>
    <t>99587</t>
  </si>
  <si>
    <t>Beliz Sayın</t>
  </si>
  <si>
    <t>99611</t>
  </si>
  <si>
    <t>Melahat Esra Palta</t>
  </si>
  <si>
    <t>99619</t>
  </si>
  <si>
    <t>Rubar Tunç</t>
  </si>
  <si>
    <t>99648</t>
  </si>
  <si>
    <t>Elif Koçak</t>
  </si>
  <si>
    <t>SAMSUN PIAZZA MAĞAZA</t>
  </si>
  <si>
    <t>99650</t>
  </si>
  <si>
    <t>Gökçe Tuğyan</t>
  </si>
  <si>
    <t>99651</t>
  </si>
  <si>
    <t>Dilara Aktepe</t>
  </si>
  <si>
    <t>99721</t>
  </si>
  <si>
    <t>Arife Atılgan</t>
  </si>
  <si>
    <t>99728</t>
  </si>
  <si>
    <t>Nehir Eylül Yıldızlı</t>
  </si>
  <si>
    <t>99756</t>
  </si>
  <si>
    <t>Ebru Başaran</t>
  </si>
  <si>
    <t>99767</t>
  </si>
  <si>
    <t>Muhammet Ensar Bildik</t>
  </si>
  <si>
    <t>99796</t>
  </si>
  <si>
    <t>Kerem Ataçoğlu</t>
  </si>
  <si>
    <t>99817</t>
  </si>
  <si>
    <t>Merve Boyraz</t>
  </si>
  <si>
    <t>99822</t>
  </si>
  <si>
    <t>Doğan Balcı</t>
  </si>
  <si>
    <t>99831</t>
  </si>
  <si>
    <t>Müjde Demirel</t>
  </si>
  <si>
    <t>99854</t>
  </si>
  <si>
    <t>Filiz Doğan</t>
  </si>
  <si>
    <t>99873</t>
  </si>
  <si>
    <t>Semanur Bulut</t>
  </si>
  <si>
    <t>99877</t>
  </si>
  <si>
    <t>Gizem Ata</t>
  </si>
  <si>
    <t>99880</t>
  </si>
  <si>
    <t>Havvanur Kaya</t>
  </si>
  <si>
    <t>99884</t>
  </si>
  <si>
    <t>Elisa Remziye Aba</t>
  </si>
  <si>
    <t>99885</t>
  </si>
  <si>
    <t>Zeren Ece Bayrakcı</t>
  </si>
  <si>
    <t>99888</t>
  </si>
  <si>
    <t>Nisa Şekeroğlu</t>
  </si>
  <si>
    <t>99900</t>
  </si>
  <si>
    <t>Sametcan Gülentürk</t>
  </si>
  <si>
    <t>99908</t>
  </si>
  <si>
    <t>Sena Çelik</t>
  </si>
  <si>
    <t>99915</t>
  </si>
  <si>
    <t>Burak Bozkurt</t>
  </si>
  <si>
    <t>99922</t>
  </si>
  <si>
    <t>Samet Hodlioğlu</t>
  </si>
  <si>
    <t>99939</t>
  </si>
  <si>
    <t>Samet Dağdeviren</t>
  </si>
  <si>
    <t>99948</t>
  </si>
  <si>
    <t>Pınar Sert</t>
  </si>
  <si>
    <t>99964</t>
  </si>
  <si>
    <t>Aleyna Bozbey</t>
  </si>
  <si>
    <t>99992</t>
  </si>
  <si>
    <t>Yusuf Karadeniz</t>
  </si>
  <si>
    <t>99999</t>
  </si>
  <si>
    <t>Emir Muhammet Özer</t>
  </si>
  <si>
    <t>100002</t>
  </si>
  <si>
    <t>Aslıhan Hümeyra Nazlı</t>
  </si>
  <si>
    <t>100003</t>
  </si>
  <si>
    <t>Arzu Nur Yavaş</t>
  </si>
  <si>
    <t>100020</t>
  </si>
  <si>
    <t>Ayşenur Nebioğlu</t>
  </si>
  <si>
    <t>100025</t>
  </si>
  <si>
    <t>Ecem Kabay</t>
  </si>
  <si>
    <t>İZMİR BUCA CADDE MAĞ</t>
  </si>
  <si>
    <t>100044</t>
  </si>
  <si>
    <t>Selenay Onaran</t>
  </si>
  <si>
    <t>100062</t>
  </si>
  <si>
    <t>Gülşah Şahin</t>
  </si>
  <si>
    <t>100079</t>
  </si>
  <si>
    <t>Damla Özbolat</t>
  </si>
  <si>
    <t>100084</t>
  </si>
  <si>
    <t>Yeşim Solakoğlu</t>
  </si>
  <si>
    <t>100093</t>
  </si>
  <si>
    <t>Başak Gezinli</t>
  </si>
  <si>
    <t>100109</t>
  </si>
  <si>
    <t>Şevket Duman</t>
  </si>
  <si>
    <t>100111</t>
  </si>
  <si>
    <t>Tahir Ergül</t>
  </si>
  <si>
    <t>100133</t>
  </si>
  <si>
    <t>Emine Zülal Sapancıoğlu</t>
  </si>
  <si>
    <t>100158</t>
  </si>
  <si>
    <t>Selinay Rusçuklu</t>
  </si>
  <si>
    <t>100164</t>
  </si>
  <si>
    <t>Nisa Türk</t>
  </si>
  <si>
    <t>100177</t>
  </si>
  <si>
    <t>Havva Nur Özcan</t>
  </si>
  <si>
    <t>100178</t>
  </si>
  <si>
    <t>Ayberk Özgül</t>
  </si>
  <si>
    <t>100186</t>
  </si>
  <si>
    <t>Göktuğ Akansu</t>
  </si>
  <si>
    <t>İZMİT Ncity Mağazası</t>
  </si>
  <si>
    <t>100208</t>
  </si>
  <si>
    <t>Hafize Nur Kayaalp</t>
  </si>
  <si>
    <t>100227</t>
  </si>
  <si>
    <t>Eylül Ceren Ar</t>
  </si>
  <si>
    <t>100228</t>
  </si>
  <si>
    <t>İlayda Aydın</t>
  </si>
  <si>
    <t>100232</t>
  </si>
  <si>
    <t>Esmanur Rençber</t>
  </si>
  <si>
    <t>100246</t>
  </si>
  <si>
    <t>Yağmur Esenkaya</t>
  </si>
  <si>
    <t>100253</t>
  </si>
  <si>
    <t>Beyza Kara</t>
  </si>
  <si>
    <t>100256</t>
  </si>
  <si>
    <t>Merve Şimşek</t>
  </si>
  <si>
    <t>ORDU FATSA CADDE</t>
  </si>
  <si>
    <t>100259</t>
  </si>
  <si>
    <t>Abdulmecit Kacır</t>
  </si>
  <si>
    <t>100268</t>
  </si>
  <si>
    <t>Yazgül Doğan</t>
  </si>
  <si>
    <t>100280</t>
  </si>
  <si>
    <t>Onur Koç</t>
  </si>
  <si>
    <t>100289</t>
  </si>
  <si>
    <t>Öykü Taşkıran</t>
  </si>
  <si>
    <t>100292</t>
  </si>
  <si>
    <t>Şeymanur Kalpaklı</t>
  </si>
  <si>
    <t>100297</t>
  </si>
  <si>
    <t>Ayşe Karataş</t>
  </si>
  <si>
    <t>100298</t>
  </si>
  <si>
    <t>Emir Kaya</t>
  </si>
  <si>
    <t>100301</t>
  </si>
  <si>
    <t>Selenay Kabakçı</t>
  </si>
  <si>
    <t>100311</t>
  </si>
  <si>
    <t>Elif Canpolat</t>
  </si>
  <si>
    <t>100312</t>
  </si>
  <si>
    <t>Nisa Nur Kutlu</t>
  </si>
  <si>
    <t>100333</t>
  </si>
  <si>
    <t>Hüsna Nur Taştan</t>
  </si>
  <si>
    <t>100335</t>
  </si>
  <si>
    <t>İbrahim Akbay</t>
  </si>
  <si>
    <t>100354</t>
  </si>
  <si>
    <t>Ayşenur Erdinç</t>
  </si>
  <si>
    <t>100355</t>
  </si>
  <si>
    <t>Hümeyra Sayım</t>
  </si>
  <si>
    <t>100360</t>
  </si>
  <si>
    <t>Ceren Günay</t>
  </si>
  <si>
    <t>100369</t>
  </si>
  <si>
    <t>Amine Tefrul</t>
  </si>
  <si>
    <t>100373</t>
  </si>
  <si>
    <t>Yağmur Bayar</t>
  </si>
  <si>
    <t>100375</t>
  </si>
  <si>
    <t>Beyza Öksüz</t>
  </si>
  <si>
    <t>100376</t>
  </si>
  <si>
    <t>Helin Aslan</t>
  </si>
  <si>
    <t>100378</t>
  </si>
  <si>
    <t>Nisa Nur Akgül</t>
  </si>
  <si>
    <t>100406</t>
  </si>
  <si>
    <t>Eylül Oran</t>
  </si>
  <si>
    <t>100413</t>
  </si>
  <si>
    <t>Zeynep Berfin Avcı</t>
  </si>
  <si>
    <t>100417</t>
  </si>
  <si>
    <t>Abdulsamed Karabulut</t>
  </si>
  <si>
    <t>100421</t>
  </si>
  <si>
    <t>Gökay Çamgül</t>
  </si>
  <si>
    <t>İZMİR BERGAMA MAĞAZA</t>
  </si>
  <si>
    <t>100422</t>
  </si>
  <si>
    <t>Yusuf Muhammed Özgenç</t>
  </si>
  <si>
    <t>100431</t>
  </si>
  <si>
    <t>Gülay Nur Kılınç</t>
  </si>
  <si>
    <t>100446</t>
  </si>
  <si>
    <t>Zeynep Bilir</t>
  </si>
  <si>
    <t>100449</t>
  </si>
  <si>
    <t>Sabiha Eylül Yıldırım</t>
  </si>
  <si>
    <t>100479</t>
  </si>
  <si>
    <t>Sude Aktaş</t>
  </si>
  <si>
    <t>100501</t>
  </si>
  <si>
    <t>Ayşe Hüma Çetinkaya</t>
  </si>
  <si>
    <t>100511</t>
  </si>
  <si>
    <t>Sedef Aslan</t>
  </si>
  <si>
    <t>100532</t>
  </si>
  <si>
    <t>Büşra Yoldaş</t>
  </si>
  <si>
    <t>100548</t>
  </si>
  <si>
    <t>Sevilay Terlemez</t>
  </si>
  <si>
    <t>100575</t>
  </si>
  <si>
    <t>Sudenur Zor</t>
  </si>
  <si>
    <t>100576</t>
  </si>
  <si>
    <t>Esin Sarıoğlu</t>
  </si>
  <si>
    <t>100604</t>
  </si>
  <si>
    <t>Ömer Faruk Çalışkan</t>
  </si>
  <si>
    <t>100607</t>
  </si>
  <si>
    <t>Tuğba İzbudak</t>
  </si>
  <si>
    <t>100619</t>
  </si>
  <si>
    <t>Onur Usta</t>
  </si>
  <si>
    <t>100620</t>
  </si>
  <si>
    <t>Vildan Uyarlar</t>
  </si>
  <si>
    <t>100629</t>
  </si>
  <si>
    <t>İpek Kasarcı</t>
  </si>
  <si>
    <t>100637</t>
  </si>
  <si>
    <t>Mürüvvet Eskici</t>
  </si>
  <si>
    <t>100659</t>
  </si>
  <si>
    <t>Mustafa Yiğit Koç</t>
  </si>
  <si>
    <t>100668</t>
  </si>
  <si>
    <t>Baran Şenel</t>
  </si>
  <si>
    <t>100672</t>
  </si>
  <si>
    <t>Baran Yalnız</t>
  </si>
  <si>
    <t>100674</t>
  </si>
  <si>
    <t>Esmanur Çiçek</t>
  </si>
  <si>
    <t>100676</t>
  </si>
  <si>
    <t>Beren Öztürk</t>
  </si>
  <si>
    <t>100677</t>
  </si>
  <si>
    <t>Sıla Işıldak</t>
  </si>
  <si>
    <t>100684</t>
  </si>
  <si>
    <t>Burcu Karaman</t>
  </si>
  <si>
    <t>100687</t>
  </si>
  <si>
    <t>İlayda Dalgıç</t>
  </si>
  <si>
    <t>100696</t>
  </si>
  <si>
    <t>Ferdi Oğuz</t>
  </si>
  <si>
    <t>100698</t>
  </si>
  <si>
    <t>Duygu Kaya</t>
  </si>
  <si>
    <t>100704</t>
  </si>
  <si>
    <t>Ebrar Buse Sincar</t>
  </si>
  <si>
    <t>100714</t>
  </si>
  <si>
    <t>Meltem Toygar</t>
  </si>
  <si>
    <t>100716</t>
  </si>
  <si>
    <t>Ayşegül Solmaz</t>
  </si>
  <si>
    <t>Çorum AHL Park</t>
  </si>
  <si>
    <t>100719</t>
  </si>
  <si>
    <t>Remziye Duman</t>
  </si>
  <si>
    <t>100738</t>
  </si>
  <si>
    <t>İlayda Damla Şenses</t>
  </si>
  <si>
    <t>100739</t>
  </si>
  <si>
    <t>Beyza Şahin</t>
  </si>
  <si>
    <t>100744</t>
  </si>
  <si>
    <t>Melisa Ceren Seçkin</t>
  </si>
  <si>
    <t>100748</t>
  </si>
  <si>
    <t>Çağatay Yılmaz</t>
  </si>
  <si>
    <t>100755</t>
  </si>
  <si>
    <t>Elif Nur Özmen</t>
  </si>
  <si>
    <t>100756</t>
  </si>
  <si>
    <t>Miray Dayıoğlu</t>
  </si>
  <si>
    <t>100766</t>
  </si>
  <si>
    <t>Yusuf Yaşar</t>
  </si>
  <si>
    <t>İSTANBUL VIALAND MAĞ</t>
  </si>
  <si>
    <t>100772</t>
  </si>
  <si>
    <t>Beyza Nur Ahıskalıolğlu</t>
  </si>
  <si>
    <t>100775</t>
  </si>
  <si>
    <t>Dilan Tümkaya</t>
  </si>
  <si>
    <t>100813</t>
  </si>
  <si>
    <t>Halime Bilici</t>
  </si>
  <si>
    <t>100817</t>
  </si>
  <si>
    <t>Mustafa Çarpar</t>
  </si>
  <si>
    <t>100826</t>
  </si>
  <si>
    <t>Ceylan Canan</t>
  </si>
  <si>
    <t>100848</t>
  </si>
  <si>
    <t>Sema Nur Akan</t>
  </si>
  <si>
    <t>100853</t>
  </si>
  <si>
    <t>Şiyar Demirtaş</t>
  </si>
  <si>
    <t>100864</t>
  </si>
  <si>
    <t>Sıla Yeşilkaya</t>
  </si>
  <si>
    <t>100865</t>
  </si>
  <si>
    <t>Sude Nur Gökdemir</t>
  </si>
  <si>
    <t>100870</t>
  </si>
  <si>
    <t>İsmail Şanlıtürk</t>
  </si>
  <si>
    <t>100873</t>
  </si>
  <si>
    <t>Beyza Nur Çalık</t>
  </si>
  <si>
    <t>100883</t>
  </si>
  <si>
    <t>Zehra Kurubal</t>
  </si>
  <si>
    <t>100889</t>
  </si>
  <si>
    <t>Sevda Kesgin</t>
  </si>
  <si>
    <t>100900</t>
  </si>
  <si>
    <t>Berra Albayrak</t>
  </si>
  <si>
    <t>100920</t>
  </si>
  <si>
    <t>Özgül Timur</t>
  </si>
  <si>
    <t>100928</t>
  </si>
  <si>
    <t>Ceyda Çetin</t>
  </si>
  <si>
    <t>100929</t>
  </si>
  <si>
    <t>Rümeysa Sarıca</t>
  </si>
  <si>
    <t>100932</t>
  </si>
  <si>
    <t>Denizhan Çelik</t>
  </si>
  <si>
    <t>100957</t>
  </si>
  <si>
    <t>Gülay Tök</t>
  </si>
  <si>
    <t>100963</t>
  </si>
  <si>
    <t>Zelal İlgen</t>
  </si>
  <si>
    <t>100969</t>
  </si>
  <si>
    <t>Hasan Arda Müldür</t>
  </si>
  <si>
    <t>100993</t>
  </si>
  <si>
    <t>Buse Öz</t>
  </si>
  <si>
    <t>101003</t>
  </si>
  <si>
    <t>Kıymet Ece Kar</t>
  </si>
  <si>
    <t>101010</t>
  </si>
  <si>
    <t>Ayşe Demir</t>
  </si>
  <si>
    <t>101011</t>
  </si>
  <si>
    <t>Beyza Duru Şenol</t>
  </si>
  <si>
    <t>101013</t>
  </si>
  <si>
    <t>Merve Sıla Kütük</t>
  </si>
  <si>
    <t>101030</t>
  </si>
  <si>
    <t>Adil Doğan</t>
  </si>
  <si>
    <t>101031</t>
  </si>
  <si>
    <t>Ramazan Aytekin</t>
  </si>
  <si>
    <t>101045</t>
  </si>
  <si>
    <t>Emine  Hayrunisa Kaya</t>
  </si>
  <si>
    <t>101049</t>
  </si>
  <si>
    <t>İremnur Çevik</t>
  </si>
  <si>
    <t>101053</t>
  </si>
  <si>
    <t>Dilan Deli</t>
  </si>
  <si>
    <t>101079</t>
  </si>
  <si>
    <t>Cemile Nur Çam</t>
  </si>
  <si>
    <t>Kıdem Sayı</t>
  </si>
  <si>
    <t>Çalışan Yaş</t>
  </si>
  <si>
    <t>Fadime Göksel</t>
  </si>
  <si>
    <t>Duygu Azak</t>
  </si>
  <si>
    <t>Hülya Kıratlı</t>
  </si>
  <si>
    <t>ANKARA ATB GİMAT MAĞ</t>
  </si>
  <si>
    <t>Nurten Ertürer</t>
  </si>
  <si>
    <t>Suna Yorgancı</t>
  </si>
  <si>
    <t>ADANA CEYHAN</t>
  </si>
  <si>
    <t>Duygu Çetinkaya</t>
  </si>
  <si>
    <t>Sibel Çepe</t>
  </si>
  <si>
    <t>Gülden Begüm Yıldırım</t>
  </si>
  <si>
    <t>Leyla Çetin Sığlam</t>
  </si>
  <si>
    <t>Hakan Balçın</t>
  </si>
  <si>
    <t>Okan Aydın</t>
  </si>
  <si>
    <t>Yağmur Aras</t>
  </si>
  <si>
    <t>Bahar Güray</t>
  </si>
  <si>
    <t>Erkan Koçak</t>
  </si>
  <si>
    <t>Gonca Menek</t>
  </si>
  <si>
    <t>Çiğdem Saatçi</t>
  </si>
  <si>
    <t>Suat Kürşat Eroğlu</t>
  </si>
  <si>
    <t>Yusuf Kezer</t>
  </si>
  <si>
    <t>Gözde Sayın</t>
  </si>
  <si>
    <t>Banu Benzer</t>
  </si>
  <si>
    <t>İsa Nar</t>
  </si>
  <si>
    <t>Ayşegül Kaynak</t>
  </si>
  <si>
    <t>İlknur Yardım</t>
  </si>
  <si>
    <t>Bahar Aldemir</t>
  </si>
  <si>
    <t>Filiz Yüce Demirci</t>
  </si>
  <si>
    <t>Erdem Büyük</t>
  </si>
  <si>
    <t>Aykut Çöldür</t>
  </si>
  <si>
    <t>Gökhan Özen</t>
  </si>
  <si>
    <t>ADAPAZARI AGORA MAĞA</t>
  </si>
  <si>
    <t>İsa Ergen</t>
  </si>
  <si>
    <t>Muharrem Keçelioğlu</t>
  </si>
  <si>
    <t>Yusuf Şivil</t>
  </si>
  <si>
    <t>Emre Bozoğlu</t>
  </si>
  <si>
    <t>Sevtap Koç İnci</t>
  </si>
  <si>
    <t>Özge Küpeli</t>
  </si>
  <si>
    <t>Emin Yaşar</t>
  </si>
  <si>
    <t>Merve Olay</t>
  </si>
  <si>
    <t>Mehmet Küpeli</t>
  </si>
  <si>
    <t>Ayşe Sırtkaya</t>
  </si>
  <si>
    <t>TRABZON GAZİPAŞA MAĞ</t>
  </si>
  <si>
    <t>Damla Doğumsel</t>
  </si>
  <si>
    <t>Elif Can</t>
  </si>
  <si>
    <t>Erkan Kocaman</t>
  </si>
  <si>
    <t>Doğan Gülgüler</t>
  </si>
  <si>
    <t>Şükrü Dursun</t>
  </si>
  <si>
    <t>Tuğba Balcı</t>
  </si>
  <si>
    <t>Nesibe Yıldız</t>
  </si>
  <si>
    <t>İZMİR AGORA MAĞAZA</t>
  </si>
  <si>
    <t>Fatma Mert</t>
  </si>
  <si>
    <t>Ali Kılıç</t>
  </si>
  <si>
    <t>Ercüment Baştürk</t>
  </si>
  <si>
    <t>Mehmet Yazıcı</t>
  </si>
  <si>
    <t>Hakan Ekdi</t>
  </si>
  <si>
    <t>Sinan Akgül</t>
  </si>
  <si>
    <t>Sebile Koç</t>
  </si>
  <si>
    <t>Kezban Topuz</t>
  </si>
  <si>
    <t>Hasan Mahmut Topçu</t>
  </si>
  <si>
    <t>Ufuk Topaloğlu</t>
  </si>
  <si>
    <t>Mustafa Kamil Kırımlı</t>
  </si>
  <si>
    <t>Bahattin Sayur</t>
  </si>
  <si>
    <t>Ufuk Özer</t>
  </si>
  <si>
    <t>Pınar Aytekin</t>
  </si>
  <si>
    <t>Gülşah Sağlam</t>
  </si>
  <si>
    <t>Gökhan Rokop</t>
  </si>
  <si>
    <t>Arife Nur Özdemir</t>
  </si>
  <si>
    <t>Erdem Köse</t>
  </si>
  <si>
    <t>Sevda Özdemir</t>
  </si>
  <si>
    <t>Derya Akbulak</t>
  </si>
  <si>
    <t>Nihal Afşar</t>
  </si>
  <si>
    <t>Gülten Keskin Çekiç</t>
  </si>
  <si>
    <t>Sibel Özacet</t>
  </si>
  <si>
    <t>Pınar Öztürk</t>
  </si>
  <si>
    <t>Önder Demir</t>
  </si>
  <si>
    <t>Fatoş Çizik</t>
  </si>
  <si>
    <t>Mehtap Beşikçi</t>
  </si>
  <si>
    <t>İlknur Demirtaş</t>
  </si>
  <si>
    <t>ZONGULDAK EREĞLİ MAĞ</t>
  </si>
  <si>
    <t>Pelin Başaran</t>
  </si>
  <si>
    <t>Eren Sarısaltık</t>
  </si>
  <si>
    <t>Serap Enli</t>
  </si>
  <si>
    <t>Eda Çetin</t>
  </si>
  <si>
    <t>Caner Öğütmen</t>
  </si>
  <si>
    <t>Özgür Özdemir</t>
  </si>
  <si>
    <t>SAMSUN YEŞİLYURT MAĞ</t>
  </si>
  <si>
    <t>Hacer Ceylan</t>
  </si>
  <si>
    <t>BALIKESİR SUSURLUK M</t>
  </si>
  <si>
    <t>Tuğçe Güroğlu</t>
  </si>
  <si>
    <t>MANİSA CADDE MAĞAZA</t>
  </si>
  <si>
    <t>Ebru Yaman</t>
  </si>
  <si>
    <t>Caner Çetin</t>
  </si>
  <si>
    <t>Tuba Bayram</t>
  </si>
  <si>
    <t>Gülay Şen</t>
  </si>
  <si>
    <t>Aysel Septel</t>
  </si>
  <si>
    <t>Ali Okan Çetin</t>
  </si>
  <si>
    <t>Burcu Özer</t>
  </si>
  <si>
    <t>Ülkü Demir</t>
  </si>
  <si>
    <t>Sultan Eylem Durukan</t>
  </si>
  <si>
    <t>Gülsevim Günal</t>
  </si>
  <si>
    <t>Zeki Günen</t>
  </si>
  <si>
    <t>GİRESUN CADDE MAĞAZA</t>
  </si>
  <si>
    <t>Özler Atan</t>
  </si>
  <si>
    <t>Serhat Dede</t>
  </si>
  <si>
    <t>Caner Şevki Gülaştı</t>
  </si>
  <si>
    <t>Oya Özdemir</t>
  </si>
  <si>
    <t>Hande Yıldırım</t>
  </si>
  <si>
    <t>Kübra Yaman Aksoy</t>
  </si>
  <si>
    <t>Gözde Yönlü</t>
  </si>
  <si>
    <t>Nurdan Açıkel</t>
  </si>
  <si>
    <t>Ercan Karbuz</t>
  </si>
  <si>
    <t>Yoncagül Çetinkaya</t>
  </si>
  <si>
    <t>Mehmet Terzi</t>
  </si>
  <si>
    <t>Merve Bektaş</t>
  </si>
  <si>
    <t>Burhan Orhan</t>
  </si>
  <si>
    <t>Selçuk Zencirci</t>
  </si>
  <si>
    <t>GAZİANTEP FORUM MAĞA</t>
  </si>
  <si>
    <t>Metin Duman</t>
  </si>
  <si>
    <t>Dilek Yorulmaz</t>
  </si>
  <si>
    <t>Gizem Güven</t>
  </si>
  <si>
    <t>Yüksel Tomar</t>
  </si>
  <si>
    <t>Yeliz Tayfur</t>
  </si>
  <si>
    <t>Berna Çalışkan</t>
  </si>
  <si>
    <t>Duygu Tiryaki</t>
  </si>
  <si>
    <t>Ümmügülsüm Özen</t>
  </si>
  <si>
    <t>Hazal Koçak</t>
  </si>
  <si>
    <t>Nuray Yılmaz</t>
  </si>
  <si>
    <t>Ekrem Aygün</t>
  </si>
  <si>
    <t>Yunus Karaca</t>
  </si>
  <si>
    <t>Fatih Güney</t>
  </si>
  <si>
    <t>Neşe Akbıyık Savcı</t>
  </si>
  <si>
    <t>Cengiz Örnek</t>
  </si>
  <si>
    <t>Hatice Karadağ</t>
  </si>
  <si>
    <t>Neval Yürük</t>
  </si>
  <si>
    <t>Elif Bektaş</t>
  </si>
  <si>
    <t>Muhammet Alim</t>
  </si>
  <si>
    <t>Demet Aydın</t>
  </si>
  <si>
    <t>Kenan Maraşlıoğlu</t>
  </si>
  <si>
    <t>Çiğdem Oba</t>
  </si>
  <si>
    <t>Feyza Yavuzer</t>
  </si>
  <si>
    <t>Melda İlgüz</t>
  </si>
  <si>
    <t>BALIKESİR AYVALIK CA</t>
  </si>
  <si>
    <t>Aydın Alvan</t>
  </si>
  <si>
    <t>Sabriye Zeytineli</t>
  </si>
  <si>
    <t>Nagihan Erkahyalar</t>
  </si>
  <si>
    <t>Savaş Polat</t>
  </si>
  <si>
    <t>Mursel Özer</t>
  </si>
  <si>
    <t>Fatma Akbıyık</t>
  </si>
  <si>
    <t>Semih Gümüştaş</t>
  </si>
  <si>
    <t>Oğuz Koçyiğit</t>
  </si>
  <si>
    <t>Barış Kargın</t>
  </si>
  <si>
    <t>Sinan Oruç</t>
  </si>
  <si>
    <t>Tuğba Özkan</t>
  </si>
  <si>
    <t>Pınar Çiftçi</t>
  </si>
  <si>
    <t>Esra Yılmaz</t>
  </si>
  <si>
    <t>Gözde Dumlu</t>
  </si>
  <si>
    <t>Muhammet Yaşar</t>
  </si>
  <si>
    <t>Esra Kılıç</t>
  </si>
  <si>
    <t>Sevda Polat</t>
  </si>
  <si>
    <t>Aydan İpekci Gündüz</t>
  </si>
  <si>
    <t>Elif Akdemirci</t>
  </si>
  <si>
    <t>Metin Savaşman</t>
  </si>
  <si>
    <t>Gülşah Şimşek</t>
  </si>
  <si>
    <t>Elif Demir</t>
  </si>
  <si>
    <t>Ayla Korkmaz Aydın</t>
  </si>
  <si>
    <t>Miray Yayalar</t>
  </si>
  <si>
    <t>Yavuz Selim Çaki</t>
  </si>
  <si>
    <t>Özdem Çatan</t>
  </si>
  <si>
    <t>Doğukan Akşit</t>
  </si>
  <si>
    <t>Onur Özyurt</t>
  </si>
  <si>
    <t>Mustafa Çelik</t>
  </si>
  <si>
    <t>Zeynep Zerey Evirgen</t>
  </si>
  <si>
    <t>Meryem Gedik</t>
  </si>
  <si>
    <t>Hüseyin Gökbulut</t>
  </si>
  <si>
    <t>Gül Ava</t>
  </si>
  <si>
    <t>Volkan Kılıç</t>
  </si>
  <si>
    <t>Sevgi Demir</t>
  </si>
  <si>
    <t>Müge Özer</t>
  </si>
  <si>
    <t>Zeynep Aslan</t>
  </si>
  <si>
    <t>Serdar Çalı</t>
  </si>
  <si>
    <t>Fatma Kılıç</t>
  </si>
  <si>
    <t>Ercan Arğın</t>
  </si>
  <si>
    <t>Ümmühan Samat</t>
  </si>
  <si>
    <t>Yusuf Taşdemir</t>
  </si>
  <si>
    <t>Fatih Bahtiyar</t>
  </si>
  <si>
    <t>Uğur Kızıldeli</t>
  </si>
  <si>
    <t>Uğur Çakcı</t>
  </si>
  <si>
    <t>Burcu Koza</t>
  </si>
  <si>
    <t>Sefer Çelik</t>
  </si>
  <si>
    <t>Selda Kahramanoğlu</t>
  </si>
  <si>
    <t>Günce Sevi Kayan</t>
  </si>
  <si>
    <t>Seray Yüksel</t>
  </si>
  <si>
    <t>Şerife Çuhadar</t>
  </si>
  <si>
    <t>Emre Aslan</t>
  </si>
  <si>
    <t>Fatih Kurt</t>
  </si>
  <si>
    <t>Berna İstek</t>
  </si>
  <si>
    <t>Muzaffer Emre Taşkal</t>
  </si>
  <si>
    <t>Cem Özkan</t>
  </si>
  <si>
    <t>Ceyhun Alkaya</t>
  </si>
  <si>
    <t>Mehmet Nur Yağız</t>
  </si>
  <si>
    <t>Dilek Bakal</t>
  </si>
  <si>
    <t>Emel Çelik</t>
  </si>
  <si>
    <t>Meltem Külçe</t>
  </si>
  <si>
    <t>Azizcan Kalyoncu</t>
  </si>
  <si>
    <t>Didem Emiralioğlu</t>
  </si>
  <si>
    <t>Gökhan Mert Sapdere</t>
  </si>
  <si>
    <t>Ayşegül Sarı</t>
  </si>
  <si>
    <t>Zafer Kalkanlı</t>
  </si>
  <si>
    <t>Zeynep Tekin</t>
  </si>
  <si>
    <t>Çağdaş Baykuş</t>
  </si>
  <si>
    <t>Burak Ögüz</t>
  </si>
  <si>
    <t>Ceyhun İshakoğlu</t>
  </si>
  <si>
    <t>Eda Kanat</t>
  </si>
  <si>
    <t>Tugay Kuru</t>
  </si>
  <si>
    <t>Savaş Çakır</t>
  </si>
  <si>
    <t>Ozan Kaya</t>
  </si>
  <si>
    <t>İskender Yaşar</t>
  </si>
  <si>
    <t>Fatih Kaplan</t>
  </si>
  <si>
    <t>Güneş Günaydın</t>
  </si>
  <si>
    <t>Gülseren Erdoğan</t>
  </si>
  <si>
    <t>ISPARTA İYAŞPARK MAĞ</t>
  </si>
  <si>
    <t>Mustafa Aydın</t>
  </si>
  <si>
    <t>Ali Yılmaz Erol</t>
  </si>
  <si>
    <t>Bahar Kesim</t>
  </si>
  <si>
    <t>Pervin İrban</t>
  </si>
  <si>
    <t>Seda Özcan</t>
  </si>
  <si>
    <t>Abdullah Okan Kaya</t>
  </si>
  <si>
    <t>Esra Yaşar</t>
  </si>
  <si>
    <t>Halit Çiftçi</t>
  </si>
  <si>
    <t>İbrahim Baykara</t>
  </si>
  <si>
    <t>Selçuk Karaağaç</t>
  </si>
  <si>
    <t>Selin Betül Tuncer</t>
  </si>
  <si>
    <t>Ayşe Sedef Oktay</t>
  </si>
  <si>
    <t>Kıvanç Aytimur</t>
  </si>
  <si>
    <t>Büşra Solak</t>
  </si>
  <si>
    <t>Ebru Girgiç</t>
  </si>
  <si>
    <t>Kadir Er</t>
  </si>
  <si>
    <t>Soner Öz</t>
  </si>
  <si>
    <t>Yağmur Kaya</t>
  </si>
  <si>
    <t>Bünyamin Berk Zengin</t>
  </si>
  <si>
    <t>Ahmet Kemikkıran</t>
  </si>
  <si>
    <t>Hasan Yağız</t>
  </si>
  <si>
    <t>Duygu Ersin</t>
  </si>
  <si>
    <t>Sibel Vatansever</t>
  </si>
  <si>
    <t>Gülsüm Aykurt</t>
  </si>
  <si>
    <t>Hatice Kırlı Şeker</t>
  </si>
  <si>
    <t>Hüseyin Kocadayıoğulları</t>
  </si>
  <si>
    <t>Semahat Gücer</t>
  </si>
  <si>
    <t>Reyhan Kavak</t>
  </si>
  <si>
    <t>Filiz Ünal</t>
  </si>
  <si>
    <t>Dursiye Tosun</t>
  </si>
  <si>
    <t>Dilek Görüç</t>
  </si>
  <si>
    <t>Ünal Gültekin</t>
  </si>
  <si>
    <t>Buse Bektaş</t>
  </si>
  <si>
    <t>Melis Yıldıran</t>
  </si>
  <si>
    <t>Evren Kemer</t>
  </si>
  <si>
    <t>Emincan Işık</t>
  </si>
  <si>
    <t>Seda Altın</t>
  </si>
  <si>
    <t>Mihrican Akça</t>
  </si>
  <si>
    <t>Tuğba Erdem</t>
  </si>
  <si>
    <t>Cemile Köse</t>
  </si>
  <si>
    <t>Dilek Kaval</t>
  </si>
  <si>
    <t>Mehmet Emin Şen</t>
  </si>
  <si>
    <t>Seher Tanır</t>
  </si>
  <si>
    <t>Cansu Karataş</t>
  </si>
  <si>
    <t>Mert Çökmez</t>
  </si>
  <si>
    <t>Özge Kulak</t>
  </si>
  <si>
    <t>Hikmet Solmaz</t>
  </si>
  <si>
    <t>Nurhan Özkan</t>
  </si>
  <si>
    <t>Selma Epözdemir</t>
  </si>
  <si>
    <t>Nurcihan Temizsüner</t>
  </si>
  <si>
    <t>Kadir Akbulut</t>
  </si>
  <si>
    <t>İnanç Tavas</t>
  </si>
  <si>
    <t>Asiye Kökel</t>
  </si>
  <si>
    <t>Ezgi Fırat</t>
  </si>
  <si>
    <t>Fuat Yıldız</t>
  </si>
  <si>
    <t>Caner Erkun</t>
  </si>
  <si>
    <t>Gülşah Tüccaroğlu</t>
  </si>
  <si>
    <t>Yasemin Saygı</t>
  </si>
  <si>
    <t>Suna yüksel</t>
  </si>
  <si>
    <t>Serpil Şeker</t>
  </si>
  <si>
    <t>Simge Yeter Keskin</t>
  </si>
  <si>
    <t>Semih Telli</t>
  </si>
  <si>
    <t>İpek Köylü</t>
  </si>
  <si>
    <t>Pelin Hürmeydan</t>
  </si>
  <si>
    <t>Ali İmran</t>
  </si>
  <si>
    <t>Oğuz Kağan Kalfaoğlu</t>
  </si>
  <si>
    <t>Tuğba Sütveren</t>
  </si>
  <si>
    <t>Büşra Genç</t>
  </si>
  <si>
    <t>Seren Yalav</t>
  </si>
  <si>
    <t>Zümeyran Bozdemir</t>
  </si>
  <si>
    <t>Merve Tan</t>
  </si>
  <si>
    <t>Esra Siyahtaş</t>
  </si>
  <si>
    <t>Esma Tanış</t>
  </si>
  <si>
    <t>Yılmaz Balta</t>
  </si>
  <si>
    <t>Ebru Karatuç</t>
  </si>
  <si>
    <t>Serhat Gürbüz</t>
  </si>
  <si>
    <t>Busra Akyol</t>
  </si>
  <si>
    <t>Dilan Ateş</t>
  </si>
  <si>
    <t>Leyla Avşar</t>
  </si>
  <si>
    <t>NEVŞEHİR MAĞAZA</t>
  </si>
  <si>
    <t>Seher Koç</t>
  </si>
  <si>
    <t>Cansu Dişkıran</t>
  </si>
  <si>
    <t>Fırat Koldaş</t>
  </si>
  <si>
    <t>Nazan Aydın</t>
  </si>
  <si>
    <t>AKHİSAR NOVADA MAĞAZ</t>
  </si>
  <si>
    <t>Sinem Öztürk</t>
  </si>
  <si>
    <t>Selman Tıraş</t>
  </si>
  <si>
    <t>Eda Doğanay</t>
  </si>
  <si>
    <t>Cansu Yalçınkaya</t>
  </si>
  <si>
    <t>Sinem Harman</t>
  </si>
  <si>
    <t>Görkem Saltan</t>
  </si>
  <si>
    <t>Ömür Öz</t>
  </si>
  <si>
    <t>Seda Akkaya Çevik</t>
  </si>
  <si>
    <t>Ramazan Emre Sorkun</t>
  </si>
  <si>
    <t>Müberra Cengiz</t>
  </si>
  <si>
    <t>Murat Candan</t>
  </si>
  <si>
    <t>Fatma Öztürk Bektaş</t>
  </si>
  <si>
    <t>Bedriye Üzer</t>
  </si>
  <si>
    <t>Gamze Ay</t>
  </si>
  <si>
    <t>Yasemin Bülbül</t>
  </si>
  <si>
    <t>Canan Açıkgöz</t>
  </si>
  <si>
    <t>Fatih Ged</t>
  </si>
  <si>
    <t>Aygül Ay</t>
  </si>
  <si>
    <t>Şefika Deveci</t>
  </si>
  <si>
    <t>Seda Çiftçi</t>
  </si>
  <si>
    <t>Yasemin Gündoğan</t>
  </si>
  <si>
    <t>Semiha Küçük</t>
  </si>
  <si>
    <t>İlknur Ürün</t>
  </si>
  <si>
    <t>Yağmur Tanırer</t>
  </si>
  <si>
    <t>Sezen Güngör</t>
  </si>
  <si>
    <t>Ercan Kazancı</t>
  </si>
  <si>
    <t>Gizem Koçak</t>
  </si>
  <si>
    <t>Ceyda Ceylan</t>
  </si>
  <si>
    <t>Ramazan Bodur</t>
  </si>
  <si>
    <t>Doğuş Kale</t>
  </si>
  <si>
    <t>EDİRNE KEŞAN BENDİS</t>
  </si>
  <si>
    <t>Gökhan Kılıç</t>
  </si>
  <si>
    <t>Tenzile Korkmaz</t>
  </si>
  <si>
    <t>Fatih Kayhan</t>
  </si>
  <si>
    <t>Büşra Kayar</t>
  </si>
  <si>
    <t>Tekin Başkara</t>
  </si>
  <si>
    <t>Tekin Barkçın</t>
  </si>
  <si>
    <t>Mehmet Kolatan</t>
  </si>
  <si>
    <t>Yasemin Rabindüz</t>
  </si>
  <si>
    <t>Özge Çiftçi</t>
  </si>
  <si>
    <t>Uğur Bayar</t>
  </si>
  <si>
    <t>Umut Kapucu</t>
  </si>
  <si>
    <t>Cansel Yıldırım</t>
  </si>
  <si>
    <t>Gürkan İltir</t>
  </si>
  <si>
    <t>Rafiye Katrancı</t>
  </si>
  <si>
    <t>Civan Eti</t>
  </si>
  <si>
    <t>Eylem Odabaş</t>
  </si>
  <si>
    <t>Havva Ustasüleymanoğlu</t>
  </si>
  <si>
    <t>İremnur Taşçı</t>
  </si>
  <si>
    <t>Elena Baytınaz</t>
  </si>
  <si>
    <t>Kemal Temür</t>
  </si>
  <si>
    <t>Esra Zorver Aktaş</t>
  </si>
  <si>
    <t>Edanur Topaloğlu</t>
  </si>
  <si>
    <t>Ahsen Saka</t>
  </si>
  <si>
    <t>Mine Gezginci</t>
  </si>
  <si>
    <t>Halide Fidancan</t>
  </si>
  <si>
    <t>Kadir Sarıgül</t>
  </si>
  <si>
    <t>Cenk Tuhan</t>
  </si>
  <si>
    <t>Kaan Çimen</t>
  </si>
  <si>
    <t>Eser Ağzıaçık</t>
  </si>
  <si>
    <t>Berna Aksoy</t>
  </si>
  <si>
    <t>Seda Erol</t>
  </si>
  <si>
    <t>Sevtap Sadıçoğlu</t>
  </si>
  <si>
    <t>Pelin Harman</t>
  </si>
  <si>
    <t>Demet Yanmış</t>
  </si>
  <si>
    <t>Sezer Akbulut</t>
  </si>
  <si>
    <t>Gözde Kangalgil</t>
  </si>
  <si>
    <t>Alptemuçin Aygan</t>
  </si>
  <si>
    <t>Beyhan Ünal</t>
  </si>
  <si>
    <t>İbrahim Nazif Kalendergil</t>
  </si>
  <si>
    <t>Özlem Ayranpınar</t>
  </si>
  <si>
    <t>Sezgin Uzunkara</t>
  </si>
  <si>
    <t>Mine Çelik</t>
  </si>
  <si>
    <t>Seran Dağdibi</t>
  </si>
  <si>
    <t>Çağla Ergöz</t>
  </si>
  <si>
    <t>Emrullah Çarboğa</t>
  </si>
  <si>
    <t>Nazlı Ataş</t>
  </si>
  <si>
    <t>Yunus Yahşi</t>
  </si>
  <si>
    <t>Tuğçe Yıldırım</t>
  </si>
  <si>
    <t>Ayla Kaya</t>
  </si>
  <si>
    <t>Duygu Doğan Özbay</t>
  </si>
  <si>
    <t>Veysi Narin</t>
  </si>
  <si>
    <t>Vecheddin Nebioğlu</t>
  </si>
  <si>
    <t>Arife Bay</t>
  </si>
  <si>
    <t>Onur Üstün</t>
  </si>
  <si>
    <t>İbrahim Ünlü</t>
  </si>
  <si>
    <t>Zeynep Hamurtekin</t>
  </si>
  <si>
    <t>Ecem Kuzur</t>
  </si>
  <si>
    <t>Ahmet Can Özyurt</t>
  </si>
  <si>
    <t>Nergiz Kavuncu</t>
  </si>
  <si>
    <t>İSTANBUL ARENAPARK M</t>
  </si>
  <si>
    <t>Nursel Arpac</t>
  </si>
  <si>
    <t>Tuğçe Doğan</t>
  </si>
  <si>
    <t>Zeliha Öncel</t>
  </si>
  <si>
    <t>Elif Kaya</t>
  </si>
  <si>
    <t>Mervan Düşün</t>
  </si>
  <si>
    <t>Özlem Erdoğan</t>
  </si>
  <si>
    <t>Pınar Cömert</t>
  </si>
  <si>
    <t>Özlem Garip</t>
  </si>
  <si>
    <t>Burak İlhan</t>
  </si>
  <si>
    <t>Burcu Çobanoğlu</t>
  </si>
  <si>
    <t>Hülya Baykan</t>
  </si>
  <si>
    <t>Nermin Tiktaş</t>
  </si>
  <si>
    <t>Derya Karadeniz</t>
  </si>
  <si>
    <t>Çağla Şin</t>
  </si>
  <si>
    <t>Yasin Karuç</t>
  </si>
  <si>
    <t>Büşra İdil Bulut</t>
  </si>
  <si>
    <t>Nuriye Yılmaz</t>
  </si>
  <si>
    <t>Ayşe Kaya</t>
  </si>
  <si>
    <t>Sevda Öztürk</t>
  </si>
  <si>
    <t>Gülizar Koçaslan</t>
  </si>
  <si>
    <t>İrem Hellaç</t>
  </si>
  <si>
    <t>Elif Tosun</t>
  </si>
  <si>
    <t>Mehmet Umut Koçak</t>
  </si>
  <si>
    <t>Şükran Demir</t>
  </si>
  <si>
    <t>Dursun Can Tekaüt</t>
  </si>
  <si>
    <t>Münevver Büşra Karamık</t>
  </si>
  <si>
    <t>Hasan Karadağ</t>
  </si>
  <si>
    <t>Uğur Sayın</t>
  </si>
  <si>
    <t>Ramazan Yalçın</t>
  </si>
  <si>
    <t>Gözde Akyıldız</t>
  </si>
  <si>
    <t>Gözde Aras</t>
  </si>
  <si>
    <t>Cem Şahinbaş</t>
  </si>
  <si>
    <t>Barış Çalışır</t>
  </si>
  <si>
    <t>Kıymet Dönmez</t>
  </si>
  <si>
    <t>Yasemin Yaman</t>
  </si>
  <si>
    <t>Ahmet Kubat</t>
  </si>
  <si>
    <t>Meltem Sarsimen</t>
  </si>
  <si>
    <t>Songül Dinç</t>
  </si>
  <si>
    <t>Mercan Balcı</t>
  </si>
  <si>
    <t>Kemal Ahmet Can Turgut</t>
  </si>
  <si>
    <t>Sedat Bulut</t>
  </si>
  <si>
    <t>Fatma Soley Aygüler</t>
  </si>
  <si>
    <t>Yusuf Abbas</t>
  </si>
  <si>
    <t>Baran Berber</t>
  </si>
  <si>
    <t>Merve Özkan</t>
  </si>
  <si>
    <t>Fatma Sürmelioğlu</t>
  </si>
  <si>
    <t>Buket Fidan</t>
  </si>
  <si>
    <t>Alpaslan Bayrak</t>
  </si>
  <si>
    <t>Kübra Türk</t>
  </si>
  <si>
    <t>Abdullah Alper Yılmaz</t>
  </si>
  <si>
    <t>Songül Melikoğlu</t>
  </si>
  <si>
    <t>Hüseyin Özkan</t>
  </si>
  <si>
    <t>Melis Yeğni</t>
  </si>
  <si>
    <t>Yusuf Talha Köse</t>
  </si>
  <si>
    <t>Sevim Çavuş</t>
  </si>
  <si>
    <t>Fatma Gümüş</t>
  </si>
  <si>
    <t>Seda Çakır</t>
  </si>
  <si>
    <t>Burhanettin Kocapicak</t>
  </si>
  <si>
    <t>Elif Vardı</t>
  </si>
  <si>
    <t>Sibel Dinç</t>
  </si>
  <si>
    <t>Aleyna Yüksek Sönmez</t>
  </si>
  <si>
    <t>Hacer Keser</t>
  </si>
  <si>
    <t>Serhat Tufan</t>
  </si>
  <si>
    <t>Seda Kara Haphap</t>
  </si>
  <si>
    <t>Berat Aksoy</t>
  </si>
  <si>
    <t>Soner Aydın</t>
  </si>
  <si>
    <t>Meryem Kurt</t>
  </si>
  <si>
    <t>Gülden Arslan</t>
  </si>
  <si>
    <t>Emine Sevim</t>
  </si>
  <si>
    <t>Cemile Demirtaş</t>
  </si>
  <si>
    <t>Tuğba Sertoğlu</t>
  </si>
  <si>
    <t>Handan Akgün</t>
  </si>
  <si>
    <t>Gamze Gül Mavili Arıkazan</t>
  </si>
  <si>
    <t>Ekin Şahin</t>
  </si>
  <si>
    <t>Muradiye Kıral</t>
  </si>
  <si>
    <t>Sibel Hıdır</t>
  </si>
  <si>
    <t>Esra Zihni</t>
  </si>
  <si>
    <t>Feyyaz Geylanlı</t>
  </si>
  <si>
    <t>Aybike Dertli</t>
  </si>
  <si>
    <t>Can Hasan Ali Çavuş</t>
  </si>
  <si>
    <t>Ümre Aydemir</t>
  </si>
  <si>
    <t>Levent Taşdemir</t>
  </si>
  <si>
    <t>Melek Yüksek</t>
  </si>
  <si>
    <t>BURSA İNEGÖL İNEVİA</t>
  </si>
  <si>
    <t>Gülfidan Ekşi</t>
  </si>
  <si>
    <t>İlknur Yanık</t>
  </si>
  <si>
    <t>Gonca Karataş</t>
  </si>
  <si>
    <t>Selen Talaz</t>
  </si>
  <si>
    <t>Hilal Türkan</t>
  </si>
  <si>
    <t>Halise Dal</t>
  </si>
  <si>
    <t>Fatih Köker</t>
  </si>
  <si>
    <t>Ayşen Demir</t>
  </si>
  <si>
    <t>Fatma Genç Çakıroğlu</t>
  </si>
  <si>
    <t>Semra Kaya</t>
  </si>
  <si>
    <t>Emre Bozaner</t>
  </si>
  <si>
    <t>Fikret Aksın</t>
  </si>
  <si>
    <t>Ferhat Yılmaz</t>
  </si>
  <si>
    <t>Ayşin Aslan</t>
  </si>
  <si>
    <t>Merve Kaya</t>
  </si>
  <si>
    <t>Yonca Çil</t>
  </si>
  <si>
    <t>Saime Karakılıç</t>
  </si>
  <si>
    <t>Elif Eker Bulut</t>
  </si>
  <si>
    <t>Ceren Uzun</t>
  </si>
  <si>
    <t>Ali Hattapoğlu</t>
  </si>
  <si>
    <t>Gözde Karadeniz</t>
  </si>
  <si>
    <t>Büşra Durmuş</t>
  </si>
  <si>
    <t>Dilek Ceyhan</t>
  </si>
  <si>
    <t>Yasemin Adıgüzelli</t>
  </si>
  <si>
    <t>Ferhat Yıldıran</t>
  </si>
  <si>
    <t>Nurdan Ova</t>
  </si>
  <si>
    <t>Rana Üzülmez</t>
  </si>
  <si>
    <t>Özgür Yıldırım</t>
  </si>
  <si>
    <t>Berk Atalay</t>
  </si>
  <si>
    <t>Sevgi Okur</t>
  </si>
  <si>
    <t>Betül Arslan</t>
  </si>
  <si>
    <t>Volkan Altaş</t>
  </si>
  <si>
    <t>Emre Savaş</t>
  </si>
  <si>
    <t>Seda Nur Civan</t>
  </si>
  <si>
    <t>Handan Kekiker</t>
  </si>
  <si>
    <t>Metin Çilsal</t>
  </si>
  <si>
    <t>Mehtap Özcan</t>
  </si>
  <si>
    <t>Goncagül Kızıl</t>
  </si>
  <si>
    <t>Veda Akyazı</t>
  </si>
  <si>
    <t>Aslıhan Güler</t>
  </si>
  <si>
    <t>Gülşah Balcı</t>
  </si>
  <si>
    <t>Rümeysa Yeşil</t>
  </si>
  <si>
    <t>Banu Kaymaz</t>
  </si>
  <si>
    <t>İbrahim Nedim Tağtekin</t>
  </si>
  <si>
    <t>Dilek Küççük</t>
  </si>
  <si>
    <t>Mustafa Gülenç</t>
  </si>
  <si>
    <t>Gamze Muti</t>
  </si>
  <si>
    <t>Nuray Kocacık</t>
  </si>
  <si>
    <t>Dilek Mumcu</t>
  </si>
  <si>
    <t>Saliha Beyaz</t>
  </si>
  <si>
    <t>Zekiye Şahin</t>
  </si>
  <si>
    <t>Türkan Çetin Hırlak</t>
  </si>
  <si>
    <t>Sena Büyükyazıcı</t>
  </si>
  <si>
    <t>Barış Evyapan</t>
  </si>
  <si>
    <t>Niyazi Koçak</t>
  </si>
  <si>
    <t>Remziye Yaman</t>
  </si>
  <si>
    <t>Gökçe Mert</t>
  </si>
  <si>
    <t>Zeynep Çakmaz</t>
  </si>
  <si>
    <t>Ece Bulut</t>
  </si>
  <si>
    <t>İrem Kütükoğlu</t>
  </si>
  <si>
    <t>Erhan Arı</t>
  </si>
  <si>
    <t>Görkem Tokaç</t>
  </si>
  <si>
    <t>Kadir Yılmaz</t>
  </si>
  <si>
    <t>Gizem Şenkul</t>
  </si>
  <si>
    <t>Özge Ayhan</t>
  </si>
  <si>
    <t>Ali İsmet Gül</t>
  </si>
  <si>
    <t>Melek Gönül Kaya</t>
  </si>
  <si>
    <t>Şeydanur Çolak</t>
  </si>
  <si>
    <t>Habibe Nurevşan Erdik</t>
  </si>
  <si>
    <t>Selvi Şenay Ülger</t>
  </si>
  <si>
    <t>Mehmet Ürünveren</t>
  </si>
  <si>
    <t>Emre Alptekin</t>
  </si>
  <si>
    <t>Ömer Yıldırım</t>
  </si>
  <si>
    <t>Burcu Turan</t>
  </si>
  <si>
    <t>Melike Uğur</t>
  </si>
  <si>
    <t>Demet Karadağ</t>
  </si>
  <si>
    <t>Fatma Mastar</t>
  </si>
  <si>
    <t>Emre Dalma</t>
  </si>
  <si>
    <t>Ayşe Topkara</t>
  </si>
  <si>
    <t>Özgür Ak</t>
  </si>
  <si>
    <t>Yusuf Eperen</t>
  </si>
  <si>
    <t>Nazım Aydın</t>
  </si>
  <si>
    <t>Havva Karataş</t>
  </si>
  <si>
    <t>Hazal Alkan</t>
  </si>
  <si>
    <t>Ümmühan Öz</t>
  </si>
  <si>
    <t>Dilek Kaçar</t>
  </si>
  <si>
    <t>Hacer Demir</t>
  </si>
  <si>
    <t>Alpaslan Sarıaslan</t>
  </si>
  <si>
    <t>Hüseyin Kaya</t>
  </si>
  <si>
    <t>Ramazan Turan</t>
  </si>
  <si>
    <t>Tamay Baykal</t>
  </si>
  <si>
    <t>Gülcan Aktaş</t>
  </si>
  <si>
    <t>Gülşah Yılmaz</t>
  </si>
  <si>
    <t>Arda Kabakçı</t>
  </si>
  <si>
    <t>Mert Kovancılar</t>
  </si>
  <si>
    <t>Sevda Merger</t>
  </si>
  <si>
    <t>Esra Ortaç</t>
  </si>
  <si>
    <t>Eylem Aydın</t>
  </si>
  <si>
    <t>Merve Çelik</t>
  </si>
  <si>
    <t>Hesna Koşar</t>
  </si>
  <si>
    <t>Senem Çoban</t>
  </si>
  <si>
    <t>Hayati Burak Örücü</t>
  </si>
  <si>
    <t>Esra Çelik</t>
  </si>
  <si>
    <t>Sevim Küce</t>
  </si>
  <si>
    <t>Giray Arık</t>
  </si>
  <si>
    <t>Ceren Aras</t>
  </si>
  <si>
    <t>Sema Küçük</t>
  </si>
  <si>
    <t>Umutcan Yarıcı</t>
  </si>
  <si>
    <t>Saniye Gül</t>
  </si>
  <si>
    <t>Sultan Yalçın</t>
  </si>
  <si>
    <t>Ceren Türköz</t>
  </si>
  <si>
    <t>Mehtap Özcanlı</t>
  </si>
  <si>
    <t>Fatma Kurtoğlu</t>
  </si>
  <si>
    <t>Berivan Yaşar</t>
  </si>
  <si>
    <t>Sevgi Yağız</t>
  </si>
  <si>
    <t>Gürkan Muhammet Binkanat</t>
  </si>
  <si>
    <t>Ayşegül Arabacıoğlu</t>
  </si>
  <si>
    <t>Serkan Ünlü</t>
  </si>
  <si>
    <t>Enes Ertürk</t>
  </si>
  <si>
    <t>Nazan Öz</t>
  </si>
  <si>
    <t>Gülay Gencer</t>
  </si>
  <si>
    <t>İclal Tellioğlu</t>
  </si>
  <si>
    <t>Bülent Teluzadan</t>
  </si>
  <si>
    <t>Mehmet Çakmak</t>
  </si>
  <si>
    <t>Taylan Aslan</t>
  </si>
  <si>
    <t>Hacer Bilginer</t>
  </si>
  <si>
    <t>Aslı Çiftçi</t>
  </si>
  <si>
    <t>Münüre Çınak</t>
  </si>
  <si>
    <t>Elif Gökgöz</t>
  </si>
  <si>
    <t>Nurselin Altıncac</t>
  </si>
  <si>
    <t>Tuğçe Aksoy</t>
  </si>
  <si>
    <t>Ayhan Demir</t>
  </si>
  <si>
    <t>Esma Canaran</t>
  </si>
  <si>
    <t>Gülay Koca</t>
  </si>
  <si>
    <t>Nazan Aslan</t>
  </si>
  <si>
    <t>Kübra Gürler</t>
  </si>
  <si>
    <t>Yasemin Güney</t>
  </si>
  <si>
    <t>Muhammet Emin Doğan</t>
  </si>
  <si>
    <t>Zeynep Erol</t>
  </si>
  <si>
    <t>Emel Kahveci</t>
  </si>
  <si>
    <t>Songül Aktaş</t>
  </si>
  <si>
    <t>Ömer Güler</t>
  </si>
  <si>
    <t>Gülcan Gülümser</t>
  </si>
  <si>
    <t>Vildan Gümüşçü</t>
  </si>
  <si>
    <t>Rabia Tigis</t>
  </si>
  <si>
    <t>Evrim Yıldırım</t>
  </si>
  <si>
    <t>Mehmet Yıldız</t>
  </si>
  <si>
    <t>Şüheda Yavuz</t>
  </si>
  <si>
    <t>Sevinç Tokaç</t>
  </si>
  <si>
    <t>Ceren Zeren Tokyay</t>
  </si>
  <si>
    <t>Yıldız Özel</t>
  </si>
  <si>
    <t>Meltem Tepedibi</t>
  </si>
  <si>
    <t>Selma Bülbül</t>
  </si>
  <si>
    <t>Fatih Özyıldırım</t>
  </si>
  <si>
    <t>Zafer Demir</t>
  </si>
  <si>
    <t>Buse Yeliz Bozacı</t>
  </si>
  <si>
    <t>Özge Duran</t>
  </si>
  <si>
    <t>Sencer Çindemir</t>
  </si>
  <si>
    <t>Hilal Vay</t>
  </si>
  <si>
    <t>Büşra Demet</t>
  </si>
  <si>
    <t>Ecem Demirelli</t>
  </si>
  <si>
    <t>Sinem Demircan</t>
  </si>
  <si>
    <t>Kardelen Seldüz</t>
  </si>
  <si>
    <t>Canan Suday</t>
  </si>
  <si>
    <t>Gülsen Solak</t>
  </si>
  <si>
    <t>Şevval Kaya</t>
  </si>
  <si>
    <t>Elif Özdemir</t>
  </si>
  <si>
    <t>Semanur Coşgun</t>
  </si>
  <si>
    <t>Ayşenur Şahin</t>
  </si>
  <si>
    <t>Ahmet Yorulmaz</t>
  </si>
  <si>
    <t>İkbal Taşkıran</t>
  </si>
  <si>
    <t>Ayşe Çakır</t>
  </si>
  <si>
    <t>Ecem Öztan</t>
  </si>
  <si>
    <t>Yavuz Taşçıoğlu</t>
  </si>
  <si>
    <t>Taner Çalışkan</t>
  </si>
  <si>
    <t>Rabia Dokur Özger</t>
  </si>
  <si>
    <t>Merve Şekeroğlu</t>
  </si>
  <si>
    <t>Dilan Özçelik</t>
  </si>
  <si>
    <t>Sedat Kalkan</t>
  </si>
  <si>
    <t>Duysal Benli</t>
  </si>
  <si>
    <t>Mehmet Koyuncu</t>
  </si>
  <si>
    <t>Kutlu Dinç</t>
  </si>
  <si>
    <t>Asena Öztürk</t>
  </si>
  <si>
    <t>Ceren Karaçeper</t>
  </si>
  <si>
    <t>Yağmur Demirel</t>
  </si>
  <si>
    <t>Gizem Öz</t>
  </si>
  <si>
    <t>Handenur Şengül</t>
  </si>
  <si>
    <t>Burak Dişbudak</t>
  </si>
  <si>
    <t>Hatice Aydın</t>
  </si>
  <si>
    <t>Gülşen İriş Bayraktar</t>
  </si>
  <si>
    <t>Lokman Beyaz</t>
  </si>
  <si>
    <t>Gülşen Üstün</t>
  </si>
  <si>
    <t>Aylin Akkaya</t>
  </si>
  <si>
    <t>Merve Demirkul</t>
  </si>
  <si>
    <t>Duygu Bayrı</t>
  </si>
  <si>
    <t>Yeşim Tanaç</t>
  </si>
  <si>
    <t>Hasan Çelik</t>
  </si>
  <si>
    <t>Ceyda Şahin</t>
  </si>
  <si>
    <t>Cansu Arslan</t>
  </si>
  <si>
    <t>Emel Çiçek</t>
  </si>
  <si>
    <t>Esra Özker</t>
  </si>
  <si>
    <t>Selma Baştın</t>
  </si>
  <si>
    <t>Melike Yücel</t>
  </si>
  <si>
    <t>Tülay Temirtoy</t>
  </si>
  <si>
    <t>Fırat Ovalı</t>
  </si>
  <si>
    <t>Şefika Özcanlı</t>
  </si>
  <si>
    <t>Güzide Acer</t>
  </si>
  <si>
    <t>Hilal Cesur</t>
  </si>
  <si>
    <t>Fatih Aktaş</t>
  </si>
  <si>
    <t>Sinem Eser</t>
  </si>
  <si>
    <t>Enes Kale</t>
  </si>
  <si>
    <t>Buket Tekalp</t>
  </si>
  <si>
    <t>Habibe Derebaş</t>
  </si>
  <si>
    <t>Merve Nur Gök</t>
  </si>
  <si>
    <t>Cahide Baytar</t>
  </si>
  <si>
    <t>Arzu Erol</t>
  </si>
  <si>
    <t>Aleyna Selim</t>
  </si>
  <si>
    <t>Miray Ayar</t>
  </si>
  <si>
    <t>Nisa Memnune Özyurt</t>
  </si>
  <si>
    <t>Nimet Baştürk</t>
  </si>
  <si>
    <t>Alper Kılıç</t>
  </si>
  <si>
    <t>Burak Doğan</t>
  </si>
  <si>
    <t>Muhammed Durmuş</t>
  </si>
  <si>
    <t>Gülşah Arslantürk</t>
  </si>
  <si>
    <t>Ali Can Özdemir</t>
  </si>
  <si>
    <t>Senem Öz</t>
  </si>
  <si>
    <t>Batuhan Karadeniz</t>
  </si>
  <si>
    <t>Duygu Yeğen</t>
  </si>
  <si>
    <t>Umut Tutal</t>
  </si>
  <si>
    <t>Buket Masat</t>
  </si>
  <si>
    <t>Remzi Ezgin</t>
  </si>
  <si>
    <t>Müşrika Deniz</t>
  </si>
  <si>
    <t>Gürkan Kırdök</t>
  </si>
  <si>
    <t>Hacer Sarıboğa</t>
  </si>
  <si>
    <t>Saime Solayak</t>
  </si>
  <si>
    <t>Sema Nur Erdem</t>
  </si>
  <si>
    <t>Ecem Kutlu</t>
  </si>
  <si>
    <t>Turgut Özbey</t>
  </si>
  <si>
    <t>Emine Şura Şanver</t>
  </si>
  <si>
    <t>Nihal Can</t>
  </si>
  <si>
    <t>Ahmet Karaağaç</t>
  </si>
  <si>
    <t>Buket Kolukısaoğlu</t>
  </si>
  <si>
    <t>Yıldız Kılıç</t>
  </si>
  <si>
    <t>Muhammed Emre Bayseçkin</t>
  </si>
  <si>
    <t>Kübra Güneş</t>
  </si>
  <si>
    <t>Büşra Kosa</t>
  </si>
  <si>
    <t>Hüseyin Kotan</t>
  </si>
  <si>
    <t>Muhammed Mustafa Güldalı</t>
  </si>
  <si>
    <t>Fatime Altunışık</t>
  </si>
  <si>
    <t>Tunahan Örs</t>
  </si>
  <si>
    <t>Gülay Atar</t>
  </si>
  <si>
    <t>Nedim Can Eker</t>
  </si>
  <si>
    <t>Büşra Erol</t>
  </si>
  <si>
    <t>Ömer Faruk Durmuş Yazçiçek</t>
  </si>
  <si>
    <t>Esra Gündüz</t>
  </si>
  <si>
    <t>Hacı Ahmet Nacar</t>
  </si>
  <si>
    <t>Beste Bahçeci</t>
  </si>
  <si>
    <t>Semra Türkmen</t>
  </si>
  <si>
    <t>Zeynep Ordu</t>
  </si>
  <si>
    <t>Hüseyin Gökhan Tunç</t>
  </si>
  <si>
    <t>Merve Özcanlı</t>
  </si>
  <si>
    <t>Nilüfer Üçer Ay</t>
  </si>
  <si>
    <t>Ayşe Kamış</t>
  </si>
  <si>
    <t>Güler Kesman</t>
  </si>
  <si>
    <t>Zeynep Kut</t>
  </si>
  <si>
    <t>Emriye Ayyıldız</t>
  </si>
  <si>
    <t>Muhammet Emirhan Güzelkan</t>
  </si>
  <si>
    <t>İlayda Çakmaz</t>
  </si>
  <si>
    <t>Zuhal Ovalıoğlu</t>
  </si>
  <si>
    <t>Fehime Yıldız</t>
  </si>
  <si>
    <t>Ece Parlak</t>
  </si>
  <si>
    <t>Ertuğrul Can Bayraklı</t>
  </si>
  <si>
    <t>İshak Pektaş</t>
  </si>
  <si>
    <t>Sema Canbaz</t>
  </si>
  <si>
    <t>Fadime Efe</t>
  </si>
  <si>
    <t>Merve Uluşahin</t>
  </si>
  <si>
    <t>Hayriye Güneş Kıvanç</t>
  </si>
  <si>
    <t>Mert Kırkaya</t>
  </si>
  <si>
    <t>Didem Özdemir</t>
  </si>
  <si>
    <t>Nurten Feyzioğlu</t>
  </si>
  <si>
    <t>Mehmet Erdem Sağ</t>
  </si>
  <si>
    <t>Zinaida Cengizel</t>
  </si>
  <si>
    <t>Hatice Demir</t>
  </si>
  <si>
    <t>Eren Şengül</t>
  </si>
  <si>
    <t>Özge Nur Gökmen</t>
  </si>
  <si>
    <t>Alev Bitnel</t>
  </si>
  <si>
    <t>Elif Polat</t>
  </si>
  <si>
    <t>Emel Çolak</t>
  </si>
  <si>
    <t>Hasibe Yumuşak</t>
  </si>
  <si>
    <t>Arife Karakoç</t>
  </si>
  <si>
    <t>Ayşe Gül Oğuztürk</t>
  </si>
  <si>
    <t>Meral Uçar</t>
  </si>
  <si>
    <t>Asiye Koçyiğit</t>
  </si>
  <si>
    <t>Şeniz Şentürk</t>
  </si>
  <si>
    <t>Nazlı Çalı</t>
  </si>
  <si>
    <t>Mustafa Baki</t>
  </si>
  <si>
    <t>Ayşegül Albayrak</t>
  </si>
  <si>
    <t>Merve Sündüz Gezer</t>
  </si>
  <si>
    <t>Mayizer Şabudak</t>
  </si>
  <si>
    <t>Korhan Külçe</t>
  </si>
  <si>
    <t>Murat Ergelen</t>
  </si>
  <si>
    <t>Nedim Zakri</t>
  </si>
  <si>
    <t>Nurseli Ayık</t>
  </si>
  <si>
    <t>Meryem Şahbaz</t>
  </si>
  <si>
    <t>İpek Mersin</t>
  </si>
  <si>
    <t>Meryem Tepe</t>
  </si>
  <si>
    <t>Kadriye Civelek</t>
  </si>
  <si>
    <t>Hüseyin Yekdeş</t>
  </si>
  <si>
    <t>Yeşim Kaya</t>
  </si>
  <si>
    <t>Melahat Duman</t>
  </si>
  <si>
    <t>Kadriye Türker</t>
  </si>
  <si>
    <t>Selin Kürkçü</t>
  </si>
  <si>
    <t>Nefize Tabak</t>
  </si>
  <si>
    <t>Nihan Çetin</t>
  </si>
  <si>
    <t>Makbule Karadağ</t>
  </si>
  <si>
    <t>Engin Deniz Kaplan</t>
  </si>
  <si>
    <t>Zeynep Dağlı</t>
  </si>
  <si>
    <t>Elmas Ütebay</t>
  </si>
  <si>
    <t>Aleyna Beşli</t>
  </si>
  <si>
    <t>Arife Yayla</t>
  </si>
  <si>
    <t>Aslı Yılmaz</t>
  </si>
  <si>
    <t>Melis Yalak</t>
  </si>
  <si>
    <t>Ayşe Konuş</t>
  </si>
  <si>
    <t>Hatice Ümra Ayhan</t>
  </si>
  <si>
    <t>Feryal Aktoğ</t>
  </si>
  <si>
    <t>Melahat Türkoğlu</t>
  </si>
  <si>
    <t>Pelin Adak</t>
  </si>
  <si>
    <t>Şermin Ertem</t>
  </si>
  <si>
    <t>Hülya Yıldırım</t>
  </si>
  <si>
    <t>Serhat Gümüş</t>
  </si>
  <si>
    <t>Makbule Gümüş</t>
  </si>
  <si>
    <t>Fatma Tekin</t>
  </si>
  <si>
    <t>Makbule Deniz</t>
  </si>
  <si>
    <t>Kader Geyik</t>
  </si>
  <si>
    <t>Ömürsan Küç</t>
  </si>
  <si>
    <t>Fatma Kaya</t>
  </si>
  <si>
    <t>Keziban Özcivan</t>
  </si>
  <si>
    <t>Birkan Aşkarak</t>
  </si>
  <si>
    <t>Tuğba Çetin</t>
  </si>
  <si>
    <t>Zelal Ay</t>
  </si>
  <si>
    <t>Enes Ezer</t>
  </si>
  <si>
    <t>Muhammet Çatan</t>
  </si>
  <si>
    <t>Selver Aslı Yurtseven</t>
  </si>
  <si>
    <t>Furkan Aksoy</t>
  </si>
  <si>
    <t>Seray Uzunkara</t>
  </si>
  <si>
    <t>Güner Ağan</t>
  </si>
  <si>
    <t>Mervenur Dursun</t>
  </si>
  <si>
    <t>Zehra Kaya</t>
  </si>
  <si>
    <t>Nurettin Abacı</t>
  </si>
  <si>
    <t>Derya Demiryas</t>
  </si>
  <si>
    <t>Mert Kurtoğlu</t>
  </si>
  <si>
    <t>Aslıhan Civelek</t>
  </si>
  <si>
    <t>Seda Akkül Baran</t>
  </si>
  <si>
    <t>Başak Çınar</t>
  </si>
  <si>
    <t>Nazlı Keleş</t>
  </si>
  <si>
    <t>Buket Aksüt</t>
  </si>
  <si>
    <t>Mustafa Çakır</t>
  </si>
  <si>
    <t>Öznur Almatopu</t>
  </si>
  <si>
    <t>Umutcan Kişecüklü</t>
  </si>
  <si>
    <t>Beritan Toftik</t>
  </si>
  <si>
    <t>Mustafa Kerem Yılmaz</t>
  </si>
  <si>
    <t>Rümeysa Kaya</t>
  </si>
  <si>
    <t>Hilal Ürek</t>
  </si>
  <si>
    <t>Derya Dilek</t>
  </si>
  <si>
    <t>Samet Üzer</t>
  </si>
  <si>
    <t>Sıla Çelik</t>
  </si>
  <si>
    <t>Mehmet Süren</t>
  </si>
  <si>
    <t>Buse Eken</t>
  </si>
  <si>
    <t>Müge Göral</t>
  </si>
  <si>
    <t>Güler Gökçay</t>
  </si>
  <si>
    <t>Muhammed Mustafa Yiyit</t>
  </si>
  <si>
    <t>Nursima Atabay</t>
  </si>
  <si>
    <t>Cansu Anaz</t>
  </si>
  <si>
    <t>Rojin Özkaya</t>
  </si>
  <si>
    <t>Zeynep Çakıroğlu</t>
  </si>
  <si>
    <t>Rümeysa Bölükbaş</t>
  </si>
  <si>
    <t>Burak Gelne</t>
  </si>
  <si>
    <t>Nur Özusta</t>
  </si>
  <si>
    <t>Rabia İli</t>
  </si>
  <si>
    <t>Ağgül Taştan</t>
  </si>
  <si>
    <t>Betül Çavdar</t>
  </si>
  <si>
    <t>Fatma Kar</t>
  </si>
  <si>
    <t>Duygu Battım</t>
  </si>
  <si>
    <t>Merve Çakar</t>
  </si>
  <si>
    <t>Merve Yıldırım</t>
  </si>
  <si>
    <t>Tuğba Özçelik</t>
  </si>
  <si>
    <t>Sema Demir</t>
  </si>
  <si>
    <t>Hatice Köse</t>
  </si>
  <si>
    <t>Gülümser Uzun</t>
  </si>
  <si>
    <t>Gamze Arslan</t>
  </si>
  <si>
    <t>Gizem Karaoğlan</t>
  </si>
  <si>
    <t>Ebru Salkı</t>
  </si>
  <si>
    <t>Nurgül Akpınar</t>
  </si>
  <si>
    <t>Mustafa Furkan Duman</t>
  </si>
  <si>
    <t>Kübra Yıldırım</t>
  </si>
  <si>
    <t>Lefika Kurnaz</t>
  </si>
  <si>
    <t>Dilara Öner</t>
  </si>
  <si>
    <t>Şeyma Çelik Sancı</t>
  </si>
  <si>
    <t>Tuğba Yıldırım</t>
  </si>
  <si>
    <t>Kısmet Şahin</t>
  </si>
  <si>
    <t>Aysel Durmuş</t>
  </si>
  <si>
    <t>Yadigar Göreli</t>
  </si>
  <si>
    <t>Sercan Ağaoğlu</t>
  </si>
  <si>
    <t>Yusuf Savcı</t>
  </si>
  <si>
    <t>Melike Gülten</t>
  </si>
  <si>
    <t>Sonay Bozkurt</t>
  </si>
  <si>
    <t>İshak Sak</t>
  </si>
  <si>
    <t>Güzide Çolak</t>
  </si>
  <si>
    <t>Enver Demir</t>
  </si>
  <si>
    <t>Batuhan Kabadayı</t>
  </si>
  <si>
    <t>Emine Çetinkaya</t>
  </si>
  <si>
    <t>Hacer Namlı</t>
  </si>
  <si>
    <t>Damla Naz Yalçınkaya</t>
  </si>
  <si>
    <t>Ayşe İnce</t>
  </si>
  <si>
    <t>Şefika Kurt</t>
  </si>
  <si>
    <t>Naime İlkay Oturakçı</t>
  </si>
  <si>
    <t>Özün Sürmen</t>
  </si>
  <si>
    <t>Ayşe Gülener</t>
  </si>
  <si>
    <t>Kartal Bağlıoğlu</t>
  </si>
  <si>
    <t>Hüsne Yavaş</t>
  </si>
  <si>
    <t>Şule Avcu</t>
  </si>
  <si>
    <t>Talha Sarıboğa</t>
  </si>
  <si>
    <t>Tuğba Döğdü</t>
  </si>
  <si>
    <t>Şule Turna</t>
  </si>
  <si>
    <t>Meral Akot</t>
  </si>
  <si>
    <t>İlayda Saçar</t>
  </si>
  <si>
    <t>Samet Parlak</t>
  </si>
  <si>
    <t>Hedibe Kırmak</t>
  </si>
  <si>
    <t>Ramazan Işık</t>
  </si>
  <si>
    <t>Mesut Baytok</t>
  </si>
  <si>
    <t>Aylin Doğman</t>
  </si>
  <si>
    <t>Fazilet Arslan</t>
  </si>
  <si>
    <t>Nevin Tulu</t>
  </si>
  <si>
    <t>Kübra Yapaklı</t>
  </si>
  <si>
    <t>Başak Kaşkaya</t>
  </si>
  <si>
    <t>Emre Köseoğlu</t>
  </si>
  <si>
    <t>Zehra Aktuğ</t>
  </si>
  <si>
    <t>Rabiya Yaşa</t>
  </si>
  <si>
    <t>Esra Varlıoğlu</t>
  </si>
  <si>
    <t>Meral Alayont</t>
  </si>
  <si>
    <t>Berkat Ayabak</t>
  </si>
  <si>
    <t>Gizem Cerit</t>
  </si>
  <si>
    <t>İlknur Eroğlu</t>
  </si>
  <si>
    <t>Elif Erdoğan</t>
  </si>
  <si>
    <t>İfakat Yılmaz</t>
  </si>
  <si>
    <t>Aleyna Şekerci</t>
  </si>
  <si>
    <t>Serra Suyabatmaz Altun</t>
  </si>
  <si>
    <t>Funda Mizirak</t>
  </si>
  <si>
    <t>Fatih Can Kuru</t>
  </si>
  <si>
    <t>Betül Dal</t>
  </si>
  <si>
    <t>Ali İmran Çakıcı</t>
  </si>
  <si>
    <t>Arzu Devran</t>
  </si>
  <si>
    <t>Fatıma Hatun Sığanık</t>
  </si>
  <si>
    <t>Havva Çağlayan</t>
  </si>
  <si>
    <t>Sevim Gül Genç</t>
  </si>
  <si>
    <t>İrem Yalım</t>
  </si>
  <si>
    <t>Nurdan Sakarya</t>
  </si>
  <si>
    <t>Sümeyye Öner</t>
  </si>
  <si>
    <t>Kurşat Enes Yurttaş</t>
  </si>
  <si>
    <t>Berkay Nusret İzci</t>
  </si>
  <si>
    <t>Emine Bilgiç</t>
  </si>
  <si>
    <t>Sema Yavuz Köse</t>
  </si>
  <si>
    <t>Feride Özaslan</t>
  </si>
  <si>
    <t>Ece Karakaya</t>
  </si>
  <si>
    <t>Halime Koca</t>
  </si>
  <si>
    <t>Mert Dinmez</t>
  </si>
  <si>
    <t>İlksen Al</t>
  </si>
  <si>
    <t>Gamze Çolak</t>
  </si>
  <si>
    <t>Sema Turan</t>
  </si>
  <si>
    <t>Yeşim Değdaş</t>
  </si>
  <si>
    <t>Ahmet Ayral</t>
  </si>
  <si>
    <t>Yaprak Çetin</t>
  </si>
  <si>
    <t>Ercan Karaküçük</t>
  </si>
  <si>
    <t>Ceren Söylemez</t>
  </si>
  <si>
    <t>Ebru Yeşilyurt</t>
  </si>
  <si>
    <t>Kader Alemdar</t>
  </si>
  <si>
    <t>Selin Ceren Bindal</t>
  </si>
  <si>
    <t>Fahrettin Can Meran</t>
  </si>
  <si>
    <t>Süleyman Efe Tutuş</t>
  </si>
  <si>
    <t>Yunus Emre Seçen</t>
  </si>
  <si>
    <t>Nilay İpek</t>
  </si>
  <si>
    <t>Hatice Çelikkol</t>
  </si>
  <si>
    <t>Neşe Bölükbaşı</t>
  </si>
  <si>
    <t>Rabia Şenol</t>
  </si>
  <si>
    <t>Fatih Kandemir</t>
  </si>
  <si>
    <t>Gamze Saygı</t>
  </si>
  <si>
    <t>Feyzanur Zehiroğlu</t>
  </si>
  <si>
    <t>Kevser Karalar</t>
  </si>
  <si>
    <t>Sedat Kolukırık</t>
  </si>
  <si>
    <t>Ekrem Keşikli</t>
  </si>
  <si>
    <t>Ramazan Kurt</t>
  </si>
  <si>
    <t>Azat Dayanan</t>
  </si>
  <si>
    <t>Nurten Suluoğlu</t>
  </si>
  <si>
    <t>Furkan Sakar</t>
  </si>
  <si>
    <t>İlbey Ayyıldız</t>
  </si>
  <si>
    <t>Abdullah Aksoy</t>
  </si>
  <si>
    <t>Ayten Bulut</t>
  </si>
  <si>
    <t>Emirhan Yazıcıoğlu</t>
  </si>
  <si>
    <t>Sure Varışlı Şerbetçi</t>
  </si>
  <si>
    <t>Levent Demir</t>
  </si>
  <si>
    <t>Merve Beyhan</t>
  </si>
  <si>
    <t>Akif Utku Çakır</t>
  </si>
  <si>
    <t>Gözde Nur Evli</t>
  </si>
  <si>
    <t>Berfin Kocabey</t>
  </si>
  <si>
    <t>Erdem Bilgi</t>
  </si>
  <si>
    <t>Zühre Naz Çağlayan</t>
  </si>
  <si>
    <t>Kader Ata</t>
  </si>
  <si>
    <t>Eyyüp Varol</t>
  </si>
  <si>
    <t>Asude Nur Ay</t>
  </si>
  <si>
    <t>Yaren Özdemir</t>
  </si>
  <si>
    <t>Şimal Pirneci</t>
  </si>
  <si>
    <t>Sevim Arasin</t>
  </si>
  <si>
    <t>Gülenay Türk Güler</t>
  </si>
  <si>
    <t>Seda Meşeci</t>
  </si>
  <si>
    <t>Merve Yaşın</t>
  </si>
  <si>
    <t>Nursena Erol</t>
  </si>
  <si>
    <t>Nurşen Gürkan</t>
  </si>
  <si>
    <t>Beytullah İba</t>
  </si>
  <si>
    <t>Samet Kaya</t>
  </si>
  <si>
    <t>Büşranur Metin</t>
  </si>
  <si>
    <t>İlkay Alper Polat</t>
  </si>
  <si>
    <t>Yağmur Şahin</t>
  </si>
  <si>
    <t>Perihan Göktaş</t>
  </si>
  <si>
    <t>Hacer Gürbüz</t>
  </si>
  <si>
    <t>Nigar Kurt</t>
  </si>
  <si>
    <t>Zeynep Coşan</t>
  </si>
  <si>
    <t>Yeliz Özgül</t>
  </si>
  <si>
    <t>Özge Özcan</t>
  </si>
  <si>
    <t>Beyda Bakman</t>
  </si>
  <si>
    <t>Emre Kandemir</t>
  </si>
  <si>
    <t>Gizem Acar</t>
  </si>
  <si>
    <t>Cengiz Han Kazak</t>
  </si>
  <si>
    <t>Neriman Çelik</t>
  </si>
  <si>
    <t>Minel Mukaddes Demir</t>
  </si>
  <si>
    <t>Nalan Hüsam</t>
  </si>
  <si>
    <t>Gizem Keskin</t>
  </si>
  <si>
    <t>Neslihan Vuran</t>
  </si>
  <si>
    <t>Emel İncekara Kaymak</t>
  </si>
  <si>
    <t>Meral Kılıç</t>
  </si>
  <si>
    <t>Tolgahan Türer</t>
  </si>
  <si>
    <t>Ömercan Çarıkçı</t>
  </si>
  <si>
    <t>Hilal Kırtan</t>
  </si>
  <si>
    <t>Batuhan Özbir</t>
  </si>
  <si>
    <t>Emine Öztürk</t>
  </si>
  <si>
    <t>Kübra Gürer</t>
  </si>
  <si>
    <t>Fatma Sevde İlhan</t>
  </si>
  <si>
    <t>Merve Sınıksaran</t>
  </si>
  <si>
    <t>Serdar Cebir</t>
  </si>
  <si>
    <t>Gizem Yılmaz</t>
  </si>
  <si>
    <t>Gamze Şen</t>
  </si>
  <si>
    <t>Kerem Gemicioğlu</t>
  </si>
  <si>
    <t>Hacer Menekşe Polat</t>
  </si>
  <si>
    <t>Berfin Güler</t>
  </si>
  <si>
    <t>Esra Çelenay</t>
  </si>
  <si>
    <t>Mine Gül Koyun</t>
  </si>
  <si>
    <t>Ömer Faruk Er</t>
  </si>
  <si>
    <t>Berke Uza</t>
  </si>
  <si>
    <t>Elif Yemenici</t>
  </si>
  <si>
    <t>Raziye Ceren Hurma</t>
  </si>
  <si>
    <t>Demet Uçar</t>
  </si>
  <si>
    <t>Bahriye Kar</t>
  </si>
  <si>
    <t>Hatice İpek Özmen</t>
  </si>
  <si>
    <t>Sude Nur Yıldız</t>
  </si>
  <si>
    <t>Enise Sönmez</t>
  </si>
  <si>
    <t>Cemile Zengin</t>
  </si>
  <si>
    <t>İbrahim Bilecan</t>
  </si>
  <si>
    <t>Gamze Değdaş</t>
  </si>
  <si>
    <t>Esra Sözübir</t>
  </si>
  <si>
    <t>Emine Sönmezer</t>
  </si>
  <si>
    <t>Büşra Pazar</t>
  </si>
  <si>
    <t>Ceren Damla Ayhan</t>
  </si>
  <si>
    <t>Mehmet Hamarat</t>
  </si>
  <si>
    <t>Handan Çırak</t>
  </si>
  <si>
    <t>Enes Malik Çolak</t>
  </si>
  <si>
    <t>Furkan Tunç</t>
  </si>
  <si>
    <t>Fatih Algül</t>
  </si>
  <si>
    <t>Sultan Siyi</t>
  </si>
  <si>
    <t>Ceren Ünal</t>
  </si>
  <si>
    <t>Sinem Yalçın</t>
  </si>
  <si>
    <t>Yakup Akpunar</t>
  </si>
  <si>
    <t>Osman Anıl Çelik</t>
  </si>
  <si>
    <t>Melissa Gitgel</t>
  </si>
  <si>
    <t>Akiye Seven</t>
  </si>
  <si>
    <t>Cihan Şahin</t>
  </si>
  <si>
    <t>Furkan Sarı</t>
  </si>
  <si>
    <t>Elif Tanrıbir</t>
  </si>
  <si>
    <t>Elif Yağcıoğlu</t>
  </si>
  <si>
    <t>Menice Hanedan</t>
  </si>
  <si>
    <t>Sultan Kara</t>
  </si>
  <si>
    <t>Alperen Hamdi Yazıcı</t>
  </si>
  <si>
    <t>Ebru Çaylı</t>
  </si>
  <si>
    <t>Muhammed Berat Özkul</t>
  </si>
  <si>
    <t>Aslı İpek</t>
  </si>
  <si>
    <t>Mürşide Ülker</t>
  </si>
  <si>
    <t>Selin Sude Baran</t>
  </si>
  <si>
    <t>Emin Umutcan Müştaoğlu</t>
  </si>
  <si>
    <t>Beyza Yılmaz</t>
  </si>
  <si>
    <t>Lütfiye Elik</t>
  </si>
  <si>
    <t>Saim Kulaz</t>
  </si>
  <si>
    <t>Perihan Coşkun</t>
  </si>
  <si>
    <t>Fatma Arpa</t>
  </si>
  <si>
    <t>Nevin Meşe</t>
  </si>
  <si>
    <t>Yusuf Temiz</t>
  </si>
  <si>
    <t>Ceren Baştürk</t>
  </si>
  <si>
    <t>Yeliz Kevçdoğmuş</t>
  </si>
  <si>
    <t>Rabia Demir</t>
  </si>
  <si>
    <t>Gizem Ünlü</t>
  </si>
  <si>
    <t>Ezgi Demirci</t>
  </si>
  <si>
    <t>Gözde Ünal Gökyar</t>
  </si>
  <si>
    <t>Hasan Kenan Önsöz</t>
  </si>
  <si>
    <t>Ayşe Çetinbakış</t>
  </si>
  <si>
    <t>Fatma Can</t>
  </si>
  <si>
    <t>Ecem Şahiner</t>
  </si>
  <si>
    <t>Hilal Suluoğlu</t>
  </si>
  <si>
    <t>Barış Ergün</t>
  </si>
  <si>
    <t>Merve Çakrak</t>
  </si>
  <si>
    <t>Busenur Malkoç</t>
  </si>
  <si>
    <t>Aysun Katırcılar</t>
  </si>
  <si>
    <t>Semanur Kara</t>
  </si>
  <si>
    <t>Sibel İnci</t>
  </si>
  <si>
    <t>Ceren Yıldırım</t>
  </si>
  <si>
    <t>Buse Karadağ</t>
  </si>
  <si>
    <t>Sultan Düzgün</t>
  </si>
  <si>
    <t>Ahmet Ulaş Kalkan</t>
  </si>
  <si>
    <t>Kadir Gençer</t>
  </si>
  <si>
    <t>Oya Karatuç</t>
  </si>
  <si>
    <t>Samet Özkan</t>
  </si>
  <si>
    <t>Beyza Dinçer</t>
  </si>
  <si>
    <t>Şerife Mercan</t>
  </si>
  <si>
    <t>Nuran Bıyıklı</t>
  </si>
  <si>
    <t>İlknur Yazıcı</t>
  </si>
  <si>
    <t>Gülay Evirgen</t>
  </si>
  <si>
    <t>Kerem Kantarcı</t>
  </si>
  <si>
    <t>İrem Uçar</t>
  </si>
  <si>
    <t>Nurten Durukan</t>
  </si>
  <si>
    <t>Fatmanur Sarıgül</t>
  </si>
  <si>
    <t>Zeynep Yılan</t>
  </si>
  <si>
    <t>Sude Hatice Menteşe</t>
  </si>
  <si>
    <t>Sultan Çoban</t>
  </si>
  <si>
    <t>Pınar Uğur</t>
  </si>
  <si>
    <t>Ertan Enez</t>
  </si>
  <si>
    <t>Neşe Sarman</t>
  </si>
  <si>
    <t>Türkan Görmez</t>
  </si>
  <si>
    <t>Mehmet Ekin Bostancı</t>
  </si>
  <si>
    <t>Dilan Cankatar</t>
  </si>
  <si>
    <t>Gözde İyidilli</t>
  </si>
  <si>
    <t>İremnur Erbaş</t>
  </si>
  <si>
    <t>Gurbet Cankatar</t>
  </si>
  <si>
    <t>Mert Ali Turan</t>
  </si>
  <si>
    <t>Suat Yir</t>
  </si>
  <si>
    <t>Gülcan Karabağ</t>
  </si>
  <si>
    <t>Mehmet Yaman</t>
  </si>
  <si>
    <t>Ceren Kanlı</t>
  </si>
  <si>
    <t>Hasan Türkeri</t>
  </si>
  <si>
    <t>Rabia Minez</t>
  </si>
  <si>
    <t>Zeynep Beyza Gülcen</t>
  </si>
  <si>
    <t>Hatice Taş</t>
  </si>
  <si>
    <t>Zehra Koçyiğit</t>
  </si>
  <si>
    <t>Burcu Acar</t>
  </si>
  <si>
    <t>Ümmühan Kumsal</t>
  </si>
  <si>
    <t>Dilan Bütün</t>
  </si>
  <si>
    <t>Kader Yücel</t>
  </si>
  <si>
    <t>Hasan Bayçora</t>
  </si>
  <si>
    <t>Zahide Eda Çetin</t>
  </si>
  <si>
    <t>Keziban Gürbüz</t>
  </si>
  <si>
    <t>Songül Altaş</t>
  </si>
  <si>
    <t>Berra Nur Özet</t>
  </si>
  <si>
    <t>Melisa Bilmez</t>
  </si>
  <si>
    <t>Gönül Dinçbilek</t>
  </si>
  <si>
    <t>Burak Emre Akbulut</t>
  </si>
  <si>
    <t>Kader Uçar</t>
  </si>
  <si>
    <t>Sıla Karagöz</t>
  </si>
  <si>
    <t>Kadir Döner</t>
  </si>
  <si>
    <t>Nazife Ayşin Özsoy</t>
  </si>
  <si>
    <t>Batuhan Çevik</t>
  </si>
  <si>
    <t>Derya Daşkın</t>
  </si>
  <si>
    <t>Hikmet Bayramoğlu</t>
  </si>
  <si>
    <t>Ahmet Yiğit Argunşah</t>
  </si>
  <si>
    <t>Cansu Gürbuğa</t>
  </si>
  <si>
    <t>Ceyda Yaşırtu</t>
  </si>
  <si>
    <t>Özlem Hasırcı</t>
  </si>
  <si>
    <t>Cemil Yıldırım</t>
  </si>
  <si>
    <t>Esma Zeynep Yahşi</t>
  </si>
  <si>
    <t>Tuğba Toramanoğlu</t>
  </si>
  <si>
    <t>Mustafa Ceritli</t>
  </si>
  <si>
    <t>Hüsna Akdemir</t>
  </si>
  <si>
    <t>Çağdaş Yıldırım</t>
  </si>
  <si>
    <t>Sebahat Sıla Gülçelik</t>
  </si>
  <si>
    <t>Batuhan Fatih Kalfaoğlu</t>
  </si>
  <si>
    <t>Gül İnalbaz</t>
  </si>
  <si>
    <t>Halil Efe Suri</t>
  </si>
  <si>
    <t>Hasan Karaca</t>
  </si>
  <si>
    <t>Berivan Gündük</t>
  </si>
  <si>
    <t>Efsun Hacıoğlu</t>
  </si>
  <si>
    <t>Gamze Gaye Karabağ</t>
  </si>
  <si>
    <t>Nurcan Korkmaz</t>
  </si>
  <si>
    <t>Nurgül Han</t>
  </si>
  <si>
    <t>Yasin Tosun</t>
  </si>
  <si>
    <t>Özge Güven</t>
  </si>
  <si>
    <t>Zehra Binmez</t>
  </si>
  <si>
    <t>Ayçanur Karataş</t>
  </si>
  <si>
    <t>Büşra Akdeniz</t>
  </si>
  <si>
    <t>Bahar Dağkan</t>
  </si>
  <si>
    <t>Tuana Vardar</t>
  </si>
  <si>
    <t>Yaren Eşki</t>
  </si>
  <si>
    <t>Gülsüm Kalaycı</t>
  </si>
  <si>
    <t>Ece Akyıldız</t>
  </si>
  <si>
    <t>Sait Deveci</t>
  </si>
  <si>
    <t>Kader Küçük</t>
  </si>
  <si>
    <t>Beyza Sevli</t>
  </si>
  <si>
    <t>Melike Şaşı</t>
  </si>
  <si>
    <t>Eda Aycan Demir</t>
  </si>
  <si>
    <t>Yasin Karataş</t>
  </si>
  <si>
    <t>Merve Şener</t>
  </si>
  <si>
    <t>Eftelya Can</t>
  </si>
  <si>
    <t>Zilfi Sümer</t>
  </si>
  <si>
    <t>Merve Ağbay</t>
  </si>
  <si>
    <t>Meryem Nur Şimşek</t>
  </si>
  <si>
    <t>Gülşen Gezer</t>
  </si>
  <si>
    <t>Melis Dere</t>
  </si>
  <si>
    <t>Beyzanur Filiz</t>
  </si>
  <si>
    <t>Stajyer</t>
  </si>
  <si>
    <t>Sefa Okutmen</t>
  </si>
  <si>
    <t>Ozan İnce</t>
  </si>
  <si>
    <t>Asiye Sandık</t>
  </si>
  <si>
    <t>Fatih Pilavcı</t>
  </si>
  <si>
    <t>Beyza Gümüşkaya</t>
  </si>
  <si>
    <t>Atalay Şeker</t>
  </si>
  <si>
    <t>Gülsen Çoban</t>
  </si>
  <si>
    <t>Aleyna Vatansever</t>
  </si>
  <si>
    <t>Havanur Gözey</t>
  </si>
  <si>
    <t>Aysu Mutlu</t>
  </si>
  <si>
    <t>Muzaffer Yüksel</t>
  </si>
  <si>
    <t>Nurcan Neşeli</t>
  </si>
  <si>
    <t>Berfin Yekta</t>
  </si>
  <si>
    <t>Gülbahar Savcı</t>
  </si>
  <si>
    <t>Sudenaz Kara</t>
  </si>
  <si>
    <t>Fatime Özkan</t>
  </si>
  <si>
    <t>Nizamettin Karabulut</t>
  </si>
  <si>
    <t>Mustafa Bacak</t>
  </si>
  <si>
    <t>Dila Erbil</t>
  </si>
  <si>
    <t>Habibe Cesur</t>
  </si>
  <si>
    <t>Taha Ayözlek</t>
  </si>
  <si>
    <t>Aslı Çiğdem</t>
  </si>
  <si>
    <t>Irmak Köse</t>
  </si>
  <si>
    <t>Ufuk Acar</t>
  </si>
  <si>
    <t>Şeyma Sever</t>
  </si>
  <si>
    <t>Gülşah Özgül</t>
  </si>
  <si>
    <t>Sevgi Kavur</t>
  </si>
  <si>
    <t>Betül Yaylacı</t>
  </si>
  <si>
    <t>Gülay Peşmen</t>
  </si>
  <si>
    <t>Yeşim Budak</t>
  </si>
  <si>
    <t>Hasan Ataman</t>
  </si>
  <si>
    <t>Fatma Sarıkoç</t>
  </si>
  <si>
    <t>Hanife Nur Diktaş</t>
  </si>
  <si>
    <t>İbrahim Umut Reyhani</t>
  </si>
  <si>
    <t>Nurcan Deryeler</t>
  </si>
  <si>
    <t>Aysu Er</t>
  </si>
  <si>
    <t>Dilara Sayın</t>
  </si>
  <si>
    <t>Baran Küçük</t>
  </si>
  <si>
    <t>Şeyma Ayten</t>
  </si>
  <si>
    <t>Ahmet Öğütçü</t>
  </si>
  <si>
    <t>Ceren Er</t>
  </si>
  <si>
    <t>Serkan Kaya</t>
  </si>
  <si>
    <t>Emine Ezgi Nur Karapınar</t>
  </si>
  <si>
    <t>Nazlı Duyğun</t>
  </si>
  <si>
    <t>Funda Pehlivan</t>
  </si>
  <si>
    <t>Sedat Başaran</t>
  </si>
  <si>
    <t>Seher Beğik</t>
  </si>
  <si>
    <t>Seher Mercan</t>
  </si>
  <si>
    <t>Deniz Özdemir</t>
  </si>
  <si>
    <t>Fatma Kürkçü</t>
  </si>
  <si>
    <t>Kadir Kalçın</t>
  </si>
  <si>
    <t>Nurperi Arımum</t>
  </si>
  <si>
    <t>Kerem Harun</t>
  </si>
  <si>
    <t>Merve Bayar</t>
  </si>
  <si>
    <t>Abdulkadir Çelen</t>
  </si>
  <si>
    <t>Beyza Gönültaş</t>
  </si>
  <si>
    <t>Ezgi Demirelli</t>
  </si>
  <si>
    <t>Fatma Aydın</t>
  </si>
  <si>
    <t>Merve Dağ</t>
  </si>
  <si>
    <t>Fatma Aybüke Uğrun</t>
  </si>
  <si>
    <t>Beyzanur Önkol</t>
  </si>
  <si>
    <t>Kerim Usta</t>
  </si>
  <si>
    <t>Hatice Aktan</t>
  </si>
  <si>
    <t>Merve Kurtulmuş</t>
  </si>
  <si>
    <t>Sibel Alpat</t>
  </si>
  <si>
    <t>Şeyma Özberk</t>
  </si>
  <si>
    <t>Burak Yılmaz</t>
  </si>
  <si>
    <t>Mertcan Alkan</t>
  </si>
  <si>
    <t>Melisa Özkanca</t>
  </si>
  <si>
    <t>Özge Ağdemir Ezik</t>
  </si>
  <si>
    <t>Merve Öğmen</t>
  </si>
  <si>
    <t>Osman Arvas</t>
  </si>
  <si>
    <t>Esma Gümüştaş</t>
  </si>
  <si>
    <t>Serkan Sevinç</t>
  </si>
  <si>
    <t>Özlem Arı</t>
  </si>
  <si>
    <t>Yaren Hıdıroğlu</t>
  </si>
  <si>
    <t>Ahmet Kahya</t>
  </si>
  <si>
    <t>Nisanur Güler</t>
  </si>
  <si>
    <t>Eda Gül Tezcan</t>
  </si>
  <si>
    <t>Fatih Çengel</t>
  </si>
  <si>
    <t>Ela Damla Bircan</t>
  </si>
  <si>
    <t>Elif Özgür Güneyli</t>
  </si>
  <si>
    <t>Kübra Çavuşoğlu</t>
  </si>
  <si>
    <t>Enes Kayış</t>
  </si>
  <si>
    <t>Mehmet Oktay Sever</t>
  </si>
  <si>
    <t>Derya Egin</t>
  </si>
  <si>
    <t>Begüm Benian</t>
  </si>
  <si>
    <t>Elanur Kıvrak</t>
  </si>
  <si>
    <t>Asya Arslan</t>
  </si>
  <si>
    <t>Sılanur Çamurcu</t>
  </si>
  <si>
    <t>Oğuzhan Günaydın</t>
  </si>
  <si>
    <t>Beyza Nur Fettahoğlu</t>
  </si>
  <si>
    <t>Betül Zeynep Kaya</t>
  </si>
  <si>
    <t>Muhammet Süngü</t>
  </si>
  <si>
    <t>Dilber Nur Karakaş</t>
  </si>
  <si>
    <t>Seren Mızrak</t>
  </si>
  <si>
    <t>Zehra Sultan Kat</t>
  </si>
  <si>
    <t>Necla Sivil</t>
  </si>
  <si>
    <t>Letisya Marik</t>
  </si>
  <si>
    <t>Ecenur Sertel</t>
  </si>
  <si>
    <t>Efe Keskin</t>
  </si>
  <si>
    <t>Göksu Bayram</t>
  </si>
  <si>
    <t>Dilara Bakacak</t>
  </si>
  <si>
    <t>Berkay Öztürk</t>
  </si>
  <si>
    <t>Sema Çiçek</t>
  </si>
  <si>
    <t>Rukiye Bozlak</t>
  </si>
  <si>
    <t>Nuriye Yoncu</t>
  </si>
  <si>
    <t>İlknur Kahya</t>
  </si>
  <si>
    <t>Selda Bozkurt</t>
  </si>
  <si>
    <t>Öznur Kurtay</t>
  </si>
  <si>
    <t>Nilgün Küçük</t>
  </si>
  <si>
    <t>Vesile Bektaş</t>
  </si>
  <si>
    <t>Feyzanur Türker</t>
  </si>
  <si>
    <t>Hayrettin Daştan</t>
  </si>
  <si>
    <t>Zübeyde Baran</t>
  </si>
  <si>
    <t>Derya Akbaba</t>
  </si>
  <si>
    <t>Ayşe Kurt</t>
  </si>
  <si>
    <t>Zeynep Altun</t>
  </si>
  <si>
    <t>Şüheda Hemedan</t>
  </si>
  <si>
    <t>Emel Turcan</t>
  </si>
  <si>
    <t>Zehra Öksüz</t>
  </si>
  <si>
    <t>Rasime Çoşkun</t>
  </si>
  <si>
    <t>Burcu Midilli</t>
  </si>
  <si>
    <t>Helin Acay</t>
  </si>
  <si>
    <t>Elif Yavuz</t>
  </si>
  <si>
    <t>Ayşe Albayrak</t>
  </si>
  <si>
    <t>Cem Koçak</t>
  </si>
  <si>
    <t>Serdem Genç</t>
  </si>
  <si>
    <t>Mert Keskin</t>
  </si>
  <si>
    <t>Merve Yaren Yılmaz</t>
  </si>
  <si>
    <t>Mücahit Yaramış</t>
  </si>
  <si>
    <t>Eylem Aslan</t>
  </si>
  <si>
    <t>Ümmühan Sayman</t>
  </si>
  <si>
    <t>Selinay Çakan</t>
  </si>
  <si>
    <t>Melike Köksal</t>
  </si>
  <si>
    <t>Kasiyer KPT</t>
  </si>
  <si>
    <t>Ayfer Akın</t>
  </si>
  <si>
    <t>Fatih Kalem</t>
  </si>
  <si>
    <t>Ayşe Aygutalp</t>
  </si>
  <si>
    <t>Esra Kaya</t>
  </si>
  <si>
    <t>Selime Dirnik</t>
  </si>
  <si>
    <t>Banu Çelik</t>
  </si>
  <si>
    <t>Sultan Demir</t>
  </si>
  <si>
    <t>Pervin Beyza Odabaşı</t>
  </si>
  <si>
    <t>Şeyma Soylan</t>
  </si>
  <si>
    <t>Aziz Ramazan Binkanat</t>
  </si>
  <si>
    <t>Ebru Parlak</t>
  </si>
  <si>
    <t>Salih Çelikten</t>
  </si>
  <si>
    <t>Cemil Berk Can</t>
  </si>
  <si>
    <t>Cemil Şahin</t>
  </si>
  <si>
    <t>Gizem Kamer Ertal</t>
  </si>
  <si>
    <t>Hüseyin Deniz</t>
  </si>
  <si>
    <t>Gizem Çil</t>
  </si>
  <si>
    <t>Zeynep Yağmur Bal</t>
  </si>
  <si>
    <t>Elif Coşgun</t>
  </si>
  <si>
    <t>Fatma Karataş</t>
  </si>
  <si>
    <t>Sinan Ateş</t>
  </si>
  <si>
    <t>Zeynep Ece Kuşcu</t>
  </si>
  <si>
    <t>Helin Dolançay</t>
  </si>
  <si>
    <t>Cem Yıldırım</t>
  </si>
  <si>
    <t>Emre Bozkurt</t>
  </si>
  <si>
    <t>Şükran Sağlam</t>
  </si>
  <si>
    <t>Gülay Ülgül</t>
  </si>
  <si>
    <t>Ufuk Hızal</t>
  </si>
  <si>
    <t>Melik Işık</t>
  </si>
  <si>
    <t>Faruk Yavuz</t>
  </si>
  <si>
    <t>Yasin Demiroğlu</t>
  </si>
  <si>
    <t>Zeynep Tumtaş</t>
  </si>
  <si>
    <t>Elif Çark</t>
  </si>
  <si>
    <t>Serap Bozdağ</t>
  </si>
  <si>
    <t>Asuman Bilir Uykan</t>
  </si>
  <si>
    <t>Elif Demirci</t>
  </si>
  <si>
    <t>Eda Yıldız</t>
  </si>
  <si>
    <t>Beyza Dirita Vardar</t>
  </si>
  <si>
    <t>Fatma Ünal</t>
  </si>
  <si>
    <t>Nejla Düzoglu</t>
  </si>
  <si>
    <t>Emel Algül</t>
  </si>
  <si>
    <t>Hazal Irmak Uzun</t>
  </si>
  <si>
    <t>Meral Biçer</t>
  </si>
  <si>
    <t>Hafife Nur Durmaz</t>
  </si>
  <si>
    <t>Gizem Akçakaya</t>
  </si>
  <si>
    <t>Ahsen Elaldı</t>
  </si>
  <si>
    <t>İrem Yıldırım</t>
  </si>
  <si>
    <t>Hilal Maral</t>
  </si>
  <si>
    <t>Samet Dolu</t>
  </si>
  <si>
    <t>Funda Öztürk</t>
  </si>
  <si>
    <t>Fadime Altınkaynak</t>
  </si>
  <si>
    <t>Pınar Ceylan</t>
  </si>
  <si>
    <t>Meral Bayraktar</t>
  </si>
  <si>
    <t>Tuğba Alkan</t>
  </si>
  <si>
    <t>Melek Avcı</t>
  </si>
  <si>
    <t>Melis Avcı</t>
  </si>
  <si>
    <t>Hatice Aktaş</t>
  </si>
  <si>
    <t>Elif Sena Turgut</t>
  </si>
  <si>
    <t>Bahar Nergiz</t>
  </si>
  <si>
    <t>Kübra Görgülü</t>
  </si>
  <si>
    <t>Ece Erim</t>
  </si>
  <si>
    <t>Furkan Şanlı</t>
  </si>
  <si>
    <t>Dilara Şengül</t>
  </si>
  <si>
    <t>Eray Recepoğlu</t>
  </si>
  <si>
    <t>Seher Aslan</t>
  </si>
  <si>
    <t>Merve Buçak</t>
  </si>
  <si>
    <t>Züleyha Şen</t>
  </si>
  <si>
    <t>Edanur Alkan</t>
  </si>
  <si>
    <t>Beyza Nur Duyuş</t>
  </si>
  <si>
    <t>Şevval Kundakçı</t>
  </si>
  <si>
    <t>Ahmet Saraç</t>
  </si>
  <si>
    <t>Edanur Karabulut</t>
  </si>
  <si>
    <t>Özlem Çakmaker</t>
  </si>
  <si>
    <t>Muhammet Semih Atabey</t>
  </si>
  <si>
    <t>Gökçe Çiçek Akar</t>
  </si>
  <si>
    <t>Simge Yaş</t>
  </si>
  <si>
    <t>Berna Sönmez</t>
  </si>
  <si>
    <t>Bahar Agin</t>
  </si>
  <si>
    <t>Zeynep Özdin</t>
  </si>
  <si>
    <t>Hava Pala</t>
  </si>
  <si>
    <t>Arzu Uslu Keserci</t>
  </si>
  <si>
    <t>Sevgi Çoban</t>
  </si>
  <si>
    <t>Mustafa Karakuş</t>
  </si>
  <si>
    <t>Sema Nur Çetin</t>
  </si>
  <si>
    <t>Yakup Taylan</t>
  </si>
  <si>
    <t>Şevval Rana Ayvacıoğlu</t>
  </si>
  <si>
    <t>Zeynep Tokuş</t>
  </si>
  <si>
    <t>Emine Devecioğlu</t>
  </si>
  <si>
    <t>Selcan İlban</t>
  </si>
  <si>
    <t>Emine Yıldırım</t>
  </si>
  <si>
    <t>Muhammet Ali Aslan</t>
  </si>
  <si>
    <t>Seçil Solakoğlu</t>
  </si>
  <si>
    <t>Hatice Polat</t>
  </si>
  <si>
    <t>Şevket Enes Üstünsoy</t>
  </si>
  <si>
    <t>Özlem Özgenbaş</t>
  </si>
  <si>
    <t>Emre Esenli</t>
  </si>
  <si>
    <t>Nida Gül Baştak</t>
  </si>
  <si>
    <t>Zeynep Tunç</t>
  </si>
  <si>
    <t>Gökdeniz Çoban</t>
  </si>
  <si>
    <t>Zuhal Ravza Demir</t>
  </si>
  <si>
    <t>Minel Sıla Sılay</t>
  </si>
  <si>
    <t>Gökçenur Kerim</t>
  </si>
  <si>
    <t>Tülay Gökmen</t>
  </si>
  <si>
    <t>Ömer Göçer</t>
  </si>
  <si>
    <t>Tuğba Demir</t>
  </si>
  <si>
    <t>Yusuf Onuk</t>
  </si>
  <si>
    <t>Lale Çelik</t>
  </si>
  <si>
    <t>Seda Nur Küçükçeşme</t>
  </si>
  <si>
    <t>Yağız Ali Apak</t>
  </si>
  <si>
    <t>Mustafa Yörük</t>
  </si>
  <si>
    <t>Elis Korucuoğlu</t>
  </si>
  <si>
    <t>İlknur Buse Narşap</t>
  </si>
  <si>
    <t>Rumeysa Yılmaz</t>
  </si>
  <si>
    <t>Rümeysa Alagöz</t>
  </si>
  <si>
    <t>Feride Akman</t>
  </si>
  <si>
    <t>Saliha Altıntop</t>
  </si>
  <si>
    <t>Elif Taşar</t>
  </si>
  <si>
    <t>Burak Aytapan</t>
  </si>
  <si>
    <t>Gaye Özkale</t>
  </si>
  <si>
    <t>Arda Bostancı</t>
  </si>
  <si>
    <t>Hasibe Er</t>
  </si>
  <si>
    <t>Yasin Bayram</t>
  </si>
  <si>
    <t>Nurettin Zengi Toprak</t>
  </si>
  <si>
    <t>Elif Naz Tunçel</t>
  </si>
  <si>
    <t>Tansu Kaya</t>
  </si>
  <si>
    <t>Ayşegül Ataç</t>
  </si>
  <si>
    <t>Beyza Adsay</t>
  </si>
  <si>
    <t>Murat Çeken</t>
  </si>
  <si>
    <t>Receb Ubeydullah Öztürk</t>
  </si>
  <si>
    <t>Aslıhan Uylu</t>
  </si>
  <si>
    <t>Pınar Mercan</t>
  </si>
  <si>
    <t>Salih Bodur</t>
  </si>
  <si>
    <t>Tülin Balin</t>
  </si>
  <si>
    <t>Fatih Aydoğan</t>
  </si>
  <si>
    <t>Seyit Taha Güleçyüz</t>
  </si>
  <si>
    <t>Ömer Sansar</t>
  </si>
  <si>
    <t>Begüm Sönmez</t>
  </si>
  <si>
    <t>Ayşegül Akbaş</t>
  </si>
  <si>
    <t>Dilanur Işık</t>
  </si>
  <si>
    <t>Gülafer Aydoğan</t>
  </si>
  <si>
    <t>Rumeysa Çelik</t>
  </si>
  <si>
    <t>Sema Özbay</t>
  </si>
  <si>
    <t>Sultan Nur Korkmaz</t>
  </si>
  <si>
    <t>Ayça Kayaalp</t>
  </si>
  <si>
    <t>Yusuf Diyar Eren</t>
  </si>
  <si>
    <t>Reyham Öztürk</t>
  </si>
  <si>
    <t>Zehra Elter</t>
  </si>
  <si>
    <t>Melek Albayrak</t>
  </si>
  <si>
    <t>Saadet Helin Zeren</t>
  </si>
  <si>
    <t>Oğuz Durmaz</t>
  </si>
  <si>
    <t>Selma Bilgin</t>
  </si>
  <si>
    <t>Pırıl Oral</t>
  </si>
  <si>
    <t>Ömer Asım Uzunöz</t>
  </si>
  <si>
    <t>Begüm Zeyneloğlu</t>
  </si>
  <si>
    <t>Sonay Açıkgöz</t>
  </si>
  <si>
    <t>Kübra Yaşar</t>
  </si>
  <si>
    <t>Gizem Sarıçiçek</t>
  </si>
  <si>
    <t>Muhammed Emin Diriöz</t>
  </si>
  <si>
    <t>Gülşah Meşin</t>
  </si>
  <si>
    <t>Betül Bursa</t>
  </si>
  <si>
    <t>Bahar Özege</t>
  </si>
  <si>
    <t>Semanur Öztürk</t>
  </si>
  <si>
    <t>Sena Bilgin</t>
  </si>
  <si>
    <t>Büşra Dağdelen</t>
  </si>
  <si>
    <t>Yaren Nur Kaya</t>
  </si>
  <si>
    <t>Ece Yurtsever Kara</t>
  </si>
  <si>
    <t>Yonca Özlener</t>
  </si>
  <si>
    <t>Salih Berk Ürkmez</t>
  </si>
  <si>
    <t>Pınar Akçal</t>
  </si>
  <si>
    <t>Yağmur Yıldırım</t>
  </si>
  <si>
    <t>Berinay Bostancı</t>
  </si>
  <si>
    <t>Sevgi Çetin</t>
  </si>
  <si>
    <t>Fatma Altıner</t>
  </si>
  <si>
    <t>Eren Hamarat</t>
  </si>
  <si>
    <t>Müslüm Muhammet Durna</t>
  </si>
  <si>
    <t>Mehmet Çevik</t>
  </si>
  <si>
    <t>Dicle Kolcu</t>
  </si>
  <si>
    <t>Tuba Erdihan</t>
  </si>
  <si>
    <t>Gaye Özcan</t>
  </si>
  <si>
    <t>Ayşegül Güngör</t>
  </si>
  <si>
    <t>Nursima Kerim</t>
  </si>
  <si>
    <t>Bilgi Karaman</t>
  </si>
  <si>
    <t>Emine Zehra Güler</t>
  </si>
  <si>
    <t>İrem Hoşgör</t>
  </si>
  <si>
    <t>Veyselcan Tabak</t>
  </si>
  <si>
    <t>Naciye Polat</t>
  </si>
  <si>
    <t>Halime Dalkılıç</t>
  </si>
  <si>
    <t>Sefa Dicle</t>
  </si>
  <si>
    <t>Seyfettin Can Sağlam</t>
  </si>
  <si>
    <t>Ece Mete</t>
  </si>
  <si>
    <t>Rana Koç</t>
  </si>
  <si>
    <t>Feyza Ertaş</t>
  </si>
  <si>
    <t>Derya Bozkurt</t>
  </si>
  <si>
    <t>Hasan Ali Özgür</t>
  </si>
  <si>
    <t>Zehra Öztürk</t>
  </si>
  <si>
    <t>Yaren Gökçe Dinçer</t>
  </si>
  <si>
    <t>Ayşe Çelikkol</t>
  </si>
  <si>
    <t>Arda Akdağ</t>
  </si>
  <si>
    <t>Şengül Arslan</t>
  </si>
  <si>
    <t>Eray Kavak</t>
  </si>
  <si>
    <t>Sait Can Elma</t>
  </si>
  <si>
    <t>Kuzey Şık</t>
  </si>
  <si>
    <t>Cuma Çevik</t>
  </si>
  <si>
    <t>Merve Saraç</t>
  </si>
  <si>
    <t>Kardelen Fidan</t>
  </si>
  <si>
    <t>Özlem Karataş</t>
  </si>
  <si>
    <t>Sabire Yıldırım</t>
  </si>
  <si>
    <t>Gamze Kuru</t>
  </si>
  <si>
    <t>Sultan Kocaman</t>
  </si>
  <si>
    <t>Hüseyin Kuş</t>
  </si>
  <si>
    <t>Şevval Gültaş</t>
  </si>
  <si>
    <t>Merve Emir</t>
  </si>
  <si>
    <t>Zeynep Betül Bolay</t>
  </si>
  <si>
    <t>Şeymanur Dolu</t>
  </si>
  <si>
    <t>Gülcan Özsoy</t>
  </si>
  <si>
    <t>Duygu Yağar</t>
  </si>
  <si>
    <t>Sevgi Yıldız</t>
  </si>
  <si>
    <t>Mohamad Aslan</t>
  </si>
  <si>
    <t>Beyza Yıldırım</t>
  </si>
  <si>
    <t>Türkan Çandır</t>
  </si>
  <si>
    <t>İsmail Yıldırım</t>
  </si>
  <si>
    <t>Havva Nur Kaya</t>
  </si>
  <si>
    <t>Aycan Karacan</t>
  </si>
  <si>
    <t>Adem Faruk Tıraş</t>
  </si>
  <si>
    <t>Ceren Aslan</t>
  </si>
  <si>
    <t>Esra Kösesakal</t>
  </si>
  <si>
    <t>Serem Oral</t>
  </si>
  <si>
    <t>Reyhan Özcan</t>
  </si>
  <si>
    <t>Ceren Buldak</t>
  </si>
  <si>
    <t>Rukiye İlkay Türkay</t>
  </si>
  <si>
    <t>Kardelen Gür</t>
  </si>
  <si>
    <t>Gülten Kiraz</t>
  </si>
  <si>
    <t>Yasemin Olgun İlkbahar</t>
  </si>
  <si>
    <t>Zehra Nur Şaroğlu</t>
  </si>
  <si>
    <t>Arjin Ayşan Parçacı</t>
  </si>
  <si>
    <t>Rojda Tuğrul</t>
  </si>
  <si>
    <t>Beril Aka</t>
  </si>
  <si>
    <t>Zeynep Hayır</t>
  </si>
  <si>
    <t>Hilal Akdiş</t>
  </si>
  <si>
    <t>Kübranur Ercan</t>
  </si>
  <si>
    <t>Gönül Korkutan</t>
  </si>
  <si>
    <t>Kübra Akçara</t>
  </si>
  <si>
    <t>Fadime Ezgi Kılıç</t>
  </si>
  <si>
    <t>Mehmet Emin Yağız</t>
  </si>
  <si>
    <t>Fehime Tekin</t>
  </si>
  <si>
    <t>Asya Sarıhan</t>
  </si>
  <si>
    <t>Şeyma Tok</t>
  </si>
  <si>
    <t>Saliha Aksu</t>
  </si>
  <si>
    <t>Durmuş Ali Gökbel</t>
  </si>
  <si>
    <t>Gülsen Cabul</t>
  </si>
  <si>
    <t>Elif Harap</t>
  </si>
  <si>
    <t>Zümeyran Sarısaç</t>
  </si>
  <si>
    <t>Ayşenur Behrem</t>
  </si>
  <si>
    <t>Ahmet Demir</t>
  </si>
  <si>
    <t>Özlem Adanır</t>
  </si>
  <si>
    <t>Hacer Çakır</t>
  </si>
  <si>
    <t>Fikriye Eda Adıbelli</t>
  </si>
  <si>
    <t>Emsal Ersoy</t>
  </si>
  <si>
    <t>Sözdar Acay</t>
  </si>
  <si>
    <t>Sema Yiğit</t>
  </si>
  <si>
    <t>Yüsra Gülşahin</t>
  </si>
  <si>
    <t>Hasna Azra Yalçınkaya</t>
  </si>
  <si>
    <t>Feyza Akar</t>
  </si>
  <si>
    <t>Resul Hare</t>
  </si>
  <si>
    <t>Zehra Yeşil</t>
  </si>
  <si>
    <t>Ali Osman Tutaroğlu</t>
  </si>
  <si>
    <t>Nesibe Kevser Sevimli</t>
  </si>
  <si>
    <t>Sude Modacı</t>
  </si>
  <si>
    <t>Çilem Çiçek Cihaner</t>
  </si>
  <si>
    <t>Senanur Aslan</t>
  </si>
  <si>
    <t>Seda Nur Tüncer</t>
  </si>
  <si>
    <t>Sema Nur Çakmak</t>
  </si>
  <si>
    <t>Merve Bağcı</t>
  </si>
  <si>
    <t>Fadile Canbay</t>
  </si>
  <si>
    <t>Elif Uyar</t>
  </si>
  <si>
    <t>Gülsüm Temel</t>
  </si>
  <si>
    <t>Büşra Gönültaş</t>
  </si>
  <si>
    <t>İlknur Karadağ</t>
  </si>
  <si>
    <t>Ayşe Nur Akan</t>
  </si>
  <si>
    <t>İrem Demirci</t>
  </si>
  <si>
    <t>Selen Çoban</t>
  </si>
  <si>
    <t>Asiye Nur Özyazıcı Yalçın</t>
  </si>
  <si>
    <t>Buket Aldemir</t>
  </si>
  <si>
    <t>Sude Kaplan</t>
  </si>
  <si>
    <t>Arda Ayyıldız</t>
  </si>
  <si>
    <t>Zerda Kaykaç</t>
  </si>
  <si>
    <t>Emirhan Yeşilkaya</t>
  </si>
  <si>
    <t>Hasan Yulaf</t>
  </si>
  <si>
    <t>Melike Kılavuz</t>
  </si>
  <si>
    <t>Berfin Küçükoğulları</t>
  </si>
  <si>
    <t>Elif Mazı</t>
  </si>
  <si>
    <t>Oğuzhan Ece</t>
  </si>
  <si>
    <t>Menekşe Karakoca</t>
  </si>
  <si>
    <t>Gizem Arkan Kalkan</t>
  </si>
  <si>
    <t>Dilara Naz Boyekin</t>
  </si>
  <si>
    <t>Serap Özkutlu</t>
  </si>
  <si>
    <t>Ömer Aslan</t>
  </si>
  <si>
    <t>Tuğba Arık</t>
  </si>
  <si>
    <t>Yeşim Yıldırım</t>
  </si>
  <si>
    <t>Sevgi Okan</t>
  </si>
  <si>
    <t>Hasret Yılan</t>
  </si>
  <si>
    <t>Birsen Çevik</t>
  </si>
  <si>
    <t>Cansu Ulubay</t>
  </si>
  <si>
    <t>Ravzanur Fidanboy</t>
  </si>
  <si>
    <t>Hilal Özlü</t>
  </si>
  <si>
    <t>Azra Avcı</t>
  </si>
  <si>
    <t>Şevval Ahsen Şeker</t>
  </si>
  <si>
    <t>Selin Nur Bayrak</t>
  </si>
  <si>
    <t>Sultan Ateş</t>
  </si>
  <si>
    <t>Yaren Opak</t>
  </si>
  <si>
    <t>Ulaş Sevim</t>
  </si>
  <si>
    <t>Burak Resul Aktaş</t>
  </si>
  <si>
    <t>Burcu Kenar</t>
  </si>
  <si>
    <t>Zehra Üzer</t>
  </si>
  <si>
    <t>Ferdi Çerezci</t>
  </si>
  <si>
    <t>Arzu Mesutoğlu</t>
  </si>
  <si>
    <t>Esra Kandemir</t>
  </si>
  <si>
    <t>Melike Çolak</t>
  </si>
  <si>
    <t>Kadiriye Yalçın</t>
  </si>
  <si>
    <t>Şeyma Taşkan</t>
  </si>
  <si>
    <t>Betül Acar</t>
  </si>
  <si>
    <t>Esra Budak</t>
  </si>
  <si>
    <t>Aleyna Tantoğlu</t>
  </si>
  <si>
    <t>Aysun Sağlam</t>
  </si>
  <si>
    <t>Seval Şahin</t>
  </si>
  <si>
    <t>Musur Elmacı</t>
  </si>
  <si>
    <t>Ezgi Mutluer</t>
  </si>
  <si>
    <t>Aslı Miray Gül</t>
  </si>
  <si>
    <t>Sevda Asadov</t>
  </si>
  <si>
    <t>Hümeyra Çakır</t>
  </si>
  <si>
    <t>Berkan Baran</t>
  </si>
  <si>
    <t>Songül Yanık</t>
  </si>
  <si>
    <t>Betül Gezer</t>
  </si>
  <si>
    <t>Emircan Sütçü</t>
  </si>
  <si>
    <t>Melike Karaarslan</t>
  </si>
  <si>
    <t>Figen Engin</t>
  </si>
  <si>
    <t>Zehra Tanrıöver</t>
  </si>
  <si>
    <t>Arzu Demirel</t>
  </si>
  <si>
    <t>Orkun Güldalı</t>
  </si>
  <si>
    <t>Mustafa İnanç Aslan</t>
  </si>
  <si>
    <t>Öznur Üçdağ</t>
  </si>
  <si>
    <t>Kıvanç Çiftçi</t>
  </si>
  <si>
    <t>Behiye Kadir</t>
  </si>
  <si>
    <t>Sinem Şahin</t>
  </si>
  <si>
    <t>Sultan Güçlüel</t>
  </si>
  <si>
    <t>Doğukan Taşkın</t>
  </si>
  <si>
    <t>Gamze Balan Dönmez</t>
  </si>
  <si>
    <t>Furkan Serdaroğlu</t>
  </si>
  <si>
    <t>Nurseli Uçar</t>
  </si>
  <si>
    <t>Fidan Balyeci</t>
  </si>
  <si>
    <t>Sinem Özeren</t>
  </si>
  <si>
    <t>Zehra Dülger</t>
  </si>
  <si>
    <t>Hakan Özge Ok</t>
  </si>
  <si>
    <t>Sevcan Aşık</t>
  </si>
  <si>
    <t>Bahar Balık</t>
  </si>
  <si>
    <t>Asiye Urçar</t>
  </si>
  <si>
    <t>Nurkan Özsivri</t>
  </si>
  <si>
    <t>Türkan Özsivri</t>
  </si>
  <si>
    <t>Büşra Karaçal</t>
  </si>
  <si>
    <t>Fatoş Düzgün</t>
  </si>
  <si>
    <t>Şeyma Nur Yoldaş</t>
  </si>
  <si>
    <t>Tülay Yıldırım</t>
  </si>
  <si>
    <t>Selcan Ayaok</t>
  </si>
  <si>
    <t>Lale Olgun</t>
  </si>
  <si>
    <t>Büşra Eyrikaya</t>
  </si>
  <si>
    <t>Mustafa Atakan Özarkalıoğlu</t>
  </si>
  <si>
    <t>Tuğçe Polat</t>
  </si>
  <si>
    <t>Bayram Karaman</t>
  </si>
  <si>
    <t>Semanur Bahadır</t>
  </si>
  <si>
    <t>Hatice Güngördü</t>
  </si>
  <si>
    <t>Veli Eren Çağlayan</t>
  </si>
  <si>
    <t>Berrin Erdemir</t>
  </si>
  <si>
    <t>Damla Melek Çakır</t>
  </si>
  <si>
    <t>Hümeyra Ustabaşı</t>
  </si>
  <si>
    <t>Ahmet Altay Simit</t>
  </si>
  <si>
    <t>Sarenur Bulut</t>
  </si>
  <si>
    <t>Ezgi Avcu</t>
  </si>
  <si>
    <t>Umut Tuğrul</t>
  </si>
  <si>
    <t>Sibel Şahin</t>
  </si>
  <si>
    <t>Pınar Özdemir</t>
  </si>
  <si>
    <t>Sinem Uyar</t>
  </si>
  <si>
    <t>Sinem Ceren Maşalacı</t>
  </si>
  <si>
    <t>Rabia Çört</t>
  </si>
  <si>
    <t>Buse Öztürk</t>
  </si>
  <si>
    <t>Melisa Yılmaz</t>
  </si>
  <si>
    <t>Yeşim Akkurt</t>
  </si>
  <si>
    <t>Mustafa Kaykı</t>
  </si>
  <si>
    <t>Gülsevim Korkmaz</t>
  </si>
  <si>
    <t>Tuğba Gülseven</t>
  </si>
  <si>
    <t>Damla Canavarcı</t>
  </si>
  <si>
    <t>Meryem Kanlı</t>
  </si>
  <si>
    <t>Sevilay Türkben</t>
  </si>
  <si>
    <t>Defne Sanlı</t>
  </si>
  <si>
    <t>Burak Vural</t>
  </si>
  <si>
    <t>Tuba Karacan</t>
  </si>
  <si>
    <t>Esra Aydın</t>
  </si>
  <si>
    <t>Şevval Akagündüz</t>
  </si>
  <si>
    <t>Emine Sarı</t>
  </si>
  <si>
    <t>Ayça Altıparmak</t>
  </si>
  <si>
    <t>Zeynep İrem Büyükkapucu</t>
  </si>
  <si>
    <t>Sena Pehlevan</t>
  </si>
  <si>
    <t>Fatma Ekinci</t>
  </si>
  <si>
    <t>Kader Kahraman</t>
  </si>
  <si>
    <t>Aslı Öztürk</t>
  </si>
  <si>
    <t>Handan Canık</t>
  </si>
  <si>
    <t>Gıyas Kizir</t>
  </si>
  <si>
    <t>Feyzanur Kargın</t>
  </si>
  <si>
    <t>Nursel Demir</t>
  </si>
  <si>
    <t>Gamze Bilir</t>
  </si>
  <si>
    <t>Berivan Yiğit</t>
  </si>
  <si>
    <t>Duran Türedi</t>
  </si>
  <si>
    <t>İrem Erol</t>
  </si>
  <si>
    <t>Aslı Akbulut</t>
  </si>
  <si>
    <t>Semanur Çiçek</t>
  </si>
  <si>
    <t>Yağmur Döngel</t>
  </si>
  <si>
    <t>Sudenaz Altunışık</t>
  </si>
  <si>
    <t>Ceyda Müminoğlu</t>
  </si>
  <si>
    <t>Beyza Karslı</t>
  </si>
  <si>
    <t>Gökçe Ada</t>
  </si>
  <si>
    <t>Sinem Sümeyye Okutucu</t>
  </si>
  <si>
    <t>Umut Çelik</t>
  </si>
  <si>
    <t>Şevval Eda Ateş</t>
  </si>
  <si>
    <t>Fatma Sude Karabulut</t>
  </si>
  <si>
    <t>Ceren Eyidemir</t>
  </si>
  <si>
    <t>Tuğçenur Kerim</t>
  </si>
  <si>
    <t>Ezgi Özaslan</t>
  </si>
  <si>
    <t>Erdem Ökmen</t>
  </si>
  <si>
    <t>Gizem Şahin</t>
  </si>
  <si>
    <t>Zeki Gündüz</t>
  </si>
  <si>
    <t>Melike Akçara</t>
  </si>
  <si>
    <t>Kader Gökçe</t>
  </si>
  <si>
    <t>Nur Banu Sarı</t>
  </si>
  <si>
    <t>Melissa Nur Şahin</t>
  </si>
  <si>
    <t>Şeniz Koparan</t>
  </si>
  <si>
    <t>Mertcan Ballı</t>
  </si>
  <si>
    <t>Zeliha Akdoğan</t>
  </si>
  <si>
    <t>Aycan İncirli</t>
  </si>
  <si>
    <t>Gülcan Küçükkıfıl</t>
  </si>
  <si>
    <t>Sarya Nehir Tangüner</t>
  </si>
  <si>
    <t>Tuğba Karaca</t>
  </si>
  <si>
    <t>Tuana Demirci</t>
  </si>
  <si>
    <t>Şevval Bozkır</t>
  </si>
  <si>
    <t>Ayşen Özdemir</t>
  </si>
  <si>
    <t>Hilal Dayı</t>
  </si>
  <si>
    <t>Havvanur Gedik</t>
  </si>
  <si>
    <t>Sona Bulak</t>
  </si>
  <si>
    <t>Orçun Royel</t>
  </si>
  <si>
    <t>Edanur Savaş</t>
  </si>
  <si>
    <t>Erdi Çetin</t>
  </si>
  <si>
    <t>Zeynep Cengiz</t>
  </si>
  <si>
    <t>Gizem Deniz</t>
  </si>
  <si>
    <t>Mehtap Tombaş</t>
  </si>
  <si>
    <t>Sena Candan</t>
  </si>
  <si>
    <t>Ayşe Naz Başoğlu</t>
  </si>
  <si>
    <t>Alparslan Tuğra Türkmen</t>
  </si>
  <si>
    <t>Şemşi Aydoğan</t>
  </si>
  <si>
    <t>Sevim Ükçün</t>
  </si>
  <si>
    <t>Melisa Önder</t>
  </si>
  <si>
    <t>Yusuf Subatan</t>
  </si>
  <si>
    <t>Hanife Gamze Günar</t>
  </si>
  <si>
    <t>Gökçe Büyükterzi</t>
  </si>
  <si>
    <t>Esma Aydoğan</t>
  </si>
  <si>
    <t>Buğra Ballıkaya</t>
  </si>
  <si>
    <t>Yağmur Elmas</t>
  </si>
  <si>
    <t>Şeyda Törün</t>
  </si>
  <si>
    <t>Sultan Sarı</t>
  </si>
  <si>
    <t>Eda Demirci</t>
  </si>
  <si>
    <t>Elif Tunç</t>
  </si>
  <si>
    <t>Çiğdem Dalyan</t>
  </si>
  <si>
    <t>Nefise Artut</t>
  </si>
  <si>
    <t>Buse Çolak</t>
  </si>
  <si>
    <t>Fatma Yılmaz</t>
  </si>
  <si>
    <t>Güven Bal</t>
  </si>
  <si>
    <t>Berivan Demir</t>
  </si>
  <si>
    <t>Esra Aksu</t>
  </si>
  <si>
    <t>Gül Demirkaya</t>
  </si>
  <si>
    <t>Kevser Ayşe Çoban</t>
  </si>
  <si>
    <t>Gazal Nigda Aslan</t>
  </si>
  <si>
    <t>Melike Sertdemir</t>
  </si>
  <si>
    <t>Merve Eneç</t>
  </si>
  <si>
    <t>Görkem Süleyman Tekin</t>
  </si>
  <si>
    <t>Süleyman Akaalp</t>
  </si>
  <si>
    <t>Barış Erkan Uras</t>
  </si>
  <si>
    <t>Nazlı Yaren Beşkardaş</t>
  </si>
  <si>
    <t>Ayşe Uçar</t>
  </si>
  <si>
    <t>Eylül Soydan</t>
  </si>
  <si>
    <t>Aygül Yılmaz</t>
  </si>
  <si>
    <t>Dilara Köse</t>
  </si>
  <si>
    <t>Abdullah Azmi Alp</t>
  </si>
  <si>
    <t>Firdevs Atılkan</t>
  </si>
  <si>
    <t>Amine Kutlar</t>
  </si>
  <si>
    <t>Merve Öz</t>
  </si>
  <si>
    <t>Meral Katırçıoğlu</t>
  </si>
  <si>
    <t>Sevgi Ozalp</t>
  </si>
  <si>
    <t>Sibel Köse</t>
  </si>
  <si>
    <t>Melike Öztürk</t>
  </si>
  <si>
    <t>Melike Erman</t>
  </si>
  <si>
    <t>Emirhan Güven</t>
  </si>
  <si>
    <t>İrem İkan</t>
  </si>
  <si>
    <t>Derya Taş</t>
  </si>
  <si>
    <t>Züleyhan Kutlay</t>
  </si>
  <si>
    <t>Sude Yılmaz</t>
  </si>
  <si>
    <t>Buket Tuncer</t>
  </si>
  <si>
    <t>Burcu Kurna</t>
  </si>
  <si>
    <t>Merve Çoban</t>
  </si>
  <si>
    <t>Dilber Orman</t>
  </si>
  <si>
    <t>Kevser Rezzan Akdemir</t>
  </si>
  <si>
    <t>Ömer Ataç</t>
  </si>
  <si>
    <t>Melih Melek</t>
  </si>
  <si>
    <t>Buse Uzer</t>
  </si>
  <si>
    <t>İrfan Yaldız</t>
  </si>
  <si>
    <t>Beren İpek</t>
  </si>
  <si>
    <t>Berfin Atak</t>
  </si>
  <si>
    <t>Rumeysa Çufalcı</t>
  </si>
  <si>
    <t>Deniz İlkay Ataman</t>
  </si>
  <si>
    <t>Büşra Özlek</t>
  </si>
  <si>
    <t>Elif Akın</t>
  </si>
  <si>
    <t>Betül Erboz</t>
  </si>
  <si>
    <t>Sude Akın</t>
  </si>
  <si>
    <t>Nisanur Çepni</t>
  </si>
  <si>
    <t>Edanur Satılmış</t>
  </si>
  <si>
    <t>Beyzanur Ceylan</t>
  </si>
  <si>
    <t>Hatice Kübra Ölmez</t>
  </si>
  <si>
    <t>Emel Demir</t>
  </si>
  <si>
    <t>Güliz Bababalım</t>
  </si>
  <si>
    <t>Melike Yanar</t>
  </si>
  <si>
    <t>Ahmet Keskin</t>
  </si>
  <si>
    <t>Şevval Modacı</t>
  </si>
  <si>
    <t>Yağmur Biçer</t>
  </si>
  <si>
    <t>Şerife Sarıkaya</t>
  </si>
  <si>
    <t>Enver Burak Göktaş</t>
  </si>
  <si>
    <t>Arzu Altın</t>
  </si>
  <si>
    <t>Hümeyra Gül Yörübaş</t>
  </si>
  <si>
    <t>Fatma Tuğçe Çiçek</t>
  </si>
  <si>
    <t>Emir Çakmak</t>
  </si>
  <si>
    <t>Gizem Hıdır</t>
  </si>
  <si>
    <t>Zehra Keskin</t>
  </si>
  <si>
    <t>Aleyna Durmuş</t>
  </si>
  <si>
    <t>Esra Tay</t>
  </si>
  <si>
    <t>Naime Aydın</t>
  </si>
  <si>
    <t>Fatma Ceylan</t>
  </si>
  <si>
    <t>Aleyna Şahindokuyucu</t>
  </si>
  <si>
    <t>Kevser Zilan Yüksel</t>
  </si>
  <si>
    <t>Songül Aydoğan</t>
  </si>
  <si>
    <t>Şebnem Zengingül</t>
  </si>
  <si>
    <t>Ceyda Yumrutaş</t>
  </si>
  <si>
    <t>İrem Rençberoğlu</t>
  </si>
  <si>
    <t>Beril Defne Ataselim</t>
  </si>
  <si>
    <t>Ennur Melike Kütük</t>
  </si>
  <si>
    <t>Mahmuthan Kor</t>
  </si>
  <si>
    <t>Batuhan Gündoğdu</t>
  </si>
  <si>
    <t>Mert Can Mahmud</t>
  </si>
  <si>
    <t>Ayşenur Kurtgözü</t>
  </si>
  <si>
    <t>Eslem Aksu</t>
  </si>
  <si>
    <t>Dilek Avohan</t>
  </si>
  <si>
    <t>Mesude Akay</t>
  </si>
  <si>
    <t>Nuran Güner</t>
  </si>
  <si>
    <t>Melisa Avcı</t>
  </si>
  <si>
    <t>Burcu Öcalan</t>
  </si>
  <si>
    <t>Enes Tutkun</t>
  </si>
  <si>
    <t>Yusuf Kutlay</t>
  </si>
  <si>
    <t>Hüseyin Paşa Tanrıverdiler</t>
  </si>
  <si>
    <t>Elif Gündoğdu</t>
  </si>
  <si>
    <t>Elanur Dinç</t>
  </si>
  <si>
    <t>Eylül Rabia Tekin</t>
  </si>
  <si>
    <t>Merve Urumlu</t>
  </si>
  <si>
    <t>Miray Bartınlı</t>
  </si>
  <si>
    <t>İrem Gültepe</t>
  </si>
  <si>
    <t>Duygu Özdemir</t>
  </si>
  <si>
    <t>Nazmi Deniz Konca</t>
  </si>
  <si>
    <t>Seda Çınar</t>
  </si>
  <si>
    <t>Ayça Durmuş</t>
  </si>
  <si>
    <t>İrem Gümüş</t>
  </si>
  <si>
    <t>Ayşe Atmaca</t>
  </si>
  <si>
    <t>Mert Eren Kasap</t>
  </si>
  <si>
    <t>Zeynep Meşe</t>
  </si>
  <si>
    <t>Hazal Bati</t>
  </si>
  <si>
    <t>Emirhan Tosun</t>
  </si>
  <si>
    <t>Ceren Damla Balambar</t>
  </si>
  <si>
    <t>Cansu Karadağ</t>
  </si>
  <si>
    <t>Enes Çakmak</t>
  </si>
  <si>
    <t>Beyza Nur Temel</t>
  </si>
  <si>
    <t>Gökçe Yıldırım</t>
  </si>
  <si>
    <t>Rojin Karabulut</t>
  </si>
  <si>
    <t>Tuba Adıyaman</t>
  </si>
  <si>
    <t>Tuğçegül Kara</t>
  </si>
  <si>
    <t>Kubilay Kopar</t>
  </si>
  <si>
    <t>Firuze Cansu Demirol</t>
  </si>
  <si>
    <t>Aleyna Kantar</t>
  </si>
  <si>
    <t>Sıla Komaç</t>
  </si>
  <si>
    <t>Burcu Bulut</t>
  </si>
  <si>
    <t>Hüda Akyıldız</t>
  </si>
  <si>
    <t>Müge Çakar</t>
  </si>
  <si>
    <t>İmran Yaren Palta</t>
  </si>
  <si>
    <t>Caner Özer</t>
  </si>
  <si>
    <t>Dilan Arslan</t>
  </si>
  <si>
    <t>Berfin Çetin</t>
  </si>
  <si>
    <t>Lütfiye Duran</t>
  </si>
  <si>
    <t>İsmail Karataş</t>
  </si>
  <si>
    <t>Sudenur Cabalak</t>
  </si>
  <si>
    <t>Meryem Cacim</t>
  </si>
  <si>
    <t>Sude Aysever</t>
  </si>
  <si>
    <t>Melike Demir</t>
  </si>
  <si>
    <t>Fatih Eren Kara</t>
  </si>
  <si>
    <t>Emine Sude Yılmaz</t>
  </si>
  <si>
    <t>İkranur Kara</t>
  </si>
  <si>
    <t>Dicle Erbek</t>
  </si>
  <si>
    <t>Simge Kara</t>
  </si>
  <si>
    <t>Yiğit Mert Altıntaş</t>
  </si>
  <si>
    <t>Beyza Şanlı</t>
  </si>
  <si>
    <t>İrem Uğur</t>
  </si>
  <si>
    <t>Kaan Tedü</t>
  </si>
  <si>
    <t>Melek Tatlı</t>
  </si>
  <si>
    <t>Tuğba Acaroğlu</t>
  </si>
  <si>
    <t>Huriye Yıldız</t>
  </si>
  <si>
    <t>Ceren Ağca</t>
  </si>
  <si>
    <t>Beyzanur Beydüz</t>
  </si>
  <si>
    <t>Gülçin Yüksel</t>
  </si>
  <si>
    <t>Beyza Gülmez</t>
  </si>
  <si>
    <t>Dicle Tunç</t>
  </si>
  <si>
    <t>Cihan Nur Erkuş</t>
  </si>
  <si>
    <t>Nisa Nur Bayrak</t>
  </si>
  <si>
    <t>Yeşim Sekmen</t>
  </si>
  <si>
    <t>Sultan Avaşın İkbal</t>
  </si>
  <si>
    <t>Eda Karakaya</t>
  </si>
  <si>
    <t>Kemile İçen</t>
  </si>
  <si>
    <t>Fadime Ayan</t>
  </si>
  <si>
    <t>Anıl Berke Tümen</t>
  </si>
  <si>
    <t>Zehra Aydın</t>
  </si>
  <si>
    <t>Buse Aydın</t>
  </si>
  <si>
    <t>Gülay Türkmen</t>
  </si>
  <si>
    <t>Çayan Kolçak</t>
  </si>
  <si>
    <t>Sevim Temel</t>
  </si>
  <si>
    <t>Nazik Berk</t>
  </si>
  <si>
    <t>Helin Begüm Kılınç</t>
  </si>
  <si>
    <t>Azizcan Özdemir</t>
  </si>
  <si>
    <t>Bayram Çamurcu</t>
  </si>
  <si>
    <t>Elif Karabaş</t>
  </si>
  <si>
    <t>Canan Kotan</t>
  </si>
  <si>
    <t>Orçun Bodur</t>
  </si>
  <si>
    <t>Sebat Şahin</t>
  </si>
  <si>
    <t>Sıla Cansu Turan</t>
  </si>
  <si>
    <t>Emine Güner</t>
  </si>
  <si>
    <t>Havva Öztürk</t>
  </si>
  <si>
    <t>Ülkühan Yıldırım</t>
  </si>
  <si>
    <t>Fatma Şen</t>
  </si>
  <si>
    <t>Ezgi Gevşek</t>
  </si>
  <si>
    <t>Alperen Kaan Eyvazlı</t>
  </si>
  <si>
    <t>Adar Gülmüş</t>
  </si>
  <si>
    <t>Ezgi Özata</t>
  </si>
  <si>
    <t>Buse Nur Harman</t>
  </si>
  <si>
    <t>Turan Rüzgar</t>
  </si>
  <si>
    <t>Hatice Yasemin Yavuz</t>
  </si>
  <si>
    <t>Esra Karlı</t>
  </si>
  <si>
    <t>Hatice Bahar Taşdemir</t>
  </si>
  <si>
    <t>İrem Dikici</t>
  </si>
  <si>
    <t>Kevser Gülsen</t>
  </si>
  <si>
    <t>Senay Öner</t>
  </si>
  <si>
    <t>Hakan Karataş</t>
  </si>
  <si>
    <t>Evrim Çalışkan</t>
  </si>
  <si>
    <t>Ömer Efe Biçer</t>
  </si>
  <si>
    <t>Azra Demircan</t>
  </si>
  <si>
    <t>Ebrar Fatımanur Kızıldaş</t>
  </si>
  <si>
    <t>Medine Işık</t>
  </si>
  <si>
    <t>Aslı Akar</t>
  </si>
  <si>
    <t>Esra Turan</t>
  </si>
  <si>
    <t>Betül Kozak</t>
  </si>
  <si>
    <t>Gamze Kaplan</t>
  </si>
  <si>
    <t>Sümeyye Altundaş</t>
  </si>
  <si>
    <t>Sinem Can</t>
  </si>
  <si>
    <t>Sude Naz Kaymak</t>
  </si>
  <si>
    <t>Sevval Sinem Atasoy</t>
  </si>
  <si>
    <t>Ecenur Gürgen</t>
  </si>
  <si>
    <t>Merve Anafarta</t>
  </si>
  <si>
    <t>Hakan Ateş</t>
  </si>
  <si>
    <t>Seda Görmüş</t>
  </si>
  <si>
    <t>Aytuğ Duyar</t>
  </si>
  <si>
    <t>Nesrin Batı</t>
  </si>
  <si>
    <t>Zerda Telli</t>
  </si>
  <si>
    <t>Gamze Sürül</t>
  </si>
  <si>
    <t>Sibel Karaca</t>
  </si>
  <si>
    <t>Betül Sümbül</t>
  </si>
  <si>
    <t>Serdar Kılıçoğlu</t>
  </si>
  <si>
    <t>Buse Ayhan</t>
  </si>
  <si>
    <t>Sedanur Kayahan</t>
  </si>
  <si>
    <t>Ece Yaşar</t>
  </si>
  <si>
    <t>Arda Arslan</t>
  </si>
  <si>
    <t>İlayda Gültekin</t>
  </si>
  <si>
    <t>Aleyna Karakaya</t>
  </si>
  <si>
    <t>Sevda Kurşun</t>
  </si>
  <si>
    <t>Dilay Cinkavuk</t>
  </si>
  <si>
    <t>Yasemin Yıldırım</t>
  </si>
  <si>
    <t>Bahar Aktaş</t>
  </si>
  <si>
    <t>Yağmur Rukiye Polat</t>
  </si>
  <si>
    <t>İkra Aykıroğlu</t>
  </si>
  <si>
    <t>Habibe Güneş</t>
  </si>
  <si>
    <t>Eda Nur Kargün</t>
  </si>
  <si>
    <t>Kübra Gündeş</t>
  </si>
  <si>
    <t>Nigar Medetşirin</t>
  </si>
  <si>
    <t>Baran Miraç Diren</t>
  </si>
  <si>
    <t>Rıdvan Torak</t>
  </si>
  <si>
    <t>Sude Kurtoğlu</t>
  </si>
  <si>
    <t>Atakan Alper Üner</t>
  </si>
  <si>
    <t>Ayşenur Akdemir</t>
  </si>
  <si>
    <t>Tuğçe Eskicioğlu</t>
  </si>
  <si>
    <t>Emine Suveren</t>
  </si>
  <si>
    <t>Tuana Deniz</t>
  </si>
  <si>
    <t>Zeynep Elçin Kehri</t>
  </si>
  <si>
    <t>Nurdan Taşel</t>
  </si>
  <si>
    <t>Zehra Esenli</t>
  </si>
  <si>
    <t>Seminur Erdoğmuş</t>
  </si>
  <si>
    <t>Nisanur Alkan</t>
  </si>
  <si>
    <t>Fatma Çiftçi</t>
  </si>
  <si>
    <t>Merve Nur Kurt</t>
  </si>
  <si>
    <t>Defne Kelen</t>
  </si>
  <si>
    <t>Begüm Nur Kurtul</t>
  </si>
  <si>
    <t>Hatice Yazıcı</t>
  </si>
  <si>
    <t>Saadet Turhan</t>
  </si>
  <si>
    <t>Selin Tilkici</t>
  </si>
  <si>
    <t>Mahmut Cihan</t>
  </si>
  <si>
    <t>Dilan Saygılı</t>
  </si>
  <si>
    <t>İlayda Dabakoğlu</t>
  </si>
  <si>
    <t>Şevval Karakuş</t>
  </si>
  <si>
    <t>Elif Yüksel Yelaldı</t>
  </si>
  <si>
    <t>Nuray Korkmaz</t>
  </si>
  <si>
    <t>Sudenur Yaman</t>
  </si>
  <si>
    <t>İrem Özgür</t>
  </si>
  <si>
    <t>Beyza Akbaş</t>
  </si>
  <si>
    <t>Emre Bozan</t>
  </si>
  <si>
    <t>Furkan Öz</t>
  </si>
  <si>
    <t>Ece Yazgı Koç</t>
  </si>
  <si>
    <t>Şakircan Bitkay</t>
  </si>
  <si>
    <t>Taner Kumaru</t>
  </si>
  <si>
    <t>Sibel Nur Durmuş</t>
  </si>
  <si>
    <t>Beyzanur Şahindere</t>
  </si>
  <si>
    <t>Arşel Güneş Gürleyen</t>
  </si>
  <si>
    <t>Ezgi Yaman</t>
  </si>
  <si>
    <t>Rabia Merve Aydemir</t>
  </si>
  <si>
    <t>Nurettin Yakar</t>
  </si>
  <si>
    <t>Tülay Othan</t>
  </si>
  <si>
    <t>Ayşegül Nayır</t>
  </si>
  <si>
    <t>Şifanur Ayyıldız</t>
  </si>
  <si>
    <t>Muhammet Emin Şimşek</t>
  </si>
  <si>
    <t>Edanur Yazıcı</t>
  </si>
  <si>
    <t>Bedirhan Yıldız</t>
  </si>
  <si>
    <t>Havva Nur Okyay</t>
  </si>
  <si>
    <t>Feyza Aygün</t>
  </si>
  <si>
    <t>Metehan Akkuş</t>
  </si>
  <si>
    <t>Rümeysa Atakul</t>
  </si>
  <si>
    <t>Fatma Dal</t>
  </si>
  <si>
    <t>Süleymancan Hekim</t>
  </si>
  <si>
    <t>Ceyda Eroğlu</t>
  </si>
  <si>
    <t>Buket Reyhan Sultanoğlu</t>
  </si>
  <si>
    <t>Ahmet Emirhan Döker</t>
  </si>
  <si>
    <t>Şule Erol</t>
  </si>
  <si>
    <t>Simge Esim</t>
  </si>
  <si>
    <t>Ferhat Sekili</t>
  </si>
  <si>
    <t>Hasan Gülen</t>
  </si>
  <si>
    <t>Mina Nur Arslan</t>
  </si>
  <si>
    <t>Fadime Arslan</t>
  </si>
  <si>
    <t>Yunus Emre Buzludere</t>
  </si>
  <si>
    <t>Alperen Kurtuluş</t>
  </si>
  <si>
    <t>Senanur Çakıcı</t>
  </si>
  <si>
    <t>Fatma Betül Dinçel</t>
  </si>
  <si>
    <t>Sümeyra Kap</t>
  </si>
  <si>
    <t>Fatma Nur Uzun</t>
  </si>
  <si>
    <t>Seda Nur Kara</t>
  </si>
  <si>
    <t>Yağmur Çakır</t>
  </si>
  <si>
    <t>Aleyna Sağlam</t>
  </si>
  <si>
    <t>Gülbeyaz Şahin</t>
  </si>
  <si>
    <t>Nur Aleyna Aydın</t>
  </si>
  <si>
    <t>Nürgül Göl</t>
  </si>
  <si>
    <t>Dilan Orhan</t>
  </si>
  <si>
    <t>Leyla Bardakcı</t>
  </si>
  <si>
    <t>Rümeysa Demir</t>
  </si>
  <si>
    <t>Samet Eray Erdoğdu</t>
  </si>
  <si>
    <t>Edanur Gençer</t>
  </si>
  <si>
    <t>İpek Özkan</t>
  </si>
  <si>
    <t>Sıla Özata</t>
  </si>
  <si>
    <t>Muhammet Köse</t>
  </si>
  <si>
    <t>Edanur Süngü</t>
  </si>
  <si>
    <t>Ayşe Elifnaz Erbilgin</t>
  </si>
  <si>
    <t>Emre Kara</t>
  </si>
  <si>
    <t>Gülten Kübra Temirhan</t>
  </si>
  <si>
    <t>Gülbahar Özalp</t>
  </si>
  <si>
    <t>Havvanur Erken</t>
  </si>
  <si>
    <t>Sadettin Mert Atli</t>
  </si>
  <si>
    <t>Burak Yıldırım</t>
  </si>
  <si>
    <t>Muhammet Muzaffer Güccük</t>
  </si>
  <si>
    <t>Döndü Şeyma Mert</t>
  </si>
  <si>
    <t>Cansu Baykara</t>
  </si>
  <si>
    <t>Yasemin Kabakcı</t>
  </si>
  <si>
    <t>Muhammed Zeki Altındiş</t>
  </si>
  <si>
    <t>Enes Esen</t>
  </si>
  <si>
    <t>Burak Güleç</t>
  </si>
  <si>
    <t>Umut Küçük</t>
  </si>
  <si>
    <t>Neriman Denizsümüren</t>
  </si>
  <si>
    <t>Gizem Miran</t>
  </si>
  <si>
    <t>İlayda Kanber</t>
  </si>
  <si>
    <t>Rabia İpekeşen</t>
  </si>
  <si>
    <t>Zeynep Dayan</t>
  </si>
  <si>
    <t>Semih Bursalı</t>
  </si>
  <si>
    <t>İlknur Şahin</t>
  </si>
  <si>
    <t>Ece Polat</t>
  </si>
  <si>
    <t>Yağız Alp Konuk</t>
  </si>
  <si>
    <t>Zeynepgül Sungur</t>
  </si>
  <si>
    <t>Tunahan Bolat</t>
  </si>
  <si>
    <t>Harun Ekinci</t>
  </si>
  <si>
    <t>Elif Yavaş</t>
  </si>
  <si>
    <t>Nisa Eda Kuşcular</t>
  </si>
  <si>
    <t>Ülkü Aktaş</t>
  </si>
  <si>
    <t>Burcu Şahin</t>
  </si>
  <si>
    <t>Muharrem Bildirir</t>
  </si>
  <si>
    <t>Aslı Koyuncu</t>
  </si>
  <si>
    <t>Sude Görkem Aydemir</t>
  </si>
  <si>
    <t>Cansu Camcı</t>
  </si>
  <si>
    <t>Hüseyin Ozan Ongan</t>
  </si>
  <si>
    <t>Evrim Vural</t>
  </si>
  <si>
    <t>Rojin Yüksel</t>
  </si>
  <si>
    <t>Eylem Tanrıverdi</t>
  </si>
  <si>
    <t>Türkan Yağmur</t>
  </si>
  <si>
    <t>Beyza Hakimi</t>
  </si>
  <si>
    <t>Ece Altaş</t>
  </si>
  <si>
    <t>Sinem Şakın</t>
  </si>
  <si>
    <t>Neslihan Alan</t>
  </si>
  <si>
    <t>Gökhan Kıran</t>
  </si>
  <si>
    <t>Zahide Tarkan</t>
  </si>
  <si>
    <t>Nihal Güneş</t>
  </si>
  <si>
    <t>Yusuf Arda Keser</t>
  </si>
  <si>
    <t>Cengizhan Köse</t>
  </si>
  <si>
    <t>Ömer Faruk Beder</t>
  </si>
  <si>
    <t>Emirkan Kaygısız</t>
  </si>
  <si>
    <t>Gülten Turgut</t>
  </si>
  <si>
    <t>Elif Kıymaz</t>
  </si>
  <si>
    <t>Hüseyin Gültekin</t>
  </si>
  <si>
    <t>Serhat Tutuş</t>
  </si>
  <si>
    <t>Özlem Kardeş</t>
  </si>
  <si>
    <t>Bahar Erdem</t>
  </si>
  <si>
    <t>Aleyna Okcu</t>
  </si>
  <si>
    <t>Hava Duymaz</t>
  </si>
  <si>
    <t>Şuheda Kelten</t>
  </si>
  <si>
    <t>Ayşe Subaş</t>
  </si>
  <si>
    <t>Zeynep Garip</t>
  </si>
  <si>
    <t>Betül Şeker</t>
  </si>
  <si>
    <t>Sinan Yeşilfidan</t>
  </si>
  <si>
    <t>Lütfü Şenlik</t>
  </si>
  <si>
    <t>Bahar Alpasal</t>
  </si>
  <si>
    <t>Damla Çam</t>
  </si>
  <si>
    <t>Büşranur Alagöz</t>
  </si>
  <si>
    <t>Deniz Çağrı</t>
  </si>
  <si>
    <t>Gamze Malanlı</t>
  </si>
  <si>
    <t>Ceren Başer</t>
  </si>
  <si>
    <t>Nisa Nur Saral</t>
  </si>
  <si>
    <t>Pınar Kahya</t>
  </si>
  <si>
    <t>Neslihan Daştan</t>
  </si>
  <si>
    <t>Esra Kerziban Şengezer</t>
  </si>
  <si>
    <t>Merve Bicen</t>
  </si>
  <si>
    <t>Kaan Aysın</t>
  </si>
  <si>
    <t>Selma Aydemir</t>
  </si>
  <si>
    <t>Erdi Batuhan Arpa</t>
  </si>
  <si>
    <t>Yeter Er</t>
  </si>
  <si>
    <t>Ayşe Aydın</t>
  </si>
  <si>
    <t>Aycan İnci</t>
  </si>
  <si>
    <t>Miraç Arda Aka</t>
  </si>
  <si>
    <t>Doğukan Erenoğlu</t>
  </si>
  <si>
    <t>Tuğçe Tokel</t>
  </si>
  <si>
    <t>Mert Ali Parmak</t>
  </si>
  <si>
    <t>Esma Nur Yılmaz</t>
  </si>
  <si>
    <t>Özlem Erdem</t>
  </si>
  <si>
    <t>Gözde Acar</t>
  </si>
  <si>
    <t>Ömer Kavrazlı</t>
  </si>
  <si>
    <t>Güneş Koraç</t>
  </si>
  <si>
    <t>Şeyda Canlı</t>
  </si>
  <si>
    <t>Elif Nur Fettahlıoğlu</t>
  </si>
  <si>
    <t>Irmak Meram</t>
  </si>
  <si>
    <t>Mualla Erboz</t>
  </si>
  <si>
    <t>Makbule Güneş</t>
  </si>
  <si>
    <t>Elif Nur Şeker</t>
  </si>
  <si>
    <t>Bilge Çelik</t>
  </si>
  <si>
    <t>Ayşegül Demiray</t>
  </si>
  <si>
    <t>Hayrunnisa Selvi</t>
  </si>
  <si>
    <t>Emre Can Atalay</t>
  </si>
  <si>
    <t>Selin Karakoyun</t>
  </si>
  <si>
    <t>Selvet Nur Demirci</t>
  </si>
  <si>
    <t>Esma Nur Külük</t>
  </si>
  <si>
    <t>Selma Akkaya</t>
  </si>
  <si>
    <t>Edanur Tatar</t>
  </si>
  <si>
    <t>Kardelen Uçar</t>
  </si>
  <si>
    <t>Ümmügülsüm Aydoğan</t>
  </si>
  <si>
    <t>Sema Nur Dönmez</t>
  </si>
  <si>
    <t>Sude Taş</t>
  </si>
  <si>
    <t>Naciye Öztürk</t>
  </si>
  <si>
    <t>Ömer Günay</t>
  </si>
  <si>
    <t>Emirhan Palabıyık</t>
  </si>
  <si>
    <t>Kadriye Çetin</t>
  </si>
  <si>
    <t>Burak Muslu</t>
  </si>
  <si>
    <t>Beyza Çakır</t>
  </si>
  <si>
    <t>Pelin Eken</t>
  </si>
  <si>
    <t>Ömer Asaf Keleş</t>
  </si>
  <si>
    <t>Esra Özpolat</t>
  </si>
  <si>
    <t>Sercan Erkmen</t>
  </si>
  <si>
    <t>İlayda Öztürk</t>
  </si>
  <si>
    <t>Muhammet Mustafa Karaca</t>
  </si>
  <si>
    <t>Gaye Edebali</t>
  </si>
  <si>
    <t>Esra Çetin</t>
  </si>
  <si>
    <t>Muttalip Coşgun</t>
  </si>
  <si>
    <t>Aysel Bakrak</t>
  </si>
  <si>
    <t>Senem Taşkın</t>
  </si>
  <si>
    <t>Osman Uğur</t>
  </si>
  <si>
    <t>Oğuz Akşahin</t>
  </si>
  <si>
    <t>Şevval Düz</t>
  </si>
  <si>
    <t>Melek Geçer</t>
  </si>
  <si>
    <t>Kübra Demir</t>
  </si>
  <si>
    <t>Dicle Aşır</t>
  </si>
  <si>
    <t>Gamzenur Gök</t>
  </si>
  <si>
    <t>Selcan Çiftçi</t>
  </si>
  <si>
    <t>Merve Demirci</t>
  </si>
  <si>
    <t>Gözde Kaya</t>
  </si>
  <si>
    <t>Nejla Ayas</t>
  </si>
  <si>
    <t>Muhammet Nurullah Özyılmaz</t>
  </si>
  <si>
    <t>Muhammet Erdem</t>
  </si>
  <si>
    <t>Aykut Cantürk</t>
  </si>
  <si>
    <t>Perihan Esen</t>
  </si>
  <si>
    <t>Murat Ataş</t>
  </si>
  <si>
    <t>Beyza Nur Tağ</t>
  </si>
  <si>
    <t>Aras Özel</t>
  </si>
  <si>
    <t>Serra Sezgin</t>
  </si>
  <si>
    <t>Billur Merve Yorulmaz</t>
  </si>
  <si>
    <t>Hazal Karsavuranoğlu</t>
  </si>
  <si>
    <t>Hilal Beken</t>
  </si>
  <si>
    <t>Furkan Emre Balyemez</t>
  </si>
  <si>
    <t>Ayşenur Seçen</t>
  </si>
  <si>
    <t>Esra Uçar</t>
  </si>
  <si>
    <t>Ebrar Kaçar</t>
  </si>
  <si>
    <t>Monıreh Yıldırım</t>
  </si>
  <si>
    <t>Rümeysa Yıldız Teke</t>
  </si>
  <si>
    <t>Kübra Yıldız</t>
  </si>
  <si>
    <t>Eylül Kurtcu</t>
  </si>
  <si>
    <t>Ali Samet Tokur</t>
  </si>
  <si>
    <t>Ayşegül Yeşilbudak</t>
  </si>
  <si>
    <t>Burak Kamil Eliuygun</t>
  </si>
  <si>
    <t>Betül Uludağ</t>
  </si>
  <si>
    <t>Gülsün Taşdemir</t>
  </si>
  <si>
    <t>Hatice Özdemir</t>
  </si>
  <si>
    <t>Yasemin Şimşek</t>
  </si>
  <si>
    <t>Kübra Şanlı</t>
  </si>
  <si>
    <t>Seda Şahin</t>
  </si>
  <si>
    <t>Fatma Yumuşakdiken</t>
  </si>
  <si>
    <t>Gülseren Kavak Duman</t>
  </si>
  <si>
    <t>Beyza Karakısa</t>
  </si>
  <si>
    <t>Elif Dorga Bukharı</t>
  </si>
  <si>
    <t>Mustafa Aslan</t>
  </si>
  <si>
    <t>Muhammed Aslan</t>
  </si>
  <si>
    <t>Erbay Erkoç</t>
  </si>
  <si>
    <t>İdris Batuhan Arslan</t>
  </si>
  <si>
    <t>Özge Güneş</t>
  </si>
  <si>
    <t>Osman Aziz Buldu</t>
  </si>
  <si>
    <t>Müberra Fazla</t>
  </si>
  <si>
    <t>Ogün Öztürk</t>
  </si>
  <si>
    <t>Şevval Gökcan</t>
  </si>
  <si>
    <t>Nergis Önlük</t>
  </si>
  <si>
    <t>Beyza Ekli</t>
  </si>
  <si>
    <t>Nurşen Aktaş</t>
  </si>
  <si>
    <t>Nehir Sarıyıldız</t>
  </si>
  <si>
    <t>Esra Koto</t>
  </si>
  <si>
    <t>Sultan Karaarslan</t>
  </si>
  <si>
    <t>Hayat Demir</t>
  </si>
  <si>
    <t>Metin Konya</t>
  </si>
  <si>
    <t>Tuna Eliaçık</t>
  </si>
  <si>
    <t>Duygu Gökyıldız</t>
  </si>
  <si>
    <t>Ege Uyguner</t>
  </si>
  <si>
    <t>Sevgi Akyol</t>
  </si>
  <si>
    <t>Alara Tarhan Süt</t>
  </si>
  <si>
    <t>Sedanur Talan</t>
  </si>
  <si>
    <t>Kübra Nur Karagül</t>
  </si>
  <si>
    <t>Merve Olcay</t>
  </si>
  <si>
    <t>Serdar Demir</t>
  </si>
  <si>
    <t>Utku Ak</t>
  </si>
  <si>
    <t>Atakan Ardıç</t>
  </si>
  <si>
    <t>Aysu Gizem Atila</t>
  </si>
  <si>
    <t>Hüsra Arat</t>
  </si>
  <si>
    <t>Buğrahan Ayaz</t>
  </si>
  <si>
    <t>Edanur Demir</t>
  </si>
  <si>
    <t>Elmas Hilal Yarar</t>
  </si>
  <si>
    <t>Elif Habibe Sipahigil</t>
  </si>
  <si>
    <t>Esmanur Geniş</t>
  </si>
  <si>
    <t>Sueda Atalay</t>
  </si>
  <si>
    <t>Yusuf Öktay</t>
  </si>
  <si>
    <t>Gökçe Kurtoğlu</t>
  </si>
  <si>
    <t>Eyüp Demir</t>
  </si>
  <si>
    <t>Selin Yantır</t>
  </si>
  <si>
    <t>Muhsine Torun</t>
  </si>
  <si>
    <t>Hatice Alptekin</t>
  </si>
  <si>
    <t>Çiğdem Çiçek</t>
  </si>
  <si>
    <t>Büşra Demir</t>
  </si>
  <si>
    <t>Hatice Elnur Aygüç</t>
  </si>
  <si>
    <t>Mert Özcan</t>
  </si>
  <si>
    <t>Ömer Kutlay</t>
  </si>
  <si>
    <t>Kardelen Güzel</t>
  </si>
  <si>
    <t>Furkan Osma</t>
  </si>
  <si>
    <t>Zümrüt Yılmaz</t>
  </si>
  <si>
    <t>Yusuf Yıldırım</t>
  </si>
  <si>
    <t>Burak Durdu</t>
  </si>
  <si>
    <t>Miyaser Toptaş</t>
  </si>
  <si>
    <t>Elif Omurca</t>
  </si>
  <si>
    <t>Yaren Yaşa</t>
  </si>
  <si>
    <t>Esmanur Dönmez</t>
  </si>
  <si>
    <t>Sevim İrem Kocaman</t>
  </si>
  <si>
    <t>İrem Demirok</t>
  </si>
  <si>
    <t>Zeynep Bayhan</t>
  </si>
  <si>
    <t>Yeliz Dişlitaş</t>
  </si>
  <si>
    <t>Sefa Kaya</t>
  </si>
  <si>
    <t>Esma Nur Özmenteş</t>
  </si>
  <si>
    <t>Edanur Çiftçi</t>
  </si>
  <si>
    <t>Kardelen Köşk</t>
  </si>
  <si>
    <t>İlknur Teke</t>
  </si>
  <si>
    <t>Şevval Tunç</t>
  </si>
  <si>
    <t>Talha Kaçar</t>
  </si>
  <si>
    <t>Hatice Örnek</t>
  </si>
  <si>
    <t>Ömer Enes Aydın</t>
  </si>
  <si>
    <t>Enes Rahim Karagüzel</t>
  </si>
  <si>
    <t>İlayda Ateş</t>
  </si>
  <si>
    <t>Raşit Kaan Elmas</t>
  </si>
  <si>
    <t>Yeliz Karadeniz</t>
  </si>
  <si>
    <t>Elmas Tayyar</t>
  </si>
  <si>
    <t>Gözde Aşk Bilgiç</t>
  </si>
  <si>
    <t>Dilek Arslan Irmak</t>
  </si>
  <si>
    <t>Yağmur Özer</t>
  </si>
  <si>
    <t>Ravzanur Ünal</t>
  </si>
  <si>
    <t>Zehra Tanrıverdi</t>
  </si>
  <si>
    <t>Eda Yakut</t>
  </si>
  <si>
    <t>Efruz Ceyhan</t>
  </si>
  <si>
    <t>İlknur Karakılınç</t>
  </si>
  <si>
    <t>Zeynep Orman</t>
  </si>
  <si>
    <t>Tufan Şahinkaya</t>
  </si>
  <si>
    <t>Aylin Sude Canel</t>
  </si>
  <si>
    <t>Damla Soylu</t>
  </si>
  <si>
    <t>Şevval Kurban</t>
  </si>
  <si>
    <t>Özge Ozmış</t>
  </si>
  <si>
    <t>Meltem Çarpar</t>
  </si>
  <si>
    <t>Arife Nur Gökyar</t>
  </si>
  <si>
    <t>Oğuzhan Tosyalı</t>
  </si>
  <si>
    <t>Burak Yılmaz Ballı</t>
  </si>
  <si>
    <t>Buse Şatıroğlu</t>
  </si>
  <si>
    <t>Sevilay Bağlan</t>
  </si>
  <si>
    <t>Belgüzar Toktaş</t>
  </si>
  <si>
    <t>Kadir Erten</t>
  </si>
  <si>
    <t>Doğancan Aslan</t>
  </si>
  <si>
    <t>Damla Otuzbiroğlu</t>
  </si>
  <si>
    <t>Emrah Ünal İnan</t>
  </si>
  <si>
    <t>Semiha Buhari</t>
  </si>
  <si>
    <t>Şevval Keleş</t>
  </si>
  <si>
    <t>Gamzenur Ölmez</t>
  </si>
  <si>
    <t>Tuğba Şenel Ertosun</t>
  </si>
  <si>
    <t>Muhammed Emin Yavuz</t>
  </si>
  <si>
    <t>Efe Can Yurdakul</t>
  </si>
  <si>
    <t>Gülsu Gül</t>
  </si>
  <si>
    <t>Elvan Çelik</t>
  </si>
  <si>
    <t>Emine Kara</t>
  </si>
  <si>
    <t>Ali Derebaş</t>
  </si>
  <si>
    <t>Şule Demir</t>
  </si>
  <si>
    <t>Elif Aksu</t>
  </si>
  <si>
    <t>Zeynep Çakır</t>
  </si>
  <si>
    <t>Melek Şengüneş</t>
  </si>
  <si>
    <t>Fatma Eda Özçelik</t>
  </si>
  <si>
    <t>Eda Yalçın</t>
  </si>
  <si>
    <t>Herdem Ak</t>
  </si>
  <si>
    <t>Elvan Barış</t>
  </si>
  <si>
    <t>Sümeyye Sal</t>
  </si>
  <si>
    <t>Deren Türkmen</t>
  </si>
  <si>
    <t>Tuğba Özer</t>
  </si>
  <si>
    <t>Devrim Daşdemir</t>
  </si>
  <si>
    <t>Yasemin Vural</t>
  </si>
  <si>
    <t>Merve Dayan</t>
  </si>
  <si>
    <t>Fatime Ayazgök</t>
  </si>
  <si>
    <t>Zeynep Öz</t>
  </si>
  <si>
    <t>Semih Yılmaz</t>
  </si>
  <si>
    <t>Gizem Kılıç</t>
  </si>
  <si>
    <t>Merve Baburşah</t>
  </si>
  <si>
    <t>Elif Balık</t>
  </si>
  <si>
    <t>Ünal Bertuğ Yıldız</t>
  </si>
  <si>
    <t>Ömer Özer</t>
  </si>
  <si>
    <t>Sevgi Altınöz</t>
  </si>
  <si>
    <t>Selin Akgün</t>
  </si>
  <si>
    <t>Merve Nur Açıkgöz</t>
  </si>
  <si>
    <t>Ceren Kabakçı</t>
  </si>
  <si>
    <t>Şerife Akdeniz</t>
  </si>
  <si>
    <t>Feyza Başbuğ</t>
  </si>
  <si>
    <t>Teyfur Er</t>
  </si>
  <si>
    <t>Arda Baçaru</t>
  </si>
  <si>
    <t>Buse Şevval Uyar</t>
  </si>
  <si>
    <t>Nisa Baştuğ</t>
  </si>
  <si>
    <t>Burcu Bekdoğdu</t>
  </si>
  <si>
    <t>Şaziye Kerimoğlu</t>
  </si>
  <si>
    <t>Ayfer Akpınarlı</t>
  </si>
  <si>
    <t>Ayça Aselim</t>
  </si>
  <si>
    <t>Zehra Kazan</t>
  </si>
  <si>
    <t>Tuba Rigan</t>
  </si>
  <si>
    <t>Habibe Şahin</t>
  </si>
  <si>
    <t>Enes Berker Ezbörü</t>
  </si>
  <si>
    <t>Tuana Deliağaoğlu</t>
  </si>
  <si>
    <t>Fatma Demirhan</t>
  </si>
  <si>
    <t>Erkan Özel</t>
  </si>
  <si>
    <t>Ceren Deveci</t>
  </si>
  <si>
    <t>İlayda Gezer</t>
  </si>
  <si>
    <t>İlayda Erbek</t>
  </si>
  <si>
    <t>Furkan Arda Çoban</t>
  </si>
  <si>
    <t>Hazal Atalay</t>
  </si>
  <si>
    <t>Sedef Aygın</t>
  </si>
  <si>
    <t>Eylül Karakoca</t>
  </si>
  <si>
    <t>Aleyna Bozdağ</t>
  </si>
  <si>
    <t>Ahmet Çelekoğlu</t>
  </si>
  <si>
    <t>Filiz Uçar</t>
  </si>
  <si>
    <t>Can Demirdelen</t>
  </si>
  <si>
    <t>Songül Aydoğdu</t>
  </si>
  <si>
    <t>Gökşen Cirit</t>
  </si>
  <si>
    <t>Tuana Başarır</t>
  </si>
  <si>
    <t>Sinem Beşer</t>
  </si>
  <si>
    <t>Cemre Calap</t>
  </si>
  <si>
    <t>Nihan Balçık</t>
  </si>
  <si>
    <t>Deniz Gök</t>
  </si>
  <si>
    <t>Nazan Bayindir</t>
  </si>
  <si>
    <t>Azranur Bilen</t>
  </si>
  <si>
    <t>Nisanur Yücebaş</t>
  </si>
  <si>
    <t>Emirhan Köse</t>
  </si>
  <si>
    <t>Edanur Şahan</t>
  </si>
  <si>
    <t>Gamze İlkay</t>
  </si>
  <si>
    <t>Açelya Kızılelma</t>
  </si>
  <si>
    <t>Çağla Soyöz</t>
  </si>
  <si>
    <t>Başak Yavuzer</t>
  </si>
  <si>
    <t>Sena Adıyaman</t>
  </si>
  <si>
    <t>Dilara Gümüş</t>
  </si>
  <si>
    <t>Remzi Can Bağcı</t>
  </si>
  <si>
    <t>Burcu Tütük</t>
  </si>
  <si>
    <t>Sudenaz Naşal</t>
  </si>
  <si>
    <t>Tuanna Nur Arslan</t>
  </si>
  <si>
    <t>Sümeyra Tok</t>
  </si>
  <si>
    <t>Sude Kısacık</t>
  </si>
  <si>
    <t>Elif Gedik</t>
  </si>
  <si>
    <t>İrem Duzgöllü</t>
  </si>
  <si>
    <t>Tuğba İlboga</t>
  </si>
  <si>
    <t>Ayşe Kavaz</t>
  </si>
  <si>
    <t>Rukiye Öztürk</t>
  </si>
  <si>
    <t>İlayda Aslan</t>
  </si>
  <si>
    <t>Haticenur Akın</t>
  </si>
  <si>
    <t>Sinem Demirci</t>
  </si>
  <si>
    <t>Edanur Ecül</t>
  </si>
  <si>
    <t>Dilara Alp</t>
  </si>
  <si>
    <t>Barış Mete Kurun</t>
  </si>
  <si>
    <t>Elif Nur Balbay</t>
  </si>
  <si>
    <t>Mustafa Alptekin</t>
  </si>
  <si>
    <t>Fikriye Nur Başaran</t>
  </si>
  <si>
    <t>Kevser Kılıç</t>
  </si>
  <si>
    <t>Zeynep Keser</t>
  </si>
  <si>
    <t>Öykü Ceren Demir</t>
  </si>
  <si>
    <t>Eda Arslan</t>
  </si>
  <si>
    <t>Merve Alapınar</t>
  </si>
  <si>
    <t>Rojbin Durak</t>
  </si>
  <si>
    <t>Gamze Taşdemir</t>
  </si>
  <si>
    <t>Şahabettin Fırat</t>
  </si>
  <si>
    <t>Şevval Afra Soydaş</t>
  </si>
  <si>
    <t>Rabia Karataş</t>
  </si>
  <si>
    <t>Aslı Kandemir</t>
  </si>
  <si>
    <t>Zeynep Sena Yüksel</t>
  </si>
  <si>
    <t>Sara Yunak</t>
  </si>
  <si>
    <t>Emircan Kartal</t>
  </si>
  <si>
    <t>Mehmet Eren Akyel</t>
  </si>
  <si>
    <t>İrem Serem Ünal</t>
  </si>
  <si>
    <t>Hümeyra Kuru</t>
  </si>
  <si>
    <t>İlayda Ulusoy</t>
  </si>
  <si>
    <t>Rukiye Alkış</t>
  </si>
  <si>
    <t>Ceren Ataş</t>
  </si>
  <si>
    <t>Büşranur Emence</t>
  </si>
  <si>
    <t>Serenay Kılınç</t>
  </si>
  <si>
    <t>Nuriye Aker</t>
  </si>
  <si>
    <t>Simge Korkmaz</t>
  </si>
  <si>
    <t>Yaren Yağcı</t>
  </si>
  <si>
    <t>Neşet Türkyılmaz</t>
  </si>
  <si>
    <t>Özge Erdoğan</t>
  </si>
  <si>
    <t>Halime Bali</t>
  </si>
  <si>
    <t>Merve Çakmak</t>
  </si>
  <si>
    <t>Erva Kongur</t>
  </si>
  <si>
    <t>Buket Şahin</t>
  </si>
  <si>
    <t>Tuğsem Durak</t>
  </si>
  <si>
    <t>Ceylin Durak</t>
  </si>
  <si>
    <t>Enes Tokcan</t>
  </si>
  <si>
    <t>Ebrar Demirel</t>
  </si>
  <si>
    <t>Büşra Atmaca</t>
  </si>
  <si>
    <t>Edanur Küçükbiçer</t>
  </si>
  <si>
    <t>Ebrar Sıla Çiloğlu</t>
  </si>
  <si>
    <t>Ayşe Yaşar</t>
  </si>
  <si>
    <t>Merve Duman</t>
  </si>
  <si>
    <t>Fadıl Parlak</t>
  </si>
  <si>
    <t>Nur Gül Selek</t>
  </si>
  <si>
    <t>Şerife Yüce</t>
  </si>
  <si>
    <t>Eda Özbilge</t>
  </si>
  <si>
    <t>Gamze Şener</t>
  </si>
  <si>
    <t>Hazal Bayır</t>
  </si>
  <si>
    <t>Ravzanur Bostanoğlu</t>
  </si>
  <si>
    <t>Filiz Öz</t>
  </si>
  <si>
    <t>Gülçin Terzioğlu</t>
  </si>
  <si>
    <t>İrem Aleyna Marancı</t>
  </si>
  <si>
    <t>Doğa Nur Kahraman</t>
  </si>
  <si>
    <t>Kaan Ergişi</t>
  </si>
  <si>
    <t>Şükriye Kesgin</t>
  </si>
  <si>
    <t>Mustafa Uçar</t>
  </si>
  <si>
    <t>Enes Yıldırım</t>
  </si>
  <si>
    <t>Ümit Canbeyli</t>
  </si>
  <si>
    <t>Ahsen Yılmaz</t>
  </si>
  <si>
    <t>Irmak Tezcan</t>
  </si>
  <si>
    <t>Tuana Altunışık</t>
  </si>
  <si>
    <t>Edanur Çankaya</t>
  </si>
  <si>
    <t>Kadir Mert Yeşilbaş</t>
  </si>
  <si>
    <t>Eylül Tuna</t>
  </si>
  <si>
    <t>Buse Derin</t>
  </si>
  <si>
    <t>Yağmur Büyükbalta</t>
  </si>
  <si>
    <t>Nisa Nur Özer</t>
  </si>
  <si>
    <t>Hatice Çiçek</t>
  </si>
  <si>
    <t>Yener Akdere</t>
  </si>
  <si>
    <t>Ezgi Kocabey</t>
  </si>
  <si>
    <t>Kübra Çevik</t>
  </si>
  <si>
    <t>Safa Memiş</t>
  </si>
  <si>
    <t>Dilan Erçiçek</t>
  </si>
  <si>
    <t>Sinem Güneş</t>
  </si>
  <si>
    <t>Canpur Çelik</t>
  </si>
  <si>
    <t>Sevgi Gençoğlu</t>
  </si>
  <si>
    <t>Melike Yaren Zeren</t>
  </si>
  <si>
    <t>Tuğba Karataş Köse</t>
  </si>
  <si>
    <t>Esmanur Gür</t>
  </si>
  <si>
    <t>Esma Bağış</t>
  </si>
  <si>
    <t>Rojbin Eryılmaz</t>
  </si>
  <si>
    <t>Ayhan Araslı</t>
  </si>
  <si>
    <t>Yusuf Yücetürk</t>
  </si>
  <si>
    <t>Beytullah Osman Demir</t>
  </si>
  <si>
    <t>Gülce Kul</t>
  </si>
  <si>
    <t>Eylül Kayatekin</t>
  </si>
  <si>
    <t>Buse Arman</t>
  </si>
  <si>
    <t>Zeynep Nejla Taner</t>
  </si>
  <si>
    <t>Zeynep Sude Dinler</t>
  </si>
  <si>
    <t>Kiraz Deyer</t>
  </si>
  <si>
    <t>Nalin Kaya</t>
  </si>
  <si>
    <t>Aslı Sena Özdemir</t>
  </si>
  <si>
    <t>Sümeyye Nur Semiz</t>
  </si>
  <si>
    <t>Hatice Şanlı</t>
  </si>
  <si>
    <t>Fatma Aladağ</t>
  </si>
  <si>
    <t>Mert Gündoğdu</t>
  </si>
  <si>
    <t>Ayşenur Sümen</t>
  </si>
  <si>
    <t>Dicle Altun</t>
  </si>
  <si>
    <t>Sümeyye Gür</t>
  </si>
  <si>
    <t>Tülin Toprak</t>
  </si>
  <si>
    <t>Alp Gayur</t>
  </si>
  <si>
    <t>Dilan Çakır</t>
  </si>
  <si>
    <t>Emre Develi</t>
  </si>
  <si>
    <t>Ömer Özkan</t>
  </si>
  <si>
    <t>Zeynep Demirel</t>
  </si>
  <si>
    <t>Sevde Nur Özer</t>
  </si>
  <si>
    <t>Burak Tonbul</t>
  </si>
  <si>
    <t>Yiğit Burak Özdil</t>
  </si>
  <si>
    <t>Eylül Yıldırım</t>
  </si>
  <si>
    <t>Nihal Alıcı</t>
  </si>
  <si>
    <t>Umut Arıcan</t>
  </si>
  <si>
    <t>Ravza Aluçlu</t>
  </si>
  <si>
    <t>Merve Sümeyye Topdağ</t>
  </si>
  <si>
    <t>Raziye Gül Baydar</t>
  </si>
  <si>
    <t>Öznur Kömsöken</t>
  </si>
  <si>
    <t>Büşra Barış</t>
  </si>
  <si>
    <t>Emre Yurttav</t>
  </si>
  <si>
    <t>Oğuzhan Kaya</t>
  </si>
  <si>
    <t>Ela Gök</t>
  </si>
  <si>
    <t>Haticenur Fındık</t>
  </si>
  <si>
    <t>Talha Erdem</t>
  </si>
  <si>
    <t>Sibel Akdeniz</t>
  </si>
  <si>
    <t>Gülseren Öğütçen</t>
  </si>
  <si>
    <t>Yiğit Mehmet Topal</t>
  </si>
  <si>
    <t>Nehir Karakaya</t>
  </si>
  <si>
    <t>Sultan Aslan</t>
  </si>
  <si>
    <t>Yaren Yağmur Demirkan</t>
  </si>
  <si>
    <t>Buse Beşinci</t>
  </si>
  <si>
    <t>Şennur Çalıkuşu</t>
  </si>
  <si>
    <t>Eyüp Han Yıldız</t>
  </si>
  <si>
    <t>Yusuf Miraç Yanlıç</t>
  </si>
  <si>
    <t>Pınar Gökçer</t>
  </si>
  <si>
    <t>Ebrar Çetinkaya</t>
  </si>
  <si>
    <t>Yiğitcan Gündüz</t>
  </si>
  <si>
    <t>Sude Ersayın</t>
  </si>
  <si>
    <t>Nagihan Gündoğdu</t>
  </si>
  <si>
    <t>Rabia Köroğlu</t>
  </si>
  <si>
    <t>Hazal Helin Çakar</t>
  </si>
  <si>
    <t>Sıla Tural</t>
  </si>
  <si>
    <t>Gülcan Gündüz</t>
  </si>
  <si>
    <t>Beyza Polat</t>
  </si>
  <si>
    <t>Zeynep Rana Sezgin</t>
  </si>
  <si>
    <t>Tunahan Sarı</t>
  </si>
  <si>
    <t>Zeynep Kübra Öz</t>
  </si>
  <si>
    <t>Dilara Sıla Yağan</t>
  </si>
  <si>
    <t>Ebrar Taşkın</t>
  </si>
  <si>
    <t>İlayda Aktaş</t>
  </si>
  <si>
    <t>Yağmur Melisa Köse</t>
  </si>
  <si>
    <t>Elif Su Yalçın</t>
  </si>
  <si>
    <t>Buse Bülbül Kaya</t>
  </si>
  <si>
    <t>Rüya Cengiz</t>
  </si>
  <si>
    <t>Eda Nur Eyüboğlu</t>
  </si>
  <si>
    <t>Dilek Kaya</t>
  </si>
  <si>
    <t>Muhammed Şahin</t>
  </si>
  <si>
    <t>Ayşe Sucu</t>
  </si>
  <si>
    <t>Tuba Erdoğan</t>
  </si>
  <si>
    <t>Eslem Demir</t>
  </si>
  <si>
    <t>Özge Efe</t>
  </si>
  <si>
    <t>İrem Göçer</t>
  </si>
  <si>
    <t>Doğa Tanem Yıldırım</t>
  </si>
  <si>
    <t>Doruk Toprak Yıldırım</t>
  </si>
  <si>
    <t>Irmak Çalışkan</t>
  </si>
  <si>
    <t>Furkan Demirkıran</t>
  </si>
  <si>
    <t>Gökçe Dağ</t>
  </si>
  <si>
    <t>Mukadder Aleyna Gündoğar</t>
  </si>
  <si>
    <t>Nisa Yılmaz</t>
  </si>
  <si>
    <t>Tuğba Durdu</t>
  </si>
  <si>
    <t>Pınar Çiçek</t>
  </si>
  <si>
    <t>Ayten Melis Yeşilyaprak</t>
  </si>
  <si>
    <t>Fatih Karadağ</t>
  </si>
  <si>
    <t>Muhammet İbrahim Kanza</t>
  </si>
  <si>
    <t>Zeynep Öcal</t>
  </si>
  <si>
    <t>Nilsu Akdağ</t>
  </si>
  <si>
    <t>Zehra Güven</t>
  </si>
  <si>
    <t>Barış Hüsrev</t>
  </si>
  <si>
    <t>Ece Demir</t>
  </si>
  <si>
    <t>Zeren Aksu</t>
  </si>
  <si>
    <t>Enes Yeniramazan</t>
  </si>
  <si>
    <t>Ayşenur Aktaş</t>
  </si>
  <si>
    <t>Sümeyye Kılıç</t>
  </si>
  <si>
    <t>Narin Eriş</t>
  </si>
  <si>
    <t>Ayşe Serbest</t>
  </si>
  <si>
    <t>Zehra Delice</t>
  </si>
  <si>
    <t>Berfin Alıcı</t>
  </si>
  <si>
    <t>Sıla Sevim Tunç</t>
  </si>
  <si>
    <t>Rukiye Erol</t>
  </si>
  <si>
    <t>Özlem Kandemir</t>
  </si>
  <si>
    <t>İsminur Yılmaz</t>
  </si>
  <si>
    <t>Melda Aksu</t>
  </si>
  <si>
    <t>Sıla Ceylan</t>
  </si>
  <si>
    <t>Edanur Delioğlu</t>
  </si>
  <si>
    <t>Irmak Karakaya</t>
  </si>
  <si>
    <t>Emir Ali Horzum</t>
  </si>
  <si>
    <t>Aysel Kardelen Ercins</t>
  </si>
  <si>
    <t>Sultan Sağıroğlu</t>
  </si>
  <si>
    <t>Nazar Sarı</t>
  </si>
  <si>
    <t>Sevde Nur Özdemir</t>
  </si>
  <si>
    <t>Derya Parlak</t>
  </si>
  <si>
    <t>Melike Kılıçay</t>
  </si>
  <si>
    <t>Filiz Ceyda İpek</t>
  </si>
  <si>
    <t>Damla Asmaz</t>
  </si>
  <si>
    <t>Zeynep Özdamar</t>
  </si>
  <si>
    <t>Amina Büşra Kosta</t>
  </si>
  <si>
    <t>İsmihan Kartal</t>
  </si>
  <si>
    <t>Şilan Örs</t>
  </si>
  <si>
    <t>Buse Taşdemir</t>
  </si>
  <si>
    <t>Senagül Kaykusuz</t>
  </si>
  <si>
    <t>Kübranur Çatalkaya</t>
  </si>
  <si>
    <t>Mustafa Aslım</t>
  </si>
  <si>
    <t>Emine Yıldız</t>
  </si>
  <si>
    <t>Melisa Nur Kara</t>
  </si>
  <si>
    <t>Aziz Dibsizgöl</t>
  </si>
  <si>
    <t>Yasemin Eyvaz</t>
  </si>
  <si>
    <t>Esra Yavuz</t>
  </si>
  <si>
    <t>Ayşegül Doğan</t>
  </si>
  <si>
    <t>Beyza Günay</t>
  </si>
  <si>
    <t>Mert Asıltürk</t>
  </si>
  <si>
    <t>Eslem Meryem Akbaş</t>
  </si>
  <si>
    <t>Betül Bakır</t>
  </si>
  <si>
    <t>Sevim Nur Bobuş</t>
  </si>
  <si>
    <t>Yaren Oluç</t>
  </si>
  <si>
    <t>Nuran Büyüktöke</t>
  </si>
  <si>
    <t>Sevde Gültekin</t>
  </si>
  <si>
    <t>Zeynep Çoşkuner</t>
  </si>
  <si>
    <t>Elanur Kaya</t>
  </si>
  <si>
    <t>Elifnaz Bağış</t>
  </si>
  <si>
    <t>Aleyna Urut</t>
  </si>
  <si>
    <t>Batuhan Özger</t>
  </si>
  <si>
    <t>Efe Poyraz Aktaş</t>
  </si>
  <si>
    <t>Şahide Demirdöğdü</t>
  </si>
  <si>
    <t>Hediye Karabulut</t>
  </si>
  <si>
    <t>Emrecan Eker</t>
  </si>
  <si>
    <t>Arda Deniz Güngör</t>
  </si>
  <si>
    <t>Cihan Nacar</t>
  </si>
  <si>
    <t>Duygu Gizem Köroğlu</t>
  </si>
  <si>
    <t>Sudenaz Doğan</t>
  </si>
  <si>
    <t>İlknur Tunç</t>
  </si>
  <si>
    <t>Alper Deniz</t>
  </si>
  <si>
    <t>Sümeyye Mutlu</t>
  </si>
  <si>
    <t>Derya Gürtop</t>
  </si>
  <si>
    <t>Miraç Kurtoğlu</t>
  </si>
  <si>
    <t>Nursu Yıldırım</t>
  </si>
  <si>
    <t>Başak Büşra Ay</t>
  </si>
  <si>
    <t>Eftelya Gezer</t>
  </si>
  <si>
    <t>Sena Nur Altun</t>
  </si>
  <si>
    <t>Ezgi Toplu</t>
  </si>
  <si>
    <t>Sakine Büşra Tilkici</t>
  </si>
  <si>
    <t>Mikail Baba</t>
  </si>
  <si>
    <t>Busenur Akkurt</t>
  </si>
  <si>
    <t>Dilan Karagöz</t>
  </si>
  <si>
    <t>Sıla Çelikten</t>
  </si>
  <si>
    <t>Meryem Buldak</t>
  </si>
  <si>
    <t>Umut Bayıllı</t>
  </si>
  <si>
    <t>Elif Altın</t>
  </si>
  <si>
    <t>Gaye Şan</t>
  </si>
  <si>
    <t>Aslı Çulhacıoğlu</t>
  </si>
  <si>
    <t>Sueda Alara Uslu</t>
  </si>
  <si>
    <t>Zehra Gök</t>
  </si>
  <si>
    <t>Behiye Nur Küçük</t>
  </si>
  <si>
    <t>Deniz Pekcan</t>
  </si>
  <si>
    <t>Hafize Aşkın Yağmur</t>
  </si>
  <si>
    <t>Ayşe Taş</t>
  </si>
  <si>
    <t>Onurhan Ayırıcı</t>
  </si>
  <si>
    <t>Gülşen Yeşil</t>
  </si>
  <si>
    <t>Nesil Cozoğlu</t>
  </si>
  <si>
    <t>Meryem Canbay</t>
  </si>
  <si>
    <t>Esra Çiçek</t>
  </si>
  <si>
    <t>Aleyna Yavuz</t>
  </si>
  <si>
    <t>Gamze Çakır</t>
  </si>
  <si>
    <t>Ahmet Baş</t>
  </si>
  <si>
    <t>Nazan Ocağa</t>
  </si>
  <si>
    <t>Fatma Cengiz</t>
  </si>
  <si>
    <t>Serenay Yılmaz</t>
  </si>
  <si>
    <t>Selin Gönen</t>
  </si>
  <si>
    <t>Asiya Candemir</t>
  </si>
  <si>
    <t>Emre Akyıldız</t>
  </si>
  <si>
    <t>Refika Yezda Aslan</t>
  </si>
  <si>
    <t>Miraç Ada Özcan</t>
  </si>
  <si>
    <t>Raziye Sultan Çelebi</t>
  </si>
  <si>
    <t>Şevval Tomrukcu</t>
  </si>
  <si>
    <t>Muhammed Utku Tarakçı</t>
  </si>
  <si>
    <t>Gülcan Kalafat</t>
  </si>
  <si>
    <t>Eslem Ayan</t>
  </si>
  <si>
    <t>Arda Kaan Dirikşan</t>
  </si>
  <si>
    <t>Melisa Susam</t>
  </si>
  <si>
    <t>Yeliz Gürsoy</t>
  </si>
  <si>
    <t>İdal Yüksel</t>
  </si>
  <si>
    <t>Ceren Dirier</t>
  </si>
  <si>
    <t>Saliha Keleş</t>
  </si>
  <si>
    <t>Hamza Ceyran</t>
  </si>
  <si>
    <t>Müşerref Gül Şimşek</t>
  </si>
  <si>
    <t>Sebahat Nida Özarpa</t>
  </si>
  <si>
    <t>Kayra Günay</t>
  </si>
  <si>
    <t>Arda Erdemir</t>
  </si>
  <si>
    <t>Ece Naz Elmaçiçeği</t>
  </si>
  <si>
    <t>Nilay Urallı</t>
  </si>
  <si>
    <t>Eda Akça</t>
  </si>
  <si>
    <t>İbrahim Buluktimur</t>
  </si>
  <si>
    <t>Baran Gülbey</t>
  </si>
  <si>
    <t>Oktay Gelgeç</t>
  </si>
  <si>
    <t>Eyüp Orhan</t>
  </si>
  <si>
    <t>Pınar İnce</t>
  </si>
  <si>
    <t>Sena Tutuş</t>
  </si>
  <si>
    <t>Rukiye Altın</t>
  </si>
  <si>
    <t>Mustafa Şeyhan</t>
  </si>
  <si>
    <t>Onur Bilgin</t>
  </si>
  <si>
    <t>Ayfer Adıyahşi</t>
  </si>
  <si>
    <t>Yaren Tanrıverdi</t>
  </si>
  <si>
    <t>Ayşegül Yıldırım</t>
  </si>
  <si>
    <t>Ahmet Hasan Gültekin</t>
  </si>
  <si>
    <t>Abdurrahman Önder</t>
  </si>
  <si>
    <t>Hafize Esma Bekçi</t>
  </si>
  <si>
    <t>Emir Can Özer</t>
  </si>
  <si>
    <t>Ege Aladağ</t>
  </si>
  <si>
    <t>Yasin Fidan</t>
  </si>
  <si>
    <t>Volkan Karakoç</t>
  </si>
  <si>
    <t>Berkant Kaçar</t>
  </si>
  <si>
    <t>Batuhan Soydaş</t>
  </si>
  <si>
    <t>Eray Şahin</t>
  </si>
  <si>
    <t>Sinem Atmaca</t>
  </si>
  <si>
    <t>Furkan Bedir</t>
  </si>
  <si>
    <t>Emir Can Kul</t>
  </si>
  <si>
    <t>Rasime Çalışkan</t>
  </si>
  <si>
    <t>Ensar Altın</t>
  </si>
  <si>
    <t>Rabia Şahin</t>
  </si>
  <si>
    <t>Merve Gürbüz</t>
  </si>
  <si>
    <t>Şeyma Alkan</t>
  </si>
  <si>
    <t>İrem Tarhan</t>
  </si>
  <si>
    <t>Sudenur Akuş</t>
  </si>
  <si>
    <t>Yasin Öner</t>
  </si>
  <si>
    <t>Vedat Esen</t>
  </si>
  <si>
    <t>Sümeyye Nur Özen</t>
  </si>
  <si>
    <t>Harun Kenan Ernez</t>
  </si>
  <si>
    <t>Mert Çetinkaya</t>
  </si>
  <si>
    <t>Ayşegül Dağlı</t>
  </si>
  <si>
    <t>Kader Kalafat</t>
  </si>
  <si>
    <t>Elif Söğüt</t>
  </si>
  <si>
    <t>Ayşenur Kavun</t>
  </si>
  <si>
    <t>Oğuz Kaan Yılmaz</t>
  </si>
  <si>
    <t>Efe Küçükcankurtaran</t>
  </si>
  <si>
    <t>Nurcan Kılıç</t>
  </si>
  <si>
    <t>Rabia Engin</t>
  </si>
  <si>
    <t>Arife Okur</t>
  </si>
  <si>
    <t>Aslınur Akgül</t>
  </si>
  <si>
    <t>Yunus Eren Bulut</t>
  </si>
  <si>
    <t>Rukiye Gültekin</t>
  </si>
  <si>
    <t>Fatmanur Aydemir</t>
  </si>
  <si>
    <t>Derya Erdoğan</t>
  </si>
  <si>
    <t>Havva Selin Öz</t>
  </si>
  <si>
    <t>Ebrar Yücel</t>
  </si>
  <si>
    <t>Meryem Su Yıldız</t>
  </si>
  <si>
    <t>Rüveyda Kasım</t>
  </si>
  <si>
    <t>Berra Nur Yılmaz</t>
  </si>
  <si>
    <t>Ceren Soytepe</t>
  </si>
  <si>
    <t>Aslıhan Çalış</t>
  </si>
  <si>
    <t>Eda Nur Durğun</t>
  </si>
  <si>
    <t>Verda Gülsen Özbunar</t>
  </si>
  <si>
    <t>Aslınur Cakallı</t>
  </si>
  <si>
    <t>Gülbeyaz Taş</t>
  </si>
  <si>
    <t>Berkan Sal</t>
  </si>
  <si>
    <t>Eşe Ekici</t>
  </si>
  <si>
    <t>Narin Barak</t>
  </si>
  <si>
    <t>Beyza Muratdağı</t>
  </si>
  <si>
    <t>Şerife Büyükkara</t>
  </si>
  <si>
    <t>Utku Kuvan</t>
  </si>
  <si>
    <t>Arda Korkan</t>
  </si>
  <si>
    <t>Muzaffer Arda Kökçü</t>
  </si>
  <si>
    <t>Görkem Pulater</t>
  </si>
  <si>
    <t>Buket Coşkun</t>
  </si>
  <si>
    <t>Bilgehan Ceylan</t>
  </si>
  <si>
    <t>Ceylin Tür</t>
  </si>
  <si>
    <t>Gizem Yıldız</t>
  </si>
  <si>
    <t>Zeliha Temizkan</t>
  </si>
  <si>
    <t>Kürşad Başpınar</t>
  </si>
  <si>
    <t>Özlem Deniz Zere</t>
  </si>
  <si>
    <t>Yaren Kaya</t>
  </si>
  <si>
    <t>Gamze Dağlıoğlu</t>
  </si>
  <si>
    <t>Beyza Nur Eşol</t>
  </si>
  <si>
    <t>Mizgin Kurt</t>
  </si>
  <si>
    <t>Semanur Dadak</t>
  </si>
  <si>
    <t>Şevval Naz Koca</t>
  </si>
  <si>
    <t>Buse Nur Evcen</t>
  </si>
  <si>
    <t>Dicle Eren</t>
  </si>
  <si>
    <t>Shadi Buheiri</t>
  </si>
  <si>
    <t>Enes Ali Gömleksiz</t>
  </si>
  <si>
    <t>Kadir Erdoğan</t>
  </si>
  <si>
    <t>Muhammed Dincer</t>
  </si>
  <si>
    <t>Rahime Tok</t>
  </si>
  <si>
    <t>Ümmügülsüm Söylemez</t>
  </si>
  <si>
    <t>Gamze Akçakoca</t>
  </si>
  <si>
    <t>Dilek Gültekin</t>
  </si>
  <si>
    <t>Talha Karaca</t>
  </si>
  <si>
    <t>Tuğçe Aras</t>
  </si>
  <si>
    <t>Veysi Baysoy</t>
  </si>
  <si>
    <t>Rabia Tekkeşin</t>
  </si>
  <si>
    <t>Mustafa Emre Deniz</t>
  </si>
  <si>
    <t>Mehmet Musa Öğütçü</t>
  </si>
  <si>
    <t>Esra Özer</t>
  </si>
  <si>
    <t>Aslı Akdeniz</t>
  </si>
  <si>
    <t>Irmak Şevval Gökdağ</t>
  </si>
  <si>
    <t>Öznur Özdemir</t>
  </si>
  <si>
    <t>Ayşe Nur Dulkadiroğlu</t>
  </si>
  <si>
    <t>Latife Meryem Gülcü</t>
  </si>
  <si>
    <t>Baran Tiftikçi</t>
  </si>
  <si>
    <t>Fidan Geçer</t>
  </si>
  <si>
    <t>Eslem Kübra Tanış</t>
  </si>
  <si>
    <t>Gürkan Hakkı Yakız</t>
  </si>
  <si>
    <t>Murat Açış</t>
  </si>
  <si>
    <t>Hülya Sena Erdinç</t>
  </si>
  <si>
    <t>Hilal Melis Özer</t>
  </si>
  <si>
    <t>Ayşe Karakoyun</t>
  </si>
  <si>
    <t>Recep Taner Soğan</t>
  </si>
  <si>
    <t>Şevval Cesur</t>
  </si>
  <si>
    <t>Heyfa Ali</t>
  </si>
  <si>
    <t>Ekin Ceren Akarsu</t>
  </si>
  <si>
    <t>Baran Oktay Kuş</t>
  </si>
  <si>
    <t>Işıl Destan Yıldız</t>
  </si>
  <si>
    <t>Yahya Deliküçük</t>
  </si>
  <si>
    <t>Seda Yaman</t>
  </si>
  <si>
    <t>Şevval Öztürk</t>
  </si>
  <si>
    <t>Rumeysa Vural</t>
  </si>
  <si>
    <t>Damla Yaren Öztürk</t>
  </si>
  <si>
    <t>Merside Shahbaz</t>
  </si>
  <si>
    <t>Saadet Naz Karaduman</t>
  </si>
  <si>
    <t>Esmanur Özcan</t>
  </si>
  <si>
    <t>Emine Şevval Kalaycıoğlu</t>
  </si>
  <si>
    <t>Tuğba Güven</t>
  </si>
  <si>
    <t>Dilan Akdağ</t>
  </si>
  <si>
    <t>Betül Bacak</t>
  </si>
  <si>
    <t>Tuğgen Hilal Giray</t>
  </si>
  <si>
    <t>Zelal Kotan</t>
  </si>
  <si>
    <t>Helin Gültekin</t>
  </si>
  <si>
    <t>Burak Ünmek</t>
  </si>
  <si>
    <t>Bahar Kızılaslan</t>
  </si>
  <si>
    <t>Eylül Karakaya</t>
  </si>
  <si>
    <t>Bünyamin Öğütçen</t>
  </si>
  <si>
    <t>Elife Buse Ergeldi</t>
  </si>
  <si>
    <t>Sude Dağcı</t>
  </si>
  <si>
    <t>Ceylin Azra Doğan</t>
  </si>
  <si>
    <t>İslim Cuhalamak</t>
  </si>
  <si>
    <t>Melike Kurtuluş</t>
  </si>
  <si>
    <t>Eren Kama</t>
  </si>
  <si>
    <t>Sultan Oktay Şişman</t>
  </si>
  <si>
    <t>Büşra Polat</t>
  </si>
  <si>
    <t>Eylül Gizem Ataş</t>
  </si>
  <si>
    <t>Yağmur Kaldırımcı</t>
  </si>
  <si>
    <t>Latife Düman</t>
  </si>
  <si>
    <t>Esra Türker</t>
  </si>
  <si>
    <t>Nigar Naz Kurum</t>
  </si>
  <si>
    <t>Ahmet Can Kara</t>
  </si>
  <si>
    <t>Cafer Esad Erdoğan</t>
  </si>
  <si>
    <t>Ela Sivilcikaya</t>
  </si>
  <si>
    <t>Hevi Nur Engin</t>
  </si>
  <si>
    <t>Ayça Harika Gezgin</t>
  </si>
  <si>
    <t>Yasmin Bektaş</t>
  </si>
  <si>
    <t>Melis Esen</t>
  </si>
  <si>
    <t>Ömer Hiçyılmaz</t>
  </si>
  <si>
    <t>Azime Kasım</t>
  </si>
  <si>
    <t>Irmak Güngör</t>
  </si>
  <si>
    <t>Şeyma Oğuz</t>
  </si>
  <si>
    <t>Damla Özcan</t>
  </si>
  <si>
    <t>Zelal İlhan</t>
  </si>
  <si>
    <t>Jasmin Bektaş</t>
  </si>
  <si>
    <t>Cansu Dedeoğlu</t>
  </si>
  <si>
    <t>Azra Gürsoy</t>
  </si>
  <si>
    <t>Cemile Tuna</t>
  </si>
  <si>
    <t>Meltem Bıçakçı</t>
  </si>
  <si>
    <t>Ebrar Akça</t>
  </si>
  <si>
    <t>Sinan Kurt</t>
  </si>
  <si>
    <t>İrem Devecili</t>
  </si>
  <si>
    <t>Yasemin Sevim</t>
  </si>
  <si>
    <t>Fatma Talun</t>
  </si>
  <si>
    <t>Zehra Tunç</t>
  </si>
  <si>
    <t>Mina Nur Erkovan</t>
  </si>
  <si>
    <t>Ayşenur Babayiğit</t>
  </si>
  <si>
    <t>Beyzanur Bayoğlu</t>
  </si>
  <si>
    <t>Dilan Bingöl</t>
  </si>
  <si>
    <t>Furkan Ukuş</t>
  </si>
  <si>
    <t>Büşranur Yaman</t>
  </si>
  <si>
    <t>Murat Tiftikçi</t>
  </si>
  <si>
    <t>Buğse Samur</t>
  </si>
  <si>
    <t>Selvi Taşatan</t>
  </si>
  <si>
    <t>Sedanur Yüksel</t>
  </si>
  <si>
    <t>Merve Çınar</t>
  </si>
  <si>
    <t>Arda Derin</t>
  </si>
  <si>
    <t>Tuba Nur Demirbaş</t>
  </si>
  <si>
    <t>Aysu Gökçe</t>
  </si>
  <si>
    <t>Çağla Demirkaya</t>
  </si>
  <si>
    <t>Eda Naz Gül</t>
  </si>
  <si>
    <t>Kerem Tunç Kışla</t>
  </si>
  <si>
    <t>Gamze Nur Şahin</t>
  </si>
  <si>
    <t>Burcu Yıldırım</t>
  </si>
  <si>
    <t>Hamdi Tanay Balcı</t>
  </si>
  <si>
    <t>Efza Poyraz</t>
  </si>
  <si>
    <t>Yasemin Bayram</t>
  </si>
  <si>
    <t>Zerda Nur Bozkurt</t>
  </si>
  <si>
    <t>Esme Temiz</t>
  </si>
  <si>
    <t>Ahsen İnan</t>
  </si>
  <si>
    <t>İlayda Dikmen</t>
  </si>
  <si>
    <t>Tülay Dilara Bakır</t>
  </si>
  <si>
    <t>Muhammed Furkan Kartal</t>
  </si>
  <si>
    <t>Tuğçe Kayaz</t>
  </si>
  <si>
    <t>Gülay Mustafaoğlu</t>
  </si>
  <si>
    <t>Bihter Morkoç</t>
  </si>
  <si>
    <t>Emirkan Buryan</t>
  </si>
  <si>
    <t>Nisanur Alsaran</t>
  </si>
  <si>
    <t>Ceren Albayrak</t>
  </si>
  <si>
    <t>Edanur Şenol</t>
  </si>
  <si>
    <t>Emir Çinar</t>
  </si>
  <si>
    <t>Merve Demir</t>
  </si>
  <si>
    <t>Buğra Sevim</t>
  </si>
  <si>
    <t>Öykü Naz Çetin</t>
  </si>
  <si>
    <t>Arda Menzil</t>
  </si>
  <si>
    <t>Sude Tekcan</t>
  </si>
  <si>
    <t>Serap Orhan</t>
  </si>
  <si>
    <t>Fuat Arda İstanbul</t>
  </si>
  <si>
    <t>Edanur Ertaş</t>
  </si>
  <si>
    <t>Simge Yıldrak</t>
  </si>
  <si>
    <t>Yaprak Kaya</t>
  </si>
  <si>
    <t>Kenan Coskun</t>
  </si>
  <si>
    <t>Zehra Beştaş</t>
  </si>
  <si>
    <t>Funda Erol</t>
  </si>
  <si>
    <t>Seza Nur Eriş</t>
  </si>
  <si>
    <t>İrem Özturan</t>
  </si>
  <si>
    <t>Rukiye Çat</t>
  </si>
  <si>
    <t>Hülya Urallı</t>
  </si>
  <si>
    <t>Ayşe Aktaş</t>
  </si>
  <si>
    <t>Yağmur Tunç</t>
  </si>
  <si>
    <t>Nehir Yılancı</t>
  </si>
  <si>
    <t>Elif Gül</t>
  </si>
  <si>
    <t>Sude Özdemir</t>
  </si>
  <si>
    <t>Meryem Akar</t>
  </si>
  <si>
    <t>Yusuf Öztürk</t>
  </si>
  <si>
    <t>Hasan Basri Aytan</t>
  </si>
  <si>
    <t>Derya Başak</t>
  </si>
  <si>
    <t>Esat Canpolat</t>
  </si>
  <si>
    <t>Muhammed Ali Demir</t>
  </si>
  <si>
    <t>Seyfullah Demir</t>
  </si>
  <si>
    <t>Melisa Topal</t>
  </si>
  <si>
    <t>Ahmet Burak Kocalar</t>
  </si>
  <si>
    <t>Safiye Kocaoğlu Seçilmiş</t>
  </si>
  <si>
    <t>Mihrimah Beyza İşbilir</t>
  </si>
  <si>
    <t>Hümeyra Karamuk</t>
  </si>
  <si>
    <t>İlknur Tunay</t>
  </si>
  <si>
    <t>Ecrin Naz Dumlu</t>
  </si>
  <si>
    <t>Hene Şebab</t>
  </si>
  <si>
    <t>Atakan Başkan</t>
  </si>
  <si>
    <t>Yaren Uzunalıoglu</t>
  </si>
  <si>
    <t>Yoldaş Sarı</t>
  </si>
  <si>
    <t>Dilan Bilen</t>
  </si>
  <si>
    <t>Zührenaz Şahin</t>
  </si>
  <si>
    <t>Elasu Ünlü</t>
  </si>
  <si>
    <t>Taha Arda Seyrek</t>
  </si>
  <si>
    <t>Fatma Haraç</t>
  </si>
  <si>
    <t>Cemre Taştekin</t>
  </si>
  <si>
    <t>Buse Çetin</t>
  </si>
  <si>
    <t>Şevval Porgalı</t>
  </si>
  <si>
    <t>Rıfat Küçüksavlı</t>
  </si>
  <si>
    <t>Aleyna Arduç</t>
  </si>
  <si>
    <t>Yaprak Canpolat</t>
  </si>
  <si>
    <t>Melek Gündoğdu</t>
  </si>
  <si>
    <t>Eriş Demir</t>
  </si>
  <si>
    <t>İlayda Yavuz</t>
  </si>
  <si>
    <t>Ahmet Selim Aluç</t>
  </si>
  <si>
    <t>Hüseyin Özün</t>
  </si>
  <si>
    <t>Sefa Ulusoy</t>
  </si>
  <si>
    <t>Aynur Mübek</t>
  </si>
  <si>
    <t>Fatma Nur Altay</t>
  </si>
  <si>
    <t>Emir Koç</t>
  </si>
  <si>
    <t>Şafak Çetin</t>
  </si>
  <si>
    <t>Gamze İlerigiden</t>
  </si>
  <si>
    <t>Elif Hürol</t>
  </si>
  <si>
    <t>Sema Nur Polat</t>
  </si>
  <si>
    <t>Melisa Çetinkaya</t>
  </si>
  <si>
    <t>Özcan Çengel</t>
  </si>
  <si>
    <t>Gonca Yıldırım</t>
  </si>
  <si>
    <t>Nazlı Ağcabay</t>
  </si>
  <si>
    <t>Çiğdem Karadağ</t>
  </si>
  <si>
    <t>Musa Alphan</t>
  </si>
  <si>
    <t>Gamze Çınar</t>
  </si>
  <si>
    <t>Zeliha Budak</t>
  </si>
  <si>
    <t>İkra Nur Özmen</t>
  </si>
  <si>
    <t>Yağmur Erciyes</t>
  </si>
  <si>
    <t>Berin İrem Ural</t>
  </si>
  <si>
    <t>İlayda Nur Şimşek</t>
  </si>
  <si>
    <t>Esra Arslan</t>
  </si>
  <si>
    <t>Ümmühan Özge Ağtaş</t>
  </si>
  <si>
    <t>Berra Demiralay</t>
  </si>
  <si>
    <t>Figen Köz</t>
  </si>
  <si>
    <t>Ahmed Güçlü</t>
  </si>
  <si>
    <t>Berfin Akural</t>
  </si>
  <si>
    <t>Gülbent Taşkıran</t>
  </si>
  <si>
    <t>Zeynep Aydeniz</t>
  </si>
  <si>
    <t>Bahar Çay</t>
  </si>
  <si>
    <t>Songül Cellek</t>
  </si>
  <si>
    <t>Burcu Öztaş</t>
  </si>
  <si>
    <t>Melike Sezer</t>
  </si>
  <si>
    <t>Mehmet Tanırlı</t>
  </si>
  <si>
    <t>Edanur Sarıgül</t>
  </si>
  <si>
    <t>Cennet Kırgız</t>
  </si>
  <si>
    <t>İşrah Özdemir</t>
  </si>
  <si>
    <t>Fadimana Akkaya</t>
  </si>
  <si>
    <t>Fatoş Altun</t>
  </si>
  <si>
    <t>Fatma Sevinç Kızılaslan</t>
  </si>
  <si>
    <t>Mehmet Göçer</t>
  </si>
  <si>
    <t>Didem Ezgi Dal</t>
  </si>
  <si>
    <t>Damla Turan</t>
  </si>
  <si>
    <t>Ayberk Kök</t>
  </si>
  <si>
    <t>Hande Nur Köseoğlu</t>
  </si>
  <si>
    <t>Ayşenur Azra Mısırlıoğlu</t>
  </si>
  <si>
    <t>Nurdan İpek Keskin</t>
  </si>
  <si>
    <t>Sıla Keleş</t>
  </si>
  <si>
    <t>Eylül Acer</t>
  </si>
  <si>
    <t>Emir Bozoğlu</t>
  </si>
  <si>
    <t>Berna Berk</t>
  </si>
  <si>
    <t>Kübra Özsoy</t>
  </si>
  <si>
    <t>Şuheda Doğan</t>
  </si>
  <si>
    <t>Bahar İçen</t>
  </si>
  <si>
    <t>Belinay Çetin</t>
  </si>
  <si>
    <t>İsmail Başaran</t>
  </si>
  <si>
    <t>Yusuf Demir</t>
  </si>
  <si>
    <t>Emrecan Ildız</t>
  </si>
  <si>
    <t>Ebrar Koca</t>
  </si>
  <si>
    <t>Büşra Yeşil</t>
  </si>
  <si>
    <t>Rümeysa Yolbilir</t>
  </si>
  <si>
    <t>Sare Baran</t>
  </si>
  <si>
    <t>Mehmet Yücel Genç</t>
  </si>
  <si>
    <t>Dilan Koçpınar</t>
  </si>
  <si>
    <t>Zeynep Çelik</t>
  </si>
  <si>
    <t>Melisa Ateşli</t>
  </si>
  <si>
    <t>Umut Öztürk</t>
  </si>
  <si>
    <t>Arda Kanaş</t>
  </si>
  <si>
    <t>Umut Bozkurt</t>
  </si>
  <si>
    <t>Akın Bozkurt</t>
  </si>
  <si>
    <t>Melis Yıldız</t>
  </si>
  <si>
    <t>Rojin Yağmur Karakoç</t>
  </si>
  <si>
    <t>Rabia Noyan</t>
  </si>
  <si>
    <t>Azize Kurt</t>
  </si>
  <si>
    <t>Azra Selen Aldemir</t>
  </si>
  <si>
    <t>İpek Esin Ayan</t>
  </si>
  <si>
    <t>İlayda Gülden</t>
  </si>
  <si>
    <t>Zeynep Ceren Bayıcı</t>
  </si>
  <si>
    <t>İsmail Tufan</t>
  </si>
  <si>
    <t>Pınar Karaçaş</t>
  </si>
  <si>
    <t>Sara Doğan</t>
  </si>
  <si>
    <t>Yağmur Yüksel</t>
  </si>
  <si>
    <t>Melike Üren</t>
  </si>
  <si>
    <t>Tuçe Çelik</t>
  </si>
  <si>
    <t>İlayda Güneyarkoç</t>
  </si>
  <si>
    <t>Ali Fırat Durmaz</t>
  </si>
  <si>
    <t>Fethiye Atasayar Yavru</t>
  </si>
  <si>
    <t>Merve Bulut</t>
  </si>
  <si>
    <t>Eyüp Doğan</t>
  </si>
  <si>
    <t>Buse Naz Soydemir</t>
  </si>
  <si>
    <t>Sena Cüre</t>
  </si>
  <si>
    <t>Safiye Nazar Yer</t>
  </si>
  <si>
    <t>İpek Koç</t>
  </si>
  <si>
    <t>Emine Gültekin</t>
  </si>
  <si>
    <t>Recep Levent</t>
  </si>
  <si>
    <t>Ecem Feride Yavuz</t>
  </si>
  <si>
    <t>Duygu Konak</t>
  </si>
  <si>
    <t>Elif Berra Keskin</t>
  </si>
  <si>
    <t>İrem Tuana Erdoğan</t>
  </si>
  <si>
    <t>Zeynep Nur Karakayış</t>
  </si>
  <si>
    <t>Gurbet Keleş</t>
  </si>
  <si>
    <t>Yaren Akçalı</t>
  </si>
  <si>
    <t>Hüseyin Eren Vural</t>
  </si>
  <si>
    <t>Fatma Nur Özdemir</t>
  </si>
  <si>
    <t>Şilan Gök</t>
  </si>
  <si>
    <t>Büşra Aslan</t>
  </si>
  <si>
    <t>Saime Kalkan</t>
  </si>
  <si>
    <t>Mahmut Kılıç</t>
  </si>
  <si>
    <t>Sude Naz Memik</t>
  </si>
  <si>
    <t>Zeynep Şenol</t>
  </si>
  <si>
    <t>Sıla Nur Özlü</t>
  </si>
  <si>
    <t>Emre Canıvar</t>
  </si>
  <si>
    <t>Gülşah Akyıldız Ekinci</t>
  </si>
  <si>
    <t>Elif Derin Doğan</t>
  </si>
  <si>
    <t>Rabia Ayğan</t>
  </si>
  <si>
    <t>Muhammet Fatih Temel</t>
  </si>
  <si>
    <t>Muhammed Emin Karataş</t>
  </si>
  <si>
    <t>Begüm Uludeveci</t>
  </si>
  <si>
    <t>Zeynep Ösün</t>
  </si>
  <si>
    <t>İsmail Gülener</t>
  </si>
  <si>
    <t>Rıdvan Şahin</t>
  </si>
  <si>
    <t>Rabia Oğuzorhan</t>
  </si>
  <si>
    <t>Bahar Ada Küçük</t>
  </si>
  <si>
    <t>Esin Çelik</t>
  </si>
  <si>
    <t>Nurcan Ayaz</t>
  </si>
  <si>
    <t>Beyzanur Torun</t>
  </si>
  <si>
    <t>Özge Gel</t>
  </si>
  <si>
    <t>Muhammed Ali Kuzu</t>
  </si>
  <si>
    <t>Hayriye Deveci</t>
  </si>
  <si>
    <t>Mekiye Işık</t>
  </si>
  <si>
    <t>Metehan Kazan</t>
  </si>
  <si>
    <t>Selin Avcu</t>
  </si>
  <si>
    <t>Esma Nur Taşdemir</t>
  </si>
  <si>
    <t>İPEK ÇAKIN</t>
  </si>
  <si>
    <t>Damla Aydın</t>
  </si>
  <si>
    <t>Melisa Birkeser</t>
  </si>
  <si>
    <t>Kevser Çakır</t>
  </si>
  <si>
    <t>Mehtap Yakar</t>
  </si>
  <si>
    <t>Yağmur Şengül</t>
  </si>
  <si>
    <t>Yunus Emre Erzen</t>
  </si>
  <si>
    <t>HALİME SARISOY</t>
  </si>
  <si>
    <t>Gizem Zelvi</t>
  </si>
  <si>
    <t>Neşe Kılıçer</t>
  </si>
  <si>
    <t>Merve Coşgun</t>
  </si>
  <si>
    <t>İnci Hilal Gülbeden</t>
  </si>
  <si>
    <t>Ecem Çiçek</t>
  </si>
  <si>
    <t>Ebru Yerlikaya</t>
  </si>
  <si>
    <t>Sibel Alkan</t>
  </si>
  <si>
    <t>Ali Bozdağ</t>
  </si>
  <si>
    <t>Buse Naz Uzunkol</t>
  </si>
  <si>
    <t>Medine Giyen</t>
  </si>
  <si>
    <t>Özge Rabia Analı</t>
  </si>
  <si>
    <t>Sümeyya Aydoğdu</t>
  </si>
  <si>
    <t>Çağan Kömür</t>
  </si>
  <si>
    <t>Hüseyin Ekmen</t>
  </si>
  <si>
    <t>Ece Yamalılar</t>
  </si>
  <si>
    <t>Ebrar Şule Özkan</t>
  </si>
  <si>
    <t>Zeynep Çiftci</t>
  </si>
  <si>
    <t>Samet Turan</t>
  </si>
  <si>
    <t>Öznur Avşaroğlu</t>
  </si>
  <si>
    <t>Hüsame Ademoğlu</t>
  </si>
  <si>
    <t>Ezgi Göksu</t>
  </si>
  <si>
    <t>Gökçe Yavuz</t>
  </si>
  <si>
    <t>Onur Arslan</t>
  </si>
  <si>
    <t>Buse Bilgin</t>
  </si>
  <si>
    <t>Hasine Duruş</t>
  </si>
  <si>
    <t>Sahara Sabaz</t>
  </si>
  <si>
    <t>İrem Ülker</t>
  </si>
  <si>
    <t>Nurcan Şipal</t>
  </si>
  <si>
    <t>Kardelen Taşdemir</t>
  </si>
  <si>
    <t>Firdevs Aslan</t>
  </si>
  <si>
    <t>Aybuke Turgut</t>
  </si>
  <si>
    <t>Nuriye Kılıçay</t>
  </si>
  <si>
    <t>Bulut Kaya</t>
  </si>
  <si>
    <t>Burak Acer</t>
  </si>
  <si>
    <t>Özgür Ege Gür</t>
  </si>
  <si>
    <t>Serhat Boy</t>
  </si>
  <si>
    <t>Cemile Akın</t>
  </si>
  <si>
    <t>Gülbahar Dengiz</t>
  </si>
  <si>
    <t>Behire Ruveyda Çakmak</t>
  </si>
  <si>
    <t>Yasemin Nur Çavdar</t>
  </si>
  <si>
    <t>Gönül Dalçiçek</t>
  </si>
  <si>
    <t>Burcu İlman</t>
  </si>
  <si>
    <t>Merve Dilmen</t>
  </si>
  <si>
    <t>Damla Özsoy</t>
  </si>
  <si>
    <t>Çiğdem Yaşar</t>
  </si>
  <si>
    <t>Ümmühan Demirbaş</t>
  </si>
  <si>
    <t>Bengüsu Akgün</t>
  </si>
  <si>
    <t>Diyar Sönmez</t>
  </si>
  <si>
    <t>Hanse Çavuş</t>
  </si>
  <si>
    <t>Nur Beyza Alemdar</t>
  </si>
  <si>
    <t>Esra Dilki</t>
  </si>
  <si>
    <t>Medine Soydemir</t>
  </si>
  <si>
    <t>Aynur Akdoğan</t>
  </si>
  <si>
    <t>Sevgi Temel</t>
  </si>
  <si>
    <t>Elanur Batuk</t>
  </si>
  <si>
    <t>Recep Can Noyan</t>
  </si>
  <si>
    <t>Meryem Simay Karataş</t>
  </si>
  <si>
    <t>Meryem Belli</t>
  </si>
  <si>
    <t>Nehir Aksoy</t>
  </si>
  <si>
    <t>Sinem Akbaş</t>
  </si>
  <si>
    <t>Emin Yılmaz Kayaalp</t>
  </si>
  <si>
    <t>İshak İşik</t>
  </si>
  <si>
    <t>Ebrar Tuğçe Yıldırım</t>
  </si>
  <si>
    <t>Mısra Bülbül</t>
  </si>
  <si>
    <t>Fatma Berfin Öztekin</t>
  </si>
  <si>
    <t>Melike Sevde Çağlar</t>
  </si>
  <si>
    <t>Atahan Erçetin</t>
  </si>
  <si>
    <t>Züleyha Gencer</t>
  </si>
  <si>
    <t>Asude Ceren Ergenç</t>
  </si>
  <si>
    <t>Deryanur Türküncü</t>
  </si>
  <si>
    <t>Semi Kaan Çakır</t>
  </si>
  <si>
    <t>Şilan Yılmaz</t>
  </si>
  <si>
    <t>Nurcan Cingöz</t>
  </si>
  <si>
    <t>Anıl Gök</t>
  </si>
  <si>
    <t>Rümeysa Saç</t>
  </si>
  <si>
    <t>Muhammed Ahmed Pişkin</t>
  </si>
  <si>
    <t>Nazım Gökhan Kahveci</t>
  </si>
  <si>
    <t>Elif Ekşi</t>
  </si>
  <si>
    <t>Göksu Balku</t>
  </si>
  <si>
    <t>Zeynep Kepelek</t>
  </si>
  <si>
    <t>Ezgi Kol</t>
  </si>
  <si>
    <t>Nehir Naz Meydancı</t>
  </si>
  <si>
    <t>Azra Varelci</t>
  </si>
  <si>
    <t>Tuğba Yürük</t>
  </si>
  <si>
    <t>Sinem Gümüş</t>
  </si>
  <si>
    <t>Selimhan Akyol</t>
  </si>
  <si>
    <t>Fatma Aynur Seyhan</t>
  </si>
  <si>
    <t>Melek Katırcı</t>
  </si>
  <si>
    <t>Melike Gürçay</t>
  </si>
  <si>
    <t>Zeliha Özcan</t>
  </si>
  <si>
    <t>Sıla Hatice Yıldırım</t>
  </si>
  <si>
    <t>Damlanur Balcı</t>
  </si>
  <si>
    <t>Süleyman Kutlusoy</t>
  </si>
  <si>
    <t>Tuğba Kurt</t>
  </si>
  <si>
    <t>Rukiye Başkaya</t>
  </si>
  <si>
    <t>Esra Solmaz</t>
  </si>
  <si>
    <t>Duru Sena Çağlar</t>
  </si>
  <si>
    <t>Hiranur Nalcı</t>
  </si>
  <si>
    <t>Elif Sarıca</t>
  </si>
  <si>
    <t>Halil İbrahim Cevizci</t>
  </si>
  <si>
    <t>Fatma Oturak</t>
  </si>
  <si>
    <t>Zehra Güntay</t>
  </si>
  <si>
    <t>Mahmut Turhan</t>
  </si>
  <si>
    <t>Yunus Can</t>
  </si>
  <si>
    <t>Merve Alkan</t>
  </si>
  <si>
    <t>Emine Eylül Adıgüzel</t>
  </si>
  <si>
    <t>Şeyma Korkmaz</t>
  </si>
  <si>
    <t>Zeynep Harika Atay</t>
  </si>
  <si>
    <t>Aram Ayav</t>
  </si>
  <si>
    <t>Medine Esen</t>
  </si>
  <si>
    <t>Edanur Kuzgun</t>
  </si>
  <si>
    <t>Yaren Güler</t>
  </si>
  <si>
    <t>Katibe Canuylası</t>
  </si>
  <si>
    <t>Hakan Ata Başar</t>
  </si>
  <si>
    <t>Edanur Dindar</t>
  </si>
  <si>
    <t>İrem Elitok</t>
  </si>
  <si>
    <t>Medine Özdemir</t>
  </si>
  <si>
    <t>Selim Çetiner</t>
  </si>
  <si>
    <t>Anıl Berke Öztürk</t>
  </si>
  <si>
    <t>Muhammed Kaplan</t>
  </si>
  <si>
    <t>Sude Çoban</t>
  </si>
  <si>
    <t>Selena Arlıoğlu</t>
  </si>
  <si>
    <t>Zehra Özen</t>
  </si>
  <si>
    <t>Buse Sağlam</t>
  </si>
  <si>
    <t>İsmail Karagöz</t>
  </si>
  <si>
    <t>Nazlı Yağız</t>
  </si>
  <si>
    <t>Hilal Öz</t>
  </si>
  <si>
    <t>Ayberk Barış Yeşilyurt</t>
  </si>
  <si>
    <t>Ozan Sarıkaya</t>
  </si>
  <si>
    <t>Deniz Nar</t>
  </si>
  <si>
    <t>İrem Say</t>
  </si>
  <si>
    <t>Murat Taşçı</t>
  </si>
  <si>
    <t>Ozan Soytürk</t>
  </si>
  <si>
    <t>Gülse Büyükaslan</t>
  </si>
  <si>
    <t>Kübra Bayazan</t>
  </si>
  <si>
    <t>Arifenur Gülşen</t>
  </si>
  <si>
    <t>Berna Sarı</t>
  </si>
  <si>
    <t>Gizem Koramanlı</t>
  </si>
  <si>
    <t>Yusuf Gaffar Hatipoğlu</t>
  </si>
  <si>
    <t>Elif Şevval Sefer</t>
  </si>
  <si>
    <t>İsmail Metin</t>
  </si>
  <si>
    <t>Nursu Bilgin</t>
  </si>
  <si>
    <t>Hakan Süngü</t>
  </si>
  <si>
    <t>Nergiz Altın</t>
  </si>
  <si>
    <t>İrem Özmutlu</t>
  </si>
  <si>
    <t>Yiğit Kıvanç Yavaş</t>
  </si>
  <si>
    <t>Hasan Emir Çaydam</t>
  </si>
  <si>
    <t>Zeynep Gökdağ</t>
  </si>
  <si>
    <t>İrem Göydağ</t>
  </si>
  <si>
    <t>Helin İrge</t>
  </si>
  <si>
    <t>Müşfike Asan</t>
  </si>
  <si>
    <t>Melek Çavdarcı</t>
  </si>
  <si>
    <t>Havva Temiz</t>
  </si>
  <si>
    <t>Ayşe Buyuntimir</t>
  </si>
  <si>
    <t>Kerem Köse</t>
  </si>
  <si>
    <t>Zeynep Ceylin Kaçar</t>
  </si>
  <si>
    <t>Taha Elik</t>
  </si>
  <si>
    <t>Beren Türkoğlu</t>
  </si>
  <si>
    <t>Erdem Gülen</t>
  </si>
  <si>
    <t>Yağmur Şimşek</t>
  </si>
  <si>
    <t>İrem Dere</t>
  </si>
  <si>
    <t>Cihan Ceran</t>
  </si>
  <si>
    <t>Yeternur Yerlitaş</t>
  </si>
  <si>
    <t>Gamze Kılınç</t>
  </si>
  <si>
    <t>Canan Çelik</t>
  </si>
  <si>
    <t>Osman Kerem Derman</t>
  </si>
  <si>
    <t>Neslihan Öztürk</t>
  </si>
  <si>
    <t>Gülperi Medine Sağlam</t>
  </si>
  <si>
    <t>Emir Kölüksüz</t>
  </si>
  <si>
    <t>Eylül Cabaroğlu</t>
  </si>
  <si>
    <t>Oğuzhan Konukçu</t>
  </si>
  <si>
    <t>Aleyna Canıbek</t>
  </si>
  <si>
    <t>Emre Şahin</t>
  </si>
  <si>
    <t>Sevgi Bedir</t>
  </si>
  <si>
    <t>Büşra Vural</t>
  </si>
  <si>
    <t>Zehra Süleymanoğlu</t>
  </si>
  <si>
    <t>Tuğçe Dal</t>
  </si>
  <si>
    <t>Selinay Körfi</t>
  </si>
  <si>
    <t>Melisa Tekin</t>
  </si>
  <si>
    <t>Beril Vural</t>
  </si>
  <si>
    <t>Serkan Çetin</t>
  </si>
  <si>
    <t>Muazzez Nuriye Coşgun</t>
  </si>
  <si>
    <t>Beyza Arslan</t>
  </si>
  <si>
    <t>Adem Can Alak</t>
  </si>
  <si>
    <t>Meryem Yağmur Doğan</t>
  </si>
  <si>
    <t>Sevim Gül Karakuş</t>
  </si>
  <si>
    <t>Aynur Kuru</t>
  </si>
  <si>
    <t>Yağmur Çete</t>
  </si>
  <si>
    <t>Seçil Uyğun</t>
  </si>
  <si>
    <t>Rümeysa Gümüşlü</t>
  </si>
  <si>
    <t>Melike Kav</t>
  </si>
  <si>
    <t>Şefika Gönk</t>
  </si>
  <si>
    <t>Muhammet Mustafa Bayram</t>
  </si>
  <si>
    <t>Gülşen Küçük</t>
  </si>
  <si>
    <t>Muhammet Zengin</t>
  </si>
  <si>
    <t>Yaren Candan</t>
  </si>
  <si>
    <t>Esin Kamalı</t>
  </si>
  <si>
    <t>Nisanur Melek Kaya</t>
  </si>
  <si>
    <t>Merve Cidacı</t>
  </si>
  <si>
    <t>Gamze Acun</t>
  </si>
  <si>
    <t>Berfin Su Boyraz</t>
  </si>
  <si>
    <t>İncifer Ucar</t>
  </si>
  <si>
    <t>Bilgesu Parıltı</t>
  </si>
  <si>
    <t>Selim Yavuz</t>
  </si>
  <si>
    <t>Yaren Koca</t>
  </si>
  <si>
    <t>Emirkan Nes</t>
  </si>
  <si>
    <t>Nazlı Yolcu</t>
  </si>
  <si>
    <t>Seval Evgi</t>
  </si>
  <si>
    <t>Ada Su Davutoğlu</t>
  </si>
  <si>
    <t>Arın Tan</t>
  </si>
  <si>
    <t>İrem Öz</t>
  </si>
  <si>
    <t>Birnaz Büşra Ok</t>
  </si>
  <si>
    <t>Koray Yurtseven</t>
  </si>
  <si>
    <t>Melike Sağlam</t>
  </si>
  <si>
    <t>Kerim Özbay</t>
  </si>
  <si>
    <t>Hazal Uzungül</t>
  </si>
  <si>
    <t>Melih Kayra Demirel</t>
  </si>
  <si>
    <t>Dilek Tal</t>
  </si>
  <si>
    <t>Akın Tengiz</t>
  </si>
  <si>
    <t>Deniz Al</t>
  </si>
  <si>
    <t>Ece Ceren Danacı</t>
  </si>
  <si>
    <t>Yalçın Selvi</t>
  </si>
  <si>
    <t>Şevval Aktaş</t>
  </si>
  <si>
    <t>Göksu Kesimen</t>
  </si>
  <si>
    <t>Buse Nur Kırlı</t>
  </si>
  <si>
    <t>Sümeyye Aydın</t>
  </si>
  <si>
    <t>Simge Şengül Boroğlu</t>
  </si>
  <si>
    <t>Mizgin Sevinç</t>
  </si>
  <si>
    <t>Aybüke İnanır</t>
  </si>
  <si>
    <t>Esra Naime Yemişçi</t>
  </si>
  <si>
    <t>Sultan Dursun</t>
  </si>
  <si>
    <t>Fadime Avağ</t>
  </si>
  <si>
    <t>Ceyhan Duyan</t>
  </si>
  <si>
    <t>Nisa Nur Dağcı</t>
  </si>
  <si>
    <t>Merve Alay</t>
  </si>
  <si>
    <t>Nursena Karahan</t>
  </si>
  <si>
    <t>Sıla Karaarslan</t>
  </si>
  <si>
    <t>Ayşenur Vural</t>
  </si>
  <si>
    <t>Barış Aydemir</t>
  </si>
  <si>
    <t>Eda Tuncay</t>
  </si>
  <si>
    <t>Hiranur Turak</t>
  </si>
  <si>
    <t>Çisem Gürbüz</t>
  </si>
  <si>
    <t>Elanur Durna</t>
  </si>
  <si>
    <t>Adalet Sevinç Kuranlıoğlu</t>
  </si>
  <si>
    <t>Şeyda Bayram</t>
  </si>
  <si>
    <t>Esmanur Ayan</t>
  </si>
  <si>
    <t>Ebru Çelik</t>
  </si>
  <si>
    <t>Seher Akpınar</t>
  </si>
  <si>
    <t>Sudenaz Güven</t>
  </si>
  <si>
    <t>Kübra Çağlıbektaş</t>
  </si>
  <si>
    <t>Nuray Mendeş</t>
  </si>
  <si>
    <t>Ayşegül Arslan</t>
  </si>
  <si>
    <t>Yağmur Damla Bayram</t>
  </si>
  <si>
    <t>Emine Memiş</t>
  </si>
  <si>
    <t>Şeyma Avcı</t>
  </si>
  <si>
    <t>Pınar Uyanık</t>
  </si>
  <si>
    <t>Seda Nur Baklacı</t>
  </si>
  <si>
    <t>Büşra Ömeroğlu</t>
  </si>
  <si>
    <t>Sabire Buse Koç</t>
  </si>
  <si>
    <t>Burak Deral</t>
  </si>
  <si>
    <t>Hürgenç Kutlu Derin</t>
  </si>
  <si>
    <t>Ahmet Enes Karataş</t>
  </si>
  <si>
    <t>Nazmiye Gökçetin</t>
  </si>
  <si>
    <t>Anıl Çağrı Mert</t>
  </si>
  <si>
    <t>Kaan Öksüz</t>
  </si>
  <si>
    <t>Serpil Karpuzoğlu</t>
  </si>
  <si>
    <t>Ceren Cömert</t>
  </si>
  <si>
    <t>Ayşe Duvar</t>
  </si>
  <si>
    <t>Nehir Koç</t>
  </si>
  <si>
    <t>Zeynep Demir</t>
  </si>
  <si>
    <t>Ece Nur Erdoğan</t>
  </si>
  <si>
    <t>Ceren Öz</t>
  </si>
  <si>
    <t>Ebranur Balcı</t>
  </si>
  <si>
    <t>Hülya Sarı</t>
  </si>
  <si>
    <t>Elanur Edanur Ormancı</t>
  </si>
  <si>
    <t>Zehra Çiçek</t>
  </si>
  <si>
    <t>Mervenur Özaslan</t>
  </si>
  <si>
    <t>Esra Çolak</t>
  </si>
  <si>
    <t>Özge Otlu</t>
  </si>
  <si>
    <t>Sudenaz Karakaya</t>
  </si>
  <si>
    <t>Zeynep Yerli</t>
  </si>
  <si>
    <t>Ceren Çal</t>
  </si>
  <si>
    <t>Nevim Aslan</t>
  </si>
  <si>
    <t>Berkay Işık</t>
  </si>
  <si>
    <t>Sudenur Yener</t>
  </si>
  <si>
    <t>Secem Koçiyit</t>
  </si>
  <si>
    <t>Nursena Çetin</t>
  </si>
  <si>
    <t>Gaye Nur Parlak</t>
  </si>
  <si>
    <t>Eylül Nisanur Akpınar</t>
  </si>
  <si>
    <t>Sıla Demir</t>
  </si>
  <si>
    <t>Merve Boruk</t>
  </si>
  <si>
    <t>Eylül Aldağ</t>
  </si>
  <si>
    <t>Hayat Durar</t>
  </si>
  <si>
    <t>Semiha Nur Bulut</t>
  </si>
  <si>
    <t>Sinem Kır</t>
  </si>
  <si>
    <t>Furkan Talha Gündoğan</t>
  </si>
  <si>
    <t>Aleyna Altuğ</t>
  </si>
  <si>
    <t>Ebru Şahin</t>
  </si>
  <si>
    <t>Sinem Yiğit</t>
  </si>
  <si>
    <t>Mesut Ağtürk</t>
  </si>
  <si>
    <t>Saadet Çelik</t>
  </si>
  <si>
    <t>Sudenur Zengin</t>
  </si>
  <si>
    <t>Elif Aydın</t>
  </si>
  <si>
    <t>Rümeysa Uğurlu</t>
  </si>
  <si>
    <t>Yahya Acar</t>
  </si>
  <si>
    <t>Beyza Gümrah</t>
  </si>
  <si>
    <t>Sude Çördük</t>
  </si>
  <si>
    <t>Fırat Güldüz</t>
  </si>
  <si>
    <t>Aleyna Korkmaz</t>
  </si>
  <si>
    <t>Mehmet Ali Akın</t>
  </si>
  <si>
    <t>Busenur Bayazan</t>
  </si>
  <si>
    <t>Diyarnaz Güçlü</t>
  </si>
  <si>
    <t>Nisa Nur Yıldırım</t>
  </si>
  <si>
    <t>İsa Anıl Alkaya</t>
  </si>
  <si>
    <t>İpek Umak</t>
  </si>
  <si>
    <t>Hava İçpınar</t>
  </si>
  <si>
    <t>Songül Karataş</t>
  </si>
  <si>
    <t>Ruken Aslan</t>
  </si>
  <si>
    <t>Meryem Topal</t>
  </si>
  <si>
    <t>Hizan Baran</t>
  </si>
  <si>
    <t>Büşra Nişan</t>
  </si>
  <si>
    <t>Dilara Sağdıç</t>
  </si>
  <si>
    <t>Ecemnur Havin Çebi</t>
  </si>
  <si>
    <t>Çağla Su Çaprak</t>
  </si>
  <si>
    <t>Eslin Kaçar</t>
  </si>
  <si>
    <t>Rümeysa Demirbaş</t>
  </si>
  <si>
    <t>Melek Zübeyde Şen</t>
  </si>
  <si>
    <t>Makbule Açıkkan</t>
  </si>
  <si>
    <t>Işıl Çankaya</t>
  </si>
  <si>
    <t>Sümeyye Durmuş</t>
  </si>
  <si>
    <t>Sündüz Açıkyürek</t>
  </si>
  <si>
    <t>İrem Su Sarı</t>
  </si>
  <si>
    <t>Melisa Yarar</t>
  </si>
  <si>
    <t>Sudenaz Turkyılmaz</t>
  </si>
  <si>
    <t>Emine Ertuğrul</t>
  </si>
  <si>
    <t>Beril Arı</t>
  </si>
  <si>
    <t>Memnune Sermina Kaçan</t>
  </si>
  <si>
    <t>Selina Yıldırım</t>
  </si>
  <si>
    <t>Sudenaz Hasar</t>
  </si>
  <si>
    <t>Melike Turhan</t>
  </si>
  <si>
    <t>Selma nur Çifci</t>
  </si>
  <si>
    <t>Ayşe Huri Şabanoğlu</t>
  </si>
  <si>
    <t>Aysun Tahtacı</t>
  </si>
  <si>
    <t>Aylin Özer</t>
  </si>
  <si>
    <t>Ceren Uysal</t>
  </si>
  <si>
    <t>Gamze Ağırkaya</t>
  </si>
  <si>
    <t>Emirhan Bingöl</t>
  </si>
  <si>
    <t>Meryem Karataş</t>
  </si>
  <si>
    <t>Zehra Nisa Aytekin</t>
  </si>
  <si>
    <t>Buse Akyüz</t>
  </si>
  <si>
    <t>Muhammed Eray Alaca</t>
  </si>
  <si>
    <t>Nazlı Kandemir</t>
  </si>
  <si>
    <t>Sedanur Hacıosmanoğlu</t>
  </si>
  <si>
    <t>Dilan Koyuncu</t>
  </si>
  <si>
    <t>Nisanur Koçan</t>
  </si>
  <si>
    <t>Aysıla Su Koç</t>
  </si>
  <si>
    <t>Öykü Karabenli</t>
  </si>
  <si>
    <t>Şeyma Aydın</t>
  </si>
  <si>
    <t>Gülseren Yavuz</t>
  </si>
  <si>
    <t>Muhammet Efe Erdem</t>
  </si>
  <si>
    <t>Çağla Koludönmez</t>
  </si>
  <si>
    <t>Fulya Yücedağ</t>
  </si>
  <si>
    <t>Rüya Kabakçı</t>
  </si>
  <si>
    <t>Kübra Aydın</t>
  </si>
  <si>
    <t>İrem Tiryaki</t>
  </si>
  <si>
    <t>Beyzanur Akar</t>
  </si>
  <si>
    <t>Büşra Aydın</t>
  </si>
  <si>
    <t>Mithat Toker</t>
  </si>
  <si>
    <t>Leyla Nur Gülmez</t>
  </si>
  <si>
    <t>Fatma Şahin</t>
  </si>
  <si>
    <t>Rumeysa Daşdemir</t>
  </si>
  <si>
    <t>Serra Çimen</t>
  </si>
  <si>
    <t>Pınar Altun</t>
  </si>
  <si>
    <t>Berat Yakut</t>
  </si>
  <si>
    <t>Nidanur Sağlam</t>
  </si>
  <si>
    <t>Tolga Yalınkaya</t>
  </si>
  <si>
    <t>Sude Naz Yıldırım</t>
  </si>
  <si>
    <t>Feyza Aytaç</t>
  </si>
  <si>
    <t>Dilara Sarıkaş</t>
  </si>
  <si>
    <t>Sümeyye Şahintürk</t>
  </si>
  <si>
    <t>Aleyna Jasmin Kaya</t>
  </si>
  <si>
    <t>Ziynet Tüzün</t>
  </si>
  <si>
    <t>Dilara Oğuzhan</t>
  </si>
  <si>
    <t>Azra Akgür</t>
  </si>
  <si>
    <t>Şemsi Çağatay Kulüp</t>
  </si>
  <si>
    <t>Eda Vardar</t>
  </si>
  <si>
    <t>Yasemin Çelik</t>
  </si>
  <si>
    <t>Nida Tonguz</t>
  </si>
  <si>
    <t>Feyzanur Çelik</t>
  </si>
  <si>
    <t>Sıla Öztürk</t>
  </si>
  <si>
    <t>Damla Şentürk</t>
  </si>
  <si>
    <t>Ayşe Sena Çoban</t>
  </si>
  <si>
    <t>Elif Deniz</t>
  </si>
  <si>
    <t>Can Bilgin</t>
  </si>
  <si>
    <t>Betül Kürtül</t>
  </si>
  <si>
    <t>Fatih Mehmet Yücedağ</t>
  </si>
  <si>
    <t>Selin Çelik</t>
  </si>
  <si>
    <t>İpek Önder</t>
  </si>
  <si>
    <t>Damla Kaya</t>
  </si>
  <si>
    <t>Banu Akın</t>
  </si>
  <si>
    <t>Rozerin Asana</t>
  </si>
  <si>
    <t>Tuğçe İrem Kınalı</t>
  </si>
  <si>
    <t>Batu Han</t>
  </si>
  <si>
    <t>Pelin Yılmaz</t>
  </si>
  <si>
    <t>Kardelen Duran</t>
  </si>
  <si>
    <t>Nuriye Benli</t>
  </si>
  <si>
    <t>Yunus Emre Koç</t>
  </si>
  <si>
    <t>Esma Sülün</t>
  </si>
  <si>
    <t>Ebru Çelebi</t>
  </si>
  <si>
    <t>Berfin Sezgin</t>
  </si>
  <si>
    <t>Ayşegül Yalçın</t>
  </si>
  <si>
    <t>Habibe Nur Akyol</t>
  </si>
  <si>
    <t>Yasin Eren Kotan</t>
  </si>
  <si>
    <t>Esma Çolak</t>
  </si>
  <si>
    <t>Şevval Tekatlı</t>
  </si>
  <si>
    <t>Berke Yıldırımer</t>
  </si>
  <si>
    <t>Şule Sevim</t>
  </si>
  <si>
    <t>Yaren Bilişik</t>
  </si>
  <si>
    <t>Zeynep Didem Aydın</t>
  </si>
  <si>
    <t>Mustafa Arda Yıldız</t>
  </si>
  <si>
    <t>Erol Efdal Köse</t>
  </si>
  <si>
    <t>Ezgi Yılan</t>
  </si>
  <si>
    <t>Gülcan Kara</t>
  </si>
  <si>
    <t>Canan Doğan</t>
  </si>
  <si>
    <t>Hatice Yıldız</t>
  </si>
  <si>
    <t>Melisa Karakaya</t>
  </si>
  <si>
    <t>Elifnaz Zoroğlu</t>
  </si>
  <si>
    <t>Sılanur İlhan</t>
  </si>
  <si>
    <t>Yağmur Aydoğdu</t>
  </si>
  <si>
    <t>Berranur Uzun</t>
  </si>
  <si>
    <t>İrem Nur Şahin</t>
  </si>
  <si>
    <t>Sude Oymak</t>
  </si>
  <si>
    <t>Melek Nur Üst</t>
  </si>
  <si>
    <t>Sevgi İşçi</t>
  </si>
  <si>
    <t>Büşra Nur Güngör</t>
  </si>
  <si>
    <t>Elmas Nur Koral</t>
  </si>
  <si>
    <t>Pınar Genç</t>
  </si>
  <si>
    <t>Zeynep Çamaoğlu</t>
  </si>
  <si>
    <t>Rumeysa Deniz Ekşi</t>
  </si>
  <si>
    <t>Berivan Çimen</t>
  </si>
  <si>
    <t>Sümeyra Erdoğan</t>
  </si>
  <si>
    <t>Bora Sunman</t>
  </si>
  <si>
    <t>Medine Güncü</t>
  </si>
  <si>
    <t>Emine Yaren Şeker</t>
  </si>
  <si>
    <t>Ufuk Özalp</t>
  </si>
  <si>
    <t>Kübra Gonca</t>
  </si>
  <si>
    <t>Andrei Cengizel</t>
  </si>
  <si>
    <t>Edanur Çetin</t>
  </si>
  <si>
    <t>Recep Eray Kesmen</t>
  </si>
  <si>
    <t>Helin Uçar</t>
  </si>
  <si>
    <t>Azra Erol</t>
  </si>
  <si>
    <t>İlev Turğa</t>
  </si>
  <si>
    <t>Zekiye Ergün</t>
  </si>
  <si>
    <t>Ayşe Nur Buz</t>
  </si>
  <si>
    <t>Asiye Keskin</t>
  </si>
  <si>
    <t>Esma Ögrüç</t>
  </si>
  <si>
    <t>Deniz Ali Sezer</t>
  </si>
  <si>
    <t>Zehra Şahin</t>
  </si>
  <si>
    <t>Özlem Akalın</t>
  </si>
  <si>
    <t>Zeynep Nisanur Şen</t>
  </si>
  <si>
    <t>Aleyna Demir</t>
  </si>
  <si>
    <t>Hüseyin Turan Yalçın</t>
  </si>
  <si>
    <t>Mehmet Ali Özşen</t>
  </si>
  <si>
    <t>Zeynep Nisa Teker</t>
  </si>
  <si>
    <t>Beyza Ekşi</t>
  </si>
  <si>
    <t>Sıla Yücel</t>
  </si>
  <si>
    <t>Fatma Çamcıoğlu</t>
  </si>
  <si>
    <t>Semra Sertdemir</t>
  </si>
  <si>
    <t>Salih Baş</t>
  </si>
  <si>
    <t>Meryem Bayraktar</t>
  </si>
  <si>
    <t>Ayşenur Ateş</t>
  </si>
  <si>
    <t>Eren Şahin</t>
  </si>
  <si>
    <t>Özge Nart</t>
  </si>
  <si>
    <t>Egemen Özsoy</t>
  </si>
  <si>
    <t>Beyzanur Ertuğrul</t>
  </si>
  <si>
    <t>Hümeyra Yazar</t>
  </si>
  <si>
    <t>Meryem Destegül</t>
  </si>
  <si>
    <t>Gülben Doğan</t>
  </si>
  <si>
    <t>Ata Kağan Tatar</t>
  </si>
  <si>
    <t>Gamzenur Baran</t>
  </si>
  <si>
    <t>Merve Cin</t>
  </si>
  <si>
    <t>Sumru Bulut</t>
  </si>
  <si>
    <t>Hatice Kübra Altunbaş</t>
  </si>
  <si>
    <t>Elif Ayvaz</t>
  </si>
  <si>
    <t>Elif Eylül Eren</t>
  </si>
  <si>
    <t>Sude Tekin</t>
  </si>
  <si>
    <t>Umut Can Kocak</t>
  </si>
  <si>
    <t>Furkan Yiğit Polatoglu</t>
  </si>
  <si>
    <t>Duygu Dinçer</t>
  </si>
  <si>
    <t>Mehmet İsa Kızıl</t>
  </si>
  <si>
    <t>Fatma Nur Alökmen</t>
  </si>
  <si>
    <t>Şüheda Kezek</t>
  </si>
  <si>
    <t>Sinan Ballı</t>
  </si>
  <si>
    <t>Meral Sena Acar</t>
  </si>
  <si>
    <t>Azra Yeniyol</t>
  </si>
  <si>
    <t>Elifnaz Akıskalı</t>
  </si>
  <si>
    <t>Nisanur Satıoğlu</t>
  </si>
  <si>
    <t>Sıla Naz Bozkurt</t>
  </si>
  <si>
    <t>Menekşe Nur Kaluman</t>
  </si>
  <si>
    <t>Sudenaz Öz</t>
  </si>
  <si>
    <t>İbrahim Akkuş</t>
  </si>
  <si>
    <t>Rumeysa Yüksel</t>
  </si>
  <si>
    <t>İlayda Şerbetçioğlu</t>
  </si>
  <si>
    <t>Büşranur Delikücük</t>
  </si>
  <si>
    <t>Yeşim Genç</t>
  </si>
  <si>
    <t>Gizem Eylül Keskin</t>
  </si>
  <si>
    <t>Sıla Ündev</t>
  </si>
  <si>
    <t>Özlem Güneş</t>
  </si>
  <si>
    <t>Hatice Melek Koçer</t>
  </si>
  <si>
    <t>Sümeyye Nur Güçlü</t>
  </si>
  <si>
    <t>Songül Yamaç</t>
  </si>
  <si>
    <t>Taşdan Baş</t>
  </si>
  <si>
    <t>Eyüp Salman Kaya</t>
  </si>
  <si>
    <t>Çağla Saydam</t>
  </si>
  <si>
    <t>Aydın Emre Hazımoğlu</t>
  </si>
  <si>
    <t>Ayşe Talun</t>
  </si>
  <si>
    <t>Fadime Akpınar</t>
  </si>
  <si>
    <t>Ecem Durak</t>
  </si>
  <si>
    <t>Meltem Teksakal</t>
  </si>
  <si>
    <t>Elif Beyza Gürtuna</t>
  </si>
  <si>
    <t>İlknur Esra Kışnar</t>
  </si>
  <si>
    <t>Didem Erbek</t>
  </si>
  <si>
    <t>Nehir Naz Kükürt</t>
  </si>
  <si>
    <t>Şevket Bayram</t>
  </si>
  <si>
    <t>Tuana Çağrı</t>
  </si>
  <si>
    <t>Melis Candan</t>
  </si>
  <si>
    <t>Zeynep Gündoğu</t>
  </si>
  <si>
    <t>Hicran Bulut</t>
  </si>
  <si>
    <t>Utku Tazegül</t>
  </si>
  <si>
    <t>Hatice Doğan</t>
  </si>
  <si>
    <t>Havin Cemre Kılınç</t>
  </si>
  <si>
    <t>Feyza Aygör</t>
  </si>
  <si>
    <t>Leyla Sin</t>
  </si>
  <si>
    <t>Ayşe Mısra Sadıçoğlu</t>
  </si>
  <si>
    <t>Ezgi Akardere</t>
  </si>
  <si>
    <t>Selen Emine Erişgin</t>
  </si>
  <si>
    <t>Eyüp Erişkin</t>
  </si>
  <si>
    <t>Emir Malik Eser</t>
  </si>
  <si>
    <t>Halil Çelik</t>
  </si>
  <si>
    <t>Yasemin Sarıdugan</t>
  </si>
  <si>
    <t>Ayça Yamalılar</t>
  </si>
  <si>
    <t>Ali Kerem Demiralp</t>
  </si>
  <si>
    <t>Zeynep Sıla Akıncı</t>
  </si>
  <si>
    <t>Şaheste Sultan Akbaş</t>
  </si>
  <si>
    <t>Nadire Buluş</t>
  </si>
  <si>
    <t>Zeynep Bingöl</t>
  </si>
  <si>
    <t>Nilay Korkmaz</t>
  </si>
  <si>
    <t>Zeynep Kaya</t>
  </si>
  <si>
    <t>Zeynep Betül Geyikçi</t>
  </si>
  <si>
    <t>Selda Nur Özcan</t>
  </si>
  <si>
    <t>Ataberk Albayrak</t>
  </si>
  <si>
    <t>Görkem Cevizli</t>
  </si>
  <si>
    <t>Doğukan Görmez</t>
  </si>
  <si>
    <t>Meral Türkmenoğlu</t>
  </si>
  <si>
    <t>Kübra Arslan</t>
  </si>
  <si>
    <t>Merve Aydoğdu</t>
  </si>
  <si>
    <t>Meral Kapağan</t>
  </si>
  <si>
    <t>Ecem Berfin İyidoğan</t>
  </si>
  <si>
    <t>Mustafa Demir</t>
  </si>
  <si>
    <t>İlkay Aksu</t>
  </si>
  <si>
    <t>Meryem Hoş</t>
  </si>
  <si>
    <t>Nefise Taşan</t>
  </si>
  <si>
    <t>Semanur Tetik</t>
  </si>
  <si>
    <t>Şevval Bosna</t>
  </si>
  <si>
    <t>Merve Çağırtekin</t>
  </si>
  <si>
    <t>Çiğdem Nur Dere</t>
  </si>
  <si>
    <t>Dilan Urtekin</t>
  </si>
  <si>
    <t>Ümmühannur Gülmez</t>
  </si>
  <si>
    <t>Zeynepnur Alioğlu</t>
  </si>
  <si>
    <t>Gonca Zingal</t>
  </si>
  <si>
    <t>Akın Efe Aytar</t>
  </si>
  <si>
    <t>Baran Yıldırım</t>
  </si>
  <si>
    <t>Öykü Melek Şuataman</t>
  </si>
  <si>
    <t>Dilara Gedik</t>
  </si>
  <si>
    <t>Esmanur Morkoç</t>
  </si>
  <si>
    <t>Meryem Aydın</t>
  </si>
  <si>
    <t>Cemre Yıldız</t>
  </si>
  <si>
    <t>Havva Gültepe</t>
  </si>
  <si>
    <t>Emircan Kara</t>
  </si>
  <si>
    <t>Asya Irmak</t>
  </si>
  <si>
    <t>Ali Kerem Başar</t>
  </si>
  <si>
    <t>Ayşenur Bolada</t>
  </si>
  <si>
    <t>Dilan Yaman</t>
  </si>
  <si>
    <t>Tuğba Sayar</t>
  </si>
  <si>
    <t>Nagihan Zümrütçü</t>
  </si>
  <si>
    <t>Gamze Gül Balkır</t>
  </si>
  <si>
    <t>Nazlı Aktaşcı</t>
  </si>
  <si>
    <t>Zahide Van</t>
  </si>
  <si>
    <t>Ceyda Akdere</t>
  </si>
  <si>
    <t>Mensure Evyapan</t>
  </si>
  <si>
    <t>Canan Sezin Göktuna</t>
  </si>
  <si>
    <t>Sümeyra Bingöl</t>
  </si>
  <si>
    <t>Asiye İlgeç</t>
  </si>
  <si>
    <t>Ramazan Köle</t>
  </si>
  <si>
    <t>Kumru Korkmaz</t>
  </si>
  <si>
    <t>Elif Uysal</t>
  </si>
  <si>
    <t>Esra Taçyıldız</t>
  </si>
  <si>
    <t>Ahmet Korkmaz</t>
  </si>
  <si>
    <t>Fatmanur Güngör</t>
  </si>
  <si>
    <t>Meliha Kanat</t>
  </si>
  <si>
    <t>Ali Töremişoğlu</t>
  </si>
  <si>
    <t>Nursena Yılmaz</t>
  </si>
  <si>
    <t>Sümeyye Atak</t>
  </si>
  <si>
    <t>Sudenaz Eksilmez</t>
  </si>
  <si>
    <t>Aleyna Çavğa</t>
  </si>
  <si>
    <t>Nalan İşleyen</t>
  </si>
  <si>
    <t>Sevim Batur</t>
  </si>
  <si>
    <t>Hatice Kulaksız</t>
  </si>
  <si>
    <t>Sude Oruç</t>
  </si>
  <si>
    <t>Pelin Ceylan</t>
  </si>
  <si>
    <t>Fatma Özeren Yılmaz</t>
  </si>
  <si>
    <t>Elif Öztürk</t>
  </si>
  <si>
    <t>Ayşe Yağmur Özçelik</t>
  </si>
  <si>
    <t>Nursima Çifçi</t>
  </si>
  <si>
    <t>Esen Sahra Bayram</t>
  </si>
  <si>
    <t>Yasin Şimşir</t>
  </si>
  <si>
    <t>İrem Taşpınar</t>
  </si>
  <si>
    <t>Hazal Evrim Özcan</t>
  </si>
  <si>
    <t>Nisa Nur Erdoğan</t>
  </si>
  <si>
    <t>Şeydanur Gümüş</t>
  </si>
  <si>
    <t>Zehra Birdal</t>
  </si>
  <si>
    <t>Rabia Nur Şahin</t>
  </si>
  <si>
    <t>Merve Gül Koca</t>
  </si>
  <si>
    <t>Rukiye Akbaba</t>
  </si>
  <si>
    <t>Zeynep Karagöz</t>
  </si>
  <si>
    <t>Hafsa Zehra Kezek</t>
  </si>
  <si>
    <t>Zekiye Nur Sağlam</t>
  </si>
  <si>
    <t>Ceyda Kışla</t>
  </si>
  <si>
    <t>Leyla Durak</t>
  </si>
  <si>
    <t>Sonay Ayık</t>
  </si>
  <si>
    <t>Şevval Öbek</t>
  </si>
  <si>
    <t>Zeynep Sude Atik</t>
  </si>
  <si>
    <t>Melike Berra Toklucu</t>
  </si>
  <si>
    <t>Eyüp Yaşar</t>
  </si>
  <si>
    <t>Melis Akay</t>
  </si>
  <si>
    <t>Muhammed Berat Cengizel</t>
  </si>
  <si>
    <t>Dilara Çağdavul</t>
  </si>
  <si>
    <t>Sudenaz Yelek</t>
  </si>
  <si>
    <t>Yağmur Kadiroğulları</t>
  </si>
  <si>
    <t>Yaren Özkaynak</t>
  </si>
  <si>
    <t>Esma Ceren Erdoğan</t>
  </si>
  <si>
    <t>Aslı Aydın</t>
  </si>
  <si>
    <t>Semanur Karaca</t>
  </si>
  <si>
    <t>Sultan Özer</t>
  </si>
  <si>
    <t>Deniz Kızılyaprak</t>
  </si>
  <si>
    <t>Bahar Kaylar</t>
  </si>
  <si>
    <t>Ravza Nur Kartal</t>
  </si>
  <si>
    <t>İsmail Karakaya</t>
  </si>
  <si>
    <t>Rojbın Demır</t>
  </si>
  <si>
    <t>Aydanur Aytaş</t>
  </si>
  <si>
    <t>Amine Şahin</t>
  </si>
  <si>
    <t>Zehra Şeremet</t>
  </si>
  <si>
    <t>Merve İşler</t>
  </si>
  <si>
    <t>İrem Atmaz</t>
  </si>
  <si>
    <t>Çimen Ergül</t>
  </si>
  <si>
    <t>Menal Hüseyin</t>
  </si>
  <si>
    <t>Nida Soner</t>
  </si>
  <si>
    <t>Cavidan Kebir</t>
  </si>
  <si>
    <t>Süleyman Ağıl</t>
  </si>
  <si>
    <t>Behiye Nisa Demir</t>
  </si>
  <si>
    <t>Sümeyye Nur Erdoğan</t>
  </si>
  <si>
    <t>Yağmur Ceylan</t>
  </si>
  <si>
    <t>Elif Nur Ay</t>
  </si>
  <si>
    <t>Cansu Ada</t>
  </si>
  <si>
    <t>Nisa Hatice Vardar</t>
  </si>
  <si>
    <t>İremsu Taşkıran</t>
  </si>
  <si>
    <t>Şeyma Kızılçınar</t>
  </si>
  <si>
    <t>Tuğba Taş</t>
  </si>
  <si>
    <t>Begüm Irmak Yamak</t>
  </si>
  <si>
    <t>Ebrar Naz Tok</t>
  </si>
  <si>
    <t>Eyşan Ezel Günhar</t>
  </si>
  <si>
    <t>Hasan Hüseyin Yılmaz</t>
  </si>
  <si>
    <t>Şevval Ciğerci</t>
  </si>
  <si>
    <t>Nisa Nur Kaya</t>
  </si>
  <si>
    <t>Sümeyye Yıldız</t>
  </si>
  <si>
    <t>Ceyda Bağçivan</t>
  </si>
  <si>
    <t>Medine Ravza Usta</t>
  </si>
  <si>
    <t>Ayşegül Ekim</t>
  </si>
  <si>
    <t>Betül Yeşildağ</t>
  </si>
  <si>
    <t>Hümeyra Şabanoğlu</t>
  </si>
  <si>
    <t>Mustafa Kady</t>
  </si>
  <si>
    <t>Elif Sude Kalır</t>
  </si>
  <si>
    <t>Sıla Kalkan</t>
  </si>
  <si>
    <t>Ali Demirezen</t>
  </si>
  <si>
    <t>Ilgın Ölmez</t>
  </si>
  <si>
    <t>Gülizar Zebaloğlu</t>
  </si>
  <si>
    <t>Rüya Demirtaş</t>
  </si>
  <si>
    <t>Ece Aker</t>
  </si>
  <si>
    <t>Asım Samet Simit</t>
  </si>
  <si>
    <t>Buğra Kaan Cantürk</t>
  </si>
  <si>
    <t>Elif Han</t>
  </si>
  <si>
    <t>Melek Ak</t>
  </si>
  <si>
    <t>Samet Kıyak</t>
  </si>
  <si>
    <t>Nurcan Kozan</t>
  </si>
  <si>
    <t>Ennur Gül Yılmaz</t>
  </si>
  <si>
    <t>Ezgi Şahin</t>
  </si>
  <si>
    <t>Yunus Emre Demirli</t>
  </si>
  <si>
    <t>Kübra Gönültaş</t>
  </si>
  <si>
    <t>Zehra Doğrul</t>
  </si>
  <si>
    <t>Zilan Aşkan</t>
  </si>
  <si>
    <t>Satı Rümeysa Taşar</t>
  </si>
  <si>
    <t>Ayşe Beğen</t>
  </si>
  <si>
    <t>Uğur Dülger</t>
  </si>
  <si>
    <t>Rüveyda Yağın</t>
  </si>
  <si>
    <t>Medine Şimşek</t>
  </si>
  <si>
    <t>Yunus Aslan</t>
  </si>
  <si>
    <t>Yekbun Tamur</t>
  </si>
  <si>
    <t>Tuğba Eneç</t>
  </si>
  <si>
    <t>Muhammed Dizal</t>
  </si>
  <si>
    <t>Tuğçe Özkaya Koyuncu</t>
  </si>
  <si>
    <t>Seda Duru</t>
  </si>
  <si>
    <t>Büşra Eşsizer</t>
  </si>
  <si>
    <t>Aleyna Yener</t>
  </si>
  <si>
    <t>Dilara Bingöl</t>
  </si>
  <si>
    <t>Kübra Gümüşoğlu</t>
  </si>
  <si>
    <t>Rümeysa Balcı</t>
  </si>
  <si>
    <t>Merve Özbay</t>
  </si>
  <si>
    <t>Elvin Köktürk</t>
  </si>
  <si>
    <t>Merve Şahin</t>
  </si>
  <si>
    <t>Mehmet Efe Değirmen</t>
  </si>
  <si>
    <t>İrem Aras</t>
  </si>
  <si>
    <t>Halime Koç</t>
  </si>
  <si>
    <t>Mert Çetin</t>
  </si>
  <si>
    <t>Gönül Koçak</t>
  </si>
  <si>
    <t>Tuğba Mutlu</t>
  </si>
  <si>
    <t>Beyza Sıla Karul</t>
  </si>
  <si>
    <t>Ümmügülsüm Kayabaş</t>
  </si>
  <si>
    <t>Güldeniz Ayturaz</t>
  </si>
  <si>
    <t>Buse Bakıroğlu</t>
  </si>
  <si>
    <t>Yasin Can Koç</t>
  </si>
  <si>
    <t>Arif Emre Koçyiğit</t>
  </si>
  <si>
    <t>Ayşe Köksal</t>
  </si>
  <si>
    <t>Atiye Kurt</t>
  </si>
  <si>
    <t>Sümeyye Genç</t>
  </si>
  <si>
    <t>Atalay Kılıç</t>
  </si>
  <si>
    <t>Zeynep Adagüme</t>
  </si>
  <si>
    <t>Ferah Dicleli</t>
  </si>
  <si>
    <t>Hatice Kaya</t>
  </si>
  <si>
    <t>Behice Nilüfer Özpınar</t>
  </si>
  <si>
    <t>Elif Yüksel</t>
  </si>
  <si>
    <t>Eren Can Hamarat</t>
  </si>
  <si>
    <t>Hiranur Hacer Baran</t>
  </si>
  <si>
    <t>Öznur Sekmen</t>
  </si>
  <si>
    <t>Rümeysa Gül Aslan</t>
  </si>
  <si>
    <t>Dilara Manduz</t>
  </si>
  <si>
    <t>Sılanur Demir</t>
  </si>
  <si>
    <t>Tuğçenur Özel</t>
  </si>
  <si>
    <t>Hatice Boz</t>
  </si>
  <si>
    <t>Deniz Hacıoğlu</t>
  </si>
  <si>
    <t>Hüda Özdağ</t>
  </si>
  <si>
    <t>Nilay Pancar</t>
  </si>
  <si>
    <t>İrem Barışoğlu</t>
  </si>
  <si>
    <t>Ayşe Nur Yorulmaz</t>
  </si>
  <si>
    <t>Dilara Agit</t>
  </si>
  <si>
    <t>Feyza Yıldırım</t>
  </si>
  <si>
    <t>Elif Çelik</t>
  </si>
  <si>
    <t>Pelin Nisa Koca</t>
  </si>
  <si>
    <t>Rana Benneyim</t>
  </si>
  <si>
    <t>Şuheda Yavuz</t>
  </si>
  <si>
    <t>Meryem Akşahin Öçal</t>
  </si>
  <si>
    <t>Necla Aydoğdu</t>
  </si>
  <si>
    <t>Gülşehri Savaşkan</t>
  </si>
  <si>
    <t>Yaren Kılınç</t>
  </si>
  <si>
    <t>Pınar Gülseren</t>
  </si>
  <si>
    <t>Rukiye Kendir</t>
  </si>
  <si>
    <t>Aleyna Sude Ada</t>
  </si>
  <si>
    <t>Ayça Aydın</t>
  </si>
  <si>
    <t>Gaye Nur Göker</t>
  </si>
  <si>
    <t>Maksut Ege Göker</t>
  </si>
  <si>
    <t>İrem Aldatmaz</t>
  </si>
  <si>
    <t>Eyüp Ölçenoğlu</t>
  </si>
  <si>
    <t>Sude Bakır</t>
  </si>
  <si>
    <t>Sude Tekik</t>
  </si>
  <si>
    <t>Emin Yavuz Topar</t>
  </si>
  <si>
    <t>Su Büyükkartal</t>
  </si>
  <si>
    <t>Saadet Sıla Kaya</t>
  </si>
  <si>
    <t>Murat Erdem Bayram</t>
  </si>
  <si>
    <t>Güleser Bayır</t>
  </si>
  <si>
    <t>Kübra Öztürk</t>
  </si>
  <si>
    <t>Rana Aysima Genç</t>
  </si>
  <si>
    <t>Pınar Güler</t>
  </si>
  <si>
    <t>Eda Aras</t>
  </si>
  <si>
    <t>Eren Uyar</t>
  </si>
  <si>
    <t>Dilek Yaluk</t>
  </si>
  <si>
    <t>Mehmet Can Kuzey</t>
  </si>
  <si>
    <t>Töre Hanım Sarıdağ</t>
  </si>
  <si>
    <t>Seda Hatice Yapışık</t>
  </si>
  <si>
    <t>Melike Çiftçi</t>
  </si>
  <si>
    <t>Berna Sıla Öztürk</t>
  </si>
  <si>
    <t>Ahmet Hamdi Köksal</t>
  </si>
  <si>
    <t>Cahide Oral</t>
  </si>
  <si>
    <t>Sudenaz Gülhan</t>
  </si>
  <si>
    <t>Pembe Nur Karakelle</t>
  </si>
  <si>
    <t>Mekselina Kaya</t>
  </si>
  <si>
    <t>Semanur Karaduman</t>
  </si>
  <si>
    <t>Ayşe Uzundal</t>
  </si>
  <si>
    <t>Sudenaz Özbey</t>
  </si>
  <si>
    <t>Amine Nur Selvi</t>
  </si>
  <si>
    <t>Yusuf Can Keskinoğlu</t>
  </si>
  <si>
    <t>Berat Doğan</t>
  </si>
  <si>
    <t>Kübra Aygül</t>
  </si>
  <si>
    <t>Emir Örünç</t>
  </si>
  <si>
    <t>Kerem Fidan</t>
  </si>
  <si>
    <t>Ahmet Yeşilmen</t>
  </si>
  <si>
    <t>Gökçe Kutlu</t>
  </si>
  <si>
    <t>Beyza Alakara</t>
  </si>
  <si>
    <t>Güneş Dilara Işık</t>
  </si>
  <si>
    <t>Beyza Kul</t>
  </si>
  <si>
    <t>Burcu Kalkan</t>
  </si>
  <si>
    <t>Eminenur Akgün</t>
  </si>
  <si>
    <t>Ali Orhun Güven</t>
  </si>
  <si>
    <t>İlknur Demir</t>
  </si>
  <si>
    <t>Ali Kemal Kumbasar</t>
  </si>
  <si>
    <t>İrem Korkmaz</t>
  </si>
  <si>
    <t>Zekiye Özsoy</t>
  </si>
  <si>
    <t>Mehtap Şahin</t>
  </si>
  <si>
    <t>Duygu Arslan</t>
  </si>
  <si>
    <t>Goncagül Tosun</t>
  </si>
  <si>
    <t>Yağmur Çetinkaya</t>
  </si>
  <si>
    <t>Hande Özcan</t>
  </si>
  <si>
    <t>Dilara Buse Çalaş</t>
  </si>
  <si>
    <t>Sümeyye Ünal</t>
  </si>
  <si>
    <t>Songül Dağlar</t>
  </si>
  <si>
    <t>Şevval Sağır</t>
  </si>
  <si>
    <t>Çınar Duran</t>
  </si>
  <si>
    <t>İlhan Eray Kasap</t>
  </si>
  <si>
    <t>Furkan Emir Uyanık</t>
  </si>
  <si>
    <t>Yağmur Eceoğlu</t>
  </si>
  <si>
    <t>Burcu Biltekin</t>
  </si>
  <si>
    <t>Bender Kesici</t>
  </si>
  <si>
    <t>Öznur Uzun</t>
  </si>
  <si>
    <t>Emine Keser</t>
  </si>
  <si>
    <t>Asude Turgut</t>
  </si>
  <si>
    <t>Mustafa Şahin</t>
  </si>
  <si>
    <t>Elif Nur Demircioglu</t>
  </si>
  <si>
    <t>Ekin Alan</t>
  </si>
  <si>
    <t>Emine Erva Köseler</t>
  </si>
  <si>
    <t>Semanur Hacıköylü</t>
  </si>
  <si>
    <t>Sıla Akar</t>
  </si>
  <si>
    <t>Tuana Çark</t>
  </si>
  <si>
    <t>Şevval Mertoğlu</t>
  </si>
  <si>
    <t>Miray Koç</t>
  </si>
  <si>
    <t>Zerda Çakar</t>
  </si>
  <si>
    <t>Arda Ortak</t>
  </si>
  <si>
    <t>Muhammed Eray Aysabar</t>
  </si>
  <si>
    <t>Gülçin Çalışkan</t>
  </si>
  <si>
    <t>Ayşenur Ürgün</t>
  </si>
  <si>
    <t>Ayşenur Çeker</t>
  </si>
  <si>
    <t>Canan Doğruyol</t>
  </si>
  <si>
    <t>Mustafa Efe Özdemir</t>
  </si>
  <si>
    <t>Bahadır Kuloğlu</t>
  </si>
  <si>
    <t>Berfin Mengütay</t>
  </si>
  <si>
    <t>Cemre Kartal</t>
  </si>
  <si>
    <t>Sıla Yılmaz</t>
  </si>
  <si>
    <t>Fatma Büşra Ayvacıoğlu</t>
  </si>
  <si>
    <t>Şevval Şentürk</t>
  </si>
  <si>
    <t>Beyza Doğan</t>
  </si>
  <si>
    <t>Ece Toprak</t>
  </si>
  <si>
    <t>Hilmi Eser</t>
  </si>
  <si>
    <t>Dilan Karahan</t>
  </si>
  <si>
    <t>Esra Aruser</t>
  </si>
  <si>
    <t>Necati Karadeniz</t>
  </si>
  <si>
    <t>Sıla Nur Açıkgöz</t>
  </si>
  <si>
    <t>Ceren Erbağ</t>
  </si>
  <si>
    <t>Esra Candan</t>
  </si>
  <si>
    <t>Dilaşah Göknar</t>
  </si>
  <si>
    <t>Gülderen Doğan</t>
  </si>
  <si>
    <t>Sedef Mumlu</t>
  </si>
  <si>
    <t>Edanur Duru</t>
  </si>
  <si>
    <t>Serhat Kumruoğlu</t>
  </si>
  <si>
    <t>Ayşegül Ciğerci</t>
  </si>
  <si>
    <t>Arda Akdoğan</t>
  </si>
  <si>
    <t>Çilem Demirkan</t>
  </si>
  <si>
    <t>Zeynep Çevik</t>
  </si>
  <si>
    <t>İsmihan İrem Alagöz</t>
  </si>
  <si>
    <t>Ali Arda Polat</t>
  </si>
  <si>
    <t>Fatma Çinal</t>
  </si>
  <si>
    <t>Kübra Şaffak</t>
  </si>
  <si>
    <t>Gülşah Aybar</t>
  </si>
  <si>
    <t>Hüseyin Yalnız</t>
  </si>
  <si>
    <t>Rojda Kına</t>
  </si>
  <si>
    <t>Duruşah Kuru</t>
  </si>
  <si>
    <t>Neslihan Şerbetçioğlu</t>
  </si>
  <si>
    <t>Fatma Demirkan</t>
  </si>
  <si>
    <t>Merve Eroğlu</t>
  </si>
  <si>
    <t>Elif Berrin Bekiş</t>
  </si>
  <si>
    <t>Kamile Nehir Erkan</t>
  </si>
  <si>
    <t>Irmak Çakmar</t>
  </si>
  <si>
    <t>Özlem Ay</t>
  </si>
  <si>
    <t>Abdulsamet Kart</t>
  </si>
  <si>
    <t>Ümmügülsüm Akhan</t>
  </si>
  <si>
    <t>Fatma Susuz</t>
  </si>
  <si>
    <t>Leyla Yıldız Çınar</t>
  </si>
  <si>
    <t>Neslihan Tatbak</t>
  </si>
  <si>
    <t>Esmanur Ötgün</t>
  </si>
  <si>
    <t>Yağmur Yılmaz</t>
  </si>
  <si>
    <t>Erva Nur Öztürk</t>
  </si>
  <si>
    <t>İlayda Gedik</t>
  </si>
  <si>
    <t>Pelin Özdemir</t>
  </si>
  <si>
    <t>Yaren Yağmur Özbudak</t>
  </si>
  <si>
    <t>Sude Naz Karahalı</t>
  </si>
  <si>
    <t>Yunus Emree Gökçen</t>
  </si>
  <si>
    <t>Seyit Kurt</t>
  </si>
  <si>
    <t>Duman Melike Nuray</t>
  </si>
  <si>
    <t>Işılay Tuğlu</t>
  </si>
  <si>
    <t>Mert Verit</t>
  </si>
  <si>
    <t>Ecem Nur Şimşek</t>
  </si>
  <si>
    <t>Sudenaz Maşa</t>
  </si>
  <si>
    <t>Rumeysanur Fındık</t>
  </si>
  <si>
    <t>Seda Adalan</t>
  </si>
  <si>
    <t>Havin Akdeniz</t>
  </si>
  <si>
    <t>Melike Fırat</t>
  </si>
  <si>
    <t>Şevval Dinçer</t>
  </si>
  <si>
    <t>Emine Nur Çınar</t>
  </si>
  <si>
    <t>Gamze Sağlam</t>
  </si>
  <si>
    <t>Merve Sadıç</t>
  </si>
  <si>
    <t>Merve Tekin</t>
  </si>
  <si>
    <t>Keziban Cemre Köroglu</t>
  </si>
  <si>
    <t>Selınay Bodur</t>
  </si>
  <si>
    <t>Nacı Surmelı</t>
  </si>
  <si>
    <t>Gülsüm Karaaslan</t>
  </si>
  <si>
    <t>Ayşe Nur Zengin</t>
  </si>
  <si>
    <t>Cem Eren Kaygusuz</t>
  </si>
  <si>
    <t>Hasan Can Arslan</t>
  </si>
  <si>
    <t>Melike Ayıkgöz</t>
  </si>
  <si>
    <t>Bersu Yıldız</t>
  </si>
  <si>
    <t>Gamze Kara</t>
  </si>
  <si>
    <t>Yaşar Hazel Süren</t>
  </si>
  <si>
    <t>Ecemnur Sütçi</t>
  </si>
  <si>
    <t>Aleyna Samancı</t>
  </si>
  <si>
    <t>Hilal Demir</t>
  </si>
  <si>
    <t>Elif Su Kurt</t>
  </si>
  <si>
    <t>Eda Nur Cella</t>
  </si>
  <si>
    <t>Serkan Tunçel</t>
  </si>
  <si>
    <t>Ceren Polat</t>
  </si>
  <si>
    <t>Sultan Özçelik</t>
  </si>
  <si>
    <t>Nazar Demir</t>
  </si>
  <si>
    <t>Gülşah Karabulut</t>
  </si>
  <si>
    <t>Zülfiyenur Saatçioğlu</t>
  </si>
  <si>
    <t>Efe Emirhan Karahan</t>
  </si>
  <si>
    <t>Eylül Acıdemir</t>
  </si>
  <si>
    <t>Esma Nur Yılmazkurt</t>
  </si>
  <si>
    <t>Hatice Yalçın</t>
  </si>
  <si>
    <t>Rüya Çelik</t>
  </si>
  <si>
    <t>Nilay Selin Menekşe</t>
  </si>
  <si>
    <t>Tuana Kılıç</t>
  </si>
  <si>
    <t>Tuğba Yeğen</t>
  </si>
  <si>
    <t>Esra Demirel</t>
  </si>
  <si>
    <t>Şilan Taşdemir</t>
  </si>
  <si>
    <t>Sude Nur Tokdemir</t>
  </si>
  <si>
    <t>Fatma Gül Balcı</t>
  </si>
  <si>
    <t>Nazire Yağan</t>
  </si>
  <si>
    <t>Eda Çiftçi</t>
  </si>
  <si>
    <t>Mehmet Eken</t>
  </si>
  <si>
    <t>Ulaş Ünaldı</t>
  </si>
  <si>
    <t>İsmail Yazıcı</t>
  </si>
  <si>
    <t>Esra Fazla</t>
  </si>
  <si>
    <t>Buse Şeremet</t>
  </si>
  <si>
    <t>Selda Aktas</t>
  </si>
  <si>
    <t>Zeynep Nur Gündüz</t>
  </si>
  <si>
    <t>Ahmet Kürşat Keskin</t>
  </si>
  <si>
    <t>Gamze Doğan Işıtan</t>
  </si>
  <si>
    <t>Nazlıcan Budak</t>
  </si>
  <si>
    <t>İbrahim Ethem Urfanlı</t>
  </si>
  <si>
    <t>Hakan Polat</t>
  </si>
  <si>
    <t>Zeynep Eminoğlu</t>
  </si>
  <si>
    <t>Ömer Faruk Eker</t>
  </si>
  <si>
    <t>İrem Erçin</t>
  </si>
  <si>
    <t>Gülbahar Duran</t>
  </si>
  <si>
    <t>Leyla Bayrak</t>
  </si>
  <si>
    <t>Hatice Nur Çolak</t>
  </si>
  <si>
    <t>Efe Yağız Ceviz</t>
  </si>
  <si>
    <t>Semanur Çelik</t>
  </si>
  <si>
    <t>Esmanur Deniz</t>
  </si>
  <si>
    <t>Velican Gümüş</t>
  </si>
  <si>
    <t>Melike Yalçın</t>
  </si>
  <si>
    <t>Rozerin Akman</t>
  </si>
  <si>
    <t>Nisa Sıla Dağdeviren</t>
  </si>
  <si>
    <t>Sevde Karmil</t>
  </si>
  <si>
    <t>Nehir Erkan</t>
  </si>
  <si>
    <t>Sevgi Yılmaz</t>
  </si>
  <si>
    <t>Ahmet Açıkgöz</t>
  </si>
  <si>
    <t>Rüzgar Taylan</t>
  </si>
  <si>
    <t>Esmanur Aykut</t>
  </si>
  <si>
    <t>Mehmet Emin Yıldız</t>
  </si>
  <si>
    <t>Ecrin Menekşe Deniz</t>
  </si>
  <si>
    <t>Halil Atunkara</t>
  </si>
  <si>
    <t>Fatih Yumuşak</t>
  </si>
  <si>
    <t>Betül Güner</t>
  </si>
  <si>
    <t>Zeynep Cankar</t>
  </si>
  <si>
    <t>Şevval Feray Subaşı</t>
  </si>
  <si>
    <t>Emre Kebeli</t>
  </si>
  <si>
    <t>Yasemin Çelebi</t>
  </si>
  <si>
    <t>Sudegül Çingiş</t>
  </si>
  <si>
    <t>Fatma Nur İpek</t>
  </si>
  <si>
    <t>Ayşe Nur Canikli</t>
  </si>
  <si>
    <t>Beyzanur Şirin</t>
  </si>
  <si>
    <t>Ceylan Arslantaş</t>
  </si>
  <si>
    <t>Aleyna Zehra Acar</t>
  </si>
  <si>
    <t>Arifegül Aylanç</t>
  </si>
  <si>
    <t>Esra Bakar</t>
  </si>
  <si>
    <t>Nisa Nur Karabulut</t>
  </si>
  <si>
    <t>Fatima Elif Orhan</t>
  </si>
  <si>
    <t>Yağmur Sude Yüksel</t>
  </si>
  <si>
    <t>Elif Fikirlibaş</t>
  </si>
  <si>
    <t>Nazar Aktaş</t>
  </si>
  <si>
    <t>Muhammed Can</t>
  </si>
  <si>
    <t>Elanur Işık Kaya</t>
  </si>
  <si>
    <t>Sevinç Arı</t>
  </si>
  <si>
    <t>Sıla Ulaş</t>
  </si>
  <si>
    <t>Zeynep Şimdi</t>
  </si>
  <si>
    <t>Murathan Yılmaz</t>
  </si>
  <si>
    <t>Selim Arslan</t>
  </si>
  <si>
    <t>Buse Nur Işık</t>
  </si>
  <si>
    <t>Elif Ölmez</t>
  </si>
  <si>
    <t>Sude Kırkıl</t>
  </si>
  <si>
    <t>Mısra Fırındüzü</t>
  </si>
  <si>
    <t>Funda Göktürk</t>
  </si>
  <si>
    <t>Eyyüp Kılıç</t>
  </si>
  <si>
    <t>Zeynep Dik</t>
  </si>
  <si>
    <t>Dilara Çiçek Karaburun</t>
  </si>
  <si>
    <t>Damla Dağlı</t>
  </si>
  <si>
    <t>Yağmur Sümer</t>
  </si>
  <si>
    <t>Yasemin Kurak</t>
  </si>
  <si>
    <t>Sudenaz Akyüz</t>
  </si>
  <si>
    <t>Sudenur Kol</t>
  </si>
  <si>
    <t>Ceydanur Demir</t>
  </si>
  <si>
    <t>Seval Eylül Polat</t>
  </si>
  <si>
    <t>Nazlıcan Yaman</t>
  </si>
  <si>
    <t>Beyza Ulusoy</t>
  </si>
  <si>
    <t>Naz Elmas Demir</t>
  </si>
  <si>
    <t>Berk Osman Leblebici</t>
  </si>
  <si>
    <t>İrem Özkul</t>
  </si>
  <si>
    <t>Zeynep Kurt</t>
  </si>
  <si>
    <t>Kübra Kılıç</t>
  </si>
  <si>
    <t>Miray Gümüştaş</t>
  </si>
  <si>
    <t>İbrahim Halil Çokdoğan</t>
  </si>
  <si>
    <t>Berfin Balkan</t>
  </si>
  <si>
    <t>Fatma Demir</t>
  </si>
  <si>
    <t>Edanur İlci</t>
  </si>
  <si>
    <t>Kevser Su Yel</t>
  </si>
  <si>
    <t>Feyza Nur Altunbey</t>
  </si>
  <si>
    <t>Şevval Ürselendi</t>
  </si>
  <si>
    <t>Ali Rıza Yıldız</t>
  </si>
  <si>
    <t>Rahime Sıcakyüz</t>
  </si>
  <si>
    <t>Ömür Soydan</t>
  </si>
  <si>
    <t>Sevgi Yakut</t>
  </si>
  <si>
    <t>Havva Çelik</t>
  </si>
  <si>
    <t>Ayda Enveroğlu</t>
  </si>
  <si>
    <t>Beyzanur Durmuş</t>
  </si>
  <si>
    <t>Fatma Gül Baro</t>
  </si>
  <si>
    <t>Şadiye Ok</t>
  </si>
  <si>
    <t>Melek Hamide Sağlam</t>
  </si>
  <si>
    <t>Başak Kalaycı</t>
  </si>
  <si>
    <t>Ayşenur Şahinkurt</t>
  </si>
  <si>
    <t>Nisa Nur İsaoğlu</t>
  </si>
  <si>
    <t>Derin Aydın</t>
  </si>
  <si>
    <t>Büşra Elif Çınar</t>
  </si>
  <si>
    <t>Mustafa Kerem Gülseven</t>
  </si>
  <si>
    <t>Gökhan Gök</t>
  </si>
  <si>
    <t>Beyzanur aksoy</t>
  </si>
  <si>
    <t>Serhat Efe Aydın</t>
  </si>
  <si>
    <t>Belgin Teker</t>
  </si>
  <si>
    <t>Kerem Tan</t>
  </si>
  <si>
    <t>Safiye Dere</t>
  </si>
  <si>
    <t>Aleyna Tusem</t>
  </si>
  <si>
    <t>Dilek Aydoğan</t>
  </si>
  <si>
    <t>Baran Ateş</t>
  </si>
  <si>
    <t>Yarensu Bilge</t>
  </si>
  <si>
    <t>Berk Özdemir</t>
  </si>
  <si>
    <t>Sarenur Çolak</t>
  </si>
  <si>
    <t>Handan Ayar</t>
  </si>
  <si>
    <t>Sura Naz Hayta</t>
  </si>
  <si>
    <t>Buket Çiçek</t>
  </si>
  <si>
    <t>Yusufcan Sakarya</t>
  </si>
  <si>
    <t>Can Erdem Efil</t>
  </si>
  <si>
    <t>Şirvan Akar</t>
  </si>
  <si>
    <t>Rukiye Taşan</t>
  </si>
  <si>
    <t>Melek Akdemir</t>
  </si>
  <si>
    <t>Nisa Nur Aslan</t>
  </si>
  <si>
    <t>Kübra Türköz</t>
  </si>
  <si>
    <t>Ceren Yüksel</t>
  </si>
  <si>
    <t>Şerife Yasemin Alabaş</t>
  </si>
  <si>
    <t>Türkan Şevval Selim</t>
  </si>
  <si>
    <t>Sevda Çınar</t>
  </si>
  <si>
    <t>Zeynep Şagban</t>
  </si>
  <si>
    <t>Beytullah Bulut</t>
  </si>
  <si>
    <t>Büşra Pakır</t>
  </si>
  <si>
    <t>Esin Uzuntaş</t>
  </si>
  <si>
    <t>Yasemin Kılıç</t>
  </si>
  <si>
    <t>Yağmur Gündoğdu</t>
  </si>
  <si>
    <t>Sevgi Eldek</t>
  </si>
  <si>
    <t>Yılmaz Taş</t>
  </si>
  <si>
    <t>Nazar Toprak</t>
  </si>
  <si>
    <t>Gülizar Özkan</t>
  </si>
  <si>
    <t>Cansu Yücel</t>
  </si>
  <si>
    <t>Ümmü Gülsüm Bavuk</t>
  </si>
  <si>
    <t>Fatmanur Tuğ</t>
  </si>
  <si>
    <t>Rabia Aras</t>
  </si>
  <si>
    <t>Dicle Rojin Gökdemir</t>
  </si>
  <si>
    <t>Yusuf Aktaş</t>
  </si>
  <si>
    <t>Musab Özdemir</t>
  </si>
  <si>
    <t>Esmaül Hüsna Ayaz</t>
  </si>
  <si>
    <t>Berivan Didin</t>
  </si>
  <si>
    <t>Berfin Tanışman</t>
  </si>
  <si>
    <t>Gülşade Tuğçe Yelekçi</t>
  </si>
  <si>
    <t>Kadir İshakoğlu</t>
  </si>
  <si>
    <t>Melike Güler Aslan</t>
  </si>
  <si>
    <t>Busenaz Karabulut</t>
  </si>
  <si>
    <t>Irmak Doğan</t>
  </si>
  <si>
    <t>Meliha Pekkoç</t>
  </si>
  <si>
    <t>Esmanur Şara Kantarcı</t>
  </si>
  <si>
    <t>Esra Bal</t>
  </si>
  <si>
    <t>Alinda İkra Dönmez</t>
  </si>
  <si>
    <t>Burcu Zaroğlu</t>
  </si>
  <si>
    <t>Sedanur Aydoğdu</t>
  </si>
  <si>
    <t>Sena Avcil</t>
  </si>
  <si>
    <t>Zekiye Yaman</t>
  </si>
  <si>
    <t>Yağmur Gültekin</t>
  </si>
  <si>
    <t>Miyase Çetinkaya</t>
  </si>
  <si>
    <t>Rana Özen</t>
  </si>
  <si>
    <t>Bahar Berfin Türk</t>
  </si>
  <si>
    <t>Derya Tekin</t>
  </si>
  <si>
    <t>Sema Nur Kaymak</t>
  </si>
  <si>
    <t>Yağmur  Dalkılıç</t>
  </si>
  <si>
    <t>Arda Cem Bayraktar</t>
  </si>
  <si>
    <t>Sudenaz Coşkun</t>
  </si>
  <si>
    <t>Eren Aykol</t>
  </si>
  <si>
    <t>Elif Yılmaz</t>
  </si>
  <si>
    <t>Feyza Erdoğan</t>
  </si>
  <si>
    <t>Azra Firdevs Yılmaz</t>
  </si>
  <si>
    <t>Beyza Üçpınar</t>
  </si>
  <si>
    <t>Rüya Cabbaroğlu</t>
  </si>
  <si>
    <t>Kardelen Aslan</t>
  </si>
  <si>
    <t>Furkan Enes Kaya</t>
  </si>
  <si>
    <t>Muammer Karan</t>
  </si>
  <si>
    <t>Sümeyye Nebahat Şahin</t>
  </si>
  <si>
    <t>Melisa İrem Canbolat</t>
  </si>
  <si>
    <t>Rabia Aykanat</t>
  </si>
  <si>
    <t>Yonca Eşiyok</t>
  </si>
  <si>
    <t>Ali Deveci</t>
  </si>
  <si>
    <t>Eda Ölmez</t>
  </si>
  <si>
    <t>Hakan Furkan Alkan</t>
  </si>
  <si>
    <t>Sudenas Karadaş</t>
  </si>
  <si>
    <t>Medine Akbulut</t>
  </si>
  <si>
    <t>Eymen Solak</t>
  </si>
  <si>
    <t>Elif Armut</t>
  </si>
  <si>
    <t>Döndü Erdoğmuş</t>
  </si>
  <si>
    <t>Şahan Bayraktaroğlu</t>
  </si>
  <si>
    <t>Feriha Aysu Avcı</t>
  </si>
  <si>
    <t>Evin Dari</t>
  </si>
  <si>
    <t>Mehmet Emin Efiloğlu</t>
  </si>
  <si>
    <t>Muhammet Çağrı Karakoç</t>
  </si>
  <si>
    <t>Nehir Özdemir</t>
  </si>
  <si>
    <t>Mervenur Aslaner</t>
  </si>
  <si>
    <t>Zeynep Aktaş</t>
  </si>
  <si>
    <t>Kader Dağ</t>
  </si>
  <si>
    <t>Behlül Yayanlar</t>
  </si>
  <si>
    <t>İsmail Sefer</t>
  </si>
  <si>
    <t>Vildan Yöntem</t>
  </si>
  <si>
    <t>Nuray Onkur</t>
  </si>
  <si>
    <t>Fatma Mercan</t>
  </si>
  <si>
    <t>Şevval Nur Taşğın</t>
  </si>
  <si>
    <t>Egemen Kolcu</t>
  </si>
  <si>
    <t>Sibel Ruken Tekin</t>
  </si>
  <si>
    <t>Mehmet Enes Kösem</t>
  </si>
  <si>
    <t>Banu Gül Birlik</t>
  </si>
  <si>
    <t>Sibel Kendir</t>
  </si>
  <si>
    <t>Zümra Arslan</t>
  </si>
  <si>
    <t>Serap Nebioğlu</t>
  </si>
  <si>
    <t>Zülal Güçlüer</t>
  </si>
  <si>
    <t>Ramazan Bora Yılmaz</t>
  </si>
  <si>
    <t>İlayda Yağmur Süzer</t>
  </si>
  <si>
    <t>Sude Zeynep Bulut</t>
  </si>
  <si>
    <t>Esma Topalak</t>
  </si>
  <si>
    <t>Nisanur Kızılboğa</t>
  </si>
  <si>
    <t>Tuana Gültekin</t>
  </si>
  <si>
    <t>Gülbahar Öncül</t>
  </si>
  <si>
    <t>İrem Çekmiş</t>
  </si>
  <si>
    <t>Hicret Çekim</t>
  </si>
  <si>
    <t>Fatma Nur Akdağ</t>
  </si>
  <si>
    <t>Şevval Bozkurt</t>
  </si>
  <si>
    <t>Duru Aksu</t>
  </si>
  <si>
    <t>Beyna Şamlı</t>
  </si>
  <si>
    <t>Handan Mümine Filiz</t>
  </si>
  <si>
    <t>Zehra Gül Özer</t>
  </si>
  <si>
    <t>İsa Özkul</t>
  </si>
  <si>
    <t>Şeyma Kutlay</t>
  </si>
  <si>
    <t>Zerin Demirkaya</t>
  </si>
  <si>
    <t>Sena Koç</t>
  </si>
  <si>
    <t>Nurdeniz Ülgün</t>
  </si>
  <si>
    <t>Sıla Gedik</t>
  </si>
  <si>
    <t>İsa Köse</t>
  </si>
  <si>
    <t>Zehra Tatlıdede</t>
  </si>
  <si>
    <t>Kevser Tosun</t>
  </si>
  <si>
    <t>Rümeysa Nur Çengel</t>
  </si>
  <si>
    <t>Sueda Alagöz</t>
  </si>
  <si>
    <t>Zeynep Beyza Taşkaya</t>
  </si>
  <si>
    <t>Melike Erden</t>
  </si>
  <si>
    <t>Zeynep Erva Varlı</t>
  </si>
  <si>
    <t>Zeynep Gül Kıvanç</t>
  </si>
  <si>
    <t>Ayşe Kübra Kaplan</t>
  </si>
  <si>
    <t>Zeynep Yıldırım</t>
  </si>
  <si>
    <t>Elif Bensu Kurt</t>
  </si>
  <si>
    <t>Ömer Faruk Keskinkılıç</t>
  </si>
  <si>
    <t>Hazal Nazlıcan Baytok</t>
  </si>
  <si>
    <t>Yağmur Arslan</t>
  </si>
  <si>
    <t>Süreyya Kaya</t>
  </si>
  <si>
    <t>Elif Kural</t>
  </si>
  <si>
    <t>Yaren Çisil Ercan</t>
  </si>
  <si>
    <t>Evren Sözer</t>
  </si>
  <si>
    <t>Duygu Üstün</t>
  </si>
  <si>
    <t>Nisa Nur Acer</t>
  </si>
  <si>
    <t>Cemile Kanat</t>
  </si>
  <si>
    <t>Hüseyin Serhat Eken</t>
  </si>
  <si>
    <t>Gizem Güler</t>
  </si>
  <si>
    <t>İrem Gökçe</t>
  </si>
  <si>
    <t>Ebru Büyüktöke</t>
  </si>
  <si>
    <t>Aslıhan Güçlü</t>
  </si>
  <si>
    <t>Sena Nur Bingöl</t>
  </si>
  <si>
    <t>Eylem İşik</t>
  </si>
  <si>
    <t>Abdulsamet Kendisever</t>
  </si>
  <si>
    <t>Sinan Varol</t>
  </si>
  <si>
    <t>Ali Riza Yazğan</t>
  </si>
  <si>
    <t>Helin Büşra Toptaş</t>
  </si>
  <si>
    <t>Buse Ceylan</t>
  </si>
  <si>
    <t>Hüsne Zehra Yıldırım</t>
  </si>
  <si>
    <t>Elif Naz Gedik</t>
  </si>
  <si>
    <t>Ebrar Saral</t>
  </si>
  <si>
    <t>Sevdenur Güldalı</t>
  </si>
  <si>
    <t>Cemre Naz Yaman</t>
  </si>
  <si>
    <t>Göktuğ Merger</t>
  </si>
  <si>
    <t>Dilan Öter</t>
  </si>
  <si>
    <t>Elanur Çay</t>
  </si>
  <si>
    <t>İpek Akalan</t>
  </si>
  <si>
    <t>Aylin Yıldız</t>
  </si>
  <si>
    <t>Ayşegül İnal</t>
  </si>
  <si>
    <t>Bayram Ceran</t>
  </si>
  <si>
    <t>Elif Naz Aksu</t>
  </si>
  <si>
    <t>Toprak Polat</t>
  </si>
  <si>
    <t>Songül Benzer</t>
  </si>
  <si>
    <t>Özlem Sarıkaya</t>
  </si>
  <si>
    <t>Nesibe Sümeyye Eyüboğlu</t>
  </si>
  <si>
    <t>Hümeyra Merğenci</t>
  </si>
  <si>
    <t>Selinay Duru</t>
  </si>
  <si>
    <t>Bedir Özhan</t>
  </si>
  <si>
    <t>Ayşe Melek Tahtalı</t>
  </si>
  <si>
    <t>Damla Çalışkan</t>
  </si>
  <si>
    <t>Miray Özkan</t>
  </si>
  <si>
    <t>Aylin Ağaoğlu</t>
  </si>
  <si>
    <t>İrem Sultan Sekmen</t>
  </si>
  <si>
    <t>Zehra Taşer</t>
  </si>
  <si>
    <t>Kardelen Tımarlı</t>
  </si>
  <si>
    <t>Betül Adar</t>
  </si>
  <si>
    <t>Şeyma Nur Karaman</t>
  </si>
  <si>
    <t>Sıla Güngör</t>
  </si>
  <si>
    <t>Tuğçe Batırgül</t>
  </si>
  <si>
    <t>Aysel Özakman</t>
  </si>
  <si>
    <t>Can Koyuncu</t>
  </si>
  <si>
    <t>Naz Canbaz</t>
  </si>
  <si>
    <t>Aybala Tuğçe Özgen</t>
  </si>
  <si>
    <t>Melek Yaralı</t>
  </si>
  <si>
    <t>Azra İnci Eker</t>
  </si>
  <si>
    <t>Zeynep Kula</t>
  </si>
  <si>
    <t>Gülcan Abay</t>
  </si>
  <si>
    <t>Merve Nur Şengül</t>
  </si>
  <si>
    <t>Meriç Taşarsu</t>
  </si>
  <si>
    <t>Meltem Alarçin</t>
  </si>
  <si>
    <t>Mustafa İsmail Akşahin</t>
  </si>
  <si>
    <t>Hilal Gök</t>
  </si>
  <si>
    <t>Burak Yaykaşlı</t>
  </si>
  <si>
    <t>Emine Züleyha Deveci</t>
  </si>
  <si>
    <t>İlayda Samancı</t>
  </si>
  <si>
    <t>Mehtap Ergüven</t>
  </si>
  <si>
    <t>Ayfer Ongun</t>
  </si>
  <si>
    <t>Zeynep Ergül</t>
  </si>
  <si>
    <t>Emine Çakır</t>
  </si>
  <si>
    <t>Muhammed Tarık Baykara</t>
  </si>
  <si>
    <t>Cavit Can Aslan</t>
  </si>
  <si>
    <t>Nurselin Şener</t>
  </si>
  <si>
    <t>Zeynep Rana Akarsu</t>
  </si>
  <si>
    <t>Sakine Elgaç</t>
  </si>
  <si>
    <t>Hatice Uysal</t>
  </si>
  <si>
    <t>Saime Nur Karaburçak</t>
  </si>
  <si>
    <t>Melisa Bırakmaz</t>
  </si>
  <si>
    <t>Melek Akçay</t>
  </si>
  <si>
    <t>Muzaffer Yiğit Karakaya</t>
  </si>
  <si>
    <t>Ece Naz Kaya</t>
  </si>
  <si>
    <t>Damla Sağlam</t>
  </si>
  <si>
    <t>Muhammet Emin Biçer</t>
  </si>
  <si>
    <t>Ebrar Karakoca</t>
  </si>
  <si>
    <t>Amine Tokmak</t>
  </si>
  <si>
    <t>Necip Akbulut</t>
  </si>
  <si>
    <t>Muhammet Semih Kaplan</t>
  </si>
  <si>
    <t>Vildan Budak</t>
  </si>
  <si>
    <t>Rabia Hilal Anlamış</t>
  </si>
  <si>
    <t>Aleyna Tümer</t>
  </si>
  <si>
    <t>Kemal Ata Sarıca</t>
  </si>
  <si>
    <t>Nezif Öğe</t>
  </si>
  <si>
    <t>Yağmur Özmen</t>
  </si>
  <si>
    <t>Ebru Yüksel</t>
  </si>
  <si>
    <t>Gamze Adgu</t>
  </si>
  <si>
    <t>Aysu Samancı</t>
  </si>
  <si>
    <t>Barış Palantöken</t>
  </si>
  <si>
    <t>Şahin Efe Akkuş</t>
  </si>
  <si>
    <t>Yaren Selcuk</t>
  </si>
  <si>
    <t>Miyese İnce</t>
  </si>
  <si>
    <t>Revşan Aşır</t>
  </si>
  <si>
    <t>Sude Nur Mutlu</t>
  </si>
  <si>
    <t>Zeynep Olgar İnce</t>
  </si>
  <si>
    <t>Nisanur Yörük</t>
  </si>
  <si>
    <t>Sümeyye Bölük</t>
  </si>
  <si>
    <t>Ece Durmaz</t>
  </si>
  <si>
    <t>Elif Nur Turan</t>
  </si>
  <si>
    <t>Çisem Gülveren</t>
  </si>
  <si>
    <t>Melke Nur Kırımlı</t>
  </si>
  <si>
    <t>Gözde Hanım Yağlar</t>
  </si>
  <si>
    <t>Sude Naz Özgül</t>
  </si>
  <si>
    <t>Yaren Altan</t>
  </si>
  <si>
    <t>Hüseyin Kerem Kaya</t>
  </si>
  <si>
    <t>Ayşe İngeç</t>
  </si>
  <si>
    <t>İL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</si>
</sst>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1"/>
      <name val="Aptos Narrow"/>
      <family val="2"/>
      <charset val="16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family val="2"/>
      <charset val="162"/>
      <scheme val="minor"/>
    </font>
    <font>
      <sz val="10"/>
      <color theme="1"/>
      <name val="Aptos Narrow"/>
      <family val="2"/>
      <charset val="16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b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9.9978637043366805E-2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1" fillId="0" borderId="0"/>
    <xf numFmtId="9" fontId="5" fillId="0" borderId="0" applyFont="0" applyFill="0" applyBorder="0" applyAlignment="0" applyProtection="0"/>
    <xf numFmtId="0" fontId="1" fillId="0" borderId="0"/>
  </cellStyleXfs>
  <cellXfs count="78">
    <xf numFmtId="0" fontId="0" fillId="0" borderId="0" xfId="0"/>
    <xf numFmtId="0" fontId="2" fillId="0" borderId="1" xfId="1" applyFont="1" applyBorder="1" applyAlignment="1">
      <alignment horizontal="center"/>
    </xf>
    <xf numFmtId="1" fontId="3" fillId="0" borderId="2" xfId="1" applyNumberFormat="1" applyFont="1" applyBorder="1" applyAlignment="1">
      <alignment horizontal="center"/>
    </xf>
    <xf numFmtId="0" fontId="4" fillId="0" borderId="0" xfId="1" applyFont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 applyAlignment="1">
      <alignment horizontal="center"/>
    </xf>
    <xf numFmtId="0" fontId="2" fillId="0" borderId="0" xfId="1" applyFont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2" xfId="1" applyFont="1" applyBorder="1"/>
    <xf numFmtId="0" fontId="4" fillId="0" borderId="13" xfId="1" applyFont="1" applyBorder="1" applyAlignment="1">
      <alignment horizontal="center"/>
    </xf>
    <xf numFmtId="0" fontId="4" fillId="0" borderId="2" xfId="1" applyFont="1" applyBorder="1" applyAlignment="1">
      <alignment horizontal="center"/>
    </xf>
    <xf numFmtId="164" fontId="2" fillId="0" borderId="0" xfId="2" applyNumberFormat="1" applyFont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2" applyNumberFormat="1" applyFont="1" applyAlignment="1">
      <alignment horizontal="center" vertical="center"/>
    </xf>
    <xf numFmtId="1" fontId="6" fillId="0" borderId="0" xfId="2" applyNumberFormat="1" applyFont="1" applyAlignment="1">
      <alignment horizontal="center" vertical="center"/>
    </xf>
    <xf numFmtId="0" fontId="6" fillId="0" borderId="0" xfId="2" applyNumberFormat="1" applyFont="1" applyAlignment="1">
      <alignment horizontal="center" vertical="center"/>
    </xf>
    <xf numFmtId="0" fontId="0" fillId="2" borderId="0" xfId="0" applyFill="1"/>
    <xf numFmtId="0" fontId="7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64" fontId="7" fillId="3" borderId="0" xfId="2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" fontId="7" fillId="4" borderId="0" xfId="0" applyNumberFormat="1" applyFont="1" applyFill="1" applyAlignment="1">
      <alignment horizontal="center" vertical="center"/>
    </xf>
    <xf numFmtId="164" fontId="7" fillId="4" borderId="0" xfId="2" applyNumberFormat="1" applyFont="1" applyFill="1" applyAlignment="1">
      <alignment horizontal="center" vertical="center"/>
    </xf>
    <xf numFmtId="1" fontId="7" fillId="2" borderId="0" xfId="0" applyNumberFormat="1" applyFont="1" applyFill="1" applyAlignment="1">
      <alignment horizontal="center" vertical="center"/>
    </xf>
    <xf numFmtId="164" fontId="7" fillId="2" borderId="0" xfId="2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" fontId="7" fillId="5" borderId="0" xfId="0" applyNumberFormat="1" applyFont="1" applyFill="1" applyAlignment="1">
      <alignment horizontal="center" vertical="center"/>
    </xf>
    <xf numFmtId="164" fontId="7" fillId="5" borderId="0" xfId="2" applyNumberFormat="1" applyFont="1" applyFill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0" fontId="7" fillId="6" borderId="0" xfId="0" applyFont="1" applyFill="1" applyAlignment="1">
      <alignment horizontal="center"/>
    </xf>
    <xf numFmtId="14" fontId="7" fillId="6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0" fontId="0" fillId="7" borderId="0" xfId="0" applyFill="1"/>
    <xf numFmtId="0" fontId="7" fillId="11" borderId="14" xfId="0" applyFont="1" applyFill="1" applyBorder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1" fontId="7" fillId="11" borderId="0" xfId="0" applyNumberFormat="1" applyFont="1" applyFill="1" applyAlignment="1">
      <alignment horizontal="center" vertical="center"/>
    </xf>
    <xf numFmtId="164" fontId="7" fillId="11" borderId="0" xfId="2" applyNumberFormat="1" applyFont="1" applyFill="1" applyAlignment="1">
      <alignment horizontal="center" vertical="center"/>
    </xf>
    <xf numFmtId="0" fontId="7" fillId="12" borderId="4" xfId="0" applyFont="1" applyFill="1" applyBorder="1" applyAlignment="1">
      <alignment horizontal="center" vertical="center" wrapText="1"/>
    </xf>
    <xf numFmtId="0" fontId="7" fillId="12" borderId="6" xfId="0" applyFont="1" applyFill="1" applyBorder="1" applyAlignment="1">
      <alignment horizontal="center" vertical="center" wrapText="1"/>
    </xf>
    <xf numFmtId="0" fontId="7" fillId="12" borderId="15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4" fontId="10" fillId="0" borderId="4" xfId="2" applyNumberFormat="1" applyFont="1" applyBorder="1" applyAlignment="1">
      <alignment horizontal="center" vertical="center"/>
    </xf>
    <xf numFmtId="0" fontId="10" fillId="0" borderId="4" xfId="2" applyNumberFormat="1" applyFont="1" applyBorder="1" applyAlignment="1">
      <alignment horizontal="center" vertical="center"/>
    </xf>
    <xf numFmtId="164" fontId="9" fillId="0" borderId="4" xfId="0" applyNumberFormat="1" applyFont="1" applyBorder="1" applyAlignment="1">
      <alignment horizontal="center" vertical="center"/>
    </xf>
    <xf numFmtId="164" fontId="0" fillId="0" borderId="4" xfId="2" applyNumberFormat="1" applyFont="1" applyBorder="1" applyAlignment="1">
      <alignment horizontal="center" vertical="center"/>
    </xf>
    <xf numFmtId="0" fontId="6" fillId="13" borderId="4" xfId="0" applyFont="1" applyFill="1" applyBorder="1" applyAlignment="1">
      <alignment horizontal="center" vertical="center"/>
    </xf>
    <xf numFmtId="0" fontId="0" fillId="0" borderId="6" xfId="0" applyBorder="1"/>
    <xf numFmtId="0" fontId="0" fillId="0" borderId="4" xfId="0" applyBorder="1"/>
    <xf numFmtId="0" fontId="7" fillId="14" borderId="0" xfId="0" applyFont="1" applyFill="1" applyAlignment="1">
      <alignment horizontal="left" vertical="top"/>
    </xf>
    <xf numFmtId="14" fontId="7" fillId="14" borderId="0" xfId="0" applyNumberFormat="1" applyFont="1" applyFill="1" applyAlignment="1">
      <alignment horizontal="left" vertical="top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14" fontId="0" fillId="0" borderId="0" xfId="0" applyNumberFormat="1" applyAlignment="1">
      <alignment horizontal="left" vertical="top"/>
    </xf>
    <xf numFmtId="0" fontId="7" fillId="14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4">
    <cellStyle name="Normal" xfId="0" builtinId="0"/>
    <cellStyle name="Normal 2" xfId="1" xr:uid="{48090371-70BA-4BD2-9027-4B61F8B5FADE}"/>
    <cellStyle name="Normal 3 2" xfId="3" xr:uid="{0162FBE5-A051-40C3-99D0-8EFA904FC41D}"/>
    <cellStyle name="Percent" xfId="2" builtinId="5"/>
  </cellStyles>
  <dxfs count="8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 tint="0.79998168889431442"/>
          <bgColor theme="3" tint="9.9978637043366805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Narrow"/>
        <family val="2"/>
        <charset val="16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BFEF26-1598-4011-876B-7845B88E817F}" name="Table13" displayName="Table13" ref="A3:AS213" totalsRowShown="0" headerRowDxfId="84" dataDxfId="83" dataCellStyle="Percent">
  <tableColumns count="45">
    <tableColumn id="1" xr3:uid="{CB679BE0-4BAC-4518-A0E1-3354BC26D0C8}" name="Masraf Kodu" dataDxfId="82"/>
    <tableColumn id="2" xr3:uid="{1809D70D-2E5C-49AF-9A50-6B3FC3ABD831}" name="Yeni Masraf Kodu" dataDxfId="81"/>
    <tableColumn id="3" xr3:uid="{708FA4C8-4DC8-4C3F-96F8-C22DC5452B7F}" name="Mağaza" dataDxfId="80"/>
    <tableColumn id="4" xr3:uid="{E6964D69-FE07-4198-A666-DEC0AF66247C}" name="BM" dataDxfId="79"/>
    <tableColumn id="5" xr3:uid="{48ED677B-6A17-4A33-9601-F7E2B5975A16}" name="PM" dataDxfId="78"/>
    <tableColumn id="6" xr3:uid="{EC93868B-579C-4A29-81E1-9FDDDE01CDEC}" name="HRBP" dataDxfId="77"/>
    <tableColumn id="45" xr3:uid="{D3B5A77B-C248-49A8-8D62-13B2C83022E7}" name="Önceki Dönem HRBP" dataDxfId="76"/>
    <tableColumn id="7" xr3:uid="{B1E71552-BEC9-42E2-A798-B0E27ABA6875}" name="Segment" dataDxfId="75"/>
    <tableColumn id="8" xr3:uid="{0881353A-E186-474B-9D59-D7D55D3BDC94}" name="İl" dataDxfId="74"/>
    <tableColumn id="39" xr3:uid="{F93E486D-64F4-4D1F-B12D-342564184998}" name="Gönüllü Çıkış Sayısı" dataDxfId="73"/>
    <tableColumn id="40" xr3:uid="{F84C19F3-1843-44C7-894F-EBE73BAC71FA}" name="Ortalama Çalışan Sayısı" dataDxfId="72"/>
    <tableColumn id="41" xr3:uid="{166A5E66-B470-4B8C-8204-255809253243}" name="Gönüllü TO 2026 (%)" dataDxfId="71" dataCellStyle="Percent"/>
    <tableColumn id="33" xr3:uid="{3F5378B3-01E5-408C-AF3B-533BFF85AC5A}" name="Gönüllü Çıkış Sayısı5" dataDxfId="70"/>
    <tableColumn id="34" xr3:uid="{2232863D-27DD-4B51-83E3-47FA24454D98}" name="Ortalama Çalışan Sayısı6" dataDxfId="69"/>
    <tableColumn id="35" xr3:uid="{30BBDC47-FB9B-4DD7-A7D6-94429B8CDFD5}" name="Gönüllü TO 2026 (%)7" dataDxfId="68" dataCellStyle="Percent"/>
    <tableColumn id="27" xr3:uid="{473DCC15-8B8A-4CE2-8174-E10D79707745}" name="Gönüllü Çıkış Sayısı4" dataDxfId="67"/>
    <tableColumn id="28" xr3:uid="{FA0C7F1B-18C0-467D-A12C-AE8E25EE73CE}" name="Ortalama Çalışan Sayısı5" dataDxfId="66"/>
    <tableColumn id="29" xr3:uid="{9EA83323-891C-49F5-B136-BD637BB87AB7}" name="Gönüllü TO 2026 (%)6" dataDxfId="65" dataCellStyle="Percent"/>
    <tableColumn id="19" xr3:uid="{7D602EDF-EB2A-4C80-A56E-C4DCB551EB1D}" name="Gönüllü Çıkış Sayısı3" dataDxfId="64"/>
    <tableColumn id="20" xr3:uid="{EAF86567-4AF8-4630-B242-4DB3B4ACBDDE}" name="Ortalama Çalışan Sayısı4" dataDxfId="63"/>
    <tableColumn id="22" xr3:uid="{35BE34F0-4D72-45C2-9247-2255873E9E95}" name="Gönüllü TO 2026 (%)5" dataDxfId="62"/>
    <tableColumn id="11" xr3:uid="{1EEED428-D3CA-4581-BA50-3C7B3784053C}" name="Gönüllü Çıkış Sayısı2" dataDxfId="61"/>
    <tableColumn id="14" xr3:uid="{3F6291B4-DCA4-4D55-96D9-DB9C6B0D12DE}" name="Ortalama Çalışan Sayısı3" dataDxfId="60"/>
    <tableColumn id="15" xr3:uid="{7CB12EB4-2BBE-4AA2-8135-B7F147B1697C}" name="Gönüllü TO Nisan (%)" dataDxfId="59" dataCellStyle="Percent"/>
    <tableColumn id="12" xr3:uid="{501BD21B-7553-4EB4-8DF4-CAAC4DCF2142}" name="Gönüllü Çıkış Sayısı " dataDxfId="58" dataCellStyle="Percent"/>
    <tableColumn id="10" xr3:uid="{614035C0-D5D2-476D-9560-6DC6608FE041}" name="Ortalama Çalışan Sayısı " dataDxfId="57" dataCellStyle="Percent"/>
    <tableColumn id="9" xr3:uid="{23B84BDC-DEA1-4C3E-B2AE-8AF12338DCFE}" name="Gönüllü TO 2026 (%) " dataDxfId="56" dataCellStyle="Percent"/>
    <tableColumn id="42" xr3:uid="{2A34A052-C722-42AE-BC08-FBA371CD69DB}" name="Gönüllü Çıkış Sayısı6" dataDxfId="55" dataCellStyle="Percent"/>
    <tableColumn id="43" xr3:uid="{940AD8B8-EADA-4879-9D0E-1F61350D6444}" name="Ortalama Çalışan Sayısı7" dataDxfId="54" dataCellStyle="Percent"/>
    <tableColumn id="44" xr3:uid="{57B2DFDA-30E5-4CCC-85B0-97E74E08BDD9}" name="Gönüllü TO 2026 (%)8" dataDxfId="53" dataCellStyle="Percent">
      <calculatedColumnFormula>Table13[[#This Row],[Gönüllü Çıkış Sayısı]]/Table13[[#This Row],[Ortalama Çalışan Sayısı]]</calculatedColumnFormula>
    </tableColumn>
    <tableColumn id="36" xr3:uid="{C878622F-541D-4F4E-8C1C-AFD44FF868EA}" name="Gönüllü Çıkıs Sayısı" dataDxfId="52" dataCellStyle="Percent"/>
    <tableColumn id="37" xr3:uid="{E64A38F6-B23E-48F8-BEA7-5CDD71AAF9AD}" name="Ortalama Çalısan Sayısı" dataDxfId="51" dataCellStyle="Percent"/>
    <tableColumn id="38" xr3:uid="{8574C3F7-F7DF-49CA-9CC6-BDEB6EE115FC}" name="Gönüllü TO 2025 (%)" dataDxfId="50" dataCellStyle="Percent"/>
    <tableColumn id="30" xr3:uid="{451EF7E5-6CD6-4B63-9A33-F2BDFA0BD0EE}" name="Gönüllü Çıkıs Sayısı4" dataDxfId="49" dataCellStyle="Percent"/>
    <tableColumn id="31" xr3:uid="{C9D83FFA-0293-4249-A610-36BAA07052A2}" name="Ortalama Çalısan Sayısı5" dataDxfId="48" dataCellStyle="Percent"/>
    <tableColumn id="32" xr3:uid="{E66E0C8C-DA85-46EA-AC2B-B217AE01BFA8}" name="Gönüllü TO 2025 (%)6" dataDxfId="47" dataCellStyle="Percent"/>
    <tableColumn id="23" xr3:uid="{8A8D6BDC-C4E1-44EC-A4E0-06B62F7FC9D1}" name="Gönüllü Çıkıs Sayısı3" dataDxfId="46" dataCellStyle="Percent"/>
    <tableColumn id="25" xr3:uid="{9B624F7E-2519-47BB-9817-A529B5AF0FC0}" name="Ortalama Çalısan Sayısı4" dataDxfId="45" dataCellStyle="Percent"/>
    <tableColumn id="26" xr3:uid="{CA96A4C9-8A31-4E52-85E3-25ED313D598D}" name="Gönüllü TO 2025 (%)5" dataDxfId="44" dataCellStyle="Percent"/>
    <tableColumn id="17" xr3:uid="{91855373-7ED4-4AB0-8023-BAF60CE03889}" name="Gönüllü Çıkıs Sayısı2" dataDxfId="43" dataCellStyle="Percent"/>
    <tableColumn id="16" xr3:uid="{FEF7100D-AA7A-42D7-8994-1DDD5CC5A916}" name="Ortalama Çalısan Sayısı3" dataDxfId="42" dataCellStyle="Percent"/>
    <tableColumn id="13" xr3:uid="{A05AEAA7-77F6-4E96-969A-5BB2C093747C}" name="Gönüllü TO 2025 (%)4" dataDxfId="41" dataCellStyle="Percent"/>
    <tableColumn id="21" xr3:uid="{3CBD141D-F5F4-4506-91F3-1844369D3C3A}" name="Gönüllü Çıkıs Sayısı 2025 YTD" dataDxfId="40" dataCellStyle="Percent"/>
    <tableColumn id="24" xr3:uid="{9527AEB5-8EBE-4A68-8BC7-CD815203B169}" name="Ortalama Çalısan Sayısı " dataDxfId="39" dataCellStyle="Percent"/>
    <tableColumn id="18" xr3:uid="{77CE40B4-30D3-476A-BF86-3415260F29C6}" name="Gönüllü TO 2025 YTD (%)  " dataDxfId="38" dataCellStyle="Percent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367398-796C-4E7F-AB1B-24F96E503B86}" name="Table4" displayName="Table4" ref="A3:AH207" totalsRowShown="0" headerRowDxfId="37" dataDxfId="35" headerRowBorderDxfId="36" tableBorderDxfId="34" dataCellStyle="Percent">
  <tableColumns count="34">
    <tableColumn id="1" xr3:uid="{922B142D-68F4-468F-B4BF-4D2E2EA79848}" name="Masraf Kodu" dataDxfId="33"/>
    <tableColumn id="2" xr3:uid="{96FEE747-B8E4-468B-9F36-D31EA0BA5080}" name="Yeni Masraf Kodu" dataDxfId="32"/>
    <tableColumn id="3" xr3:uid="{2C7A96C2-72A0-415C-A272-80E902CF3F09}" name="Mağaza Adı" dataDxfId="31"/>
    <tableColumn id="4" xr3:uid="{7F1F3B60-866F-4052-A3D7-3876FC45D0EB}" name="BM" dataDxfId="30"/>
    <tableColumn id="5" xr3:uid="{DEF648E6-7FE8-4DBE-A300-1D7E93F3BD0C}" name="PM" dataDxfId="29"/>
    <tableColumn id="6" xr3:uid="{B3AFE7E8-6868-4196-B951-55584E65395D}" name="HRBP" dataDxfId="28"/>
    <tableColumn id="7" xr3:uid="{620D0718-B8A9-406B-A3B7-54B2792DD1C1}" name="Segment" dataDxfId="27"/>
    <tableColumn id="8" xr3:uid="{DBD6CFEC-28EF-42CA-81E3-3BB68FD28CE3}" name="İl" dataDxfId="26"/>
    <tableColumn id="9" xr3:uid="{B2D721D4-A496-4C1B-BE47-88925DE06912}" name="Nisan Dönem Başı Çalışan Sayısı" dataDxfId="25"/>
    <tableColumn id="10" xr3:uid="{51C685C7-E1DF-4B85-BCE7-A506EDEBC19F}" name="İşe Giren Sayısı" dataDxfId="24"/>
    <tableColumn id="11" xr3:uid="{B09BCA90-411A-4F0F-A3E0-5306D745A895}" name="İşten Ayrılan Sayısı" dataDxfId="23"/>
    <tableColumn id="12" xr3:uid="{71EE0A28-80C4-4ABA-BE60-73A558E3CBDC}" name="Gönüllü Çıkış Sayısı" dataDxfId="22"/>
    <tableColumn id="13" xr3:uid="{44B234F9-6602-4308-A1EB-78429679E97B}" name="Gönülsüz Çıkış Sayısı" dataDxfId="21"/>
    <tableColumn id="14" xr3:uid="{4EA6A6C9-EAA7-417B-80E0-23E58B54B7A1}" name="Zorunlu Çıkış Sayısı" dataDxfId="20"/>
    <tableColumn id="15" xr3:uid="{AD4638E5-F2BB-463C-9AEF-41248D6AF0BF}" name="Nisan Dönem Sonu Çalışan Sayısı" dataDxfId="19"/>
    <tableColumn id="16" xr3:uid="{7CC1DF96-A898-4834-953C-956DEF1DE003}" name="Nisan Ortalama Çalışan Sayısı" dataDxfId="18"/>
    <tableColumn id="17" xr3:uid="{5DFCFE3B-9108-4A40-A34C-E952A6FD73A6}" name="Tüm Turnover" dataDxfId="17"/>
    <tableColumn id="18" xr3:uid="{AC1EC094-C409-47B8-BEC8-6BA9F18CE4C4}" name="Gönüllü Turnover" dataDxfId="16" dataCellStyle="Percent"/>
    <tableColumn id="19" xr3:uid="{2CA2D908-01E7-4FF4-B38A-30B8A64FC6AF}" name="Gönülsüz Turnover" dataDxfId="15" dataCellStyle="Percent"/>
    <tableColumn id="20" xr3:uid="{863D1678-8999-4CB4-BCE3-BE3273CC3AC5}" name="Zorunlu Turnover" dataDxfId="14" dataCellStyle="Percent"/>
    <tableColumn id="21" xr3:uid="{1199065D-1A00-4F2B-A1B6-AE96C0EF0D76}" name="Mağaza Müdürü Gönüllü Çıkış Sayısı" dataDxfId="13" dataCellStyle="Percent"/>
    <tableColumn id="22" xr3:uid="{A753422D-F3CC-4515-AA04-7A4483AEEEAA}" name="Mağaza Müdürü Gönüllü Turnover" dataDxfId="12" dataCellStyle="Percent"/>
    <tableColumn id="23" xr3:uid="{7225C91D-FE05-4E57-B879-CCAFBF74B1B0}" name="MMY Gönüllü Çıkış Sayısı" dataDxfId="11" dataCellStyle="Percent"/>
    <tableColumn id="24" xr3:uid="{34854C57-B40E-431F-9A2E-BBC4D28D81FB}" name="MMY Gönüllü Turnover" dataDxfId="10" dataCellStyle="Percent"/>
    <tableColumn id="25" xr3:uid="{769D6168-0474-49B7-8EC0-1BF08730BC1B}" name="VM Gönüllü Çıkış Sayısı" dataDxfId="9" dataCellStyle="Percent"/>
    <tableColumn id="26" xr3:uid="{A4B4FFD7-8B63-4B74-AF86-C2EC70B9530C}" name="VM Gönüllü Turnover" dataDxfId="8" dataCellStyle="Percent"/>
    <tableColumn id="29" xr3:uid="{DE6099A4-1B41-4961-8DDC-03A1FD3B5782}" name="Sorumlu Ekip Gönüllü Çıkış Sayısı" dataDxfId="7" dataCellStyle="Percent"/>
    <tableColumn id="30" xr3:uid="{4AC71D8B-6FA8-4137-89BE-DEE388CD8FEB}" name="Sorumlu Ekip Gönüllü Turnover" dataDxfId="6" dataCellStyle="Percent"/>
    <tableColumn id="31" xr3:uid="{C5CDFFCF-B38B-4DBC-B76F-BED542B07F42}" name="Satış Ekibi Gönüllü Çıkış Sayısı" dataDxfId="5" dataCellStyle="Percent"/>
    <tableColumn id="32" xr3:uid="{08449BA7-B9CA-40A2-ABD7-50C36112F3A3}" name="Satış Ekibi Gönüllü Turnover" dataDxfId="4" dataCellStyle="Percent"/>
    <tableColumn id="33" xr3:uid="{F13DE297-C9F3-4802-A608-F82B261C3799}" name="Tüm Turnover " dataDxfId="3"/>
    <tableColumn id="34" xr3:uid="{CC52A1DC-5F31-469C-97EB-4DAD6D9EF6E6}" name="Gönüllü Turnover    " dataDxfId="2" dataCellStyle="Percent"/>
    <tableColumn id="37" xr3:uid="{0D31C9A9-5C36-48E0-9AFF-4C1334F5D61D}" name="Tüm Turnover   " dataDxfId="1"/>
    <tableColumn id="38" xr3:uid="{FF26811E-0713-4478-AF60-B13469A79D41}" name="Gönüllü Turnover " dataDxfId="0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34C00-8E6F-48B2-96E6-34023243DD15}">
  <dimension ref="A1:K212"/>
  <sheetViews>
    <sheetView workbookViewId="0">
      <selection activeCell="J1" sqref="J1:J1048576"/>
    </sheetView>
  </sheetViews>
  <sheetFormatPr defaultRowHeight="14.5" x14ac:dyDescent="0.35"/>
  <cols>
    <col min="1" max="1" width="9.6328125" bestFit="1" customWidth="1"/>
    <col min="2" max="2" width="12" bestFit="1" customWidth="1"/>
    <col min="3" max="3" width="27.26953125" bestFit="1" customWidth="1"/>
    <col min="4" max="4" width="7.08984375" bestFit="1" customWidth="1"/>
    <col min="5" max="5" width="19.08984375" bestFit="1" customWidth="1"/>
    <col min="6" max="6" width="19.36328125" style="6" bestFit="1" customWidth="1"/>
    <col min="7" max="7" width="13.7265625" style="6" customWidth="1"/>
    <col min="8" max="8" width="14" style="6" bestFit="1" customWidth="1"/>
    <col min="10" max="10" width="9.81640625" bestFit="1" customWidth="1"/>
    <col min="11" max="11" width="12.08984375" customWidth="1"/>
  </cols>
  <sheetData>
    <row r="1" spans="1:11" ht="1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1" t="s">
        <v>0</v>
      </c>
      <c r="K1" s="1" t="s">
        <v>1</v>
      </c>
    </row>
    <row r="2" spans="1:11" x14ac:dyDescent="0.35">
      <c r="A2" s="4" t="s">
        <v>8</v>
      </c>
      <c r="B2" s="5" t="s">
        <v>8</v>
      </c>
      <c r="C2" s="5" t="s">
        <v>9</v>
      </c>
      <c r="D2" s="6">
        <v>2026</v>
      </c>
      <c r="E2" s="6">
        <v>5</v>
      </c>
      <c r="F2" s="6">
        <v>35</v>
      </c>
      <c r="G2" s="6">
        <v>41</v>
      </c>
      <c r="H2" s="6">
        <v>1</v>
      </c>
      <c r="I2" s="18"/>
      <c r="J2" s="9" t="s">
        <v>10</v>
      </c>
      <c r="K2" s="8" t="s">
        <v>10</v>
      </c>
    </row>
    <row r="3" spans="1:11" x14ac:dyDescent="0.35">
      <c r="A3" s="4" t="s">
        <v>11</v>
      </c>
      <c r="B3" s="5" t="s">
        <v>11</v>
      </c>
      <c r="C3" s="5" t="s">
        <v>435</v>
      </c>
      <c r="D3" s="6">
        <v>2026</v>
      </c>
      <c r="E3" s="6">
        <v>5</v>
      </c>
      <c r="F3" s="6">
        <v>28</v>
      </c>
      <c r="G3" s="6">
        <v>26</v>
      </c>
      <c r="H3" s="6">
        <v>4</v>
      </c>
      <c r="I3" s="3"/>
      <c r="J3" s="4" t="s">
        <v>8</v>
      </c>
      <c r="K3" s="5" t="s">
        <v>8</v>
      </c>
    </row>
    <row r="4" spans="1:11" x14ac:dyDescent="0.35">
      <c r="A4" s="4" t="s">
        <v>12</v>
      </c>
      <c r="B4" s="5" t="s">
        <v>12</v>
      </c>
      <c r="C4" s="5" t="s">
        <v>436</v>
      </c>
      <c r="D4" s="6">
        <v>2026</v>
      </c>
      <c r="E4" s="6">
        <v>5</v>
      </c>
      <c r="F4" s="6">
        <v>20</v>
      </c>
      <c r="G4" s="6">
        <v>18</v>
      </c>
      <c r="H4" s="6">
        <v>3</v>
      </c>
      <c r="I4" s="7"/>
      <c r="J4" s="4" t="s">
        <v>11</v>
      </c>
      <c r="K4" s="5" t="s">
        <v>11</v>
      </c>
    </row>
    <row r="5" spans="1:11" x14ac:dyDescent="0.35">
      <c r="A5" s="4" t="s">
        <v>13</v>
      </c>
      <c r="B5" s="5" t="s">
        <v>13</v>
      </c>
      <c r="C5" s="5" t="s">
        <v>437</v>
      </c>
      <c r="D5" s="6">
        <v>2026</v>
      </c>
      <c r="E5" s="6">
        <v>5</v>
      </c>
      <c r="F5" s="6">
        <v>27</v>
      </c>
      <c r="G5" s="6">
        <v>27</v>
      </c>
      <c r="H5" s="6">
        <v>2</v>
      </c>
      <c r="I5" s="7"/>
      <c r="J5" s="4" t="s">
        <v>12</v>
      </c>
      <c r="K5" s="5" t="s">
        <v>12</v>
      </c>
    </row>
    <row r="6" spans="1:11" x14ac:dyDescent="0.35">
      <c r="A6" s="4" t="s">
        <v>14</v>
      </c>
      <c r="B6" s="5" t="s">
        <v>14</v>
      </c>
      <c r="C6" s="5" t="s">
        <v>15</v>
      </c>
      <c r="D6" s="6">
        <v>2026</v>
      </c>
      <c r="E6" s="6">
        <v>5</v>
      </c>
      <c r="F6" s="6">
        <v>10</v>
      </c>
      <c r="G6" s="6">
        <v>9</v>
      </c>
      <c r="H6" s="6">
        <v>2</v>
      </c>
      <c r="I6" s="3"/>
      <c r="J6" s="4" t="s">
        <v>13</v>
      </c>
      <c r="K6" s="5" t="s">
        <v>13</v>
      </c>
    </row>
    <row r="7" spans="1:11" x14ac:dyDescent="0.35">
      <c r="A7" s="4" t="s">
        <v>16</v>
      </c>
      <c r="B7" s="5" t="s">
        <v>16</v>
      </c>
      <c r="C7" s="5" t="s">
        <v>438</v>
      </c>
      <c r="D7" s="6">
        <v>2026</v>
      </c>
      <c r="E7" s="6">
        <v>5</v>
      </c>
      <c r="F7" s="6">
        <v>29</v>
      </c>
      <c r="G7" s="6">
        <v>31</v>
      </c>
      <c r="H7" s="6">
        <v>3</v>
      </c>
      <c r="I7" s="3"/>
      <c r="J7" s="4" t="s">
        <v>14</v>
      </c>
      <c r="K7" s="5" t="s">
        <v>14</v>
      </c>
    </row>
    <row r="8" spans="1:11" x14ac:dyDescent="0.35">
      <c r="A8" s="4" t="s">
        <v>17</v>
      </c>
      <c r="B8" s="5" t="s">
        <v>17</v>
      </c>
      <c r="C8" s="5" t="s">
        <v>439</v>
      </c>
      <c r="D8" s="6">
        <v>2026</v>
      </c>
      <c r="E8" s="6">
        <v>5</v>
      </c>
      <c r="F8" s="6">
        <v>23</v>
      </c>
      <c r="G8" s="6">
        <v>19</v>
      </c>
      <c r="H8" s="6">
        <v>5</v>
      </c>
      <c r="I8" s="3"/>
      <c r="J8" s="4" t="s">
        <v>16</v>
      </c>
      <c r="K8" s="5" t="s">
        <v>16</v>
      </c>
    </row>
    <row r="9" spans="1:11" x14ac:dyDescent="0.35">
      <c r="A9" s="4" t="s">
        <v>18</v>
      </c>
      <c r="B9" s="5" t="s">
        <v>18</v>
      </c>
      <c r="C9" s="5" t="s">
        <v>922</v>
      </c>
      <c r="D9" s="6">
        <v>2026</v>
      </c>
      <c r="E9" s="6">
        <v>5</v>
      </c>
      <c r="F9" s="6">
        <v>18</v>
      </c>
      <c r="G9" s="6">
        <v>18</v>
      </c>
      <c r="H9" s="6">
        <v>0</v>
      </c>
      <c r="I9" s="3"/>
      <c r="J9" s="4" t="s">
        <v>17</v>
      </c>
      <c r="K9" s="5" t="s">
        <v>17</v>
      </c>
    </row>
    <row r="10" spans="1:11" x14ac:dyDescent="0.35">
      <c r="A10" s="4" t="s">
        <v>19</v>
      </c>
      <c r="B10" s="5" t="s">
        <v>19</v>
      </c>
      <c r="C10" s="5" t="s">
        <v>441</v>
      </c>
      <c r="D10" s="6">
        <v>2026</v>
      </c>
      <c r="E10" s="6">
        <v>5</v>
      </c>
      <c r="F10" s="6">
        <v>18</v>
      </c>
      <c r="G10" s="6">
        <v>20</v>
      </c>
      <c r="H10" s="6">
        <v>1</v>
      </c>
      <c r="I10" s="3"/>
      <c r="J10" s="4" t="s">
        <v>18</v>
      </c>
      <c r="K10" s="5" t="s">
        <v>18</v>
      </c>
    </row>
    <row r="11" spans="1:11" x14ac:dyDescent="0.35">
      <c r="A11" s="4" t="s">
        <v>20</v>
      </c>
      <c r="B11" s="5" t="s">
        <v>20</v>
      </c>
      <c r="C11" s="5" t="s">
        <v>442</v>
      </c>
      <c r="D11" s="6">
        <v>2026</v>
      </c>
      <c r="E11" s="6">
        <v>5</v>
      </c>
      <c r="F11" s="6">
        <v>15</v>
      </c>
      <c r="G11" s="6">
        <v>15</v>
      </c>
      <c r="H11" s="6">
        <v>2</v>
      </c>
      <c r="I11" s="3"/>
      <c r="J11" s="4" t="s">
        <v>19</v>
      </c>
      <c r="K11" s="5" t="s">
        <v>19</v>
      </c>
    </row>
    <row r="12" spans="1:11" x14ac:dyDescent="0.35">
      <c r="A12" s="4" t="s">
        <v>21</v>
      </c>
      <c r="B12" s="5" t="s">
        <v>21</v>
      </c>
      <c r="C12" s="5" t="s">
        <v>22</v>
      </c>
      <c r="D12" s="6">
        <v>2026</v>
      </c>
      <c r="E12" s="6">
        <v>5</v>
      </c>
      <c r="F12" s="6">
        <v>15</v>
      </c>
      <c r="G12" s="6">
        <v>18</v>
      </c>
      <c r="H12" s="6">
        <v>2</v>
      </c>
      <c r="I12" s="3"/>
      <c r="J12" s="4" t="s">
        <v>20</v>
      </c>
      <c r="K12" s="5" t="s">
        <v>20</v>
      </c>
    </row>
    <row r="13" spans="1:11" x14ac:dyDescent="0.35">
      <c r="A13" s="4" t="s">
        <v>23</v>
      </c>
      <c r="B13" s="5" t="s">
        <v>23</v>
      </c>
      <c r="C13" s="5" t="s">
        <v>443</v>
      </c>
      <c r="D13" s="6">
        <v>2026</v>
      </c>
      <c r="E13" s="6">
        <v>5</v>
      </c>
      <c r="F13" s="6">
        <v>33</v>
      </c>
      <c r="G13" s="6">
        <v>32</v>
      </c>
      <c r="H13" s="6">
        <v>5</v>
      </c>
      <c r="I13" s="3"/>
      <c r="J13" s="4" t="s">
        <v>21</v>
      </c>
      <c r="K13" s="5" t="s">
        <v>21</v>
      </c>
    </row>
    <row r="14" spans="1:11" x14ac:dyDescent="0.35">
      <c r="A14" s="4" t="s">
        <v>24</v>
      </c>
      <c r="B14" s="5" t="s">
        <v>24</v>
      </c>
      <c r="C14" s="5" t="s">
        <v>25</v>
      </c>
      <c r="D14" s="6">
        <v>2026</v>
      </c>
      <c r="E14" s="6">
        <v>5</v>
      </c>
      <c r="F14" s="6">
        <v>9</v>
      </c>
      <c r="G14" s="6">
        <v>10</v>
      </c>
      <c r="H14" s="6">
        <v>0</v>
      </c>
      <c r="I14" s="3"/>
      <c r="J14" s="4" t="s">
        <v>23</v>
      </c>
      <c r="K14" s="5" t="s">
        <v>23</v>
      </c>
    </row>
    <row r="15" spans="1:11" x14ac:dyDescent="0.35">
      <c r="A15" s="4" t="s">
        <v>26</v>
      </c>
      <c r="B15" s="5" t="s">
        <v>26</v>
      </c>
      <c r="C15" s="5" t="s">
        <v>444</v>
      </c>
      <c r="D15" s="6">
        <v>2026</v>
      </c>
      <c r="E15" s="6">
        <v>5</v>
      </c>
      <c r="F15" s="6">
        <v>16</v>
      </c>
      <c r="G15" s="6">
        <v>16</v>
      </c>
      <c r="H15" s="6">
        <v>3</v>
      </c>
      <c r="I15" s="3"/>
      <c r="J15" s="4" t="s">
        <v>24</v>
      </c>
      <c r="K15" s="5" t="s">
        <v>24</v>
      </c>
    </row>
    <row r="16" spans="1:11" x14ac:dyDescent="0.35">
      <c r="A16" s="4" t="s">
        <v>27</v>
      </c>
      <c r="B16" s="5" t="s">
        <v>27</v>
      </c>
      <c r="C16" s="5" t="s">
        <v>445</v>
      </c>
      <c r="D16" s="6">
        <v>2026</v>
      </c>
      <c r="E16" s="6">
        <v>5</v>
      </c>
      <c r="F16" s="6">
        <v>13</v>
      </c>
      <c r="G16" s="6">
        <v>14</v>
      </c>
      <c r="H16" s="6">
        <v>2</v>
      </c>
      <c r="I16" s="3"/>
      <c r="J16" s="4" t="s">
        <v>26</v>
      </c>
      <c r="K16" s="5" t="s">
        <v>26</v>
      </c>
    </row>
    <row r="17" spans="1:11" x14ac:dyDescent="0.35">
      <c r="A17" s="4" t="s">
        <v>28</v>
      </c>
      <c r="B17" s="5" t="s">
        <v>28</v>
      </c>
      <c r="C17" s="5" t="s">
        <v>446</v>
      </c>
      <c r="D17" s="6">
        <v>2026</v>
      </c>
      <c r="E17" s="6">
        <v>5</v>
      </c>
      <c r="F17" s="6">
        <v>19</v>
      </c>
      <c r="G17" s="6">
        <v>18</v>
      </c>
      <c r="H17" s="6">
        <v>2</v>
      </c>
      <c r="I17" s="3"/>
      <c r="J17" s="4" t="s">
        <v>27</v>
      </c>
      <c r="K17" s="5" t="s">
        <v>27</v>
      </c>
    </row>
    <row r="18" spans="1:11" x14ac:dyDescent="0.35">
      <c r="A18" s="4" t="s">
        <v>29</v>
      </c>
      <c r="B18" s="5" t="s">
        <v>29</v>
      </c>
      <c r="C18" s="5" t="s">
        <v>447</v>
      </c>
      <c r="D18" s="6">
        <v>2026</v>
      </c>
      <c r="E18" s="6">
        <v>5</v>
      </c>
      <c r="F18" s="6" t="s">
        <v>599</v>
      </c>
      <c r="G18" s="6" t="s">
        <v>599</v>
      </c>
      <c r="H18" s="6" t="s">
        <v>599</v>
      </c>
      <c r="I18" s="3"/>
      <c r="J18" s="4" t="s">
        <v>28</v>
      </c>
      <c r="K18" s="5" t="s">
        <v>28</v>
      </c>
    </row>
    <row r="19" spans="1:11" x14ac:dyDescent="0.35">
      <c r="A19" s="4" t="s">
        <v>30</v>
      </c>
      <c r="B19" s="5" t="s">
        <v>30</v>
      </c>
      <c r="C19" s="5" t="s">
        <v>448</v>
      </c>
      <c r="D19" s="6">
        <v>2026</v>
      </c>
      <c r="E19" s="6">
        <v>5</v>
      </c>
      <c r="F19" s="6">
        <v>22</v>
      </c>
      <c r="G19" s="6">
        <v>22</v>
      </c>
      <c r="H19" s="6">
        <v>1</v>
      </c>
      <c r="I19" s="3"/>
      <c r="J19" s="4" t="s">
        <v>29</v>
      </c>
      <c r="K19" s="5" t="s">
        <v>29</v>
      </c>
    </row>
    <row r="20" spans="1:11" x14ac:dyDescent="0.35">
      <c r="A20" s="4" t="s">
        <v>31</v>
      </c>
      <c r="B20" s="5" t="s">
        <v>31</v>
      </c>
      <c r="C20" s="5" t="s">
        <v>449</v>
      </c>
      <c r="D20" s="6">
        <v>2026</v>
      </c>
      <c r="E20" s="6">
        <v>5</v>
      </c>
      <c r="F20" s="6">
        <v>14</v>
      </c>
      <c r="G20" s="6">
        <v>16</v>
      </c>
      <c r="H20" s="6">
        <v>1</v>
      </c>
      <c r="I20" s="3"/>
      <c r="J20" s="4" t="s">
        <v>30</v>
      </c>
      <c r="K20" s="5" t="s">
        <v>30</v>
      </c>
    </row>
    <row r="21" spans="1:11" x14ac:dyDescent="0.35">
      <c r="A21" s="4" t="s">
        <v>429</v>
      </c>
      <c r="B21" s="5" t="s">
        <v>429</v>
      </c>
      <c r="C21" s="5" t="s">
        <v>450</v>
      </c>
      <c r="D21" s="6">
        <v>2026</v>
      </c>
      <c r="E21" s="6">
        <v>5</v>
      </c>
      <c r="F21" s="6">
        <v>12</v>
      </c>
      <c r="G21" s="6">
        <v>13</v>
      </c>
      <c r="H21" s="6">
        <v>2</v>
      </c>
      <c r="I21" s="3"/>
      <c r="J21" s="4" t="s">
        <v>31</v>
      </c>
      <c r="K21" s="5" t="s">
        <v>31</v>
      </c>
    </row>
    <row r="22" spans="1:11" x14ac:dyDescent="0.35">
      <c r="A22" s="4" t="s">
        <v>32</v>
      </c>
      <c r="B22" s="5" t="s">
        <v>33</v>
      </c>
      <c r="C22" s="5" t="s">
        <v>451</v>
      </c>
      <c r="D22" s="6">
        <v>2026</v>
      </c>
      <c r="E22" s="6">
        <v>5</v>
      </c>
      <c r="F22" s="6">
        <v>17</v>
      </c>
      <c r="G22" s="6">
        <v>14</v>
      </c>
      <c r="H22" s="6">
        <v>3</v>
      </c>
      <c r="I22" s="3"/>
      <c r="J22" s="4" t="s">
        <v>32</v>
      </c>
      <c r="K22" s="5" t="s">
        <v>33</v>
      </c>
    </row>
    <row r="23" spans="1:11" x14ac:dyDescent="0.35">
      <c r="A23" s="4" t="s">
        <v>34</v>
      </c>
      <c r="B23" s="5" t="s">
        <v>34</v>
      </c>
      <c r="C23" s="5" t="s">
        <v>452</v>
      </c>
      <c r="D23" s="6">
        <v>2026</v>
      </c>
      <c r="E23" s="6">
        <v>5</v>
      </c>
      <c r="F23" s="6">
        <v>15</v>
      </c>
      <c r="G23" s="6">
        <v>17</v>
      </c>
      <c r="H23" s="6">
        <v>2</v>
      </c>
      <c r="I23" s="3"/>
      <c r="J23" s="4" t="s">
        <v>34</v>
      </c>
      <c r="K23" s="5" t="s">
        <v>34</v>
      </c>
    </row>
    <row r="24" spans="1:11" x14ac:dyDescent="0.35">
      <c r="A24" s="4" t="s">
        <v>35</v>
      </c>
      <c r="B24" s="5" t="s">
        <v>35</v>
      </c>
      <c r="C24" s="5" t="s">
        <v>453</v>
      </c>
      <c r="D24" s="6">
        <v>2026</v>
      </c>
      <c r="E24" s="6">
        <v>5</v>
      </c>
      <c r="F24" s="6">
        <v>16</v>
      </c>
      <c r="G24" s="6">
        <v>17</v>
      </c>
      <c r="H24" s="6">
        <v>0</v>
      </c>
      <c r="I24" s="3"/>
      <c r="J24" s="4" t="s">
        <v>35</v>
      </c>
      <c r="K24" s="5" t="s">
        <v>35</v>
      </c>
    </row>
    <row r="25" spans="1:11" x14ac:dyDescent="0.35">
      <c r="A25" s="4" t="s">
        <v>420</v>
      </c>
      <c r="B25" s="5" t="s">
        <v>420</v>
      </c>
      <c r="C25" s="5" t="s">
        <v>454</v>
      </c>
      <c r="D25" s="6">
        <v>2026</v>
      </c>
      <c r="E25" s="6">
        <v>5</v>
      </c>
      <c r="F25" s="6">
        <v>27</v>
      </c>
      <c r="G25" s="6">
        <v>28</v>
      </c>
      <c r="H25" s="6">
        <v>4</v>
      </c>
      <c r="I25" s="3"/>
      <c r="J25" s="4" t="s">
        <v>36</v>
      </c>
      <c r="K25" s="5" t="s">
        <v>36</v>
      </c>
    </row>
    <row r="26" spans="1:11" x14ac:dyDescent="0.35">
      <c r="A26" s="5" t="s">
        <v>417</v>
      </c>
      <c r="B26" s="5" t="s">
        <v>417</v>
      </c>
      <c r="C26" s="5" t="s">
        <v>418</v>
      </c>
      <c r="D26" s="6">
        <v>2026</v>
      </c>
      <c r="E26" s="6">
        <v>5</v>
      </c>
      <c r="F26" s="6">
        <v>16</v>
      </c>
      <c r="G26" s="6">
        <v>18</v>
      </c>
      <c r="H26" s="6">
        <v>0</v>
      </c>
      <c r="I26" s="3"/>
      <c r="J26" s="4" t="s">
        <v>37</v>
      </c>
      <c r="K26" s="5" t="s">
        <v>37</v>
      </c>
    </row>
    <row r="27" spans="1:11" x14ac:dyDescent="0.35">
      <c r="A27" s="4" t="s">
        <v>425</v>
      </c>
      <c r="B27" s="5" t="s">
        <v>425</v>
      </c>
      <c r="C27" s="5" t="s">
        <v>455</v>
      </c>
      <c r="D27" s="6">
        <v>2026</v>
      </c>
      <c r="E27" s="6">
        <v>5</v>
      </c>
      <c r="F27" s="6">
        <v>20</v>
      </c>
      <c r="G27" s="6">
        <v>19</v>
      </c>
      <c r="H27" s="6">
        <v>1</v>
      </c>
      <c r="I27" s="3"/>
      <c r="J27" s="5" t="s">
        <v>38</v>
      </c>
      <c r="K27" s="5" t="s">
        <v>38</v>
      </c>
    </row>
    <row r="28" spans="1:11" x14ac:dyDescent="0.35">
      <c r="A28" s="4" t="s">
        <v>36</v>
      </c>
      <c r="B28" s="5" t="s">
        <v>36</v>
      </c>
      <c r="C28" s="5" t="s">
        <v>456</v>
      </c>
      <c r="D28" s="6">
        <v>2026</v>
      </c>
      <c r="E28" s="6">
        <v>5</v>
      </c>
      <c r="F28" s="6">
        <v>16</v>
      </c>
      <c r="G28" s="6">
        <v>17</v>
      </c>
      <c r="H28" s="6">
        <v>1</v>
      </c>
      <c r="I28" s="3"/>
      <c r="J28" s="4" t="s">
        <v>39</v>
      </c>
      <c r="K28" s="5" t="s">
        <v>39</v>
      </c>
    </row>
    <row r="29" spans="1:11" x14ac:dyDescent="0.35">
      <c r="A29" s="4" t="s">
        <v>37</v>
      </c>
      <c r="B29" s="5" t="s">
        <v>37</v>
      </c>
      <c r="C29" s="5" t="s">
        <v>457</v>
      </c>
      <c r="D29" s="6">
        <v>2026</v>
      </c>
      <c r="E29" s="6">
        <v>5</v>
      </c>
      <c r="F29" s="6">
        <v>15</v>
      </c>
      <c r="G29" s="6">
        <v>14</v>
      </c>
      <c r="H29" s="6">
        <v>1</v>
      </c>
      <c r="I29" s="3"/>
      <c r="J29" s="4" t="s">
        <v>41</v>
      </c>
      <c r="K29" s="5" t="s">
        <v>41</v>
      </c>
    </row>
    <row r="30" spans="1:11" x14ac:dyDescent="0.35">
      <c r="A30" s="4" t="s">
        <v>39</v>
      </c>
      <c r="B30" s="5" t="s">
        <v>39</v>
      </c>
      <c r="C30" s="5" t="s">
        <v>40</v>
      </c>
      <c r="D30" s="6">
        <v>2026</v>
      </c>
      <c r="E30" s="6">
        <v>5</v>
      </c>
      <c r="F30" s="6">
        <v>23</v>
      </c>
      <c r="G30" s="6">
        <v>23</v>
      </c>
      <c r="H30" s="6">
        <v>1</v>
      </c>
      <c r="I30" s="3"/>
      <c r="J30" s="4" t="s">
        <v>42</v>
      </c>
      <c r="K30" s="5" t="s">
        <v>42</v>
      </c>
    </row>
    <row r="31" spans="1:11" x14ac:dyDescent="0.35">
      <c r="A31" s="4" t="s">
        <v>41</v>
      </c>
      <c r="B31" s="5" t="s">
        <v>41</v>
      </c>
      <c r="C31" s="5" t="s">
        <v>458</v>
      </c>
      <c r="D31" s="6">
        <v>2026</v>
      </c>
      <c r="E31" s="6">
        <v>5</v>
      </c>
      <c r="F31" s="6">
        <v>39</v>
      </c>
      <c r="G31" s="6">
        <v>41</v>
      </c>
      <c r="H31" s="6">
        <v>2</v>
      </c>
      <c r="I31" s="3"/>
      <c r="J31" s="4" t="s">
        <v>43</v>
      </c>
      <c r="K31" s="5" t="s">
        <v>44</v>
      </c>
    </row>
    <row r="32" spans="1:11" x14ac:dyDescent="0.35">
      <c r="A32" s="4" t="s">
        <v>42</v>
      </c>
      <c r="B32" s="5" t="s">
        <v>42</v>
      </c>
      <c r="C32" s="5" t="s">
        <v>459</v>
      </c>
      <c r="D32" s="6">
        <v>2026</v>
      </c>
      <c r="E32" s="6">
        <v>5</v>
      </c>
      <c r="F32" s="6">
        <v>43</v>
      </c>
      <c r="G32" s="6">
        <v>46</v>
      </c>
      <c r="H32" s="6">
        <v>4</v>
      </c>
      <c r="I32" s="3"/>
      <c r="J32" s="4" t="s">
        <v>45</v>
      </c>
      <c r="K32" s="5" t="s">
        <v>46</v>
      </c>
    </row>
    <row r="33" spans="1:11" x14ac:dyDescent="0.35">
      <c r="A33" s="4" t="s">
        <v>419</v>
      </c>
      <c r="B33" s="5" t="s">
        <v>419</v>
      </c>
      <c r="C33" s="5" t="s">
        <v>460</v>
      </c>
      <c r="D33" s="6">
        <v>2026</v>
      </c>
      <c r="E33" s="6">
        <v>5</v>
      </c>
      <c r="F33" s="6">
        <v>18</v>
      </c>
      <c r="G33" s="6">
        <v>16</v>
      </c>
      <c r="H33" s="6">
        <v>3</v>
      </c>
      <c r="I33" s="3"/>
      <c r="J33" s="4" t="s">
        <v>47</v>
      </c>
      <c r="K33" s="5" t="s">
        <v>48</v>
      </c>
    </row>
    <row r="34" spans="1:11" x14ac:dyDescent="0.35">
      <c r="A34" s="4" t="s">
        <v>426</v>
      </c>
      <c r="B34" s="5" t="s">
        <v>426</v>
      </c>
      <c r="C34" s="5" t="s">
        <v>461</v>
      </c>
      <c r="D34" s="6">
        <v>2026</v>
      </c>
      <c r="E34" s="6">
        <v>5</v>
      </c>
      <c r="F34" s="6">
        <v>20</v>
      </c>
      <c r="G34" s="6">
        <v>16</v>
      </c>
      <c r="H34" s="6">
        <v>4</v>
      </c>
      <c r="I34" s="3"/>
      <c r="J34" s="4" t="s">
        <v>49</v>
      </c>
      <c r="K34" s="5" t="s">
        <v>50</v>
      </c>
    </row>
    <row r="35" spans="1:11" x14ac:dyDescent="0.35">
      <c r="A35" s="4" t="s">
        <v>422</v>
      </c>
      <c r="B35" s="5" t="s">
        <v>422</v>
      </c>
      <c r="C35" s="5" t="s">
        <v>423</v>
      </c>
      <c r="D35" s="6">
        <v>2026</v>
      </c>
      <c r="E35" s="6">
        <v>5</v>
      </c>
      <c r="F35" s="6">
        <v>20</v>
      </c>
      <c r="G35" s="6">
        <v>19</v>
      </c>
      <c r="H35" s="6">
        <v>4</v>
      </c>
      <c r="I35" s="3"/>
      <c r="J35" s="4" t="s">
        <v>51</v>
      </c>
      <c r="K35" s="5" t="s">
        <v>52</v>
      </c>
    </row>
    <row r="36" spans="1:11" x14ac:dyDescent="0.35">
      <c r="A36" s="4" t="s">
        <v>421</v>
      </c>
      <c r="B36" s="5" t="s">
        <v>421</v>
      </c>
      <c r="C36" s="5" t="s">
        <v>462</v>
      </c>
      <c r="D36" s="6">
        <v>2026</v>
      </c>
      <c r="E36" s="6">
        <v>5</v>
      </c>
      <c r="F36" s="6">
        <v>19</v>
      </c>
      <c r="G36" s="6">
        <v>20</v>
      </c>
      <c r="H36" s="6">
        <v>0</v>
      </c>
      <c r="I36" s="3"/>
      <c r="J36" s="4" t="s">
        <v>53</v>
      </c>
      <c r="K36" s="5" t="s">
        <v>54</v>
      </c>
    </row>
    <row r="37" spans="1:11" x14ac:dyDescent="0.35">
      <c r="A37" s="4" t="s">
        <v>424</v>
      </c>
      <c r="B37" s="5" t="s">
        <v>424</v>
      </c>
      <c r="C37" s="5" t="s">
        <v>463</v>
      </c>
      <c r="D37" s="6">
        <v>2026</v>
      </c>
      <c r="E37" s="6">
        <v>5</v>
      </c>
      <c r="F37" s="6">
        <v>10</v>
      </c>
      <c r="G37" s="6">
        <v>9</v>
      </c>
      <c r="H37" s="6">
        <v>1</v>
      </c>
      <c r="I37" s="3"/>
      <c r="J37" s="4" t="s">
        <v>55</v>
      </c>
      <c r="K37" s="5" t="s">
        <v>56</v>
      </c>
    </row>
    <row r="38" spans="1:11" x14ac:dyDescent="0.35">
      <c r="A38" s="4" t="s">
        <v>430</v>
      </c>
      <c r="B38" s="5" t="s">
        <v>430</v>
      </c>
      <c r="C38" s="5" t="s">
        <v>464</v>
      </c>
      <c r="D38" s="6">
        <v>2026</v>
      </c>
      <c r="E38" s="6">
        <v>5</v>
      </c>
      <c r="F38" s="6">
        <v>16</v>
      </c>
      <c r="G38" s="6">
        <v>17</v>
      </c>
      <c r="H38" s="6">
        <v>2</v>
      </c>
      <c r="I38" s="3"/>
      <c r="J38" s="4" t="s">
        <v>58</v>
      </c>
      <c r="K38" s="5" t="s">
        <v>59</v>
      </c>
    </row>
    <row r="39" spans="1:11" x14ac:dyDescent="0.35">
      <c r="A39" s="4" t="s">
        <v>427</v>
      </c>
      <c r="B39" s="5" t="s">
        <v>427</v>
      </c>
      <c r="C39" s="5" t="s">
        <v>465</v>
      </c>
      <c r="D39" s="6">
        <v>2026</v>
      </c>
      <c r="E39" s="6">
        <v>5</v>
      </c>
      <c r="F39" s="6">
        <v>16</v>
      </c>
      <c r="G39" s="6">
        <v>17</v>
      </c>
      <c r="H39" s="6">
        <v>1</v>
      </c>
      <c r="I39" s="3"/>
      <c r="J39" s="4" t="s">
        <v>60</v>
      </c>
      <c r="K39" s="5" t="s">
        <v>61</v>
      </c>
    </row>
    <row r="40" spans="1:11" x14ac:dyDescent="0.35">
      <c r="A40" s="10" t="s">
        <v>428</v>
      </c>
      <c r="B40" s="5" t="s">
        <v>428</v>
      </c>
      <c r="C40" s="5" t="s">
        <v>466</v>
      </c>
      <c r="D40" s="6">
        <v>2026</v>
      </c>
      <c r="E40" s="6">
        <v>5</v>
      </c>
      <c r="F40" s="6">
        <v>14</v>
      </c>
      <c r="G40" s="6">
        <v>13</v>
      </c>
      <c r="H40" s="6">
        <v>4</v>
      </c>
      <c r="I40" s="3"/>
      <c r="J40" s="4" t="s">
        <v>62</v>
      </c>
      <c r="K40" s="5" t="s">
        <v>63</v>
      </c>
    </row>
    <row r="41" spans="1:11" x14ac:dyDescent="0.35">
      <c r="A41" s="4" t="s">
        <v>43</v>
      </c>
      <c r="B41" s="5" t="s">
        <v>44</v>
      </c>
      <c r="C41" s="5" t="s">
        <v>467</v>
      </c>
      <c r="D41" s="6">
        <v>2026</v>
      </c>
      <c r="E41" s="6">
        <v>5</v>
      </c>
      <c r="F41" s="6">
        <v>14</v>
      </c>
      <c r="G41" s="6">
        <v>14</v>
      </c>
      <c r="H41" s="6">
        <v>0</v>
      </c>
      <c r="I41" s="3"/>
      <c r="J41" s="10" t="s">
        <v>64</v>
      </c>
      <c r="K41" s="5" t="s">
        <v>65</v>
      </c>
    </row>
    <row r="42" spans="1:11" x14ac:dyDescent="0.35">
      <c r="A42" s="4" t="s">
        <v>45</v>
      </c>
      <c r="B42" s="5" t="s">
        <v>46</v>
      </c>
      <c r="C42" s="5" t="s">
        <v>468</v>
      </c>
      <c r="D42" s="6">
        <v>2026</v>
      </c>
      <c r="E42" s="6">
        <v>5</v>
      </c>
      <c r="F42" s="6">
        <v>26</v>
      </c>
      <c r="G42" s="6">
        <v>29</v>
      </c>
      <c r="H42" s="6">
        <v>2</v>
      </c>
      <c r="I42" s="3"/>
      <c r="J42" s="4" t="s">
        <v>72</v>
      </c>
      <c r="K42" s="5" t="s">
        <v>71</v>
      </c>
    </row>
    <row r="43" spans="1:11" x14ac:dyDescent="0.35">
      <c r="A43" s="4" t="s">
        <v>432</v>
      </c>
      <c r="B43" s="5" t="s">
        <v>432</v>
      </c>
      <c r="C43" s="5" t="s">
        <v>433</v>
      </c>
      <c r="D43" s="6">
        <v>2026</v>
      </c>
      <c r="E43" s="6">
        <v>5</v>
      </c>
      <c r="F43" s="6">
        <v>8</v>
      </c>
      <c r="G43" s="6">
        <v>10</v>
      </c>
      <c r="H43" s="6">
        <v>2</v>
      </c>
      <c r="I43" s="3"/>
      <c r="J43" s="4" t="s">
        <v>66</v>
      </c>
      <c r="K43" s="5" t="s">
        <v>67</v>
      </c>
    </row>
    <row r="44" spans="1:11" x14ac:dyDescent="0.35">
      <c r="A44" s="4" t="s">
        <v>431</v>
      </c>
      <c r="B44" s="5" t="s">
        <v>431</v>
      </c>
      <c r="C44" s="5" t="s">
        <v>469</v>
      </c>
      <c r="D44" s="6">
        <v>2026</v>
      </c>
      <c r="E44" s="6">
        <v>5</v>
      </c>
      <c r="F44" s="6">
        <v>16</v>
      </c>
      <c r="G44" s="6">
        <v>16</v>
      </c>
      <c r="H44" s="6">
        <v>1</v>
      </c>
      <c r="I44" s="3"/>
      <c r="J44" s="4" t="s">
        <v>68</v>
      </c>
      <c r="K44" s="5" t="s">
        <v>69</v>
      </c>
    </row>
    <row r="45" spans="1:11" x14ac:dyDescent="0.35">
      <c r="A45" s="4" t="s">
        <v>38</v>
      </c>
      <c r="B45" s="5" t="s">
        <v>38</v>
      </c>
      <c r="C45" s="5" t="s">
        <v>470</v>
      </c>
      <c r="D45" s="6">
        <v>2026</v>
      </c>
      <c r="E45" s="6">
        <v>5</v>
      </c>
      <c r="F45" s="6">
        <v>16</v>
      </c>
      <c r="G45" s="6">
        <v>17</v>
      </c>
      <c r="H45" s="6">
        <v>0</v>
      </c>
      <c r="I45" s="3"/>
      <c r="J45" s="4" t="s">
        <v>73</v>
      </c>
      <c r="K45" s="5" t="s">
        <v>74</v>
      </c>
    </row>
    <row r="46" spans="1:11" x14ac:dyDescent="0.35">
      <c r="A46" s="4" t="s">
        <v>47</v>
      </c>
      <c r="B46" s="5" t="s">
        <v>48</v>
      </c>
      <c r="C46" s="5" t="s">
        <v>471</v>
      </c>
      <c r="D46" s="6">
        <v>2026</v>
      </c>
      <c r="E46" s="6">
        <v>5</v>
      </c>
      <c r="F46" s="6">
        <v>20</v>
      </c>
      <c r="G46" s="6">
        <v>22</v>
      </c>
      <c r="H46" s="6">
        <v>2</v>
      </c>
      <c r="I46" s="3"/>
      <c r="J46" s="4" t="s">
        <v>76</v>
      </c>
      <c r="K46" s="5" t="s">
        <v>77</v>
      </c>
    </row>
    <row r="47" spans="1:11" x14ac:dyDescent="0.35">
      <c r="A47" s="4" t="s">
        <v>600</v>
      </c>
      <c r="B47" s="5" t="s">
        <v>134</v>
      </c>
      <c r="C47" s="5" t="s">
        <v>472</v>
      </c>
      <c r="D47" s="6">
        <v>2026</v>
      </c>
      <c r="E47" s="6">
        <v>5</v>
      </c>
      <c r="F47" s="6">
        <v>16</v>
      </c>
      <c r="G47" s="6">
        <v>14</v>
      </c>
      <c r="H47" s="6">
        <v>2</v>
      </c>
      <c r="I47" s="3"/>
      <c r="J47" s="4" t="s">
        <v>78</v>
      </c>
      <c r="K47" s="5" t="s">
        <v>79</v>
      </c>
    </row>
    <row r="48" spans="1:11" x14ac:dyDescent="0.35">
      <c r="A48" s="4" t="s">
        <v>601</v>
      </c>
      <c r="B48" s="5" t="s">
        <v>390</v>
      </c>
      <c r="C48" s="5" t="s">
        <v>473</v>
      </c>
      <c r="D48" s="6">
        <v>2026</v>
      </c>
      <c r="E48" s="6">
        <v>5</v>
      </c>
      <c r="F48" s="6">
        <v>18</v>
      </c>
      <c r="G48" s="6">
        <v>17</v>
      </c>
      <c r="H48" s="6">
        <v>2</v>
      </c>
      <c r="I48" s="3"/>
      <c r="J48" s="4" t="s">
        <v>80</v>
      </c>
      <c r="K48" s="5" t="s">
        <v>81</v>
      </c>
    </row>
    <row r="49" spans="1:11" x14ac:dyDescent="0.35">
      <c r="A49" s="4" t="s">
        <v>49</v>
      </c>
      <c r="B49" s="5" t="s">
        <v>50</v>
      </c>
      <c r="C49" s="5" t="s">
        <v>474</v>
      </c>
      <c r="D49" s="6">
        <v>2026</v>
      </c>
      <c r="E49" s="6">
        <v>5</v>
      </c>
      <c r="F49" s="6">
        <v>31</v>
      </c>
      <c r="G49" s="6">
        <v>32</v>
      </c>
      <c r="H49" s="6">
        <v>3</v>
      </c>
      <c r="I49" s="3"/>
      <c r="J49" s="4" t="s">
        <v>82</v>
      </c>
      <c r="K49" s="5" t="s">
        <v>83</v>
      </c>
    </row>
    <row r="50" spans="1:11" x14ac:dyDescent="0.35">
      <c r="A50" s="4" t="s">
        <v>51</v>
      </c>
      <c r="B50" s="5" t="s">
        <v>52</v>
      </c>
      <c r="C50" s="5" t="s">
        <v>475</v>
      </c>
      <c r="D50" s="6">
        <v>2026</v>
      </c>
      <c r="E50" s="6">
        <v>5</v>
      </c>
      <c r="F50" s="6">
        <v>23</v>
      </c>
      <c r="G50" s="6">
        <v>25</v>
      </c>
      <c r="H50" s="6">
        <v>1</v>
      </c>
      <c r="I50" s="3"/>
      <c r="J50" s="4" t="s">
        <v>84</v>
      </c>
      <c r="K50" s="5" t="s">
        <v>85</v>
      </c>
    </row>
    <row r="51" spans="1:11" x14ac:dyDescent="0.35">
      <c r="A51" s="4" t="s">
        <v>53</v>
      </c>
      <c r="B51" s="5" t="s">
        <v>54</v>
      </c>
      <c r="C51" s="5" t="s">
        <v>476</v>
      </c>
      <c r="D51" s="6">
        <v>2026</v>
      </c>
      <c r="E51" s="6">
        <v>5</v>
      </c>
      <c r="F51" s="6">
        <v>14</v>
      </c>
      <c r="G51" s="6">
        <v>13</v>
      </c>
      <c r="H51" s="6">
        <v>1</v>
      </c>
      <c r="I51" s="3"/>
      <c r="J51" s="4" t="s">
        <v>87</v>
      </c>
      <c r="K51" s="5" t="s">
        <v>88</v>
      </c>
    </row>
    <row r="52" spans="1:11" x14ac:dyDescent="0.35">
      <c r="A52" s="4" t="s">
        <v>55</v>
      </c>
      <c r="B52" s="5" t="s">
        <v>56</v>
      </c>
      <c r="C52" s="5" t="s">
        <v>57</v>
      </c>
      <c r="D52" s="6">
        <v>2026</v>
      </c>
      <c r="E52" s="6">
        <v>5</v>
      </c>
      <c r="F52" s="6">
        <v>10</v>
      </c>
      <c r="G52" s="6">
        <v>11</v>
      </c>
      <c r="H52" s="6">
        <v>0</v>
      </c>
      <c r="I52" s="3"/>
      <c r="J52" s="4" t="s">
        <v>89</v>
      </c>
      <c r="K52" s="5" t="s">
        <v>90</v>
      </c>
    </row>
    <row r="53" spans="1:11" x14ac:dyDescent="0.35">
      <c r="A53" s="4" t="s">
        <v>58</v>
      </c>
      <c r="B53" s="5" t="s">
        <v>59</v>
      </c>
      <c r="C53" s="5" t="s">
        <v>477</v>
      </c>
      <c r="D53" s="6">
        <v>2026</v>
      </c>
      <c r="E53" s="6">
        <v>5</v>
      </c>
      <c r="F53" s="6">
        <v>13</v>
      </c>
      <c r="G53" s="6">
        <v>13</v>
      </c>
      <c r="H53" s="6">
        <v>0</v>
      </c>
      <c r="I53" s="3"/>
      <c r="J53" s="4" t="s">
        <v>91</v>
      </c>
      <c r="K53" s="5" t="s">
        <v>92</v>
      </c>
    </row>
    <row r="54" spans="1:11" x14ac:dyDescent="0.35">
      <c r="A54" s="4" t="s">
        <v>60</v>
      </c>
      <c r="B54" s="5" t="s">
        <v>61</v>
      </c>
      <c r="C54" s="5" t="s">
        <v>478</v>
      </c>
      <c r="D54" s="6">
        <v>2026</v>
      </c>
      <c r="E54" s="6">
        <v>5</v>
      </c>
      <c r="F54" s="6">
        <v>17</v>
      </c>
      <c r="G54" s="6">
        <v>17</v>
      </c>
      <c r="H54" s="6">
        <v>2</v>
      </c>
      <c r="I54" s="3"/>
      <c r="J54" s="4" t="s">
        <v>93</v>
      </c>
      <c r="K54" s="5" t="s">
        <v>94</v>
      </c>
    </row>
    <row r="55" spans="1:11" x14ac:dyDescent="0.35">
      <c r="A55" s="4" t="s">
        <v>62</v>
      </c>
      <c r="B55" s="5" t="s">
        <v>63</v>
      </c>
      <c r="C55" s="5" t="s">
        <v>479</v>
      </c>
      <c r="D55" s="6">
        <v>2026</v>
      </c>
      <c r="E55" s="6">
        <v>5</v>
      </c>
      <c r="F55" s="6">
        <v>21</v>
      </c>
      <c r="G55" s="6">
        <v>19</v>
      </c>
      <c r="H55" s="6">
        <v>3</v>
      </c>
      <c r="I55" s="3"/>
      <c r="J55" s="4" t="s">
        <v>95</v>
      </c>
      <c r="K55" s="5" t="s">
        <v>96</v>
      </c>
    </row>
    <row r="56" spans="1:11" x14ac:dyDescent="0.35">
      <c r="A56" s="4" t="s">
        <v>64</v>
      </c>
      <c r="B56" s="5" t="s">
        <v>65</v>
      </c>
      <c r="C56" s="5" t="s">
        <v>480</v>
      </c>
      <c r="D56" s="6">
        <v>2026</v>
      </c>
      <c r="E56" s="6">
        <v>5</v>
      </c>
      <c r="F56" s="6">
        <v>14</v>
      </c>
      <c r="G56" s="6">
        <v>15</v>
      </c>
      <c r="H56" s="6">
        <v>1</v>
      </c>
      <c r="I56" s="3"/>
      <c r="J56" s="4" t="s">
        <v>97</v>
      </c>
      <c r="K56" s="5" t="s">
        <v>98</v>
      </c>
    </row>
    <row r="57" spans="1:11" x14ac:dyDescent="0.35">
      <c r="A57" s="4" t="s">
        <v>66</v>
      </c>
      <c r="B57" s="5" t="s">
        <v>67</v>
      </c>
      <c r="C57" s="5" t="s">
        <v>481</v>
      </c>
      <c r="D57" s="6">
        <v>2026</v>
      </c>
      <c r="E57" s="6">
        <v>5</v>
      </c>
      <c r="F57" s="6">
        <v>17</v>
      </c>
      <c r="G57" s="6">
        <v>18</v>
      </c>
      <c r="H57" s="6">
        <v>0</v>
      </c>
      <c r="I57" s="3"/>
      <c r="J57" s="4" t="s">
        <v>100</v>
      </c>
      <c r="K57" s="5" t="s">
        <v>101</v>
      </c>
    </row>
    <row r="58" spans="1:11" x14ac:dyDescent="0.35">
      <c r="A58" s="4" t="s">
        <v>68</v>
      </c>
      <c r="B58" s="5" t="s">
        <v>69</v>
      </c>
      <c r="C58" s="5" t="s">
        <v>70</v>
      </c>
      <c r="D58" s="6">
        <v>2026</v>
      </c>
      <c r="E58" s="6">
        <v>5</v>
      </c>
      <c r="F58" s="6">
        <v>17</v>
      </c>
      <c r="G58" s="6">
        <v>20</v>
      </c>
      <c r="H58" s="6">
        <v>3</v>
      </c>
      <c r="I58" s="3"/>
      <c r="J58" s="4" t="s">
        <v>102</v>
      </c>
      <c r="K58" s="5" t="s">
        <v>103</v>
      </c>
    </row>
    <row r="59" spans="1:11" x14ac:dyDescent="0.35">
      <c r="A59" s="4" t="s">
        <v>73</v>
      </c>
      <c r="B59" s="5" t="s">
        <v>74</v>
      </c>
      <c r="C59" s="5" t="s">
        <v>75</v>
      </c>
      <c r="D59" s="6">
        <v>2026</v>
      </c>
      <c r="E59" s="6">
        <v>5</v>
      </c>
      <c r="F59" s="6">
        <v>16</v>
      </c>
      <c r="G59" s="6">
        <v>17</v>
      </c>
      <c r="H59" s="6">
        <v>2</v>
      </c>
      <c r="I59" s="3"/>
      <c r="J59" s="4" t="s">
        <v>105</v>
      </c>
      <c r="K59" s="5" t="s">
        <v>106</v>
      </c>
    </row>
    <row r="60" spans="1:11" x14ac:dyDescent="0.35">
      <c r="A60" s="4" t="s">
        <v>76</v>
      </c>
      <c r="B60" s="5" t="s">
        <v>77</v>
      </c>
      <c r="C60" s="5" t="s">
        <v>482</v>
      </c>
      <c r="D60" s="6">
        <v>2026</v>
      </c>
      <c r="E60" s="6">
        <v>5</v>
      </c>
      <c r="F60" s="6">
        <v>24</v>
      </c>
      <c r="G60" s="6">
        <v>24</v>
      </c>
      <c r="H60" s="6">
        <v>4</v>
      </c>
      <c r="I60" s="3"/>
      <c r="J60" s="4" t="s">
        <v>107</v>
      </c>
      <c r="K60" s="5" t="s">
        <v>108</v>
      </c>
    </row>
    <row r="61" spans="1:11" x14ac:dyDescent="0.35">
      <c r="A61" s="4" t="s">
        <v>78</v>
      </c>
      <c r="B61" s="5" t="s">
        <v>79</v>
      </c>
      <c r="C61" s="5" t="s">
        <v>483</v>
      </c>
      <c r="D61" s="6">
        <v>2026</v>
      </c>
      <c r="E61" s="6">
        <v>5</v>
      </c>
      <c r="F61" s="6">
        <v>18</v>
      </c>
      <c r="G61" s="6">
        <v>18</v>
      </c>
      <c r="H61" s="6">
        <v>1</v>
      </c>
      <c r="I61" s="3"/>
      <c r="J61" s="4" t="s">
        <v>109</v>
      </c>
      <c r="K61" s="5" t="s">
        <v>110</v>
      </c>
    </row>
    <row r="62" spans="1:11" x14ac:dyDescent="0.35">
      <c r="A62" s="4" t="s">
        <v>80</v>
      </c>
      <c r="B62" s="5" t="s">
        <v>81</v>
      </c>
      <c r="C62" s="5" t="s">
        <v>484</v>
      </c>
      <c r="D62" s="6">
        <v>2026</v>
      </c>
      <c r="E62" s="6">
        <v>5</v>
      </c>
      <c r="F62" s="6">
        <v>20</v>
      </c>
      <c r="G62" s="6">
        <v>21</v>
      </c>
      <c r="H62" s="6">
        <v>3</v>
      </c>
      <c r="I62" s="3"/>
      <c r="J62" s="4" t="s">
        <v>111</v>
      </c>
      <c r="K62" s="5" t="s">
        <v>112</v>
      </c>
    </row>
    <row r="63" spans="1:11" x14ac:dyDescent="0.35">
      <c r="A63" s="4" t="s">
        <v>82</v>
      </c>
      <c r="B63" s="5" t="s">
        <v>83</v>
      </c>
      <c r="C63" s="5" t="s">
        <v>485</v>
      </c>
      <c r="D63" s="6">
        <v>2026</v>
      </c>
      <c r="E63" s="6">
        <v>5</v>
      </c>
      <c r="F63" s="6">
        <v>12</v>
      </c>
      <c r="G63" s="6">
        <v>12</v>
      </c>
      <c r="H63" s="6">
        <v>1</v>
      </c>
      <c r="I63" s="3"/>
      <c r="J63" s="4" t="s">
        <v>113</v>
      </c>
      <c r="K63" s="5" t="s">
        <v>114</v>
      </c>
    </row>
    <row r="64" spans="1:11" x14ac:dyDescent="0.35">
      <c r="A64" s="4" t="s">
        <v>84</v>
      </c>
      <c r="B64" s="5" t="s">
        <v>85</v>
      </c>
      <c r="C64" s="5" t="s">
        <v>86</v>
      </c>
      <c r="D64" s="6">
        <v>2026</v>
      </c>
      <c r="E64" s="6">
        <v>5</v>
      </c>
      <c r="F64" s="6">
        <v>8</v>
      </c>
      <c r="G64" s="6">
        <v>8</v>
      </c>
      <c r="H64" s="6">
        <v>0</v>
      </c>
      <c r="I64" s="3"/>
      <c r="J64" s="4" t="s">
        <v>115</v>
      </c>
      <c r="K64" s="5" t="s">
        <v>116</v>
      </c>
    </row>
    <row r="65" spans="1:11" x14ac:dyDescent="0.35">
      <c r="A65" s="4" t="s">
        <v>87</v>
      </c>
      <c r="B65" s="5" t="s">
        <v>88</v>
      </c>
      <c r="C65" s="5" t="s">
        <v>486</v>
      </c>
      <c r="D65" s="6">
        <v>2026</v>
      </c>
      <c r="E65" s="6">
        <v>5</v>
      </c>
      <c r="F65" s="6">
        <v>11</v>
      </c>
      <c r="G65" s="6">
        <v>14</v>
      </c>
      <c r="H65" s="6">
        <v>2</v>
      </c>
      <c r="I65" s="3"/>
      <c r="J65" s="4" t="s">
        <v>118</v>
      </c>
      <c r="K65" s="5" t="s">
        <v>119</v>
      </c>
    </row>
    <row r="66" spans="1:11" x14ac:dyDescent="0.35">
      <c r="A66" s="4" t="s">
        <v>89</v>
      </c>
      <c r="B66" s="5" t="s">
        <v>90</v>
      </c>
      <c r="C66" s="5" t="s">
        <v>487</v>
      </c>
      <c r="D66" s="6">
        <v>2026</v>
      </c>
      <c r="E66" s="6">
        <v>5</v>
      </c>
      <c r="F66" s="6">
        <v>17</v>
      </c>
      <c r="G66" s="6">
        <v>12</v>
      </c>
      <c r="H66" s="6">
        <v>7</v>
      </c>
      <c r="I66" s="3"/>
      <c r="J66" s="4" t="s">
        <v>120</v>
      </c>
      <c r="K66" s="5" t="s">
        <v>121</v>
      </c>
    </row>
    <row r="67" spans="1:11" x14ac:dyDescent="0.35">
      <c r="A67" s="4" t="s">
        <v>91</v>
      </c>
      <c r="B67" s="5" t="s">
        <v>92</v>
      </c>
      <c r="C67" s="5" t="s">
        <v>488</v>
      </c>
      <c r="D67" s="6">
        <v>2026</v>
      </c>
      <c r="E67" s="6">
        <v>5</v>
      </c>
      <c r="F67" s="6">
        <v>22</v>
      </c>
      <c r="G67" s="6">
        <v>21</v>
      </c>
      <c r="H67" s="6">
        <v>4</v>
      </c>
      <c r="I67" s="3"/>
      <c r="J67" s="4" t="s">
        <v>122</v>
      </c>
      <c r="K67" s="5" t="s">
        <v>123</v>
      </c>
    </row>
    <row r="68" spans="1:11" x14ac:dyDescent="0.35">
      <c r="A68" s="4" t="s">
        <v>93</v>
      </c>
      <c r="B68" s="5" t="s">
        <v>94</v>
      </c>
      <c r="C68" s="5" t="s">
        <v>489</v>
      </c>
      <c r="D68" s="6">
        <v>2026</v>
      </c>
      <c r="E68" s="6">
        <v>5</v>
      </c>
      <c r="F68" s="6">
        <v>16</v>
      </c>
      <c r="G68" s="6">
        <v>16</v>
      </c>
      <c r="H68" s="6">
        <v>2</v>
      </c>
      <c r="I68" s="3"/>
      <c r="J68" s="4" t="s">
        <v>124</v>
      </c>
      <c r="K68" s="5" t="s">
        <v>125</v>
      </c>
    </row>
    <row r="69" spans="1:11" x14ac:dyDescent="0.35">
      <c r="A69" s="4" t="s">
        <v>95</v>
      </c>
      <c r="B69" s="5" t="s">
        <v>96</v>
      </c>
      <c r="C69" s="5" t="s">
        <v>490</v>
      </c>
      <c r="D69" s="6">
        <v>2026</v>
      </c>
      <c r="E69" s="6">
        <v>5</v>
      </c>
      <c r="F69" s="6">
        <v>19</v>
      </c>
      <c r="G69" s="6">
        <v>20</v>
      </c>
      <c r="H69" s="6">
        <v>1</v>
      </c>
      <c r="I69" s="3"/>
      <c r="J69" s="4" t="s">
        <v>126</v>
      </c>
      <c r="K69" s="5" t="s">
        <v>127</v>
      </c>
    </row>
    <row r="70" spans="1:11" x14ac:dyDescent="0.35">
      <c r="A70" s="4" t="s">
        <v>97</v>
      </c>
      <c r="B70" s="5" t="s">
        <v>98</v>
      </c>
      <c r="C70" s="5" t="s">
        <v>99</v>
      </c>
      <c r="D70" s="6">
        <v>2026</v>
      </c>
      <c r="E70" s="6">
        <v>5</v>
      </c>
      <c r="F70" s="6">
        <v>16</v>
      </c>
      <c r="G70" s="6">
        <v>17</v>
      </c>
      <c r="H70" s="6">
        <v>0</v>
      </c>
      <c r="I70" s="3"/>
      <c r="J70" s="4" t="s">
        <v>128</v>
      </c>
      <c r="K70" s="5" t="s">
        <v>129</v>
      </c>
    </row>
    <row r="71" spans="1:11" x14ac:dyDescent="0.35">
      <c r="A71" s="4" t="s">
        <v>100</v>
      </c>
      <c r="B71" s="5" t="s">
        <v>101</v>
      </c>
      <c r="C71" s="5" t="s">
        <v>491</v>
      </c>
      <c r="D71" s="6">
        <v>2026</v>
      </c>
      <c r="E71" s="6">
        <v>5</v>
      </c>
      <c r="F71" s="6">
        <v>16</v>
      </c>
      <c r="G71" s="6">
        <v>17</v>
      </c>
      <c r="H71" s="6">
        <v>0</v>
      </c>
      <c r="I71" s="3"/>
      <c r="J71" s="4" t="s">
        <v>130</v>
      </c>
      <c r="K71" s="5" t="s">
        <v>131</v>
      </c>
    </row>
    <row r="72" spans="1:11" x14ac:dyDescent="0.35">
      <c r="A72" s="4" t="s">
        <v>102</v>
      </c>
      <c r="B72" s="5" t="s">
        <v>103</v>
      </c>
      <c r="C72" s="5" t="s">
        <v>104</v>
      </c>
      <c r="D72" s="6">
        <v>2026</v>
      </c>
      <c r="E72" s="6">
        <v>5</v>
      </c>
      <c r="F72" s="6">
        <v>13</v>
      </c>
      <c r="G72" s="6">
        <v>17</v>
      </c>
      <c r="H72" s="6">
        <v>3</v>
      </c>
      <c r="I72" s="3"/>
      <c r="J72" s="4" t="s">
        <v>133</v>
      </c>
      <c r="K72" s="5" t="s">
        <v>134</v>
      </c>
    </row>
    <row r="73" spans="1:11" x14ac:dyDescent="0.35">
      <c r="A73" s="4" t="s">
        <v>105</v>
      </c>
      <c r="B73" s="5" t="s">
        <v>106</v>
      </c>
      <c r="C73" s="5" t="s">
        <v>492</v>
      </c>
      <c r="D73" s="6">
        <v>2026</v>
      </c>
      <c r="E73" s="6">
        <v>5</v>
      </c>
      <c r="F73" s="6">
        <v>16</v>
      </c>
      <c r="G73" s="6">
        <v>16</v>
      </c>
      <c r="H73" s="6">
        <v>3</v>
      </c>
      <c r="I73" s="3"/>
      <c r="J73" s="4" t="s">
        <v>135</v>
      </c>
      <c r="K73" s="5" t="s">
        <v>136</v>
      </c>
    </row>
    <row r="74" spans="1:11" x14ac:dyDescent="0.35">
      <c r="A74" s="4" t="s">
        <v>107</v>
      </c>
      <c r="B74" s="5" t="s">
        <v>108</v>
      </c>
      <c r="C74" s="5" t="s">
        <v>493</v>
      </c>
      <c r="D74" s="6">
        <v>2026</v>
      </c>
      <c r="E74" s="6">
        <v>5</v>
      </c>
      <c r="F74" s="6">
        <v>15</v>
      </c>
      <c r="G74" s="6">
        <v>15</v>
      </c>
      <c r="H74" s="6">
        <v>0</v>
      </c>
      <c r="I74" s="3"/>
      <c r="J74" s="4" t="s">
        <v>137</v>
      </c>
      <c r="K74" s="5" t="s">
        <v>138</v>
      </c>
    </row>
    <row r="75" spans="1:11" x14ac:dyDescent="0.35">
      <c r="A75" s="4" t="s">
        <v>109</v>
      </c>
      <c r="B75" s="5" t="s">
        <v>110</v>
      </c>
      <c r="C75" s="5" t="s">
        <v>494</v>
      </c>
      <c r="D75" s="6">
        <v>2026</v>
      </c>
      <c r="E75" s="6">
        <v>5</v>
      </c>
      <c r="F75" s="6">
        <v>19</v>
      </c>
      <c r="G75" s="6">
        <v>19</v>
      </c>
      <c r="H75" s="6">
        <v>0</v>
      </c>
      <c r="I75" s="3"/>
      <c r="J75" s="4" t="s">
        <v>140</v>
      </c>
      <c r="K75" s="5" t="s">
        <v>141</v>
      </c>
    </row>
    <row r="76" spans="1:11" x14ac:dyDescent="0.35">
      <c r="A76" s="4" t="s">
        <v>111</v>
      </c>
      <c r="B76" s="5" t="s">
        <v>112</v>
      </c>
      <c r="C76" s="5" t="s">
        <v>495</v>
      </c>
      <c r="D76" s="6">
        <v>2026</v>
      </c>
      <c r="E76" s="6">
        <v>5</v>
      </c>
      <c r="F76" s="6">
        <v>14</v>
      </c>
      <c r="G76" s="6">
        <v>12</v>
      </c>
      <c r="H76" s="6">
        <v>2</v>
      </c>
      <c r="I76" s="3"/>
      <c r="J76" s="4" t="s">
        <v>143</v>
      </c>
      <c r="K76" s="5" t="s">
        <v>144</v>
      </c>
    </row>
    <row r="77" spans="1:11" x14ac:dyDescent="0.35">
      <c r="A77" s="4" t="s">
        <v>113</v>
      </c>
      <c r="B77" s="5" t="s">
        <v>114</v>
      </c>
      <c r="C77" s="5" t="s">
        <v>496</v>
      </c>
      <c r="D77" s="6">
        <v>2026</v>
      </c>
      <c r="E77" s="6">
        <v>5</v>
      </c>
      <c r="F77" s="6">
        <v>19</v>
      </c>
      <c r="G77" s="6">
        <v>21</v>
      </c>
      <c r="H77" s="6">
        <v>0</v>
      </c>
      <c r="I77" s="3"/>
      <c r="J77" s="4" t="s">
        <v>145</v>
      </c>
      <c r="K77" s="5" t="s">
        <v>146</v>
      </c>
    </row>
    <row r="78" spans="1:11" x14ac:dyDescent="0.35">
      <c r="A78" s="4" t="s">
        <v>115</v>
      </c>
      <c r="B78" s="5" t="s">
        <v>116</v>
      </c>
      <c r="C78" s="5" t="s">
        <v>117</v>
      </c>
      <c r="D78" s="6">
        <v>2026</v>
      </c>
      <c r="E78" s="6">
        <v>5</v>
      </c>
      <c r="F78" s="6">
        <v>22</v>
      </c>
      <c r="G78" s="6">
        <v>23</v>
      </c>
      <c r="H78" s="6">
        <v>2</v>
      </c>
      <c r="I78" s="3"/>
      <c r="J78" s="4" t="s">
        <v>147</v>
      </c>
      <c r="K78" s="5" t="s">
        <v>148</v>
      </c>
    </row>
    <row r="79" spans="1:11" x14ac:dyDescent="0.35">
      <c r="A79" s="4" t="s">
        <v>118</v>
      </c>
      <c r="B79" s="5" t="s">
        <v>119</v>
      </c>
      <c r="C79" s="5" t="s">
        <v>497</v>
      </c>
      <c r="D79" s="6">
        <v>2026</v>
      </c>
      <c r="E79" s="6">
        <v>5</v>
      </c>
      <c r="F79" s="6">
        <v>47</v>
      </c>
      <c r="G79" s="6">
        <v>44</v>
      </c>
      <c r="H79" s="6">
        <v>8</v>
      </c>
      <c r="I79" s="3"/>
      <c r="J79" s="4" t="s">
        <v>149</v>
      </c>
      <c r="K79" s="5" t="s">
        <v>150</v>
      </c>
    </row>
    <row r="80" spans="1:11" x14ac:dyDescent="0.35">
      <c r="A80" s="4" t="s">
        <v>120</v>
      </c>
      <c r="B80" s="5" t="s">
        <v>121</v>
      </c>
      <c r="C80" s="5" t="s">
        <v>498</v>
      </c>
      <c r="D80" s="6">
        <v>2026</v>
      </c>
      <c r="E80" s="6">
        <v>5</v>
      </c>
      <c r="F80" s="6">
        <v>26</v>
      </c>
      <c r="G80" s="6">
        <v>26</v>
      </c>
      <c r="H80" s="6">
        <v>1</v>
      </c>
      <c r="I80" s="3"/>
      <c r="J80" s="4" t="s">
        <v>151</v>
      </c>
      <c r="K80" s="5" t="s">
        <v>152</v>
      </c>
    </row>
    <row r="81" spans="1:11" x14ac:dyDescent="0.35">
      <c r="A81" s="4" t="s">
        <v>122</v>
      </c>
      <c r="B81" s="5" t="s">
        <v>123</v>
      </c>
      <c r="C81" s="5" t="s">
        <v>499</v>
      </c>
      <c r="D81" s="6">
        <v>2026</v>
      </c>
      <c r="E81" s="6">
        <v>5</v>
      </c>
      <c r="F81" s="6" t="s">
        <v>599</v>
      </c>
      <c r="G81" s="6" t="s">
        <v>599</v>
      </c>
      <c r="H81" s="6" t="s">
        <v>599</v>
      </c>
      <c r="I81" s="3"/>
      <c r="J81" s="4" t="s">
        <v>153</v>
      </c>
      <c r="K81" s="5" t="s">
        <v>154</v>
      </c>
    </row>
    <row r="82" spans="1:11" x14ac:dyDescent="0.35">
      <c r="A82" s="4" t="s">
        <v>124</v>
      </c>
      <c r="B82" s="5" t="s">
        <v>125</v>
      </c>
      <c r="C82" s="5" t="s">
        <v>500</v>
      </c>
      <c r="D82" s="6">
        <v>2026</v>
      </c>
      <c r="E82" s="6">
        <v>5</v>
      </c>
      <c r="F82" s="6">
        <v>17</v>
      </c>
      <c r="G82" s="6">
        <v>17</v>
      </c>
      <c r="H82" s="6">
        <v>2</v>
      </c>
      <c r="I82" s="3"/>
      <c r="J82" s="4" t="s">
        <v>155</v>
      </c>
      <c r="K82" s="5" t="s">
        <v>156</v>
      </c>
    </row>
    <row r="83" spans="1:11" x14ac:dyDescent="0.35">
      <c r="A83" s="4" t="s">
        <v>126</v>
      </c>
      <c r="B83" s="5" t="s">
        <v>127</v>
      </c>
      <c r="C83" s="5" t="s">
        <v>501</v>
      </c>
      <c r="D83" s="6">
        <v>2026</v>
      </c>
      <c r="E83" s="6">
        <v>5</v>
      </c>
      <c r="F83" s="6">
        <v>26</v>
      </c>
      <c r="G83" s="6">
        <v>24</v>
      </c>
      <c r="H83" s="6">
        <v>7</v>
      </c>
      <c r="I83" s="3"/>
      <c r="J83" s="4" t="s">
        <v>157</v>
      </c>
      <c r="K83" s="5" t="s">
        <v>158</v>
      </c>
    </row>
    <row r="84" spans="1:11" x14ac:dyDescent="0.35">
      <c r="A84" s="4" t="s">
        <v>128</v>
      </c>
      <c r="B84" s="5" t="s">
        <v>129</v>
      </c>
      <c r="C84" s="5" t="s">
        <v>502</v>
      </c>
      <c r="D84" s="6">
        <v>2026</v>
      </c>
      <c r="E84" s="6">
        <v>5</v>
      </c>
      <c r="F84" s="6">
        <v>24</v>
      </c>
      <c r="G84" s="6">
        <v>25</v>
      </c>
      <c r="H84" s="6">
        <v>2</v>
      </c>
      <c r="I84" s="3"/>
      <c r="J84" s="4" t="s">
        <v>159</v>
      </c>
      <c r="K84" s="5" t="s">
        <v>160</v>
      </c>
    </row>
    <row r="85" spans="1:11" x14ac:dyDescent="0.35">
      <c r="A85" s="4" t="s">
        <v>130</v>
      </c>
      <c r="B85" s="5" t="s">
        <v>131</v>
      </c>
      <c r="C85" s="5" t="s">
        <v>132</v>
      </c>
      <c r="D85" s="6">
        <v>2026</v>
      </c>
      <c r="E85" s="6">
        <v>5</v>
      </c>
      <c r="F85" s="6">
        <v>12</v>
      </c>
      <c r="G85" s="6">
        <v>12</v>
      </c>
      <c r="H85" s="6">
        <v>0</v>
      </c>
      <c r="I85" s="3"/>
      <c r="J85" s="4" t="s">
        <v>161</v>
      </c>
      <c r="K85" s="5" t="s">
        <v>162</v>
      </c>
    </row>
    <row r="86" spans="1:11" x14ac:dyDescent="0.35">
      <c r="A86" s="4" t="s">
        <v>135</v>
      </c>
      <c r="B86" s="5" t="s">
        <v>136</v>
      </c>
      <c r="C86" s="5" t="s">
        <v>503</v>
      </c>
      <c r="D86" s="6">
        <v>2026</v>
      </c>
      <c r="E86" s="6">
        <v>5</v>
      </c>
      <c r="F86" s="6">
        <v>12</v>
      </c>
      <c r="G86" s="6">
        <v>12</v>
      </c>
      <c r="H86" s="6">
        <v>0</v>
      </c>
      <c r="I86" s="3"/>
      <c r="J86" s="4" t="s">
        <v>163</v>
      </c>
      <c r="K86" s="5" t="s">
        <v>164</v>
      </c>
    </row>
    <row r="87" spans="1:11" x14ac:dyDescent="0.35">
      <c r="A87" s="4" t="s">
        <v>137</v>
      </c>
      <c r="B87" s="5" t="s">
        <v>138</v>
      </c>
      <c r="C87" s="5" t="s">
        <v>139</v>
      </c>
      <c r="D87" s="6">
        <v>2026</v>
      </c>
      <c r="E87" s="6">
        <v>5</v>
      </c>
      <c r="F87" s="6">
        <v>17</v>
      </c>
      <c r="G87" s="6">
        <v>16</v>
      </c>
      <c r="H87" s="6">
        <v>1</v>
      </c>
      <c r="I87" s="3"/>
      <c r="J87" s="4" t="s">
        <v>165</v>
      </c>
      <c r="K87" s="5" t="s">
        <v>166</v>
      </c>
    </row>
    <row r="88" spans="1:11" x14ac:dyDescent="0.35">
      <c r="A88" s="4" t="s">
        <v>140</v>
      </c>
      <c r="B88" s="5" t="s">
        <v>141</v>
      </c>
      <c r="C88" s="5" t="s">
        <v>142</v>
      </c>
      <c r="D88" s="6">
        <v>2026</v>
      </c>
      <c r="E88" s="6">
        <v>5</v>
      </c>
      <c r="F88" s="6">
        <v>20</v>
      </c>
      <c r="G88" s="6">
        <v>21</v>
      </c>
      <c r="H88" s="6">
        <v>3</v>
      </c>
      <c r="I88" s="3"/>
      <c r="J88" s="4" t="s">
        <v>167</v>
      </c>
      <c r="K88" s="5" t="s">
        <v>168</v>
      </c>
    </row>
    <row r="89" spans="1:11" x14ac:dyDescent="0.35">
      <c r="A89" s="4" t="s">
        <v>143</v>
      </c>
      <c r="B89" s="5" t="s">
        <v>144</v>
      </c>
      <c r="C89" s="5" t="s">
        <v>504</v>
      </c>
      <c r="D89" s="6">
        <v>2026</v>
      </c>
      <c r="E89" s="6">
        <v>5</v>
      </c>
      <c r="F89" s="6">
        <v>11</v>
      </c>
      <c r="G89" s="6">
        <v>11</v>
      </c>
      <c r="H89" s="6">
        <v>0</v>
      </c>
      <c r="I89" s="3"/>
      <c r="J89" s="4" t="s">
        <v>169</v>
      </c>
      <c r="K89" s="5" t="s">
        <v>170</v>
      </c>
    </row>
    <row r="90" spans="1:11" x14ac:dyDescent="0.35">
      <c r="A90" s="4" t="s">
        <v>145</v>
      </c>
      <c r="B90" s="5" t="s">
        <v>146</v>
      </c>
      <c r="C90" s="5" t="s">
        <v>505</v>
      </c>
      <c r="D90" s="6">
        <v>2026</v>
      </c>
      <c r="E90" s="6">
        <v>5</v>
      </c>
      <c r="F90" s="6">
        <v>21</v>
      </c>
      <c r="G90" s="6">
        <v>20</v>
      </c>
      <c r="H90" s="6">
        <v>3</v>
      </c>
      <c r="I90" s="3"/>
      <c r="J90" s="4" t="s">
        <v>171</v>
      </c>
      <c r="K90" s="5" t="s">
        <v>172</v>
      </c>
    </row>
    <row r="91" spans="1:11" x14ac:dyDescent="0.35">
      <c r="A91" s="4" t="s">
        <v>147</v>
      </c>
      <c r="B91" s="5" t="s">
        <v>148</v>
      </c>
      <c r="C91" s="5" t="s">
        <v>506</v>
      </c>
      <c r="D91" s="6">
        <v>2026</v>
      </c>
      <c r="E91" s="6">
        <v>5</v>
      </c>
      <c r="F91" s="6">
        <v>17</v>
      </c>
      <c r="G91" s="6">
        <v>17</v>
      </c>
      <c r="H91" s="6">
        <v>5</v>
      </c>
      <c r="I91" s="3"/>
      <c r="J91" s="4" t="s">
        <v>173</v>
      </c>
      <c r="K91" s="5" t="s">
        <v>174</v>
      </c>
    </row>
    <row r="92" spans="1:11" x14ac:dyDescent="0.35">
      <c r="A92" s="4" t="s">
        <v>149</v>
      </c>
      <c r="B92" s="5" t="s">
        <v>150</v>
      </c>
      <c r="C92" s="5" t="s">
        <v>507</v>
      </c>
      <c r="D92" s="6">
        <v>2026</v>
      </c>
      <c r="E92" s="6">
        <v>5</v>
      </c>
      <c r="F92" s="6">
        <v>14</v>
      </c>
      <c r="G92" s="6">
        <v>16</v>
      </c>
      <c r="H92" s="6">
        <v>1</v>
      </c>
      <c r="I92" s="3"/>
      <c r="J92" s="4" t="s">
        <v>175</v>
      </c>
      <c r="K92" s="5" t="s">
        <v>176</v>
      </c>
    </row>
    <row r="93" spans="1:11" x14ac:dyDescent="0.35">
      <c r="A93" s="4" t="s">
        <v>151</v>
      </c>
      <c r="B93" s="5" t="s">
        <v>152</v>
      </c>
      <c r="C93" s="5" t="s">
        <v>508</v>
      </c>
      <c r="D93" s="6">
        <v>2026</v>
      </c>
      <c r="E93" s="6">
        <v>5</v>
      </c>
      <c r="F93" s="6">
        <v>21</v>
      </c>
      <c r="G93" s="6">
        <v>22</v>
      </c>
      <c r="H93" s="6">
        <v>1</v>
      </c>
      <c r="I93" s="3"/>
      <c r="J93" s="4" t="s">
        <v>178</v>
      </c>
      <c r="K93" s="5" t="s">
        <v>179</v>
      </c>
    </row>
    <row r="94" spans="1:11" x14ac:dyDescent="0.35">
      <c r="A94" s="4" t="s">
        <v>153</v>
      </c>
      <c r="B94" s="5" t="s">
        <v>154</v>
      </c>
      <c r="C94" s="5" t="s">
        <v>509</v>
      </c>
      <c r="D94" s="6">
        <v>2026</v>
      </c>
      <c r="E94" s="6">
        <v>5</v>
      </c>
      <c r="F94" s="6">
        <v>18</v>
      </c>
      <c r="G94" s="6">
        <v>21</v>
      </c>
      <c r="H94" s="6">
        <v>0</v>
      </c>
      <c r="I94" s="3"/>
      <c r="J94" s="4" t="s">
        <v>181</v>
      </c>
      <c r="K94" s="5" t="s">
        <v>182</v>
      </c>
    </row>
    <row r="95" spans="1:11" x14ac:dyDescent="0.35">
      <c r="A95" s="4" t="s">
        <v>155</v>
      </c>
      <c r="B95" s="5" t="s">
        <v>156</v>
      </c>
      <c r="C95" s="5" t="s">
        <v>510</v>
      </c>
      <c r="D95" s="6">
        <v>2026</v>
      </c>
      <c r="E95" s="6">
        <v>5</v>
      </c>
      <c r="F95" s="6">
        <v>22</v>
      </c>
      <c r="G95" s="6">
        <v>21</v>
      </c>
      <c r="H95" s="6">
        <v>3</v>
      </c>
      <c r="I95" s="3"/>
      <c r="J95" s="4" t="s">
        <v>183</v>
      </c>
      <c r="K95" s="5" t="s">
        <v>184</v>
      </c>
    </row>
    <row r="96" spans="1:11" x14ac:dyDescent="0.35">
      <c r="A96" s="4" t="s">
        <v>157</v>
      </c>
      <c r="B96" s="5" t="s">
        <v>158</v>
      </c>
      <c r="C96" s="5" t="s">
        <v>511</v>
      </c>
      <c r="D96" s="6">
        <v>2026</v>
      </c>
      <c r="E96" s="6">
        <v>5</v>
      </c>
      <c r="F96" s="6">
        <v>14</v>
      </c>
      <c r="G96" s="6">
        <v>13</v>
      </c>
      <c r="H96" s="6">
        <v>3</v>
      </c>
      <c r="I96" s="3"/>
      <c r="J96" s="4" t="s">
        <v>186</v>
      </c>
      <c r="K96" s="5" t="s">
        <v>187</v>
      </c>
    </row>
    <row r="97" spans="1:11" x14ac:dyDescent="0.35">
      <c r="A97" s="4" t="s">
        <v>159</v>
      </c>
      <c r="B97" s="5" t="s">
        <v>160</v>
      </c>
      <c r="C97" s="5" t="s">
        <v>512</v>
      </c>
      <c r="D97" s="6">
        <v>2026</v>
      </c>
      <c r="E97" s="6">
        <v>5</v>
      </c>
      <c r="F97" s="6">
        <v>11</v>
      </c>
      <c r="G97" s="6">
        <v>14</v>
      </c>
      <c r="H97" s="6">
        <v>4</v>
      </c>
      <c r="I97" s="3"/>
      <c r="J97" s="4" t="s">
        <v>189</v>
      </c>
      <c r="K97" s="5" t="s">
        <v>190</v>
      </c>
    </row>
    <row r="98" spans="1:11" x14ac:dyDescent="0.35">
      <c r="A98" s="4" t="s">
        <v>161</v>
      </c>
      <c r="B98" s="5" t="s">
        <v>162</v>
      </c>
      <c r="C98" s="5" t="s">
        <v>513</v>
      </c>
      <c r="D98" s="6">
        <v>2026</v>
      </c>
      <c r="E98" s="6">
        <v>5</v>
      </c>
      <c r="F98" s="6">
        <v>19</v>
      </c>
      <c r="G98" s="6">
        <v>17</v>
      </c>
      <c r="H98" s="6">
        <v>5</v>
      </c>
      <c r="I98" s="3"/>
      <c r="J98" s="4" t="s">
        <v>191</v>
      </c>
      <c r="K98" s="5" t="s">
        <v>192</v>
      </c>
    </row>
    <row r="99" spans="1:11" x14ac:dyDescent="0.35">
      <c r="A99" s="4" t="s">
        <v>163</v>
      </c>
      <c r="B99" s="5" t="s">
        <v>164</v>
      </c>
      <c r="C99" s="5" t="s">
        <v>514</v>
      </c>
      <c r="D99" s="6">
        <v>2026</v>
      </c>
      <c r="E99" s="6">
        <v>5</v>
      </c>
      <c r="F99" s="6">
        <v>18</v>
      </c>
      <c r="G99" s="6">
        <v>16</v>
      </c>
      <c r="H99" s="6">
        <v>4</v>
      </c>
      <c r="I99" s="3"/>
      <c r="J99" s="4" t="s">
        <v>193</v>
      </c>
      <c r="K99" s="5" t="s">
        <v>194</v>
      </c>
    </row>
    <row r="100" spans="1:11" x14ac:dyDescent="0.35">
      <c r="A100" s="4" t="s">
        <v>165</v>
      </c>
      <c r="B100" s="5" t="s">
        <v>166</v>
      </c>
      <c r="C100" s="5" t="s">
        <v>515</v>
      </c>
      <c r="D100" s="6">
        <v>2026</v>
      </c>
      <c r="E100" s="6">
        <v>5</v>
      </c>
      <c r="F100" s="6">
        <v>20</v>
      </c>
      <c r="G100" s="6">
        <v>21</v>
      </c>
      <c r="H100" s="6">
        <v>2</v>
      </c>
      <c r="I100" s="3"/>
      <c r="J100" s="4" t="s">
        <v>195</v>
      </c>
      <c r="K100" s="5" t="s">
        <v>196</v>
      </c>
    </row>
    <row r="101" spans="1:11" x14ac:dyDescent="0.35">
      <c r="A101" s="4" t="s">
        <v>167</v>
      </c>
      <c r="B101" s="5" t="s">
        <v>168</v>
      </c>
      <c r="C101" s="5" t="s">
        <v>440</v>
      </c>
      <c r="D101" s="6">
        <v>2026</v>
      </c>
      <c r="E101" s="6">
        <v>5</v>
      </c>
      <c r="F101" s="6">
        <v>22</v>
      </c>
      <c r="G101" s="6">
        <v>22</v>
      </c>
      <c r="H101" s="6">
        <v>0</v>
      </c>
      <c r="I101" s="3"/>
      <c r="J101" s="4" t="s">
        <v>197</v>
      </c>
      <c r="K101" s="5" t="s">
        <v>198</v>
      </c>
    </row>
    <row r="102" spans="1:11" x14ac:dyDescent="0.35">
      <c r="A102" s="4" t="s">
        <v>169</v>
      </c>
      <c r="B102" s="5" t="s">
        <v>170</v>
      </c>
      <c r="C102" s="5" t="s">
        <v>516</v>
      </c>
      <c r="D102" s="6">
        <v>2026</v>
      </c>
      <c r="E102" s="6">
        <v>5</v>
      </c>
      <c r="F102" s="6">
        <v>26</v>
      </c>
      <c r="G102" s="6">
        <v>26</v>
      </c>
      <c r="H102" s="6">
        <v>2</v>
      </c>
      <c r="I102" s="3"/>
      <c r="J102" s="4" t="s">
        <v>199</v>
      </c>
      <c r="K102" s="5" t="s">
        <v>200</v>
      </c>
    </row>
    <row r="103" spans="1:11" x14ac:dyDescent="0.35">
      <c r="A103" s="4" t="s">
        <v>171</v>
      </c>
      <c r="B103" s="5" t="s">
        <v>172</v>
      </c>
      <c r="C103" s="5" t="s">
        <v>517</v>
      </c>
      <c r="D103" s="6">
        <v>2026</v>
      </c>
      <c r="E103" s="6">
        <v>5</v>
      </c>
      <c r="F103" s="6">
        <v>20</v>
      </c>
      <c r="G103" s="6">
        <v>22</v>
      </c>
      <c r="H103" s="6">
        <v>0</v>
      </c>
      <c r="I103" s="3"/>
      <c r="J103" s="4" t="s">
        <v>201</v>
      </c>
      <c r="K103" s="5" t="s">
        <v>202</v>
      </c>
    </row>
    <row r="104" spans="1:11" x14ac:dyDescent="0.35">
      <c r="A104" s="4" t="s">
        <v>173</v>
      </c>
      <c r="B104" s="5" t="s">
        <v>174</v>
      </c>
      <c r="C104" s="5" t="s">
        <v>518</v>
      </c>
      <c r="D104" s="6">
        <v>2026</v>
      </c>
      <c r="E104" s="6">
        <v>5</v>
      </c>
      <c r="F104" s="6">
        <v>18</v>
      </c>
      <c r="G104" s="6">
        <v>21</v>
      </c>
      <c r="H104" s="6">
        <v>1</v>
      </c>
      <c r="I104" s="3"/>
      <c r="J104" s="4" t="s">
        <v>204</v>
      </c>
      <c r="K104" s="5" t="s">
        <v>205</v>
      </c>
    </row>
    <row r="105" spans="1:11" x14ac:dyDescent="0.35">
      <c r="A105" s="4" t="s">
        <v>175</v>
      </c>
      <c r="B105" s="5" t="s">
        <v>176</v>
      </c>
      <c r="C105" s="5" t="s">
        <v>177</v>
      </c>
      <c r="D105" s="6">
        <v>2026</v>
      </c>
      <c r="E105" s="6">
        <v>5</v>
      </c>
      <c r="F105" s="6">
        <v>13</v>
      </c>
      <c r="G105" s="6">
        <v>14</v>
      </c>
      <c r="H105" s="6">
        <v>1</v>
      </c>
      <c r="I105" s="3"/>
      <c r="J105" s="4" t="s">
        <v>214</v>
      </c>
      <c r="K105" s="5" t="s">
        <v>213</v>
      </c>
    </row>
    <row r="106" spans="1:11" x14ac:dyDescent="0.35">
      <c r="A106" s="4" t="s">
        <v>178</v>
      </c>
      <c r="B106" s="5" t="s">
        <v>179</v>
      </c>
      <c r="C106" s="5" t="s">
        <v>180</v>
      </c>
      <c r="D106" s="6">
        <v>2026</v>
      </c>
      <c r="E106" s="6">
        <v>5</v>
      </c>
      <c r="F106" s="6">
        <v>17</v>
      </c>
      <c r="G106" s="6">
        <v>18</v>
      </c>
      <c r="H106" s="6">
        <v>0</v>
      </c>
      <c r="I106" s="3"/>
      <c r="J106" s="4" t="s">
        <v>206</v>
      </c>
      <c r="K106" s="5" t="s">
        <v>207</v>
      </c>
    </row>
    <row r="107" spans="1:11" x14ac:dyDescent="0.35">
      <c r="A107" s="4" t="s">
        <v>181</v>
      </c>
      <c r="B107" s="5" t="s">
        <v>182</v>
      </c>
      <c r="C107" s="5" t="s">
        <v>519</v>
      </c>
      <c r="D107" s="6">
        <v>2026</v>
      </c>
      <c r="E107" s="6">
        <v>5</v>
      </c>
      <c r="F107" s="6">
        <v>36</v>
      </c>
      <c r="G107" s="6">
        <v>42</v>
      </c>
      <c r="H107" s="6">
        <v>3</v>
      </c>
      <c r="I107" s="3"/>
      <c r="J107" s="4" t="s">
        <v>208</v>
      </c>
      <c r="K107" s="5" t="s">
        <v>209</v>
      </c>
    </row>
    <row r="108" spans="1:11" x14ac:dyDescent="0.35">
      <c r="A108" s="4" t="s">
        <v>183</v>
      </c>
      <c r="B108" s="5" t="s">
        <v>184</v>
      </c>
      <c r="C108" s="5" t="s">
        <v>185</v>
      </c>
      <c r="D108" s="6">
        <v>2026</v>
      </c>
      <c r="E108" s="6">
        <v>5</v>
      </c>
      <c r="F108" s="6">
        <v>15</v>
      </c>
      <c r="G108" s="6">
        <v>16</v>
      </c>
      <c r="H108" s="6">
        <v>1</v>
      </c>
      <c r="I108" s="3"/>
      <c r="J108" s="4" t="s">
        <v>211</v>
      </c>
      <c r="K108" s="5" t="s">
        <v>212</v>
      </c>
    </row>
    <row r="109" spans="1:11" x14ac:dyDescent="0.35">
      <c r="A109" s="4" t="s">
        <v>186</v>
      </c>
      <c r="B109" s="5" t="s">
        <v>187</v>
      </c>
      <c r="C109" s="5" t="s">
        <v>188</v>
      </c>
      <c r="D109" s="6">
        <v>2026</v>
      </c>
      <c r="E109" s="6">
        <v>5</v>
      </c>
      <c r="F109" s="6">
        <v>14</v>
      </c>
      <c r="G109" s="6">
        <v>14</v>
      </c>
      <c r="H109" s="6">
        <v>1</v>
      </c>
      <c r="I109" s="3"/>
      <c r="J109" s="4" t="s">
        <v>215</v>
      </c>
      <c r="K109" s="5" t="s">
        <v>216</v>
      </c>
    </row>
    <row r="110" spans="1:11" x14ac:dyDescent="0.35">
      <c r="A110" s="4" t="s">
        <v>189</v>
      </c>
      <c r="B110" s="5" t="s">
        <v>190</v>
      </c>
      <c r="C110" s="5" t="s">
        <v>520</v>
      </c>
      <c r="D110" s="6">
        <v>2026</v>
      </c>
      <c r="E110" s="6">
        <v>5</v>
      </c>
      <c r="F110" s="6">
        <v>14</v>
      </c>
      <c r="G110" s="6">
        <v>13</v>
      </c>
      <c r="H110" s="6">
        <v>1</v>
      </c>
      <c r="I110" s="3"/>
      <c r="J110" s="4" t="s">
        <v>218</v>
      </c>
      <c r="K110" s="5" t="s">
        <v>219</v>
      </c>
    </row>
    <row r="111" spans="1:11" x14ac:dyDescent="0.35">
      <c r="A111" s="4" t="s">
        <v>191</v>
      </c>
      <c r="B111" s="5" t="s">
        <v>192</v>
      </c>
      <c r="C111" s="5" t="s">
        <v>521</v>
      </c>
      <c r="D111" s="6">
        <v>2026</v>
      </c>
      <c r="E111" s="6">
        <v>5</v>
      </c>
      <c r="F111" s="6">
        <v>16</v>
      </c>
      <c r="G111" s="6">
        <v>16</v>
      </c>
      <c r="H111" s="6">
        <v>0</v>
      </c>
      <c r="I111" s="3"/>
      <c r="J111" s="4" t="s">
        <v>220</v>
      </c>
      <c r="K111" s="5" t="s">
        <v>221</v>
      </c>
    </row>
    <row r="112" spans="1:11" x14ac:dyDescent="0.35">
      <c r="A112" s="4" t="s">
        <v>193</v>
      </c>
      <c r="B112" s="5" t="s">
        <v>194</v>
      </c>
      <c r="C112" s="5" t="s">
        <v>522</v>
      </c>
      <c r="D112" s="6">
        <v>2026</v>
      </c>
      <c r="E112" s="6">
        <v>5</v>
      </c>
      <c r="F112" s="6">
        <v>18</v>
      </c>
      <c r="G112" s="6">
        <v>18</v>
      </c>
      <c r="H112" s="6">
        <v>0</v>
      </c>
      <c r="I112" s="3"/>
      <c r="J112" s="4" t="s">
        <v>222</v>
      </c>
      <c r="K112" s="5" t="s">
        <v>223</v>
      </c>
    </row>
    <row r="113" spans="1:11" x14ac:dyDescent="0.35">
      <c r="A113" s="4" t="s">
        <v>195</v>
      </c>
      <c r="B113" s="5" t="s">
        <v>196</v>
      </c>
      <c r="C113" s="5" t="s">
        <v>440</v>
      </c>
      <c r="D113" s="6">
        <v>2026</v>
      </c>
      <c r="E113" s="6">
        <v>5</v>
      </c>
      <c r="F113" s="6">
        <v>22</v>
      </c>
      <c r="G113" s="6">
        <v>23</v>
      </c>
      <c r="H113" s="6">
        <v>1</v>
      </c>
      <c r="I113" s="3"/>
      <c r="J113" s="4" t="s">
        <v>225</v>
      </c>
      <c r="K113" s="5" t="s">
        <v>226</v>
      </c>
    </row>
    <row r="114" spans="1:11" x14ac:dyDescent="0.35">
      <c r="A114" s="4" t="s">
        <v>197</v>
      </c>
      <c r="B114" s="5" t="s">
        <v>198</v>
      </c>
      <c r="C114" s="5" t="s">
        <v>523</v>
      </c>
      <c r="D114" s="6">
        <v>2026</v>
      </c>
      <c r="E114" s="6">
        <v>5</v>
      </c>
      <c r="F114" s="6">
        <v>14</v>
      </c>
      <c r="G114" s="6">
        <v>14</v>
      </c>
      <c r="H114" s="6">
        <v>2</v>
      </c>
      <c r="I114" s="3"/>
      <c r="J114" s="4" t="s">
        <v>228</v>
      </c>
      <c r="K114" s="5" t="s">
        <v>229</v>
      </c>
    </row>
    <row r="115" spans="1:11" x14ac:dyDescent="0.35">
      <c r="A115" s="4" t="s">
        <v>199</v>
      </c>
      <c r="B115" s="5" t="s">
        <v>200</v>
      </c>
      <c r="C115" s="5" t="s">
        <v>524</v>
      </c>
      <c r="D115" s="6">
        <v>2026</v>
      </c>
      <c r="E115" s="6">
        <v>5</v>
      </c>
      <c r="F115" s="6">
        <v>10</v>
      </c>
      <c r="G115" s="6">
        <v>13</v>
      </c>
      <c r="H115" s="6">
        <v>2</v>
      </c>
      <c r="I115" s="3"/>
      <c r="J115" s="4" t="s">
        <v>230</v>
      </c>
      <c r="K115" s="5" t="s">
        <v>231</v>
      </c>
    </row>
    <row r="116" spans="1:11" x14ac:dyDescent="0.35">
      <c r="A116" s="4" t="s">
        <v>201</v>
      </c>
      <c r="B116" s="5" t="s">
        <v>202</v>
      </c>
      <c r="C116" s="5" t="s">
        <v>203</v>
      </c>
      <c r="D116" s="6">
        <v>2026</v>
      </c>
      <c r="E116" s="6">
        <v>5</v>
      </c>
      <c r="F116" s="6">
        <v>27</v>
      </c>
      <c r="G116" s="6">
        <v>31</v>
      </c>
      <c r="H116" s="6">
        <v>4</v>
      </c>
      <c r="I116" s="3"/>
      <c r="J116" s="4" t="s">
        <v>232</v>
      </c>
      <c r="K116" s="5" t="s">
        <v>233</v>
      </c>
    </row>
    <row r="117" spans="1:11" x14ac:dyDescent="0.35">
      <c r="A117" s="4" t="s">
        <v>204</v>
      </c>
      <c r="B117" s="5" t="s">
        <v>205</v>
      </c>
      <c r="C117" s="5" t="s">
        <v>525</v>
      </c>
      <c r="D117" s="6">
        <v>2026</v>
      </c>
      <c r="E117" s="6">
        <v>5</v>
      </c>
      <c r="F117" s="6">
        <v>15</v>
      </c>
      <c r="G117" s="6">
        <v>13</v>
      </c>
      <c r="H117" s="6">
        <v>2</v>
      </c>
      <c r="I117" s="3"/>
      <c r="J117" s="4" t="s">
        <v>235</v>
      </c>
      <c r="K117" s="5" t="s">
        <v>236</v>
      </c>
    </row>
    <row r="118" spans="1:11" x14ac:dyDescent="0.35">
      <c r="A118" s="4" t="s">
        <v>206</v>
      </c>
      <c r="B118" s="5" t="s">
        <v>207</v>
      </c>
      <c r="C118" s="5" t="s">
        <v>526</v>
      </c>
      <c r="D118" s="6">
        <v>2026</v>
      </c>
      <c r="E118" s="6">
        <v>5</v>
      </c>
      <c r="F118" s="6">
        <v>11</v>
      </c>
      <c r="G118" s="6">
        <v>12</v>
      </c>
      <c r="H118" s="6">
        <v>0</v>
      </c>
      <c r="I118" s="3"/>
      <c r="J118" s="4" t="s">
        <v>237</v>
      </c>
      <c r="K118" s="5" t="s">
        <v>238</v>
      </c>
    </row>
    <row r="119" spans="1:11" x14ac:dyDescent="0.35">
      <c r="A119" s="4" t="s">
        <v>208</v>
      </c>
      <c r="B119" s="5" t="s">
        <v>209</v>
      </c>
      <c r="C119" s="5" t="s">
        <v>210</v>
      </c>
      <c r="D119" s="6">
        <v>2026</v>
      </c>
      <c r="E119" s="6">
        <v>5</v>
      </c>
      <c r="F119" s="6">
        <v>24</v>
      </c>
      <c r="G119" s="6">
        <v>24</v>
      </c>
      <c r="H119" s="6">
        <v>1</v>
      </c>
      <c r="I119" s="3"/>
      <c r="J119" s="4" t="s">
        <v>239</v>
      </c>
      <c r="K119" s="5" t="s">
        <v>240</v>
      </c>
    </row>
    <row r="120" spans="1:11" x14ac:dyDescent="0.35">
      <c r="A120" s="4" t="s">
        <v>211</v>
      </c>
      <c r="B120" s="5" t="s">
        <v>212</v>
      </c>
      <c r="C120" s="5" t="s">
        <v>527</v>
      </c>
      <c r="D120" s="6">
        <v>2026</v>
      </c>
      <c r="E120" s="6">
        <v>5</v>
      </c>
      <c r="F120" s="6">
        <v>25</v>
      </c>
      <c r="G120" s="6">
        <v>24</v>
      </c>
      <c r="H120" s="6">
        <v>1</v>
      </c>
      <c r="I120" s="3"/>
      <c r="J120" s="4" t="s">
        <v>241</v>
      </c>
      <c r="K120" s="5" t="s">
        <v>242</v>
      </c>
    </row>
    <row r="121" spans="1:11" x14ac:dyDescent="0.35">
      <c r="A121" s="4" t="s">
        <v>215</v>
      </c>
      <c r="B121" s="5" t="s">
        <v>216</v>
      </c>
      <c r="C121" s="5" t="s">
        <v>217</v>
      </c>
      <c r="D121" s="6">
        <v>2026</v>
      </c>
      <c r="E121" s="6">
        <v>5</v>
      </c>
      <c r="F121" s="6">
        <v>17</v>
      </c>
      <c r="G121" s="6">
        <v>16</v>
      </c>
      <c r="H121" s="6">
        <v>2</v>
      </c>
      <c r="I121" s="3"/>
      <c r="J121" s="4" t="s">
        <v>243</v>
      </c>
      <c r="K121" s="5" t="s">
        <v>244</v>
      </c>
    </row>
    <row r="122" spans="1:11" x14ac:dyDescent="0.35">
      <c r="A122" s="4" t="s">
        <v>218</v>
      </c>
      <c r="B122" s="5" t="s">
        <v>219</v>
      </c>
      <c r="C122" s="5" t="s">
        <v>528</v>
      </c>
      <c r="D122" s="6">
        <v>2026</v>
      </c>
      <c r="E122" s="6">
        <v>5</v>
      </c>
      <c r="F122" s="6">
        <v>36</v>
      </c>
      <c r="G122" s="6">
        <v>37</v>
      </c>
      <c r="H122" s="6">
        <v>2</v>
      </c>
      <c r="I122" s="3"/>
      <c r="J122" s="4" t="s">
        <v>245</v>
      </c>
      <c r="K122" s="5" t="s">
        <v>246</v>
      </c>
    </row>
    <row r="123" spans="1:11" x14ac:dyDescent="0.35">
      <c r="A123" s="4" t="s">
        <v>220</v>
      </c>
      <c r="B123" s="5" t="s">
        <v>221</v>
      </c>
      <c r="C123" s="5" t="s">
        <v>529</v>
      </c>
      <c r="D123" s="6">
        <v>2026</v>
      </c>
      <c r="E123" s="6">
        <v>5</v>
      </c>
      <c r="F123" s="6">
        <v>12</v>
      </c>
      <c r="G123" s="6">
        <v>13</v>
      </c>
      <c r="H123" s="6">
        <v>0</v>
      </c>
      <c r="I123" s="3"/>
      <c r="J123" s="4" t="s">
        <v>247</v>
      </c>
      <c r="K123" s="5" t="s">
        <v>248</v>
      </c>
    </row>
    <row r="124" spans="1:11" x14ac:dyDescent="0.35">
      <c r="A124" s="4" t="s">
        <v>222</v>
      </c>
      <c r="B124" s="5" t="s">
        <v>223</v>
      </c>
      <c r="C124" s="5" t="s">
        <v>224</v>
      </c>
      <c r="D124" s="6">
        <v>2026</v>
      </c>
      <c r="E124" s="6">
        <v>5</v>
      </c>
      <c r="F124" s="6">
        <v>9</v>
      </c>
      <c r="G124" s="6">
        <v>9</v>
      </c>
      <c r="H124" s="6">
        <v>0</v>
      </c>
      <c r="I124" s="3"/>
      <c r="J124" s="4" t="s">
        <v>250</v>
      </c>
      <c r="K124" s="5" t="s">
        <v>251</v>
      </c>
    </row>
    <row r="125" spans="1:11" x14ac:dyDescent="0.35">
      <c r="A125" s="4" t="s">
        <v>225</v>
      </c>
      <c r="B125" s="5" t="s">
        <v>226</v>
      </c>
      <c r="C125" s="5" t="s">
        <v>227</v>
      </c>
      <c r="D125" s="6">
        <v>2026</v>
      </c>
      <c r="E125" s="6">
        <v>5</v>
      </c>
      <c r="F125" s="6" t="s">
        <v>599</v>
      </c>
      <c r="G125" s="6" t="s">
        <v>599</v>
      </c>
      <c r="H125" s="6" t="s">
        <v>599</v>
      </c>
      <c r="I125" s="3"/>
      <c r="J125" s="4" t="s">
        <v>252</v>
      </c>
      <c r="K125" s="5" t="s">
        <v>253</v>
      </c>
    </row>
    <row r="126" spans="1:11" x14ac:dyDescent="0.35">
      <c r="A126" s="4" t="s">
        <v>228</v>
      </c>
      <c r="B126" s="5" t="s">
        <v>229</v>
      </c>
      <c r="C126" s="5" t="s">
        <v>530</v>
      </c>
      <c r="D126" s="6">
        <v>2026</v>
      </c>
      <c r="E126" s="6">
        <v>5</v>
      </c>
      <c r="F126" s="6">
        <v>14</v>
      </c>
      <c r="G126" s="6">
        <v>16</v>
      </c>
      <c r="H126" s="6">
        <v>0</v>
      </c>
      <c r="I126" s="3"/>
      <c r="J126" s="4" t="s">
        <v>254</v>
      </c>
      <c r="K126" s="5" t="s">
        <v>255</v>
      </c>
    </row>
    <row r="127" spans="1:11" x14ac:dyDescent="0.35">
      <c r="A127" s="4" t="s">
        <v>230</v>
      </c>
      <c r="B127" s="5" t="s">
        <v>231</v>
      </c>
      <c r="C127" s="5" t="s">
        <v>531</v>
      </c>
      <c r="D127" s="6">
        <v>2026</v>
      </c>
      <c r="E127" s="6">
        <v>5</v>
      </c>
      <c r="F127" s="6">
        <v>15</v>
      </c>
      <c r="G127" s="6">
        <v>15</v>
      </c>
      <c r="H127" s="6">
        <v>0</v>
      </c>
      <c r="I127" s="3"/>
      <c r="J127" s="4" t="s">
        <v>256</v>
      </c>
      <c r="K127" s="5" t="s">
        <v>257</v>
      </c>
    </row>
    <row r="128" spans="1:11" x14ac:dyDescent="0.35">
      <c r="A128" s="4" t="s">
        <v>232</v>
      </c>
      <c r="B128" s="5" t="s">
        <v>233</v>
      </c>
      <c r="C128" s="5" t="s">
        <v>234</v>
      </c>
      <c r="D128" s="6">
        <v>2026</v>
      </c>
      <c r="E128" s="6">
        <v>5</v>
      </c>
      <c r="F128" s="6">
        <v>17</v>
      </c>
      <c r="G128" s="6">
        <v>16</v>
      </c>
      <c r="H128" s="6">
        <v>1</v>
      </c>
      <c r="I128" s="3"/>
      <c r="J128" s="4" t="s">
        <v>258</v>
      </c>
      <c r="K128" s="5" t="s">
        <v>259</v>
      </c>
    </row>
    <row r="129" spans="1:11" x14ac:dyDescent="0.35">
      <c r="A129" s="4" t="s">
        <v>235</v>
      </c>
      <c r="B129" s="5" t="s">
        <v>236</v>
      </c>
      <c r="C129" s="5" t="s">
        <v>532</v>
      </c>
      <c r="D129" s="6">
        <v>2026</v>
      </c>
      <c r="E129" s="6">
        <v>5</v>
      </c>
      <c r="F129" s="6">
        <v>14</v>
      </c>
      <c r="G129" s="6">
        <v>15</v>
      </c>
      <c r="H129" s="6">
        <v>0</v>
      </c>
      <c r="I129" s="3"/>
      <c r="J129" s="4" t="s">
        <v>260</v>
      </c>
      <c r="K129" s="5" t="s">
        <v>261</v>
      </c>
    </row>
    <row r="130" spans="1:11" x14ac:dyDescent="0.35">
      <c r="A130" s="4" t="s">
        <v>237</v>
      </c>
      <c r="B130" s="5" t="s">
        <v>238</v>
      </c>
      <c r="C130" s="5" t="s">
        <v>533</v>
      </c>
      <c r="D130" s="6">
        <v>2026</v>
      </c>
      <c r="E130" s="6">
        <v>5</v>
      </c>
      <c r="F130" s="6">
        <v>41</v>
      </c>
      <c r="G130" s="6">
        <v>37</v>
      </c>
      <c r="H130" s="6">
        <v>6</v>
      </c>
      <c r="I130" s="3"/>
      <c r="J130" s="4" t="s">
        <v>262</v>
      </c>
      <c r="K130" s="5" t="s">
        <v>263</v>
      </c>
    </row>
    <row r="131" spans="1:11" x14ac:dyDescent="0.35">
      <c r="A131" s="4" t="s">
        <v>239</v>
      </c>
      <c r="B131" s="5" t="s">
        <v>240</v>
      </c>
      <c r="C131" s="5" t="s">
        <v>534</v>
      </c>
      <c r="D131" s="6">
        <v>2026</v>
      </c>
      <c r="E131" s="6">
        <v>5</v>
      </c>
      <c r="F131" s="6">
        <v>24</v>
      </c>
      <c r="G131" s="6">
        <v>25</v>
      </c>
      <c r="H131" s="6">
        <v>1</v>
      </c>
      <c r="I131" s="3"/>
      <c r="J131" s="4" t="s">
        <v>264</v>
      </c>
      <c r="K131" s="5" t="s">
        <v>265</v>
      </c>
    </row>
    <row r="132" spans="1:11" x14ac:dyDescent="0.35">
      <c r="A132" s="4" t="s">
        <v>241</v>
      </c>
      <c r="B132" s="5" t="s">
        <v>242</v>
      </c>
      <c r="C132" s="5" t="s">
        <v>535</v>
      </c>
      <c r="D132" s="6">
        <v>2026</v>
      </c>
      <c r="E132" s="6">
        <v>5</v>
      </c>
      <c r="F132" s="6">
        <v>14</v>
      </c>
      <c r="G132" s="6">
        <v>14</v>
      </c>
      <c r="H132" s="6">
        <v>2</v>
      </c>
      <c r="I132" s="3"/>
      <c r="J132" s="4" t="s">
        <v>266</v>
      </c>
      <c r="K132" s="5" t="s">
        <v>267</v>
      </c>
    </row>
    <row r="133" spans="1:11" x14ac:dyDescent="0.35">
      <c r="A133" s="4" t="s">
        <v>243</v>
      </c>
      <c r="B133" s="5" t="s">
        <v>244</v>
      </c>
      <c r="C133" s="5" t="s">
        <v>440</v>
      </c>
      <c r="D133" s="6">
        <v>2026</v>
      </c>
      <c r="E133" s="6">
        <v>5</v>
      </c>
      <c r="F133" s="6">
        <v>25</v>
      </c>
      <c r="G133" s="6">
        <v>28</v>
      </c>
      <c r="H133" s="6">
        <v>1</v>
      </c>
      <c r="I133" s="3"/>
      <c r="J133" s="4" t="s">
        <v>268</v>
      </c>
      <c r="K133" s="5" t="s">
        <v>269</v>
      </c>
    </row>
    <row r="134" spans="1:11" x14ac:dyDescent="0.35">
      <c r="A134" s="4" t="s">
        <v>245</v>
      </c>
      <c r="B134" s="5" t="s">
        <v>246</v>
      </c>
      <c r="C134" s="5" t="s">
        <v>536</v>
      </c>
      <c r="D134" s="6">
        <v>2026</v>
      </c>
      <c r="E134" s="6">
        <v>5</v>
      </c>
      <c r="F134" s="6">
        <v>16</v>
      </c>
      <c r="G134" s="6">
        <v>19</v>
      </c>
      <c r="H134" s="6">
        <v>3</v>
      </c>
      <c r="I134" s="3"/>
      <c r="J134" s="4" t="s">
        <v>271</v>
      </c>
      <c r="K134" s="5" t="s">
        <v>272</v>
      </c>
    </row>
    <row r="135" spans="1:11" x14ac:dyDescent="0.35">
      <c r="A135" s="4" t="s">
        <v>247</v>
      </c>
      <c r="B135" s="5" t="s">
        <v>248</v>
      </c>
      <c r="C135" s="5" t="s">
        <v>249</v>
      </c>
      <c r="D135" s="6">
        <v>2026</v>
      </c>
      <c r="E135" s="6">
        <v>5</v>
      </c>
      <c r="F135" s="6">
        <v>15</v>
      </c>
      <c r="G135" s="6">
        <v>17</v>
      </c>
      <c r="H135" s="6">
        <v>0</v>
      </c>
      <c r="I135" s="3"/>
      <c r="J135" s="4" t="s">
        <v>273</v>
      </c>
      <c r="K135" s="5" t="s">
        <v>274</v>
      </c>
    </row>
    <row r="136" spans="1:11" x14ac:dyDescent="0.35">
      <c r="A136" s="4" t="s">
        <v>250</v>
      </c>
      <c r="B136" s="5" t="s">
        <v>251</v>
      </c>
      <c r="C136" s="5" t="s">
        <v>537</v>
      </c>
      <c r="D136" s="6">
        <v>2026</v>
      </c>
      <c r="E136" s="6">
        <v>5</v>
      </c>
      <c r="F136" s="6">
        <v>14</v>
      </c>
      <c r="G136" s="6">
        <v>13</v>
      </c>
      <c r="H136" s="6">
        <v>1</v>
      </c>
      <c r="I136" s="3"/>
      <c r="J136" s="4" t="s">
        <v>276</v>
      </c>
      <c r="K136" s="5" t="s">
        <v>277</v>
      </c>
    </row>
    <row r="137" spans="1:11" x14ac:dyDescent="0.35">
      <c r="A137" s="4" t="s">
        <v>252</v>
      </c>
      <c r="B137" s="5" t="s">
        <v>253</v>
      </c>
      <c r="C137" s="5" t="s">
        <v>538</v>
      </c>
      <c r="D137" s="6">
        <v>2026</v>
      </c>
      <c r="E137" s="6">
        <v>5</v>
      </c>
      <c r="F137" s="6">
        <v>23</v>
      </c>
      <c r="G137" s="6">
        <v>21</v>
      </c>
      <c r="H137" s="6">
        <v>4</v>
      </c>
      <c r="I137" s="3"/>
      <c r="J137" s="4" t="s">
        <v>278</v>
      </c>
      <c r="K137" s="5" t="s">
        <v>279</v>
      </c>
    </row>
    <row r="138" spans="1:11" x14ac:dyDescent="0.35">
      <c r="A138" s="4" t="s">
        <v>254</v>
      </c>
      <c r="B138" s="5" t="s">
        <v>255</v>
      </c>
      <c r="C138" s="5" t="s">
        <v>539</v>
      </c>
      <c r="D138" s="6">
        <v>2026</v>
      </c>
      <c r="E138" s="6">
        <v>5</v>
      </c>
      <c r="F138" s="6" t="s">
        <v>599</v>
      </c>
      <c r="G138" s="6" t="s">
        <v>599</v>
      </c>
      <c r="H138" s="6" t="s">
        <v>599</v>
      </c>
      <c r="I138" s="3"/>
      <c r="J138" s="4" t="s">
        <v>280</v>
      </c>
      <c r="K138" s="5" t="s">
        <v>281</v>
      </c>
    </row>
    <row r="139" spans="1:11" x14ac:dyDescent="0.35">
      <c r="A139" s="4" t="s">
        <v>256</v>
      </c>
      <c r="B139" s="5" t="s">
        <v>257</v>
      </c>
      <c r="C139" s="5" t="s">
        <v>540</v>
      </c>
      <c r="D139" s="6">
        <v>2026</v>
      </c>
      <c r="E139" s="6">
        <v>5</v>
      </c>
      <c r="F139" s="6">
        <v>13</v>
      </c>
      <c r="G139" s="6">
        <v>13</v>
      </c>
      <c r="H139" s="6">
        <v>2</v>
      </c>
      <c r="I139" s="3"/>
      <c r="J139" s="4" t="s">
        <v>282</v>
      </c>
      <c r="K139" s="5" t="s">
        <v>283</v>
      </c>
    </row>
    <row r="140" spans="1:11" x14ac:dyDescent="0.35">
      <c r="A140" s="4" t="s">
        <v>258</v>
      </c>
      <c r="B140" s="5" t="s">
        <v>259</v>
      </c>
      <c r="C140" s="5" t="s">
        <v>541</v>
      </c>
      <c r="D140" s="6">
        <v>2026</v>
      </c>
      <c r="E140" s="6">
        <v>5</v>
      </c>
      <c r="F140" s="6">
        <v>15</v>
      </c>
      <c r="G140" s="6">
        <v>15</v>
      </c>
      <c r="H140" s="6">
        <v>1</v>
      </c>
      <c r="I140" s="3"/>
      <c r="J140" s="4" t="s">
        <v>284</v>
      </c>
      <c r="K140" s="5" t="s">
        <v>285</v>
      </c>
    </row>
    <row r="141" spans="1:11" x14ac:dyDescent="0.35">
      <c r="A141" s="4" t="s">
        <v>260</v>
      </c>
      <c r="B141" s="5" t="s">
        <v>261</v>
      </c>
      <c r="C141" s="5" t="s">
        <v>542</v>
      </c>
      <c r="D141" s="6">
        <v>2026</v>
      </c>
      <c r="E141" s="6">
        <v>5</v>
      </c>
      <c r="F141" s="6">
        <v>23</v>
      </c>
      <c r="G141" s="6">
        <v>25</v>
      </c>
      <c r="H141" s="6">
        <v>1</v>
      </c>
      <c r="I141" s="3"/>
      <c r="J141" s="4" t="s">
        <v>286</v>
      </c>
      <c r="K141" s="5" t="s">
        <v>287</v>
      </c>
    </row>
    <row r="142" spans="1:11" x14ac:dyDescent="0.35">
      <c r="A142" s="4" t="s">
        <v>262</v>
      </c>
      <c r="B142" s="5" t="s">
        <v>263</v>
      </c>
      <c r="C142" s="5" t="s">
        <v>543</v>
      </c>
      <c r="D142" s="6">
        <v>2026</v>
      </c>
      <c r="E142" s="6">
        <v>5</v>
      </c>
      <c r="F142" s="6">
        <v>11</v>
      </c>
      <c r="G142" s="6">
        <v>11</v>
      </c>
      <c r="H142" s="6">
        <v>0</v>
      </c>
      <c r="I142" s="3"/>
      <c r="J142" s="4" t="s">
        <v>288</v>
      </c>
      <c r="K142" s="5" t="s">
        <v>289</v>
      </c>
    </row>
    <row r="143" spans="1:11" x14ac:dyDescent="0.35">
      <c r="A143" s="4" t="s">
        <v>264</v>
      </c>
      <c r="B143" s="5" t="s">
        <v>265</v>
      </c>
      <c r="C143" s="5" t="s">
        <v>544</v>
      </c>
      <c r="D143" s="6">
        <v>2026</v>
      </c>
      <c r="E143" s="6">
        <v>5</v>
      </c>
      <c r="F143" s="6">
        <v>17</v>
      </c>
      <c r="G143" s="6">
        <v>18</v>
      </c>
      <c r="H143" s="6">
        <v>0</v>
      </c>
      <c r="I143" s="3"/>
      <c r="J143" s="4" t="s">
        <v>290</v>
      </c>
      <c r="K143" s="5" t="s">
        <v>291</v>
      </c>
    </row>
    <row r="144" spans="1:11" x14ac:dyDescent="0.35">
      <c r="A144" s="4" t="s">
        <v>266</v>
      </c>
      <c r="B144" s="5" t="s">
        <v>267</v>
      </c>
      <c r="C144" s="5" t="s">
        <v>545</v>
      </c>
      <c r="D144" s="6">
        <v>2026</v>
      </c>
      <c r="E144" s="6">
        <v>5</v>
      </c>
      <c r="F144" s="6">
        <v>24</v>
      </c>
      <c r="G144" s="6">
        <v>25</v>
      </c>
      <c r="H144" s="6">
        <v>0</v>
      </c>
      <c r="I144" s="3"/>
      <c r="J144" s="4" t="s">
        <v>293</v>
      </c>
      <c r="K144" s="5" t="s">
        <v>294</v>
      </c>
    </row>
    <row r="145" spans="1:11" x14ac:dyDescent="0.35">
      <c r="A145" s="4" t="s">
        <v>268</v>
      </c>
      <c r="B145" s="5" t="s">
        <v>269</v>
      </c>
      <c r="C145" s="5" t="s">
        <v>270</v>
      </c>
      <c r="D145" s="6">
        <v>2026</v>
      </c>
      <c r="E145" s="6">
        <v>5</v>
      </c>
      <c r="F145" s="6">
        <v>14</v>
      </c>
      <c r="G145" s="6">
        <v>15</v>
      </c>
      <c r="H145" s="6">
        <v>0</v>
      </c>
      <c r="I145" s="3"/>
      <c r="J145" s="4" t="s">
        <v>295</v>
      </c>
      <c r="K145" s="5" t="s">
        <v>296</v>
      </c>
    </row>
    <row r="146" spans="1:11" x14ac:dyDescent="0.35">
      <c r="A146" s="4" t="s">
        <v>271</v>
      </c>
      <c r="B146" s="5" t="s">
        <v>272</v>
      </c>
      <c r="C146" s="5" t="s">
        <v>546</v>
      </c>
      <c r="D146" s="6">
        <v>2026</v>
      </c>
      <c r="E146" s="6">
        <v>5</v>
      </c>
      <c r="F146" s="6">
        <v>13</v>
      </c>
      <c r="G146" s="6">
        <v>15</v>
      </c>
      <c r="H146" s="6">
        <v>0</v>
      </c>
      <c r="I146" s="3"/>
      <c r="J146" s="4" t="s">
        <v>297</v>
      </c>
      <c r="K146" s="5" t="s">
        <v>298</v>
      </c>
    </row>
    <row r="147" spans="1:11" x14ac:dyDescent="0.35">
      <c r="A147" s="4" t="s">
        <v>273</v>
      </c>
      <c r="B147" s="5" t="s">
        <v>274</v>
      </c>
      <c r="C147" s="5" t="s">
        <v>275</v>
      </c>
      <c r="D147" s="6">
        <v>2026</v>
      </c>
      <c r="E147" s="6">
        <v>5</v>
      </c>
      <c r="F147" s="6">
        <v>21</v>
      </c>
      <c r="G147" s="6">
        <v>22</v>
      </c>
      <c r="H147" s="6">
        <v>7</v>
      </c>
      <c r="I147" s="3"/>
      <c r="J147" s="4" t="s">
        <v>300</v>
      </c>
      <c r="K147" s="5" t="s">
        <v>301</v>
      </c>
    </row>
    <row r="148" spans="1:11" x14ac:dyDescent="0.35">
      <c r="A148" s="4" t="s">
        <v>276</v>
      </c>
      <c r="B148" s="5" t="s">
        <v>277</v>
      </c>
      <c r="C148" s="5" t="s">
        <v>547</v>
      </c>
      <c r="D148" s="6">
        <v>2026</v>
      </c>
      <c r="E148" s="6">
        <v>5</v>
      </c>
      <c r="F148" s="6">
        <v>22</v>
      </c>
      <c r="G148" s="6">
        <v>22</v>
      </c>
      <c r="H148" s="6">
        <v>1</v>
      </c>
      <c r="I148" s="3"/>
      <c r="J148" s="4" t="s">
        <v>302</v>
      </c>
      <c r="K148" s="5" t="s">
        <v>303</v>
      </c>
    </row>
    <row r="149" spans="1:11" x14ac:dyDescent="0.35">
      <c r="A149" s="4" t="s">
        <v>278</v>
      </c>
      <c r="B149" s="5" t="s">
        <v>279</v>
      </c>
      <c r="C149" s="5" t="s">
        <v>548</v>
      </c>
      <c r="D149" s="6">
        <v>2026</v>
      </c>
      <c r="E149" s="6">
        <v>5</v>
      </c>
      <c r="F149" s="6">
        <v>67</v>
      </c>
      <c r="G149" s="6">
        <v>62</v>
      </c>
      <c r="H149" s="6">
        <v>11</v>
      </c>
      <c r="I149" s="3"/>
      <c r="J149" s="4" t="s">
        <v>305</v>
      </c>
      <c r="K149" s="5" t="s">
        <v>306</v>
      </c>
    </row>
    <row r="150" spans="1:11" x14ac:dyDescent="0.35">
      <c r="A150" s="4" t="s">
        <v>280</v>
      </c>
      <c r="B150" s="5" t="s">
        <v>281</v>
      </c>
      <c r="C150" s="5" t="s">
        <v>549</v>
      </c>
      <c r="D150" s="6">
        <v>2026</v>
      </c>
      <c r="E150" s="6">
        <v>5</v>
      </c>
      <c r="F150" s="6">
        <v>34</v>
      </c>
      <c r="G150" s="6">
        <v>34</v>
      </c>
      <c r="H150" s="6">
        <v>6</v>
      </c>
      <c r="I150" s="3"/>
      <c r="J150" s="4" t="s">
        <v>307</v>
      </c>
      <c r="K150" s="5" t="s">
        <v>308</v>
      </c>
    </row>
    <row r="151" spans="1:11" x14ac:dyDescent="0.35">
      <c r="A151" s="4" t="s">
        <v>282</v>
      </c>
      <c r="B151" s="5" t="s">
        <v>283</v>
      </c>
      <c r="C151" s="5" t="s">
        <v>550</v>
      </c>
      <c r="D151" s="6">
        <v>2026</v>
      </c>
      <c r="E151" s="6">
        <v>5</v>
      </c>
      <c r="F151" s="6">
        <v>13</v>
      </c>
      <c r="G151" s="6">
        <v>13</v>
      </c>
      <c r="H151" s="6">
        <v>2</v>
      </c>
      <c r="I151" s="3"/>
      <c r="J151" s="4" t="s">
        <v>309</v>
      </c>
      <c r="K151" s="5" t="s">
        <v>310</v>
      </c>
    </row>
    <row r="152" spans="1:11" x14ac:dyDescent="0.35">
      <c r="A152" s="4" t="s">
        <v>284</v>
      </c>
      <c r="B152" s="5" t="s">
        <v>285</v>
      </c>
      <c r="C152" s="5" t="s">
        <v>551</v>
      </c>
      <c r="D152" s="6">
        <v>2026</v>
      </c>
      <c r="E152" s="6">
        <v>5</v>
      </c>
      <c r="F152" s="6">
        <v>58</v>
      </c>
      <c r="G152" s="6">
        <v>56</v>
      </c>
      <c r="H152" s="6">
        <v>3</v>
      </c>
      <c r="I152" s="3"/>
      <c r="J152" s="4" t="s">
        <v>311</v>
      </c>
      <c r="K152" s="5" t="s">
        <v>312</v>
      </c>
    </row>
    <row r="153" spans="1:11" x14ac:dyDescent="0.35">
      <c r="A153" s="4" t="s">
        <v>286</v>
      </c>
      <c r="B153" s="5" t="s">
        <v>287</v>
      </c>
      <c r="C153" s="5" t="s">
        <v>552</v>
      </c>
      <c r="D153" s="6">
        <v>2026</v>
      </c>
      <c r="E153" s="6">
        <v>5</v>
      </c>
      <c r="F153" s="6">
        <v>13</v>
      </c>
      <c r="G153" s="6">
        <v>13</v>
      </c>
      <c r="H153" s="6">
        <v>0</v>
      </c>
      <c r="I153" s="3"/>
      <c r="J153" s="4" t="s">
        <v>313</v>
      </c>
      <c r="K153" s="5" t="s">
        <v>314</v>
      </c>
    </row>
    <row r="154" spans="1:11" x14ac:dyDescent="0.35">
      <c r="A154" s="4" t="s">
        <v>288</v>
      </c>
      <c r="B154" s="5" t="s">
        <v>289</v>
      </c>
      <c r="C154" s="5" t="s">
        <v>553</v>
      </c>
      <c r="D154" s="6">
        <v>2026</v>
      </c>
      <c r="E154" s="6">
        <v>5</v>
      </c>
      <c r="F154" s="6" t="s">
        <v>599</v>
      </c>
      <c r="G154" s="6" t="s">
        <v>599</v>
      </c>
      <c r="H154" s="6" t="s">
        <v>599</v>
      </c>
      <c r="I154" s="3"/>
      <c r="J154" s="4" t="s">
        <v>315</v>
      </c>
      <c r="K154" s="5" t="s">
        <v>316</v>
      </c>
    </row>
    <row r="155" spans="1:11" x14ac:dyDescent="0.35">
      <c r="A155" s="4" t="s">
        <v>290</v>
      </c>
      <c r="B155" s="5" t="s">
        <v>291</v>
      </c>
      <c r="C155" s="5" t="s">
        <v>292</v>
      </c>
      <c r="D155" s="6">
        <v>2026</v>
      </c>
      <c r="E155" s="6">
        <v>5</v>
      </c>
      <c r="F155" s="6">
        <v>13</v>
      </c>
      <c r="G155" s="6">
        <v>15</v>
      </c>
      <c r="H155" s="6">
        <v>1</v>
      </c>
      <c r="I155" s="3"/>
      <c r="J155" s="4" t="s">
        <v>318</v>
      </c>
      <c r="K155" s="5" t="s">
        <v>319</v>
      </c>
    </row>
    <row r="156" spans="1:11" x14ac:dyDescent="0.35">
      <c r="A156" s="4" t="s">
        <v>293</v>
      </c>
      <c r="B156" s="5" t="s">
        <v>294</v>
      </c>
      <c r="C156" s="5" t="s">
        <v>554</v>
      </c>
      <c r="D156" s="6">
        <v>2026</v>
      </c>
      <c r="E156" s="6">
        <v>5</v>
      </c>
      <c r="F156" s="6">
        <v>14</v>
      </c>
      <c r="G156" s="6">
        <v>14</v>
      </c>
      <c r="H156" s="6">
        <v>0</v>
      </c>
      <c r="I156" s="3"/>
      <c r="J156" s="4" t="s">
        <v>320</v>
      </c>
      <c r="K156" s="5" t="s">
        <v>321</v>
      </c>
    </row>
    <row r="157" spans="1:11" x14ac:dyDescent="0.35">
      <c r="A157" s="4" t="s">
        <v>295</v>
      </c>
      <c r="B157" s="5" t="s">
        <v>296</v>
      </c>
      <c r="C157" s="5" t="s">
        <v>555</v>
      </c>
      <c r="D157" s="6">
        <v>2026</v>
      </c>
      <c r="E157" s="6">
        <v>5</v>
      </c>
      <c r="F157" s="6">
        <v>17</v>
      </c>
      <c r="G157" s="6">
        <v>17</v>
      </c>
      <c r="H157" s="6">
        <v>4</v>
      </c>
      <c r="I157" s="3"/>
      <c r="J157" s="4" t="s">
        <v>322</v>
      </c>
      <c r="K157" s="5" t="s">
        <v>323</v>
      </c>
    </row>
    <row r="158" spans="1:11" x14ac:dyDescent="0.35">
      <c r="A158" s="4" t="s">
        <v>297</v>
      </c>
      <c r="B158" s="5" t="s">
        <v>298</v>
      </c>
      <c r="C158" s="5" t="s">
        <v>299</v>
      </c>
      <c r="D158" s="6">
        <v>2026</v>
      </c>
      <c r="E158" s="6">
        <v>5</v>
      </c>
      <c r="F158" s="6">
        <v>21</v>
      </c>
      <c r="G158" s="6">
        <v>20</v>
      </c>
      <c r="H158" s="6">
        <v>2</v>
      </c>
      <c r="I158" s="3"/>
      <c r="J158" s="4" t="s">
        <v>324</v>
      </c>
      <c r="K158" s="5" t="s">
        <v>325</v>
      </c>
    </row>
    <row r="159" spans="1:11" x14ac:dyDescent="0.35">
      <c r="A159" s="4" t="s">
        <v>300</v>
      </c>
      <c r="B159" s="5" t="s">
        <v>301</v>
      </c>
      <c r="C159" s="5" t="s">
        <v>556</v>
      </c>
      <c r="D159" s="6">
        <v>2026</v>
      </c>
      <c r="E159" s="6">
        <v>5</v>
      </c>
      <c r="F159" s="6">
        <v>10</v>
      </c>
      <c r="G159" s="6">
        <v>11</v>
      </c>
      <c r="H159" s="6">
        <v>0</v>
      </c>
      <c r="I159" s="3"/>
      <c r="J159" s="4" t="s">
        <v>326</v>
      </c>
      <c r="K159" s="5" t="s">
        <v>327</v>
      </c>
    </row>
    <row r="160" spans="1:11" x14ac:dyDescent="0.35">
      <c r="A160" s="4" t="s">
        <v>302</v>
      </c>
      <c r="B160" s="5" t="s">
        <v>303</v>
      </c>
      <c r="C160" s="5" t="s">
        <v>304</v>
      </c>
      <c r="D160" s="6">
        <v>2026</v>
      </c>
      <c r="E160" s="6">
        <v>5</v>
      </c>
      <c r="F160" s="6">
        <v>12</v>
      </c>
      <c r="G160" s="6">
        <v>10</v>
      </c>
      <c r="H160" s="6">
        <v>4</v>
      </c>
      <c r="I160" s="3"/>
      <c r="J160" s="4" t="s">
        <v>328</v>
      </c>
      <c r="K160" s="5" t="s">
        <v>329</v>
      </c>
    </row>
    <row r="161" spans="1:11" x14ac:dyDescent="0.35">
      <c r="A161" s="4" t="s">
        <v>305</v>
      </c>
      <c r="B161" s="5" t="s">
        <v>306</v>
      </c>
      <c r="C161" s="5" t="s">
        <v>557</v>
      </c>
      <c r="D161" s="6">
        <v>2026</v>
      </c>
      <c r="E161" s="6">
        <v>5</v>
      </c>
      <c r="F161" s="6">
        <v>15</v>
      </c>
      <c r="G161" s="6">
        <v>15</v>
      </c>
      <c r="H161" s="6">
        <v>1</v>
      </c>
      <c r="I161" s="3"/>
      <c r="J161" s="4" t="s">
        <v>330</v>
      </c>
      <c r="K161" s="5" t="s">
        <v>331</v>
      </c>
    </row>
    <row r="162" spans="1:11" x14ac:dyDescent="0.35">
      <c r="A162" s="4" t="s">
        <v>307</v>
      </c>
      <c r="B162" s="5" t="s">
        <v>308</v>
      </c>
      <c r="C162" s="5" t="s">
        <v>558</v>
      </c>
      <c r="D162" s="6">
        <v>2026</v>
      </c>
      <c r="E162" s="6">
        <v>5</v>
      </c>
      <c r="F162" s="6">
        <v>13</v>
      </c>
      <c r="G162" s="6">
        <v>15</v>
      </c>
      <c r="H162" s="6">
        <v>2</v>
      </c>
      <c r="I162" s="3"/>
      <c r="J162" s="4" t="s">
        <v>333</v>
      </c>
      <c r="K162" s="5" t="s">
        <v>334</v>
      </c>
    </row>
    <row r="163" spans="1:11" x14ac:dyDescent="0.35">
      <c r="A163" s="4" t="s">
        <v>309</v>
      </c>
      <c r="B163" s="5" t="s">
        <v>310</v>
      </c>
      <c r="C163" s="5" t="s">
        <v>559</v>
      </c>
      <c r="D163" s="6">
        <v>2026</v>
      </c>
      <c r="E163" s="6">
        <v>5</v>
      </c>
      <c r="F163" s="6">
        <v>15</v>
      </c>
      <c r="G163" s="6">
        <v>14</v>
      </c>
      <c r="H163" s="6">
        <v>2</v>
      </c>
      <c r="I163" s="3"/>
      <c r="J163" s="4" t="s">
        <v>335</v>
      </c>
      <c r="K163" s="5" t="s">
        <v>336</v>
      </c>
    </row>
    <row r="164" spans="1:11" x14ac:dyDescent="0.35">
      <c r="A164" s="4" t="s">
        <v>311</v>
      </c>
      <c r="B164" s="5" t="s">
        <v>312</v>
      </c>
      <c r="C164" s="5" t="s">
        <v>560</v>
      </c>
      <c r="D164" s="6">
        <v>2026</v>
      </c>
      <c r="E164" s="6">
        <v>5</v>
      </c>
      <c r="F164" s="6">
        <v>31</v>
      </c>
      <c r="G164" s="6">
        <v>30</v>
      </c>
      <c r="H164" s="6">
        <v>4</v>
      </c>
      <c r="I164" s="3"/>
      <c r="J164" s="4" t="s">
        <v>346</v>
      </c>
      <c r="K164" s="5" t="s">
        <v>345</v>
      </c>
    </row>
    <row r="165" spans="1:11" x14ac:dyDescent="0.35">
      <c r="A165" s="4" t="s">
        <v>313</v>
      </c>
      <c r="B165" s="5" t="s">
        <v>314</v>
      </c>
      <c r="C165" s="5" t="s">
        <v>561</v>
      </c>
      <c r="D165" s="6">
        <v>2026</v>
      </c>
      <c r="E165" s="6">
        <v>5</v>
      </c>
      <c r="F165" s="6">
        <v>15</v>
      </c>
      <c r="G165" s="6">
        <v>16</v>
      </c>
      <c r="H165" s="6">
        <v>1</v>
      </c>
      <c r="I165" s="3"/>
      <c r="J165" s="4" t="s">
        <v>337</v>
      </c>
      <c r="K165" s="5" t="s">
        <v>338</v>
      </c>
    </row>
    <row r="166" spans="1:11" x14ac:dyDescent="0.35">
      <c r="A166" s="4" t="s">
        <v>315</v>
      </c>
      <c r="B166" s="5" t="s">
        <v>316</v>
      </c>
      <c r="C166" s="5" t="s">
        <v>317</v>
      </c>
      <c r="D166" s="6">
        <v>2026</v>
      </c>
      <c r="E166" s="6">
        <v>5</v>
      </c>
      <c r="F166" s="6">
        <v>16</v>
      </c>
      <c r="G166" s="6">
        <v>17</v>
      </c>
      <c r="H166" s="6">
        <v>1</v>
      </c>
      <c r="I166" s="3"/>
      <c r="J166" s="4" t="s">
        <v>339</v>
      </c>
      <c r="K166" s="5" t="s">
        <v>340</v>
      </c>
    </row>
    <row r="167" spans="1:11" x14ac:dyDescent="0.35">
      <c r="A167" s="4" t="s">
        <v>318</v>
      </c>
      <c r="B167" s="5" t="s">
        <v>319</v>
      </c>
      <c r="C167" s="5" t="s">
        <v>562</v>
      </c>
      <c r="D167" s="6">
        <v>2026</v>
      </c>
      <c r="E167" s="6">
        <v>5</v>
      </c>
      <c r="F167" s="6">
        <v>35</v>
      </c>
      <c r="G167" s="6">
        <v>36</v>
      </c>
      <c r="H167" s="6">
        <v>11</v>
      </c>
      <c r="I167" s="3"/>
      <c r="J167" s="4" t="s">
        <v>341</v>
      </c>
      <c r="K167" s="5" t="s">
        <v>342</v>
      </c>
    </row>
    <row r="168" spans="1:11" x14ac:dyDescent="0.35">
      <c r="A168" s="4" t="s">
        <v>320</v>
      </c>
      <c r="B168" s="5" t="s">
        <v>321</v>
      </c>
      <c r="C168" s="5" t="s">
        <v>563</v>
      </c>
      <c r="D168" s="6">
        <v>2026</v>
      </c>
      <c r="E168" s="6">
        <v>5</v>
      </c>
      <c r="F168" s="6">
        <v>6</v>
      </c>
      <c r="G168" s="6">
        <v>8</v>
      </c>
      <c r="H168" s="6">
        <v>1</v>
      </c>
      <c r="I168" s="3"/>
      <c r="J168" s="4" t="s">
        <v>343</v>
      </c>
      <c r="K168" s="5" t="s">
        <v>344</v>
      </c>
    </row>
    <row r="169" spans="1:11" x14ac:dyDescent="0.35">
      <c r="A169" s="4" t="s">
        <v>322</v>
      </c>
      <c r="B169" s="5" t="s">
        <v>323</v>
      </c>
      <c r="C169" s="5" t="s">
        <v>564</v>
      </c>
      <c r="D169" s="6">
        <v>2026</v>
      </c>
      <c r="E169" s="6">
        <v>5</v>
      </c>
      <c r="F169" s="6">
        <v>11</v>
      </c>
      <c r="G169" s="6">
        <v>14</v>
      </c>
      <c r="H169" s="6">
        <v>1</v>
      </c>
      <c r="I169" s="3"/>
      <c r="J169" s="4" t="s">
        <v>347</v>
      </c>
      <c r="K169" s="5" t="s">
        <v>348</v>
      </c>
    </row>
    <row r="170" spans="1:11" x14ac:dyDescent="0.35">
      <c r="A170" s="4" t="s">
        <v>324</v>
      </c>
      <c r="B170" s="5" t="s">
        <v>325</v>
      </c>
      <c r="C170" s="5" t="s">
        <v>565</v>
      </c>
      <c r="D170" s="6">
        <v>2026</v>
      </c>
      <c r="E170" s="6">
        <v>5</v>
      </c>
      <c r="F170" s="6">
        <v>35</v>
      </c>
      <c r="G170" s="6">
        <v>32</v>
      </c>
      <c r="H170" s="6">
        <v>5</v>
      </c>
      <c r="I170" s="3"/>
      <c r="J170" s="4" t="s">
        <v>349</v>
      </c>
      <c r="K170" s="5" t="s">
        <v>350</v>
      </c>
    </row>
    <row r="171" spans="1:11" x14ac:dyDescent="0.35">
      <c r="A171" s="4" t="s">
        <v>326</v>
      </c>
      <c r="B171" s="5" t="s">
        <v>327</v>
      </c>
      <c r="C171" s="5" t="s">
        <v>566</v>
      </c>
      <c r="D171" s="6">
        <v>2026</v>
      </c>
      <c r="E171" s="6">
        <v>5</v>
      </c>
      <c r="F171" s="6">
        <v>35</v>
      </c>
      <c r="G171" s="6">
        <v>36</v>
      </c>
      <c r="H171" s="6">
        <v>2</v>
      </c>
      <c r="I171" s="3"/>
      <c r="J171" s="4" t="s">
        <v>351</v>
      </c>
      <c r="K171" s="5" t="s">
        <v>352</v>
      </c>
    </row>
    <row r="172" spans="1:11" x14ac:dyDescent="0.35">
      <c r="A172" s="4" t="s">
        <v>328</v>
      </c>
      <c r="B172" s="5" t="s">
        <v>329</v>
      </c>
      <c r="C172" s="5" t="s">
        <v>440</v>
      </c>
      <c r="D172" s="6">
        <v>2026</v>
      </c>
      <c r="E172" s="6">
        <v>5</v>
      </c>
      <c r="F172" s="6">
        <v>30</v>
      </c>
      <c r="G172" s="6">
        <v>30</v>
      </c>
      <c r="H172" s="6">
        <v>2</v>
      </c>
      <c r="I172" s="3"/>
      <c r="J172" s="4" t="s">
        <v>353</v>
      </c>
      <c r="K172" s="5" t="s">
        <v>354</v>
      </c>
    </row>
    <row r="173" spans="1:11" x14ac:dyDescent="0.35">
      <c r="A173" s="4" t="s">
        <v>330</v>
      </c>
      <c r="B173" s="5" t="s">
        <v>331</v>
      </c>
      <c r="C173" s="5" t="s">
        <v>332</v>
      </c>
      <c r="D173" s="6">
        <v>2026</v>
      </c>
      <c r="E173" s="6">
        <v>5</v>
      </c>
      <c r="F173" s="6">
        <v>26</v>
      </c>
      <c r="G173" s="6">
        <v>24</v>
      </c>
      <c r="H173" s="6">
        <v>4</v>
      </c>
      <c r="I173" s="3"/>
      <c r="J173" s="4" t="s">
        <v>355</v>
      </c>
      <c r="K173" s="5" t="s">
        <v>356</v>
      </c>
    </row>
    <row r="174" spans="1:11" x14ac:dyDescent="0.35">
      <c r="A174" s="4" t="s">
        <v>333</v>
      </c>
      <c r="B174" s="5" t="s">
        <v>334</v>
      </c>
      <c r="C174" s="5" t="s">
        <v>567</v>
      </c>
      <c r="D174" s="6">
        <v>2026</v>
      </c>
      <c r="E174" s="6">
        <v>5</v>
      </c>
      <c r="F174" s="6">
        <v>21</v>
      </c>
      <c r="G174" s="6">
        <v>23</v>
      </c>
      <c r="H174" s="6">
        <v>1</v>
      </c>
      <c r="I174" s="3"/>
      <c r="J174" s="4" t="s">
        <v>357</v>
      </c>
      <c r="K174" s="5" t="s">
        <v>358</v>
      </c>
    </row>
    <row r="175" spans="1:11" x14ac:dyDescent="0.35">
      <c r="A175" s="4" t="s">
        <v>335</v>
      </c>
      <c r="B175" s="5" t="s">
        <v>336</v>
      </c>
      <c r="C175" s="5" t="s">
        <v>568</v>
      </c>
      <c r="D175" s="6">
        <v>2026</v>
      </c>
      <c r="E175" s="6">
        <v>5</v>
      </c>
      <c r="F175" s="6">
        <v>24</v>
      </c>
      <c r="G175" s="6">
        <v>28</v>
      </c>
      <c r="H175" s="6">
        <v>2</v>
      </c>
      <c r="I175" s="3"/>
      <c r="J175" s="4" t="s">
        <v>360</v>
      </c>
      <c r="K175" s="5" t="s">
        <v>361</v>
      </c>
    </row>
    <row r="176" spans="1:11" x14ac:dyDescent="0.35">
      <c r="A176" s="4" t="s">
        <v>337</v>
      </c>
      <c r="B176" s="5" t="s">
        <v>338</v>
      </c>
      <c r="C176" s="5" t="s">
        <v>569</v>
      </c>
      <c r="D176" s="6">
        <v>2026</v>
      </c>
      <c r="E176" s="6">
        <v>5</v>
      </c>
      <c r="F176" s="6">
        <v>14</v>
      </c>
      <c r="G176" s="6">
        <v>15</v>
      </c>
      <c r="H176" s="6">
        <v>0</v>
      </c>
      <c r="I176" s="3"/>
      <c r="J176" s="4" t="s">
        <v>362</v>
      </c>
      <c r="K176" s="5" t="s">
        <v>363</v>
      </c>
    </row>
    <row r="177" spans="1:11" x14ac:dyDescent="0.35">
      <c r="A177" s="4" t="s">
        <v>339</v>
      </c>
      <c r="B177" s="5" t="s">
        <v>340</v>
      </c>
      <c r="C177" s="5" t="s">
        <v>570</v>
      </c>
      <c r="D177" s="6">
        <v>2026</v>
      </c>
      <c r="E177" s="6">
        <v>5</v>
      </c>
      <c r="F177" s="6">
        <v>33</v>
      </c>
      <c r="G177" s="6">
        <v>37</v>
      </c>
      <c r="H177" s="6">
        <v>1</v>
      </c>
      <c r="I177" s="3"/>
      <c r="J177" s="4" t="s">
        <v>365</v>
      </c>
      <c r="K177" s="5" t="s">
        <v>366</v>
      </c>
    </row>
    <row r="178" spans="1:11" x14ac:dyDescent="0.35">
      <c r="A178" s="4" t="s">
        <v>341</v>
      </c>
      <c r="B178" s="5" t="s">
        <v>342</v>
      </c>
      <c r="C178" s="5" t="s">
        <v>571</v>
      </c>
      <c r="D178" s="6">
        <v>2026</v>
      </c>
      <c r="E178" s="6">
        <v>5</v>
      </c>
      <c r="F178" s="6">
        <v>27</v>
      </c>
      <c r="G178" s="6">
        <v>24</v>
      </c>
      <c r="H178" s="6">
        <v>6</v>
      </c>
      <c r="I178" s="3"/>
      <c r="J178" s="4" t="s">
        <v>367</v>
      </c>
      <c r="K178" s="5" t="s">
        <v>368</v>
      </c>
    </row>
    <row r="179" spans="1:11" x14ac:dyDescent="0.35">
      <c r="A179" s="4" t="s">
        <v>343</v>
      </c>
      <c r="B179" s="5" t="s">
        <v>344</v>
      </c>
      <c r="C179" s="5" t="s">
        <v>572</v>
      </c>
      <c r="D179" s="6">
        <v>2026</v>
      </c>
      <c r="E179" s="6">
        <v>5</v>
      </c>
      <c r="F179" s="6">
        <v>12</v>
      </c>
      <c r="G179" s="6">
        <v>11</v>
      </c>
      <c r="H179" s="6">
        <v>1</v>
      </c>
      <c r="I179" s="3"/>
      <c r="J179" s="4" t="s">
        <v>369</v>
      </c>
      <c r="K179" s="5" t="s">
        <v>370</v>
      </c>
    </row>
    <row r="180" spans="1:11" x14ac:dyDescent="0.35">
      <c r="A180" s="4" t="s">
        <v>347</v>
      </c>
      <c r="B180" s="5" t="s">
        <v>348</v>
      </c>
      <c r="C180" s="5" t="s">
        <v>573</v>
      </c>
      <c r="D180" s="6">
        <v>2026</v>
      </c>
      <c r="E180" s="6">
        <v>5</v>
      </c>
      <c r="F180" s="6">
        <v>16</v>
      </c>
      <c r="G180" s="6">
        <v>14</v>
      </c>
      <c r="H180" s="6">
        <v>4</v>
      </c>
      <c r="I180" s="3"/>
      <c r="J180" s="4" t="s">
        <v>371</v>
      </c>
      <c r="K180" s="5" t="s">
        <v>372</v>
      </c>
    </row>
    <row r="181" spans="1:11" x14ac:dyDescent="0.35">
      <c r="A181" s="4" t="s">
        <v>349</v>
      </c>
      <c r="B181" s="5" t="s">
        <v>350</v>
      </c>
      <c r="C181" s="5" t="s">
        <v>574</v>
      </c>
      <c r="D181" s="6">
        <v>2026</v>
      </c>
      <c r="E181" s="6">
        <v>5</v>
      </c>
      <c r="F181" s="6">
        <v>66</v>
      </c>
      <c r="G181" s="6">
        <v>62</v>
      </c>
      <c r="H181" s="6">
        <v>11</v>
      </c>
      <c r="I181" s="3"/>
      <c r="J181" s="4" t="s">
        <v>373</v>
      </c>
      <c r="K181" s="5" t="s">
        <v>374</v>
      </c>
    </row>
    <row r="182" spans="1:11" x14ac:dyDescent="0.35">
      <c r="A182" s="4" t="s">
        <v>351</v>
      </c>
      <c r="B182" s="5" t="s">
        <v>352</v>
      </c>
      <c r="C182" s="5" t="s">
        <v>575</v>
      </c>
      <c r="D182" s="6">
        <v>2026</v>
      </c>
      <c r="E182" s="6">
        <v>5</v>
      </c>
      <c r="F182" s="6">
        <v>22</v>
      </c>
      <c r="G182" s="6">
        <v>22</v>
      </c>
      <c r="H182" s="6">
        <v>2</v>
      </c>
      <c r="I182" s="3"/>
      <c r="J182" s="4" t="s">
        <v>375</v>
      </c>
      <c r="K182" s="5" t="s">
        <v>376</v>
      </c>
    </row>
    <row r="183" spans="1:11" x14ac:dyDescent="0.35">
      <c r="A183" s="4" t="s">
        <v>353</v>
      </c>
      <c r="B183" s="5" t="s">
        <v>354</v>
      </c>
      <c r="C183" s="5" t="s">
        <v>576</v>
      </c>
      <c r="D183" s="6">
        <v>2026</v>
      </c>
      <c r="E183" s="6">
        <v>5</v>
      </c>
      <c r="F183" s="6">
        <v>16</v>
      </c>
      <c r="G183" s="6">
        <v>17</v>
      </c>
      <c r="H183" s="6">
        <v>0</v>
      </c>
      <c r="I183" s="3"/>
      <c r="J183" s="4" t="s">
        <v>377</v>
      </c>
      <c r="K183" s="5" t="s">
        <v>378</v>
      </c>
    </row>
    <row r="184" spans="1:11" x14ac:dyDescent="0.35">
      <c r="A184" s="4" t="s">
        <v>355</v>
      </c>
      <c r="B184" s="5" t="s">
        <v>356</v>
      </c>
      <c r="C184" s="5" t="s">
        <v>577</v>
      </c>
      <c r="D184" s="6">
        <v>2026</v>
      </c>
      <c r="E184" s="6">
        <v>5</v>
      </c>
      <c r="F184" s="6">
        <v>45</v>
      </c>
      <c r="G184" s="6">
        <v>44</v>
      </c>
      <c r="H184" s="6">
        <v>6</v>
      </c>
      <c r="I184" s="3"/>
      <c r="J184" s="4" t="s">
        <v>379</v>
      </c>
      <c r="K184" s="5" t="s">
        <v>380</v>
      </c>
    </row>
    <row r="185" spans="1:11" x14ac:dyDescent="0.35">
      <c r="A185" s="4" t="s">
        <v>357</v>
      </c>
      <c r="B185" s="5" t="s">
        <v>358</v>
      </c>
      <c r="C185" s="5" t="s">
        <v>359</v>
      </c>
      <c r="D185" s="6">
        <v>2026</v>
      </c>
      <c r="E185" s="6">
        <v>5</v>
      </c>
      <c r="F185" s="6">
        <v>16</v>
      </c>
      <c r="G185" s="6">
        <v>15</v>
      </c>
      <c r="H185" s="6">
        <v>3</v>
      </c>
      <c r="I185" s="3"/>
      <c r="J185" s="4" t="s">
        <v>382</v>
      </c>
      <c r="K185" s="5" t="s">
        <v>383</v>
      </c>
    </row>
    <row r="186" spans="1:11" x14ac:dyDescent="0.35">
      <c r="A186" s="4" t="s">
        <v>360</v>
      </c>
      <c r="B186" s="5" t="s">
        <v>361</v>
      </c>
      <c r="C186" s="5" t="s">
        <v>578</v>
      </c>
      <c r="D186" s="6">
        <v>2026</v>
      </c>
      <c r="E186" s="6">
        <v>5</v>
      </c>
      <c r="F186" s="6">
        <v>15</v>
      </c>
      <c r="G186" s="6">
        <v>16</v>
      </c>
      <c r="H186" s="6">
        <v>0</v>
      </c>
      <c r="I186" s="3"/>
      <c r="J186" s="4" t="s">
        <v>385</v>
      </c>
      <c r="K186" s="5" t="s">
        <v>386</v>
      </c>
    </row>
    <row r="187" spans="1:11" x14ac:dyDescent="0.35">
      <c r="A187" s="4" t="s">
        <v>362</v>
      </c>
      <c r="B187" s="5" t="s">
        <v>363</v>
      </c>
      <c r="C187" s="5" t="s">
        <v>364</v>
      </c>
      <c r="D187" s="6">
        <v>2026</v>
      </c>
      <c r="E187" s="6">
        <v>5</v>
      </c>
      <c r="F187" s="6">
        <v>21</v>
      </c>
      <c r="G187" s="6">
        <v>16</v>
      </c>
      <c r="H187" s="6">
        <v>9</v>
      </c>
      <c r="I187" s="3"/>
      <c r="J187" s="4" t="s">
        <v>387</v>
      </c>
      <c r="K187" s="5" t="s">
        <v>388</v>
      </c>
    </row>
    <row r="188" spans="1:11" x14ac:dyDescent="0.35">
      <c r="A188" s="4" t="s">
        <v>365</v>
      </c>
      <c r="B188" s="5" t="s">
        <v>366</v>
      </c>
      <c r="C188" s="5" t="s">
        <v>579</v>
      </c>
      <c r="D188" s="6">
        <v>2026</v>
      </c>
      <c r="E188" s="6">
        <v>5</v>
      </c>
      <c r="F188" s="6">
        <v>20</v>
      </c>
      <c r="G188" s="6">
        <v>21</v>
      </c>
      <c r="H188" s="6">
        <v>3</v>
      </c>
      <c r="I188" s="3"/>
      <c r="J188" s="4" t="s">
        <v>389</v>
      </c>
      <c r="K188" s="5" t="s">
        <v>390</v>
      </c>
    </row>
    <row r="189" spans="1:11" x14ac:dyDescent="0.35">
      <c r="A189" s="4" t="s">
        <v>367</v>
      </c>
      <c r="B189" s="5" t="s">
        <v>368</v>
      </c>
      <c r="C189" s="5" t="s">
        <v>580</v>
      </c>
      <c r="D189" s="6">
        <v>2026</v>
      </c>
      <c r="E189" s="6">
        <v>5</v>
      </c>
      <c r="F189" s="6">
        <v>18</v>
      </c>
      <c r="G189" s="6">
        <v>18</v>
      </c>
      <c r="H189" s="6">
        <v>0</v>
      </c>
      <c r="I189" s="3"/>
      <c r="J189" s="4" t="s">
        <v>391</v>
      </c>
      <c r="K189" s="5" t="s">
        <v>392</v>
      </c>
    </row>
    <row r="190" spans="1:11" x14ac:dyDescent="0.35">
      <c r="A190" s="4" t="s">
        <v>369</v>
      </c>
      <c r="B190" s="5" t="s">
        <v>370</v>
      </c>
      <c r="C190" s="5" t="s">
        <v>581</v>
      </c>
      <c r="D190" s="6">
        <v>2026</v>
      </c>
      <c r="E190" s="6">
        <v>5</v>
      </c>
      <c r="F190" s="6">
        <v>18</v>
      </c>
      <c r="G190" s="6">
        <v>18</v>
      </c>
      <c r="H190" s="6">
        <v>1</v>
      </c>
      <c r="I190" s="3"/>
      <c r="J190" s="4" t="s">
        <v>393</v>
      </c>
      <c r="K190" s="5" t="s">
        <v>394</v>
      </c>
    </row>
    <row r="191" spans="1:11" x14ac:dyDescent="0.35">
      <c r="A191" s="4" t="s">
        <v>371</v>
      </c>
      <c r="B191" s="5" t="s">
        <v>372</v>
      </c>
      <c r="C191" s="5" t="s">
        <v>582</v>
      </c>
      <c r="D191" s="6">
        <v>2026</v>
      </c>
      <c r="E191" s="6">
        <v>5</v>
      </c>
      <c r="F191" s="6">
        <v>14</v>
      </c>
      <c r="G191" s="6">
        <v>15</v>
      </c>
      <c r="H191" s="6">
        <v>0</v>
      </c>
      <c r="I191" s="3"/>
      <c r="J191" s="4" t="s">
        <v>395</v>
      </c>
      <c r="K191" s="5" t="s">
        <v>396</v>
      </c>
    </row>
    <row r="192" spans="1:11" x14ac:dyDescent="0.35">
      <c r="A192" s="4" t="s">
        <v>373</v>
      </c>
      <c r="B192" s="5" t="s">
        <v>374</v>
      </c>
      <c r="C192" s="5" t="s">
        <v>583</v>
      </c>
      <c r="D192" s="6">
        <v>2026</v>
      </c>
      <c r="E192" s="6">
        <v>5</v>
      </c>
      <c r="F192" s="6">
        <v>15</v>
      </c>
      <c r="G192" s="6">
        <v>14</v>
      </c>
      <c r="H192" s="6">
        <v>2</v>
      </c>
      <c r="I192" s="3"/>
      <c r="J192" s="4" t="s">
        <v>397</v>
      </c>
      <c r="K192" s="5" t="s">
        <v>398</v>
      </c>
    </row>
    <row r="193" spans="1:11" x14ac:dyDescent="0.35">
      <c r="A193" s="4" t="s">
        <v>375</v>
      </c>
      <c r="B193" s="5" t="s">
        <v>376</v>
      </c>
      <c r="C193" s="5" t="s">
        <v>584</v>
      </c>
      <c r="D193" s="6">
        <v>2026</v>
      </c>
      <c r="E193" s="6">
        <v>5</v>
      </c>
      <c r="F193" s="6">
        <v>29</v>
      </c>
      <c r="G193" s="6">
        <v>27</v>
      </c>
      <c r="H193" s="6">
        <v>4</v>
      </c>
      <c r="I193" s="3"/>
      <c r="J193" s="4" t="s">
        <v>399</v>
      </c>
      <c r="K193" s="5" t="s">
        <v>400</v>
      </c>
    </row>
    <row r="194" spans="1:11" x14ac:dyDescent="0.35">
      <c r="A194" s="4" t="s">
        <v>377</v>
      </c>
      <c r="B194" s="5" t="s">
        <v>378</v>
      </c>
      <c r="C194" s="5" t="s">
        <v>585</v>
      </c>
      <c r="D194" s="6">
        <v>2026</v>
      </c>
      <c r="E194" s="6">
        <v>5</v>
      </c>
      <c r="F194" s="6">
        <v>39</v>
      </c>
      <c r="G194" s="6">
        <v>39</v>
      </c>
      <c r="H194" s="6">
        <v>2</v>
      </c>
      <c r="I194" s="3"/>
      <c r="J194" s="4" t="s">
        <v>401</v>
      </c>
      <c r="K194" s="5" t="s">
        <v>402</v>
      </c>
    </row>
    <row r="195" spans="1:11" x14ac:dyDescent="0.35">
      <c r="A195" s="4" t="s">
        <v>379</v>
      </c>
      <c r="B195" s="5" t="s">
        <v>380</v>
      </c>
      <c r="C195" s="5" t="s">
        <v>381</v>
      </c>
      <c r="D195" s="6">
        <v>2026</v>
      </c>
      <c r="E195" s="6">
        <v>5</v>
      </c>
      <c r="F195" s="6">
        <v>22</v>
      </c>
      <c r="G195" s="6">
        <v>19</v>
      </c>
      <c r="H195" s="6">
        <v>6</v>
      </c>
      <c r="I195" s="3"/>
      <c r="J195" s="4" t="s">
        <v>403</v>
      </c>
      <c r="K195" s="5" t="s">
        <v>404</v>
      </c>
    </row>
    <row r="196" spans="1:11" x14ac:dyDescent="0.35">
      <c r="A196" s="4" t="s">
        <v>382</v>
      </c>
      <c r="B196" s="5" t="s">
        <v>383</v>
      </c>
      <c r="C196" s="5" t="s">
        <v>384</v>
      </c>
      <c r="D196" s="6">
        <v>2026</v>
      </c>
      <c r="E196" s="6">
        <v>5</v>
      </c>
      <c r="F196" s="6">
        <v>22</v>
      </c>
      <c r="G196" s="6">
        <v>22</v>
      </c>
      <c r="H196" s="6">
        <v>2</v>
      </c>
      <c r="I196" s="3"/>
      <c r="J196" s="4" t="s">
        <v>405</v>
      </c>
      <c r="K196" s="5" t="s">
        <v>406</v>
      </c>
    </row>
    <row r="197" spans="1:11" x14ac:dyDescent="0.35">
      <c r="A197" s="4" t="s">
        <v>385</v>
      </c>
      <c r="B197" s="5" t="s">
        <v>386</v>
      </c>
      <c r="C197" s="5" t="s">
        <v>440</v>
      </c>
      <c r="D197" s="6">
        <v>2026</v>
      </c>
      <c r="E197" s="6">
        <v>5</v>
      </c>
      <c r="F197" s="6">
        <v>21</v>
      </c>
      <c r="G197" s="6">
        <v>21</v>
      </c>
      <c r="H197" s="6">
        <v>3</v>
      </c>
      <c r="I197" s="3"/>
      <c r="J197" s="4" t="s">
        <v>407</v>
      </c>
      <c r="K197" s="5" t="s">
        <v>408</v>
      </c>
    </row>
    <row r="198" spans="1:11" x14ac:dyDescent="0.35">
      <c r="A198" s="4" t="s">
        <v>387</v>
      </c>
      <c r="B198" s="5" t="s">
        <v>388</v>
      </c>
      <c r="C198" s="5" t="s">
        <v>586</v>
      </c>
      <c r="D198" s="6">
        <v>2026</v>
      </c>
      <c r="E198" s="6">
        <v>5</v>
      </c>
      <c r="F198" s="6">
        <v>15</v>
      </c>
      <c r="G198" s="6">
        <v>15</v>
      </c>
      <c r="H198" s="6">
        <v>2</v>
      </c>
      <c r="I198" s="3"/>
      <c r="J198" s="4" t="s">
        <v>409</v>
      </c>
      <c r="K198" s="5" t="s">
        <v>410</v>
      </c>
    </row>
    <row r="199" spans="1:11" x14ac:dyDescent="0.35">
      <c r="A199" s="4" t="s">
        <v>391</v>
      </c>
      <c r="B199" s="5" t="s">
        <v>392</v>
      </c>
      <c r="C199" s="5" t="s">
        <v>587</v>
      </c>
      <c r="D199" s="6">
        <v>2026</v>
      </c>
      <c r="E199" s="6">
        <v>5</v>
      </c>
      <c r="F199" s="6" t="s">
        <v>599</v>
      </c>
      <c r="G199" s="6" t="s">
        <v>599</v>
      </c>
      <c r="H199" s="6" t="s">
        <v>599</v>
      </c>
      <c r="I199" s="3"/>
      <c r="J199" s="4" t="s">
        <v>411</v>
      </c>
      <c r="K199" s="5" t="s">
        <v>412</v>
      </c>
    </row>
    <row r="200" spans="1:11" x14ac:dyDescent="0.35">
      <c r="A200" s="4" t="s">
        <v>393</v>
      </c>
      <c r="B200" s="5" t="s">
        <v>394</v>
      </c>
      <c r="C200" s="5" t="s">
        <v>588</v>
      </c>
      <c r="D200" s="6">
        <v>2026</v>
      </c>
      <c r="E200" s="6">
        <v>5</v>
      </c>
      <c r="F200" s="6">
        <v>25</v>
      </c>
      <c r="G200" s="6">
        <v>24</v>
      </c>
      <c r="H200" s="6">
        <v>2</v>
      </c>
      <c r="I200" s="3"/>
      <c r="J200" s="4" t="s">
        <v>413</v>
      </c>
      <c r="K200" s="5" t="s">
        <v>414</v>
      </c>
    </row>
    <row r="201" spans="1:11" x14ac:dyDescent="0.35">
      <c r="A201" s="4" t="s">
        <v>395</v>
      </c>
      <c r="B201" s="5" t="s">
        <v>396</v>
      </c>
      <c r="C201" s="5" t="s">
        <v>589</v>
      </c>
      <c r="D201" s="6">
        <v>2026</v>
      </c>
      <c r="E201" s="6">
        <v>5</v>
      </c>
      <c r="F201" s="6">
        <v>10</v>
      </c>
      <c r="G201" s="6">
        <v>9</v>
      </c>
      <c r="H201" s="6">
        <v>1</v>
      </c>
      <c r="I201" s="3"/>
      <c r="J201" s="4" t="s">
        <v>415</v>
      </c>
      <c r="K201" s="5" t="s">
        <v>416</v>
      </c>
    </row>
    <row r="202" spans="1:11" x14ac:dyDescent="0.35">
      <c r="A202" s="4" t="s">
        <v>397</v>
      </c>
      <c r="B202" s="5" t="s">
        <v>398</v>
      </c>
      <c r="C202" s="5" t="s">
        <v>590</v>
      </c>
      <c r="D202" s="6">
        <v>2026</v>
      </c>
      <c r="E202" s="6">
        <v>5</v>
      </c>
      <c r="F202" s="6">
        <v>39</v>
      </c>
      <c r="G202" s="6">
        <v>41</v>
      </c>
      <c r="H202" s="6">
        <v>1</v>
      </c>
      <c r="I202" s="3"/>
      <c r="J202" s="4" t="s">
        <v>417</v>
      </c>
      <c r="K202" s="5" t="s">
        <v>417</v>
      </c>
    </row>
    <row r="203" spans="1:11" x14ac:dyDescent="0.35">
      <c r="A203" s="4" t="s">
        <v>399</v>
      </c>
      <c r="B203" s="5" t="s">
        <v>400</v>
      </c>
      <c r="C203" s="11" t="s">
        <v>591</v>
      </c>
      <c r="D203" s="6">
        <v>2026</v>
      </c>
      <c r="E203" s="6">
        <v>5</v>
      </c>
      <c r="F203" s="6">
        <v>11</v>
      </c>
      <c r="G203" s="6">
        <v>12</v>
      </c>
      <c r="H203" s="6">
        <v>0</v>
      </c>
      <c r="I203" s="3"/>
      <c r="J203" s="4" t="s">
        <v>419</v>
      </c>
      <c r="K203" s="5" t="s">
        <v>419</v>
      </c>
    </row>
    <row r="204" spans="1:11" x14ac:dyDescent="0.35">
      <c r="A204" s="4" t="s">
        <v>401</v>
      </c>
      <c r="B204" s="5" t="s">
        <v>402</v>
      </c>
      <c r="C204" s="11" t="s">
        <v>592</v>
      </c>
      <c r="D204" s="6">
        <v>2026</v>
      </c>
      <c r="E204" s="6">
        <v>5</v>
      </c>
      <c r="F204" s="6">
        <v>16</v>
      </c>
      <c r="G204" s="6">
        <v>18</v>
      </c>
      <c r="H204" s="6">
        <v>1</v>
      </c>
      <c r="I204" s="3"/>
      <c r="J204" s="4" t="s">
        <v>420</v>
      </c>
      <c r="K204" s="5" t="s">
        <v>420</v>
      </c>
    </row>
    <row r="205" spans="1:11" x14ac:dyDescent="0.35">
      <c r="A205" s="4" t="s">
        <v>403</v>
      </c>
      <c r="B205" s="5" t="s">
        <v>404</v>
      </c>
      <c r="C205" s="11" t="s">
        <v>593</v>
      </c>
      <c r="D205" s="6">
        <v>2026</v>
      </c>
      <c r="E205" s="6">
        <v>5</v>
      </c>
      <c r="F205" s="6">
        <v>38</v>
      </c>
      <c r="G205" s="6">
        <v>40</v>
      </c>
      <c r="H205" s="6">
        <v>1</v>
      </c>
      <c r="I205" s="3"/>
      <c r="J205" s="4" t="s">
        <v>421</v>
      </c>
      <c r="K205" s="5" t="s">
        <v>421</v>
      </c>
    </row>
    <row r="206" spans="1:11" x14ac:dyDescent="0.35">
      <c r="A206" s="12" t="s">
        <v>405</v>
      </c>
      <c r="B206" s="5" t="s">
        <v>406</v>
      </c>
      <c r="C206" s="11" t="s">
        <v>594</v>
      </c>
      <c r="D206" s="6">
        <v>2026</v>
      </c>
      <c r="E206" s="6">
        <v>5</v>
      </c>
      <c r="F206" s="6">
        <v>17</v>
      </c>
      <c r="G206" s="6">
        <v>17</v>
      </c>
      <c r="H206" s="6">
        <v>1</v>
      </c>
      <c r="I206" s="3"/>
      <c r="J206" s="4" t="s">
        <v>422</v>
      </c>
      <c r="K206" s="5" t="s">
        <v>422</v>
      </c>
    </row>
    <row r="207" spans="1:11" x14ac:dyDescent="0.35">
      <c r="A207" s="4" t="s">
        <v>407</v>
      </c>
      <c r="B207" s="5" t="s">
        <v>408</v>
      </c>
      <c r="C207" s="11" t="s">
        <v>595</v>
      </c>
      <c r="D207" s="6">
        <v>2026</v>
      </c>
      <c r="E207" s="6">
        <v>5</v>
      </c>
      <c r="F207" s="6">
        <v>18</v>
      </c>
      <c r="G207" s="6">
        <v>16</v>
      </c>
      <c r="H207" s="6">
        <v>4</v>
      </c>
      <c r="I207" s="3"/>
      <c r="J207" s="4" t="s">
        <v>424</v>
      </c>
      <c r="K207" s="5" t="s">
        <v>424</v>
      </c>
    </row>
    <row r="208" spans="1:11" x14ac:dyDescent="0.35">
      <c r="A208" s="4" t="s">
        <v>409</v>
      </c>
      <c r="B208" s="5" t="s">
        <v>410</v>
      </c>
      <c r="C208" s="5" t="s">
        <v>440</v>
      </c>
      <c r="D208" s="6">
        <v>2026</v>
      </c>
      <c r="E208" s="6">
        <v>5</v>
      </c>
      <c r="F208" s="6">
        <v>29</v>
      </c>
      <c r="G208" s="6">
        <v>31</v>
      </c>
      <c r="H208" s="6">
        <v>0</v>
      </c>
      <c r="I208" s="3"/>
      <c r="J208" s="4" t="s">
        <v>425</v>
      </c>
      <c r="K208" s="5" t="s">
        <v>425</v>
      </c>
    </row>
    <row r="209" spans="1:11" x14ac:dyDescent="0.35">
      <c r="A209" s="4" t="s">
        <v>411</v>
      </c>
      <c r="B209" s="5" t="s">
        <v>412</v>
      </c>
      <c r="C209" s="11" t="s">
        <v>596</v>
      </c>
      <c r="D209" s="6">
        <v>2026</v>
      </c>
      <c r="E209" s="6">
        <v>5</v>
      </c>
      <c r="F209" s="6">
        <v>23</v>
      </c>
      <c r="G209" s="6">
        <v>25</v>
      </c>
      <c r="H209" s="6">
        <v>1</v>
      </c>
      <c r="I209" s="3"/>
      <c r="J209" s="4" t="s">
        <v>426</v>
      </c>
      <c r="K209" s="5" t="s">
        <v>426</v>
      </c>
    </row>
    <row r="210" spans="1:11" x14ac:dyDescent="0.35">
      <c r="A210" s="4" t="s">
        <v>413</v>
      </c>
      <c r="B210" s="5" t="s">
        <v>414</v>
      </c>
      <c r="C210" s="11" t="s">
        <v>597</v>
      </c>
      <c r="D210" s="6">
        <v>2026</v>
      </c>
      <c r="E210" s="6">
        <v>5</v>
      </c>
      <c r="F210" s="6">
        <v>14</v>
      </c>
      <c r="G210" s="6">
        <v>15</v>
      </c>
      <c r="H210" s="6">
        <v>0</v>
      </c>
      <c r="I210" s="3"/>
      <c r="J210" s="12" t="s">
        <v>427</v>
      </c>
      <c r="K210" s="5" t="s">
        <v>427</v>
      </c>
    </row>
    <row r="211" spans="1:11" ht="15" thickBot="1" x14ac:dyDescent="0.4">
      <c r="A211" s="12" t="s">
        <v>415</v>
      </c>
      <c r="B211" s="11" t="s">
        <v>416</v>
      </c>
      <c r="C211" s="11" t="s">
        <v>598</v>
      </c>
      <c r="D211" s="6">
        <v>2026</v>
      </c>
      <c r="E211" s="6">
        <v>5</v>
      </c>
      <c r="F211" s="6">
        <v>13</v>
      </c>
      <c r="G211" s="6">
        <v>11</v>
      </c>
      <c r="H211" s="6">
        <v>3</v>
      </c>
      <c r="I211" s="3"/>
      <c r="J211" s="4" t="s">
        <v>428</v>
      </c>
      <c r="K211" s="5" t="s">
        <v>428</v>
      </c>
    </row>
    <row r="212" spans="1:11" ht="15" thickBot="1" x14ac:dyDescent="0.4">
      <c r="A212" s="13" t="s">
        <v>434</v>
      </c>
      <c r="B212" s="14"/>
      <c r="C212" s="15"/>
      <c r="D212" s="16"/>
      <c r="E212" s="17"/>
      <c r="F212" s="6">
        <f>SUM(F2:F211)</f>
        <v>4052</v>
      </c>
      <c r="G212" s="6">
        <f>SUM(G2:G211)</f>
        <v>4104</v>
      </c>
      <c r="H212" s="6">
        <f>SUM(H2:H211)</f>
        <v>410</v>
      </c>
      <c r="I212" s="3"/>
      <c r="J212" s="4" t="s">
        <v>429</v>
      </c>
      <c r="K212" s="5" t="s">
        <v>429</v>
      </c>
    </row>
  </sheetData>
  <pageMargins left="0.7" right="0.7" top="0.75" bottom="0.75" header="0.3" footer="0.3"/>
  <headerFooter>
    <oddHeader>&amp;R&amp;"Aptos"&amp;10&amp;KFF8C00 Genel&amp;1#_x000D_</oddHeader>
    <oddFooter>&amp;R_x000D_&amp;1#&amp;"Aptos"&amp;10&amp;KFF8C00 Genel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3059E-1379-4358-8736-F631FA283958}">
  <dimension ref="A1:O787"/>
  <sheetViews>
    <sheetView topLeftCell="A425" workbookViewId="0">
      <selection activeCell="D432" sqref="D432"/>
    </sheetView>
  </sheetViews>
  <sheetFormatPr defaultRowHeight="14.5" x14ac:dyDescent="0.35"/>
  <cols>
    <col min="1" max="1" width="6.81640625" bestFit="1" customWidth="1"/>
    <col min="2" max="2" width="22.7265625" bestFit="1" customWidth="1"/>
    <col min="3" max="3" width="11.08984375" bestFit="1" customWidth="1"/>
    <col min="4" max="4" width="22.6328125" bestFit="1" customWidth="1"/>
    <col min="5" max="5" width="6.54296875" bestFit="1" customWidth="1"/>
    <col min="6" max="6" width="10.1796875" bestFit="1" customWidth="1"/>
    <col min="7" max="7" width="25.7265625" bestFit="1" customWidth="1"/>
    <col min="8" max="8" width="9.36328125" bestFit="1" customWidth="1"/>
    <col min="9" max="9" width="29.7265625" bestFit="1" customWidth="1"/>
    <col min="10" max="10" width="25.1796875" bestFit="1" customWidth="1"/>
    <col min="11" max="11" width="9.90625" bestFit="1" customWidth="1"/>
    <col min="12" max="12" width="14.7265625" bestFit="1" customWidth="1"/>
    <col min="13" max="13" width="12.36328125" bestFit="1" customWidth="1"/>
  </cols>
  <sheetData>
    <row r="1" spans="1:13" x14ac:dyDescent="0.35">
      <c r="A1" s="64" t="s">
        <v>984</v>
      </c>
      <c r="B1" s="64" t="s">
        <v>985</v>
      </c>
      <c r="C1" s="64" t="s">
        <v>602</v>
      </c>
      <c r="D1" s="64" t="s">
        <v>986</v>
      </c>
      <c r="E1" s="64" t="s">
        <v>987</v>
      </c>
      <c r="F1" s="65" t="s">
        <v>988</v>
      </c>
      <c r="G1" s="64" t="s">
        <v>989</v>
      </c>
      <c r="H1" s="64" t="s">
        <v>990</v>
      </c>
      <c r="I1" s="64" t="s">
        <v>991</v>
      </c>
      <c r="J1" s="64" t="s">
        <v>992</v>
      </c>
      <c r="K1" s="64" t="s">
        <v>993</v>
      </c>
      <c r="L1" s="64" t="s">
        <v>994</v>
      </c>
      <c r="M1" s="64" t="s">
        <v>995</v>
      </c>
    </row>
    <row r="2" spans="1:13" x14ac:dyDescent="0.35">
      <c r="A2" s="19">
        <v>125</v>
      </c>
      <c r="B2" s="19" t="s">
        <v>996</v>
      </c>
      <c r="C2" s="19" t="s">
        <v>76</v>
      </c>
      <c r="D2" s="19" t="s">
        <v>899</v>
      </c>
      <c r="E2" s="66" t="s">
        <v>997</v>
      </c>
      <c r="F2" s="67">
        <v>46173</v>
      </c>
      <c r="G2" s="19" t="s">
        <v>998</v>
      </c>
      <c r="H2" s="19" t="s">
        <v>999</v>
      </c>
      <c r="I2" s="19" t="s">
        <v>1000</v>
      </c>
      <c r="J2" s="19" t="s">
        <v>1000</v>
      </c>
      <c r="K2" s="67">
        <v>37922</v>
      </c>
      <c r="L2" s="19" t="s">
        <v>1001</v>
      </c>
      <c r="M2" s="19" t="s">
        <v>1002</v>
      </c>
    </row>
    <row r="3" spans="1:13" x14ac:dyDescent="0.35">
      <c r="A3" s="19">
        <v>331</v>
      </c>
      <c r="B3" s="19" t="s">
        <v>1003</v>
      </c>
      <c r="C3" s="19" t="s">
        <v>349</v>
      </c>
      <c r="D3" s="19" t="s">
        <v>912</v>
      </c>
      <c r="E3" s="66" t="s">
        <v>997</v>
      </c>
      <c r="F3" s="67">
        <v>46153</v>
      </c>
      <c r="G3" s="19" t="s">
        <v>998</v>
      </c>
      <c r="H3" s="19" t="s">
        <v>999</v>
      </c>
      <c r="I3" s="19" t="s">
        <v>1000</v>
      </c>
      <c r="J3" s="19" t="s">
        <v>1000</v>
      </c>
      <c r="K3" s="67">
        <v>39569</v>
      </c>
      <c r="L3" s="19" t="s">
        <v>1001</v>
      </c>
      <c r="M3" s="19" t="s">
        <v>1002</v>
      </c>
    </row>
    <row r="4" spans="1:13" x14ac:dyDescent="0.35">
      <c r="A4" s="19">
        <v>3428</v>
      </c>
      <c r="B4" s="19" t="s">
        <v>1004</v>
      </c>
      <c r="C4" s="19" t="s">
        <v>256</v>
      </c>
      <c r="D4" s="19" t="s">
        <v>1005</v>
      </c>
      <c r="E4" s="66" t="s">
        <v>997</v>
      </c>
      <c r="F4" s="67">
        <v>46173</v>
      </c>
      <c r="G4" s="19" t="s">
        <v>1006</v>
      </c>
      <c r="H4" s="19" t="s">
        <v>1007</v>
      </c>
      <c r="I4" s="19" t="s">
        <v>1008</v>
      </c>
      <c r="J4" s="19" t="s">
        <v>1009</v>
      </c>
      <c r="K4" s="67">
        <v>45220</v>
      </c>
      <c r="L4" s="19" t="s">
        <v>1001</v>
      </c>
      <c r="M4" s="19" t="s">
        <v>1010</v>
      </c>
    </row>
    <row r="5" spans="1:13" x14ac:dyDescent="0.35">
      <c r="A5" s="19">
        <v>14588</v>
      </c>
      <c r="B5" s="19" t="s">
        <v>1011</v>
      </c>
      <c r="C5" s="19" t="s">
        <v>157</v>
      </c>
      <c r="D5" s="19" t="s">
        <v>1012</v>
      </c>
      <c r="E5" s="66" t="s">
        <v>997</v>
      </c>
      <c r="F5" s="67">
        <v>46148</v>
      </c>
      <c r="G5" s="19" t="s">
        <v>1013</v>
      </c>
      <c r="H5" s="19" t="s">
        <v>1007</v>
      </c>
      <c r="I5" s="19" t="s">
        <v>1000</v>
      </c>
      <c r="J5" s="19" t="s">
        <v>1000</v>
      </c>
      <c r="K5" s="67">
        <v>42195</v>
      </c>
      <c r="L5" s="19" t="s">
        <v>1001</v>
      </c>
      <c r="M5" s="19" t="s">
        <v>1002</v>
      </c>
    </row>
    <row r="6" spans="1:13" x14ac:dyDescent="0.35">
      <c r="A6" s="19">
        <v>14703</v>
      </c>
      <c r="B6" s="19" t="s">
        <v>1014</v>
      </c>
      <c r="C6" s="19" t="s">
        <v>145</v>
      </c>
      <c r="D6" s="19" t="s">
        <v>1015</v>
      </c>
      <c r="E6" s="66" t="s">
        <v>997</v>
      </c>
      <c r="F6" s="67">
        <v>46143</v>
      </c>
      <c r="G6" s="19" t="s">
        <v>1006</v>
      </c>
      <c r="H6" s="19" t="s">
        <v>1007</v>
      </c>
      <c r="I6" s="19" t="s">
        <v>1016</v>
      </c>
      <c r="J6" s="19" t="s">
        <v>1017</v>
      </c>
      <c r="K6" s="67">
        <v>42201</v>
      </c>
      <c r="L6" s="19" t="s">
        <v>1001</v>
      </c>
      <c r="M6" s="19" t="s">
        <v>1010</v>
      </c>
    </row>
    <row r="7" spans="1:13" x14ac:dyDescent="0.35">
      <c r="A7" s="19">
        <v>30323</v>
      </c>
      <c r="B7" s="19" t="s">
        <v>1018</v>
      </c>
      <c r="C7" s="19" t="s">
        <v>157</v>
      </c>
      <c r="D7" s="19" t="s">
        <v>1012</v>
      </c>
      <c r="E7" s="66" t="s">
        <v>997</v>
      </c>
      <c r="F7" s="67">
        <v>46144</v>
      </c>
      <c r="G7" s="19" t="s">
        <v>1006</v>
      </c>
      <c r="H7" s="19" t="s">
        <v>1007</v>
      </c>
      <c r="I7" s="19" t="s">
        <v>1019</v>
      </c>
      <c r="J7" s="19" t="s">
        <v>1019</v>
      </c>
      <c r="K7" s="67">
        <v>45536</v>
      </c>
      <c r="L7" s="19" t="s">
        <v>1020</v>
      </c>
      <c r="M7" s="19" t="s">
        <v>1010</v>
      </c>
    </row>
    <row r="8" spans="1:13" x14ac:dyDescent="0.35">
      <c r="A8" s="19">
        <v>32987</v>
      </c>
      <c r="B8" s="19" t="s">
        <v>1021</v>
      </c>
      <c r="C8" s="19" t="s">
        <v>80</v>
      </c>
      <c r="D8" s="19" t="s">
        <v>1022</v>
      </c>
      <c r="E8" s="66" t="s">
        <v>997</v>
      </c>
      <c r="F8" s="67">
        <v>46150</v>
      </c>
      <c r="G8" s="19" t="s">
        <v>1006</v>
      </c>
      <c r="H8" s="19" t="s">
        <v>1007</v>
      </c>
      <c r="I8" s="19" t="s">
        <v>1000</v>
      </c>
      <c r="J8" s="19" t="s">
        <v>1000</v>
      </c>
      <c r="K8" s="67">
        <v>45202</v>
      </c>
      <c r="L8" s="19" t="s">
        <v>1001</v>
      </c>
      <c r="M8" s="19" t="s">
        <v>1002</v>
      </c>
    </row>
    <row r="9" spans="1:13" x14ac:dyDescent="0.35">
      <c r="A9" s="19">
        <v>38103</v>
      </c>
      <c r="B9" s="19" t="s">
        <v>1023</v>
      </c>
      <c r="C9" s="19" t="s">
        <v>339</v>
      </c>
      <c r="D9" s="19" t="s">
        <v>1024</v>
      </c>
      <c r="E9" s="66" t="s">
        <v>997</v>
      </c>
      <c r="F9" s="67">
        <v>46168</v>
      </c>
      <c r="G9" s="19" t="s">
        <v>1025</v>
      </c>
      <c r="H9" s="19" t="s">
        <v>999</v>
      </c>
      <c r="I9" s="19" t="s">
        <v>1008</v>
      </c>
      <c r="J9" s="19" t="s">
        <v>1009</v>
      </c>
      <c r="K9" s="67">
        <v>42966</v>
      </c>
      <c r="L9" s="19" t="s">
        <v>1001</v>
      </c>
      <c r="M9" s="19" t="s">
        <v>1010</v>
      </c>
    </row>
    <row r="10" spans="1:13" x14ac:dyDescent="0.35">
      <c r="A10" s="19">
        <v>39003</v>
      </c>
      <c r="B10" s="19" t="s">
        <v>1026</v>
      </c>
      <c r="C10" s="19" t="s">
        <v>161</v>
      </c>
      <c r="D10" s="19" t="s">
        <v>1027</v>
      </c>
      <c r="E10" s="66" t="s">
        <v>997</v>
      </c>
      <c r="F10" s="67">
        <v>46159</v>
      </c>
      <c r="G10" s="19" t="s">
        <v>1006</v>
      </c>
      <c r="H10" s="19" t="s">
        <v>1007</v>
      </c>
      <c r="I10" s="19" t="s">
        <v>1028</v>
      </c>
      <c r="J10" s="19" t="s">
        <v>1028</v>
      </c>
      <c r="K10" s="67">
        <v>46038</v>
      </c>
      <c r="L10" s="19" t="s">
        <v>1020</v>
      </c>
      <c r="M10" s="19" t="s">
        <v>1010</v>
      </c>
    </row>
    <row r="11" spans="1:13" x14ac:dyDescent="0.35">
      <c r="A11" s="19">
        <v>41746</v>
      </c>
      <c r="B11" s="19" t="s">
        <v>1029</v>
      </c>
      <c r="C11" s="19" t="s">
        <v>241</v>
      </c>
      <c r="D11" s="19" t="s">
        <v>1030</v>
      </c>
      <c r="E11" s="66" t="s">
        <v>997</v>
      </c>
      <c r="F11" s="67">
        <v>46145</v>
      </c>
      <c r="G11" s="19" t="s">
        <v>1006</v>
      </c>
      <c r="H11" s="19" t="s">
        <v>1007</v>
      </c>
      <c r="I11" s="19" t="s">
        <v>1028</v>
      </c>
      <c r="J11" s="19" t="s">
        <v>1028</v>
      </c>
      <c r="K11" s="67">
        <v>46077</v>
      </c>
      <c r="L11" s="19" t="s">
        <v>1020</v>
      </c>
      <c r="M11" s="19" t="s">
        <v>1010</v>
      </c>
    </row>
    <row r="12" spans="1:13" x14ac:dyDescent="0.35">
      <c r="A12" s="19">
        <v>42466</v>
      </c>
      <c r="B12" s="19" t="s">
        <v>1031</v>
      </c>
      <c r="C12" s="19" t="s">
        <v>349</v>
      </c>
      <c r="D12" s="19" t="s">
        <v>912</v>
      </c>
      <c r="E12" s="66" t="s">
        <v>997</v>
      </c>
      <c r="F12" s="67">
        <v>46158</v>
      </c>
      <c r="G12" s="19" t="s">
        <v>1006</v>
      </c>
      <c r="H12" s="19" t="s">
        <v>1007</v>
      </c>
      <c r="I12" s="19" t="s">
        <v>1008</v>
      </c>
      <c r="J12" s="19" t="s">
        <v>1008</v>
      </c>
      <c r="K12" s="67">
        <v>45995</v>
      </c>
      <c r="L12" s="19" t="s">
        <v>1001</v>
      </c>
      <c r="M12" s="19" t="s">
        <v>1010</v>
      </c>
    </row>
    <row r="13" spans="1:13" x14ac:dyDescent="0.35">
      <c r="A13" s="19">
        <v>44524</v>
      </c>
      <c r="B13" s="19" t="s">
        <v>1032</v>
      </c>
      <c r="C13" s="19" t="s">
        <v>373</v>
      </c>
      <c r="D13" s="19" t="s">
        <v>1033</v>
      </c>
      <c r="E13" s="66" t="s">
        <v>997</v>
      </c>
      <c r="F13" s="67">
        <v>46164</v>
      </c>
      <c r="G13" s="19" t="s">
        <v>1013</v>
      </c>
      <c r="H13" s="19" t="s">
        <v>1007</v>
      </c>
      <c r="I13" s="19" t="s">
        <v>1034</v>
      </c>
      <c r="J13" s="19" t="s">
        <v>1035</v>
      </c>
      <c r="K13" s="67">
        <v>43222</v>
      </c>
      <c r="L13" s="19" t="s">
        <v>1001</v>
      </c>
      <c r="M13" s="19" t="s">
        <v>1010</v>
      </c>
    </row>
    <row r="14" spans="1:13" x14ac:dyDescent="0.35">
      <c r="A14" s="19">
        <v>46134</v>
      </c>
      <c r="B14" s="19" t="s">
        <v>1036</v>
      </c>
      <c r="C14" s="19" t="s">
        <v>432</v>
      </c>
      <c r="D14" s="19" t="s">
        <v>1037</v>
      </c>
      <c r="E14" s="66" t="s">
        <v>997</v>
      </c>
      <c r="F14" s="67">
        <v>46173</v>
      </c>
      <c r="G14" s="19" t="s">
        <v>1006</v>
      </c>
      <c r="H14" s="19" t="s">
        <v>1007</v>
      </c>
      <c r="I14" s="19" t="s">
        <v>1038</v>
      </c>
      <c r="J14" s="19" t="s">
        <v>1038</v>
      </c>
      <c r="K14" s="67">
        <v>46054</v>
      </c>
      <c r="L14" s="19" t="s">
        <v>1020</v>
      </c>
      <c r="M14" s="19" t="s">
        <v>1010</v>
      </c>
    </row>
    <row r="15" spans="1:13" x14ac:dyDescent="0.35">
      <c r="A15" s="19">
        <v>47794</v>
      </c>
      <c r="B15" s="19" t="s">
        <v>1039</v>
      </c>
      <c r="C15" s="19" t="s">
        <v>232</v>
      </c>
      <c r="D15" s="19" t="s">
        <v>1040</v>
      </c>
      <c r="E15" s="66" t="s">
        <v>997</v>
      </c>
      <c r="F15" s="67">
        <v>46173</v>
      </c>
      <c r="G15" s="19" t="s">
        <v>1013</v>
      </c>
      <c r="H15" s="19" t="s">
        <v>1007</v>
      </c>
      <c r="I15" s="19" t="s">
        <v>1008</v>
      </c>
      <c r="J15" s="19" t="s">
        <v>1008</v>
      </c>
      <c r="K15" s="67">
        <v>43328</v>
      </c>
      <c r="L15" s="19" t="s">
        <v>1001</v>
      </c>
      <c r="M15" s="19" t="s">
        <v>1010</v>
      </c>
    </row>
    <row r="16" spans="1:13" x14ac:dyDescent="0.35">
      <c r="A16" s="19">
        <v>53473</v>
      </c>
      <c r="B16" s="19" t="s">
        <v>1041</v>
      </c>
      <c r="C16" s="19" t="s">
        <v>28</v>
      </c>
      <c r="D16" s="19" t="s">
        <v>916</v>
      </c>
      <c r="E16" s="66" t="s">
        <v>997</v>
      </c>
      <c r="F16" s="67">
        <v>46162</v>
      </c>
      <c r="G16" s="19" t="s">
        <v>1006</v>
      </c>
      <c r="H16" s="19" t="s">
        <v>1007</v>
      </c>
      <c r="I16" s="19" t="s">
        <v>1008</v>
      </c>
      <c r="J16" s="19" t="s">
        <v>1009</v>
      </c>
      <c r="K16" s="67">
        <v>44918</v>
      </c>
      <c r="L16" s="19" t="s">
        <v>1001</v>
      </c>
      <c r="M16" s="19" t="s">
        <v>1010</v>
      </c>
    </row>
    <row r="17" spans="1:13" x14ac:dyDescent="0.35">
      <c r="A17" s="19">
        <v>54590</v>
      </c>
      <c r="B17" s="19" t="s">
        <v>1042</v>
      </c>
      <c r="C17" s="19" t="s">
        <v>93</v>
      </c>
      <c r="D17" s="19" t="s">
        <v>919</v>
      </c>
      <c r="E17" s="66" t="s">
        <v>997</v>
      </c>
      <c r="F17" s="67">
        <v>46156</v>
      </c>
      <c r="G17" s="19" t="s">
        <v>1043</v>
      </c>
      <c r="H17" s="19" t="s">
        <v>1044</v>
      </c>
      <c r="I17" s="19" t="s">
        <v>1045</v>
      </c>
      <c r="J17" s="19" t="s">
        <v>1045</v>
      </c>
      <c r="K17" s="67">
        <v>43574</v>
      </c>
      <c r="L17" s="19" t="s">
        <v>1001</v>
      </c>
      <c r="M17" s="19" t="s">
        <v>1002</v>
      </c>
    </row>
    <row r="18" spans="1:13" x14ac:dyDescent="0.35">
      <c r="A18" s="19">
        <v>64721</v>
      </c>
      <c r="B18" s="19" t="s">
        <v>892</v>
      </c>
      <c r="C18" s="19" t="s">
        <v>276</v>
      </c>
      <c r="D18" s="19" t="s">
        <v>893</v>
      </c>
      <c r="E18" s="66" t="s">
        <v>997</v>
      </c>
      <c r="F18" s="67">
        <v>46145</v>
      </c>
      <c r="G18" s="19" t="s">
        <v>1013</v>
      </c>
      <c r="H18" s="19" t="s">
        <v>1007</v>
      </c>
      <c r="I18" s="19" t="s">
        <v>1046</v>
      </c>
      <c r="J18" s="19" t="s">
        <v>1047</v>
      </c>
      <c r="K18" s="67">
        <v>44112</v>
      </c>
      <c r="L18" s="19" t="s">
        <v>1001</v>
      </c>
      <c r="M18" s="19" t="s">
        <v>1010</v>
      </c>
    </row>
    <row r="19" spans="1:13" x14ac:dyDescent="0.35">
      <c r="A19" s="19">
        <v>65274</v>
      </c>
      <c r="B19" s="19" t="s">
        <v>1048</v>
      </c>
      <c r="C19" s="19" t="s">
        <v>211</v>
      </c>
      <c r="D19" s="19" t="s">
        <v>1049</v>
      </c>
      <c r="E19" s="66" t="s">
        <v>997</v>
      </c>
      <c r="F19" s="67">
        <v>46170</v>
      </c>
      <c r="G19" s="19" t="s">
        <v>1025</v>
      </c>
      <c r="H19" s="19" t="s">
        <v>999</v>
      </c>
      <c r="I19" s="19" t="s">
        <v>1008</v>
      </c>
      <c r="J19" s="19" t="s">
        <v>1008</v>
      </c>
      <c r="K19" s="67">
        <v>44384</v>
      </c>
      <c r="L19" s="19" t="s">
        <v>1001</v>
      </c>
      <c r="M19" s="19" t="s">
        <v>1010</v>
      </c>
    </row>
    <row r="20" spans="1:13" x14ac:dyDescent="0.35">
      <c r="A20" s="19">
        <v>65548</v>
      </c>
      <c r="B20" s="19" t="s">
        <v>1050</v>
      </c>
      <c r="C20" s="19" t="s">
        <v>326</v>
      </c>
      <c r="D20" s="19" t="s">
        <v>1051</v>
      </c>
      <c r="E20" s="66" t="s">
        <v>997</v>
      </c>
      <c r="F20" s="67">
        <v>46143</v>
      </c>
      <c r="G20" s="19" t="s">
        <v>1013</v>
      </c>
      <c r="H20" s="19" t="s">
        <v>1007</v>
      </c>
      <c r="I20" s="19" t="s">
        <v>1046</v>
      </c>
      <c r="J20" s="19" t="s">
        <v>1046</v>
      </c>
      <c r="K20" s="67">
        <v>44525</v>
      </c>
      <c r="L20" s="19" t="s">
        <v>1001</v>
      </c>
      <c r="M20" s="19" t="s">
        <v>1010</v>
      </c>
    </row>
    <row r="21" spans="1:13" x14ac:dyDescent="0.35">
      <c r="A21" s="19">
        <v>65719</v>
      </c>
      <c r="B21" s="19" t="s">
        <v>1052</v>
      </c>
      <c r="C21" s="19" t="s">
        <v>302</v>
      </c>
      <c r="D21" s="19" t="s">
        <v>1053</v>
      </c>
      <c r="E21" s="66" t="s">
        <v>997</v>
      </c>
      <c r="F21" s="67">
        <v>46173</v>
      </c>
      <c r="G21" s="19" t="s">
        <v>1006</v>
      </c>
      <c r="H21" s="19" t="s">
        <v>1007</v>
      </c>
      <c r="I21" s="19" t="s">
        <v>1028</v>
      </c>
      <c r="J21" s="19" t="s">
        <v>1028</v>
      </c>
      <c r="K21" s="67">
        <v>46072</v>
      </c>
      <c r="L21" s="19" t="s">
        <v>1020</v>
      </c>
      <c r="M21" s="19" t="s">
        <v>1010</v>
      </c>
    </row>
    <row r="22" spans="1:13" x14ac:dyDescent="0.35">
      <c r="A22" s="19">
        <v>66093</v>
      </c>
      <c r="B22" s="19" t="s">
        <v>1054</v>
      </c>
      <c r="C22" s="19" t="s">
        <v>14</v>
      </c>
      <c r="D22" s="19" t="s">
        <v>15</v>
      </c>
      <c r="E22" s="66" t="s">
        <v>997</v>
      </c>
      <c r="F22" s="67">
        <v>46173</v>
      </c>
      <c r="G22" s="19" t="s">
        <v>1013</v>
      </c>
      <c r="H22" s="19" t="s">
        <v>1007</v>
      </c>
      <c r="I22" s="19" t="s">
        <v>1008</v>
      </c>
      <c r="J22" s="19" t="s">
        <v>1008</v>
      </c>
      <c r="K22" s="67">
        <v>44216</v>
      </c>
      <c r="L22" s="19" t="s">
        <v>1001</v>
      </c>
      <c r="M22" s="19" t="s">
        <v>1010</v>
      </c>
    </row>
    <row r="23" spans="1:13" x14ac:dyDescent="0.35">
      <c r="A23" s="19">
        <v>66300</v>
      </c>
      <c r="B23" s="19" t="s">
        <v>1055</v>
      </c>
      <c r="C23" s="19" t="s">
        <v>362</v>
      </c>
      <c r="D23" s="19" t="s">
        <v>1056</v>
      </c>
      <c r="E23" s="66" t="s">
        <v>997</v>
      </c>
      <c r="F23" s="67">
        <v>46171</v>
      </c>
      <c r="G23" s="19" t="s">
        <v>1006</v>
      </c>
      <c r="H23" s="19" t="s">
        <v>1007</v>
      </c>
      <c r="I23" s="19" t="s">
        <v>1000</v>
      </c>
      <c r="J23" s="19" t="s">
        <v>1057</v>
      </c>
      <c r="K23" s="67">
        <v>44147</v>
      </c>
      <c r="L23" s="19" t="s">
        <v>1001</v>
      </c>
      <c r="M23" s="19" t="s">
        <v>1002</v>
      </c>
    </row>
    <row r="24" spans="1:13" x14ac:dyDescent="0.35">
      <c r="A24" s="19">
        <v>66958</v>
      </c>
      <c r="B24" s="19" t="s">
        <v>1058</v>
      </c>
      <c r="C24" s="19" t="s">
        <v>385</v>
      </c>
      <c r="D24" s="19" t="s">
        <v>1059</v>
      </c>
      <c r="E24" s="66" t="s">
        <v>997</v>
      </c>
      <c r="F24" s="67">
        <v>46173</v>
      </c>
      <c r="G24" s="19" t="s">
        <v>1006</v>
      </c>
      <c r="H24" s="19" t="s">
        <v>1007</v>
      </c>
      <c r="I24" s="19" t="s">
        <v>1028</v>
      </c>
      <c r="J24" s="19" t="s">
        <v>1028</v>
      </c>
      <c r="K24" s="67">
        <v>46054</v>
      </c>
      <c r="L24" s="19" t="s">
        <v>1020</v>
      </c>
      <c r="M24" s="19" t="s">
        <v>1010</v>
      </c>
    </row>
    <row r="25" spans="1:13" x14ac:dyDescent="0.35">
      <c r="A25" s="19">
        <v>66960</v>
      </c>
      <c r="B25" s="19" t="s">
        <v>1060</v>
      </c>
      <c r="C25" s="19" t="s">
        <v>201</v>
      </c>
      <c r="D25" s="19" t="s">
        <v>1061</v>
      </c>
      <c r="E25" s="66" t="s">
        <v>997</v>
      </c>
      <c r="F25" s="67">
        <v>46159</v>
      </c>
      <c r="G25" s="19" t="s">
        <v>1013</v>
      </c>
      <c r="H25" s="19" t="s">
        <v>1007</v>
      </c>
      <c r="I25" s="19" t="s">
        <v>1008</v>
      </c>
      <c r="J25" s="19" t="s">
        <v>1008</v>
      </c>
      <c r="K25" s="67">
        <v>44355</v>
      </c>
      <c r="L25" s="19" t="s">
        <v>1001</v>
      </c>
      <c r="M25" s="19" t="s">
        <v>1010</v>
      </c>
    </row>
    <row r="26" spans="1:13" x14ac:dyDescent="0.35">
      <c r="A26" s="19">
        <v>66998</v>
      </c>
      <c r="B26" s="19" t="s">
        <v>1062</v>
      </c>
      <c r="C26" s="19" t="s">
        <v>428</v>
      </c>
      <c r="D26" s="19" t="s">
        <v>1063</v>
      </c>
      <c r="E26" s="66" t="s">
        <v>997</v>
      </c>
      <c r="F26" s="67">
        <v>46163</v>
      </c>
      <c r="G26" s="19" t="s">
        <v>1006</v>
      </c>
      <c r="H26" s="19" t="s">
        <v>1007</v>
      </c>
      <c r="I26" s="19" t="s">
        <v>1045</v>
      </c>
      <c r="J26" s="19" t="s">
        <v>1045</v>
      </c>
      <c r="K26" s="67">
        <v>44358</v>
      </c>
      <c r="L26" s="19" t="s">
        <v>1001</v>
      </c>
      <c r="M26" s="19" t="s">
        <v>1002</v>
      </c>
    </row>
    <row r="27" spans="1:13" x14ac:dyDescent="0.35">
      <c r="A27" s="19">
        <v>67206</v>
      </c>
      <c r="B27" s="19" t="s">
        <v>1064</v>
      </c>
      <c r="C27" s="19" t="s">
        <v>362</v>
      </c>
      <c r="D27" s="19" t="s">
        <v>1056</v>
      </c>
      <c r="E27" s="66" t="s">
        <v>997</v>
      </c>
      <c r="F27" s="67">
        <v>46156</v>
      </c>
      <c r="G27" s="19" t="s">
        <v>1013</v>
      </c>
      <c r="H27" s="19" t="s">
        <v>1007</v>
      </c>
      <c r="I27" s="19" t="s">
        <v>1045</v>
      </c>
      <c r="J27" s="19" t="s">
        <v>1045</v>
      </c>
      <c r="K27" s="67">
        <v>44370</v>
      </c>
      <c r="L27" s="19" t="s">
        <v>1001</v>
      </c>
      <c r="M27" s="19" t="s">
        <v>1002</v>
      </c>
    </row>
    <row r="28" spans="1:13" x14ac:dyDescent="0.35">
      <c r="A28" s="19">
        <v>68869</v>
      </c>
      <c r="B28" s="19" t="s">
        <v>1065</v>
      </c>
      <c r="C28" s="19" t="s">
        <v>34</v>
      </c>
      <c r="D28" s="19" t="s">
        <v>1066</v>
      </c>
      <c r="E28" s="66" t="s">
        <v>997</v>
      </c>
      <c r="F28" s="67">
        <v>46146</v>
      </c>
      <c r="G28" s="19" t="s">
        <v>1006</v>
      </c>
      <c r="H28" s="19" t="s">
        <v>1007</v>
      </c>
      <c r="I28" s="19" t="s">
        <v>1019</v>
      </c>
      <c r="J28" s="19" t="s">
        <v>1067</v>
      </c>
      <c r="K28" s="67">
        <v>45794</v>
      </c>
      <c r="L28" s="19" t="s">
        <v>1020</v>
      </c>
      <c r="M28" s="19" t="s">
        <v>1010</v>
      </c>
    </row>
    <row r="29" spans="1:13" x14ac:dyDescent="0.35">
      <c r="A29" s="19">
        <v>69060</v>
      </c>
      <c r="B29" s="19" t="s">
        <v>1068</v>
      </c>
      <c r="C29" s="19" t="s">
        <v>349</v>
      </c>
      <c r="D29" s="19" t="s">
        <v>912</v>
      </c>
      <c r="E29" s="66" t="s">
        <v>997</v>
      </c>
      <c r="F29" s="67">
        <v>46156</v>
      </c>
      <c r="G29" s="19" t="s">
        <v>1006</v>
      </c>
      <c r="H29" s="19" t="s">
        <v>1007</v>
      </c>
      <c r="I29" s="19" t="s">
        <v>1008</v>
      </c>
      <c r="J29" s="19" t="s">
        <v>1008</v>
      </c>
      <c r="K29" s="67">
        <v>44531</v>
      </c>
      <c r="L29" s="19" t="s">
        <v>1001</v>
      </c>
      <c r="M29" s="19" t="s">
        <v>1010</v>
      </c>
    </row>
    <row r="30" spans="1:13" x14ac:dyDescent="0.35">
      <c r="A30" s="19">
        <v>69642</v>
      </c>
      <c r="B30" s="19" t="s">
        <v>1069</v>
      </c>
      <c r="C30" s="19" t="s">
        <v>237</v>
      </c>
      <c r="D30" s="19" t="s">
        <v>1070</v>
      </c>
      <c r="E30" s="66" t="s">
        <v>997</v>
      </c>
      <c r="F30" s="67">
        <v>46173</v>
      </c>
      <c r="G30" s="19" t="s">
        <v>1006</v>
      </c>
      <c r="H30" s="19" t="s">
        <v>1007</v>
      </c>
      <c r="I30" s="19" t="s">
        <v>1034</v>
      </c>
      <c r="J30" s="19" t="s">
        <v>1035</v>
      </c>
      <c r="K30" s="67">
        <v>44747</v>
      </c>
      <c r="L30" s="19" t="s">
        <v>1001</v>
      </c>
      <c r="M30" s="19" t="s">
        <v>1010</v>
      </c>
    </row>
    <row r="31" spans="1:13" x14ac:dyDescent="0.35">
      <c r="A31" s="19">
        <v>69712</v>
      </c>
      <c r="B31" s="19" t="s">
        <v>1071</v>
      </c>
      <c r="C31" s="19" t="s">
        <v>23</v>
      </c>
      <c r="D31" s="19" t="s">
        <v>660</v>
      </c>
      <c r="E31" s="66" t="s">
        <v>997</v>
      </c>
      <c r="F31" s="67">
        <v>46165</v>
      </c>
      <c r="G31" s="19" t="s">
        <v>1006</v>
      </c>
      <c r="H31" s="19" t="s">
        <v>1007</v>
      </c>
      <c r="I31" s="19" t="s">
        <v>1008</v>
      </c>
      <c r="J31" s="19" t="s">
        <v>1008</v>
      </c>
      <c r="K31" s="67">
        <v>46015</v>
      </c>
      <c r="L31" s="19" t="s">
        <v>1001</v>
      </c>
      <c r="M31" s="19" t="s">
        <v>1010</v>
      </c>
    </row>
    <row r="32" spans="1:13" x14ac:dyDescent="0.35">
      <c r="A32" s="19">
        <v>69861</v>
      </c>
      <c r="B32" s="19" t="s">
        <v>1072</v>
      </c>
      <c r="C32" s="19" t="s">
        <v>328</v>
      </c>
      <c r="D32" s="19" t="s">
        <v>838</v>
      </c>
      <c r="E32" s="66" t="s">
        <v>997</v>
      </c>
      <c r="F32" s="67">
        <v>46161</v>
      </c>
      <c r="G32" s="19" t="s">
        <v>1006</v>
      </c>
      <c r="H32" s="19" t="s">
        <v>1007</v>
      </c>
      <c r="I32" s="19" t="s">
        <v>1028</v>
      </c>
      <c r="J32" s="19" t="s">
        <v>1028</v>
      </c>
      <c r="K32" s="67">
        <v>46023</v>
      </c>
      <c r="L32" s="19" t="s">
        <v>1020</v>
      </c>
      <c r="M32" s="19" t="s">
        <v>1010</v>
      </c>
    </row>
    <row r="33" spans="1:13" x14ac:dyDescent="0.35">
      <c r="A33" s="19">
        <v>70960</v>
      </c>
      <c r="B33" s="19" t="s">
        <v>1073</v>
      </c>
      <c r="C33" s="19" t="s">
        <v>382</v>
      </c>
      <c r="D33" s="19" t="s">
        <v>384</v>
      </c>
      <c r="E33" s="66" t="s">
        <v>997</v>
      </c>
      <c r="F33" s="67">
        <v>46172</v>
      </c>
      <c r="G33" s="19" t="s">
        <v>1013</v>
      </c>
      <c r="H33" s="19" t="s">
        <v>1007</v>
      </c>
      <c r="I33" s="19" t="s">
        <v>1045</v>
      </c>
      <c r="J33" s="19" t="s">
        <v>1045</v>
      </c>
      <c r="K33" s="67">
        <v>44510</v>
      </c>
      <c r="L33" s="19" t="s">
        <v>1001</v>
      </c>
      <c r="M33" s="19" t="s">
        <v>1002</v>
      </c>
    </row>
    <row r="34" spans="1:13" x14ac:dyDescent="0.35">
      <c r="A34" s="19">
        <v>71496</v>
      </c>
      <c r="B34" s="19" t="s">
        <v>1074</v>
      </c>
      <c r="C34" s="19" t="s">
        <v>128</v>
      </c>
      <c r="D34" s="19" t="s">
        <v>1075</v>
      </c>
      <c r="E34" s="66" t="s">
        <v>997</v>
      </c>
      <c r="F34" s="67">
        <v>46153</v>
      </c>
      <c r="G34" s="19" t="s">
        <v>1006</v>
      </c>
      <c r="H34" s="19" t="s">
        <v>1007</v>
      </c>
      <c r="I34" s="19" t="s">
        <v>1008</v>
      </c>
      <c r="J34" s="19" t="s">
        <v>1008</v>
      </c>
      <c r="K34" s="67">
        <v>44554</v>
      </c>
      <c r="L34" s="19" t="s">
        <v>1001</v>
      </c>
      <c r="M34" s="19" t="s">
        <v>1010</v>
      </c>
    </row>
    <row r="35" spans="1:13" x14ac:dyDescent="0.35">
      <c r="A35" s="19">
        <v>71833</v>
      </c>
      <c r="B35" s="19" t="s">
        <v>1076</v>
      </c>
      <c r="C35" s="19" t="s">
        <v>420</v>
      </c>
      <c r="D35" s="19" t="s">
        <v>686</v>
      </c>
      <c r="E35" s="66" t="s">
        <v>997</v>
      </c>
      <c r="F35" s="67">
        <v>46145</v>
      </c>
      <c r="G35" s="19" t="s">
        <v>1006</v>
      </c>
      <c r="H35" s="19" t="s">
        <v>1007</v>
      </c>
      <c r="I35" s="19" t="s">
        <v>1028</v>
      </c>
      <c r="J35" s="19" t="s">
        <v>1009</v>
      </c>
      <c r="K35" s="67">
        <v>45189</v>
      </c>
      <c r="L35" s="19" t="s">
        <v>1020</v>
      </c>
      <c r="M35" s="19" t="s">
        <v>1010</v>
      </c>
    </row>
    <row r="36" spans="1:13" x14ac:dyDescent="0.35">
      <c r="A36" s="19">
        <v>72087</v>
      </c>
      <c r="B36" s="19" t="s">
        <v>1077</v>
      </c>
      <c r="C36" s="19" t="s">
        <v>68</v>
      </c>
      <c r="D36" s="19" t="s">
        <v>1078</v>
      </c>
      <c r="E36" s="66" t="s">
        <v>997</v>
      </c>
      <c r="F36" s="67">
        <v>46160</v>
      </c>
      <c r="G36" s="19" t="s">
        <v>1006</v>
      </c>
      <c r="H36" s="19" t="s">
        <v>1007</v>
      </c>
      <c r="I36" s="19" t="s">
        <v>1008</v>
      </c>
      <c r="J36" s="19" t="s">
        <v>1008</v>
      </c>
      <c r="K36" s="67">
        <v>44609</v>
      </c>
      <c r="L36" s="19" t="s">
        <v>1001</v>
      </c>
      <c r="M36" s="19" t="s">
        <v>1010</v>
      </c>
    </row>
    <row r="37" spans="1:13" x14ac:dyDescent="0.35">
      <c r="A37" s="19">
        <v>72889</v>
      </c>
      <c r="B37" s="19" t="s">
        <v>1079</v>
      </c>
      <c r="C37" s="19" t="s">
        <v>155</v>
      </c>
      <c r="D37" s="19" t="s">
        <v>896</v>
      </c>
      <c r="E37" s="66" t="s">
        <v>997</v>
      </c>
      <c r="F37" s="67">
        <v>46173</v>
      </c>
      <c r="G37" s="19" t="s">
        <v>1013</v>
      </c>
      <c r="H37" s="19" t="s">
        <v>1007</v>
      </c>
      <c r="I37" s="19" t="s">
        <v>1046</v>
      </c>
      <c r="J37" s="19" t="s">
        <v>1047</v>
      </c>
      <c r="K37" s="67">
        <v>44666</v>
      </c>
      <c r="L37" s="19" t="s">
        <v>1001</v>
      </c>
      <c r="M37" s="19" t="s">
        <v>1010</v>
      </c>
    </row>
    <row r="38" spans="1:13" x14ac:dyDescent="0.35">
      <c r="A38" s="19">
        <v>73638</v>
      </c>
      <c r="B38" s="19" t="s">
        <v>1080</v>
      </c>
      <c r="C38" s="19" t="s">
        <v>215</v>
      </c>
      <c r="D38" s="19" t="s">
        <v>1081</v>
      </c>
      <c r="E38" s="66" t="s">
        <v>997</v>
      </c>
      <c r="F38" s="67">
        <v>46144</v>
      </c>
      <c r="G38" s="19" t="s">
        <v>1006</v>
      </c>
      <c r="H38" s="19" t="s">
        <v>1007</v>
      </c>
      <c r="I38" s="19" t="s">
        <v>1057</v>
      </c>
      <c r="J38" s="19" t="s">
        <v>1057</v>
      </c>
      <c r="K38" s="67">
        <v>45253</v>
      </c>
      <c r="L38" s="19" t="s">
        <v>1001</v>
      </c>
      <c r="M38" s="19" t="s">
        <v>1010</v>
      </c>
    </row>
    <row r="39" spans="1:13" x14ac:dyDescent="0.35">
      <c r="A39" s="19">
        <v>73695</v>
      </c>
      <c r="B39" s="19" t="s">
        <v>1082</v>
      </c>
      <c r="C39" s="19" t="s">
        <v>111</v>
      </c>
      <c r="D39" s="19" t="s">
        <v>1083</v>
      </c>
      <c r="E39" s="66" t="s">
        <v>997</v>
      </c>
      <c r="F39" s="67">
        <v>46155</v>
      </c>
      <c r="G39" s="19" t="s">
        <v>1013</v>
      </c>
      <c r="H39" s="19" t="s">
        <v>1007</v>
      </c>
      <c r="I39" s="19" t="s">
        <v>1084</v>
      </c>
      <c r="J39" s="19" t="s">
        <v>1084</v>
      </c>
      <c r="K39" s="67">
        <v>44693</v>
      </c>
      <c r="L39" s="19" t="s">
        <v>1001</v>
      </c>
      <c r="M39" s="19" t="s">
        <v>1010</v>
      </c>
    </row>
    <row r="40" spans="1:13" x14ac:dyDescent="0.35">
      <c r="A40" s="19">
        <v>73801</v>
      </c>
      <c r="B40" s="19" t="s">
        <v>1085</v>
      </c>
      <c r="C40" s="19" t="s">
        <v>305</v>
      </c>
      <c r="D40" s="19" t="s">
        <v>1086</v>
      </c>
      <c r="E40" s="66" t="s">
        <v>997</v>
      </c>
      <c r="F40" s="67">
        <v>46153</v>
      </c>
      <c r="G40" s="19" t="s">
        <v>1006</v>
      </c>
      <c r="H40" s="19" t="s">
        <v>1007</v>
      </c>
      <c r="I40" s="19" t="s">
        <v>1028</v>
      </c>
      <c r="J40" s="19" t="s">
        <v>1028</v>
      </c>
      <c r="K40" s="67">
        <v>44702</v>
      </c>
      <c r="L40" s="19" t="s">
        <v>1020</v>
      </c>
      <c r="M40" s="19" t="s">
        <v>1010</v>
      </c>
    </row>
    <row r="41" spans="1:13" x14ac:dyDescent="0.35">
      <c r="A41" s="19">
        <v>74906</v>
      </c>
      <c r="B41" s="19" t="s">
        <v>1087</v>
      </c>
      <c r="C41" s="19" t="s">
        <v>339</v>
      </c>
      <c r="D41" s="19" t="s">
        <v>1024</v>
      </c>
      <c r="E41" s="66" t="s">
        <v>997</v>
      </c>
      <c r="F41" s="67">
        <v>46143</v>
      </c>
      <c r="G41" s="19" t="s">
        <v>1006</v>
      </c>
      <c r="H41" s="19" t="s">
        <v>1007</v>
      </c>
      <c r="I41" s="19" t="s">
        <v>1084</v>
      </c>
      <c r="J41" s="19" t="s">
        <v>1009</v>
      </c>
      <c r="K41" s="67">
        <v>44749</v>
      </c>
      <c r="L41" s="19" t="s">
        <v>1020</v>
      </c>
      <c r="M41" s="19" t="s">
        <v>1088</v>
      </c>
    </row>
    <row r="42" spans="1:13" x14ac:dyDescent="0.35">
      <c r="A42" s="19">
        <v>75348</v>
      </c>
      <c r="B42" s="19" t="s">
        <v>1089</v>
      </c>
      <c r="C42" s="19" t="s">
        <v>204</v>
      </c>
      <c r="D42" s="19" t="s">
        <v>1090</v>
      </c>
      <c r="E42" s="66" t="s">
        <v>997</v>
      </c>
      <c r="F42" s="67">
        <v>46167</v>
      </c>
      <c r="G42" s="19" t="s">
        <v>1006</v>
      </c>
      <c r="H42" s="19" t="s">
        <v>1007</v>
      </c>
      <c r="I42" s="19" t="s">
        <v>1028</v>
      </c>
      <c r="J42" s="19" t="s">
        <v>1028</v>
      </c>
      <c r="K42" s="67">
        <v>46023</v>
      </c>
      <c r="L42" s="19" t="s">
        <v>1020</v>
      </c>
      <c r="M42" s="19" t="s">
        <v>1010</v>
      </c>
    </row>
    <row r="43" spans="1:13" x14ac:dyDescent="0.35">
      <c r="A43" s="19">
        <v>75676</v>
      </c>
      <c r="B43" s="19" t="s">
        <v>1091</v>
      </c>
      <c r="C43" s="19" t="s">
        <v>393</v>
      </c>
      <c r="D43" s="19" t="s">
        <v>865</v>
      </c>
      <c r="E43" s="66" t="s">
        <v>997</v>
      </c>
      <c r="F43" s="67">
        <v>46167</v>
      </c>
      <c r="G43" s="19" t="s">
        <v>1006</v>
      </c>
      <c r="H43" s="19" t="s">
        <v>1007</v>
      </c>
      <c r="I43" s="19" t="s">
        <v>1028</v>
      </c>
      <c r="J43" s="19" t="s">
        <v>1028</v>
      </c>
      <c r="K43" s="67">
        <v>44765</v>
      </c>
      <c r="L43" s="19" t="s">
        <v>1020</v>
      </c>
      <c r="M43" s="19" t="s">
        <v>1010</v>
      </c>
    </row>
    <row r="44" spans="1:13" x14ac:dyDescent="0.35">
      <c r="A44" s="19">
        <v>77481</v>
      </c>
      <c r="B44" s="19" t="s">
        <v>1092</v>
      </c>
      <c r="C44" s="19" t="s">
        <v>273</v>
      </c>
      <c r="D44" s="19" t="s">
        <v>1093</v>
      </c>
      <c r="E44" s="66" t="s">
        <v>997</v>
      </c>
      <c r="F44" s="67">
        <v>46153</v>
      </c>
      <c r="G44" s="19" t="s">
        <v>1006</v>
      </c>
      <c r="H44" s="19" t="s">
        <v>1007</v>
      </c>
      <c r="I44" s="19" t="s">
        <v>1084</v>
      </c>
      <c r="J44" s="19" t="s">
        <v>1009</v>
      </c>
      <c r="K44" s="67">
        <v>45903</v>
      </c>
      <c r="L44" s="19" t="s">
        <v>1020</v>
      </c>
      <c r="M44" s="19" t="s">
        <v>1010</v>
      </c>
    </row>
    <row r="45" spans="1:13" x14ac:dyDescent="0.35">
      <c r="A45" s="19">
        <v>77507</v>
      </c>
      <c r="B45" s="19" t="s">
        <v>1094</v>
      </c>
      <c r="C45" s="19" t="s">
        <v>295</v>
      </c>
      <c r="D45" s="19" t="s">
        <v>1095</v>
      </c>
      <c r="E45" s="66" t="s">
        <v>997</v>
      </c>
      <c r="F45" s="67">
        <v>46152</v>
      </c>
      <c r="G45" s="19" t="s">
        <v>1006</v>
      </c>
      <c r="H45" s="19" t="s">
        <v>1007</v>
      </c>
      <c r="I45" s="19" t="s">
        <v>1008</v>
      </c>
      <c r="J45" s="19" t="s">
        <v>1008</v>
      </c>
      <c r="K45" s="67">
        <v>45916</v>
      </c>
      <c r="L45" s="19" t="s">
        <v>1001</v>
      </c>
      <c r="M45" s="19" t="s">
        <v>1010</v>
      </c>
    </row>
    <row r="46" spans="1:13" x14ac:dyDescent="0.35">
      <c r="A46" s="19">
        <v>78289</v>
      </c>
      <c r="B46" s="19" t="s">
        <v>1096</v>
      </c>
      <c r="C46" s="19" t="s">
        <v>273</v>
      </c>
      <c r="D46" s="19" t="s">
        <v>1093</v>
      </c>
      <c r="E46" s="66" t="s">
        <v>997</v>
      </c>
      <c r="F46" s="67">
        <v>46155</v>
      </c>
      <c r="G46" s="19" t="s">
        <v>1013</v>
      </c>
      <c r="H46" s="19" t="s">
        <v>1007</v>
      </c>
      <c r="I46" s="19" t="s">
        <v>1046</v>
      </c>
      <c r="J46" s="19" t="s">
        <v>1046</v>
      </c>
      <c r="K46" s="67">
        <v>44859</v>
      </c>
      <c r="L46" s="19" t="s">
        <v>1001</v>
      </c>
      <c r="M46" s="19" t="s">
        <v>1010</v>
      </c>
    </row>
    <row r="47" spans="1:13" x14ac:dyDescent="0.35">
      <c r="A47" s="19">
        <v>79021</v>
      </c>
      <c r="B47" s="19" t="s">
        <v>1097</v>
      </c>
      <c r="C47" s="19" t="s">
        <v>237</v>
      </c>
      <c r="D47" s="19" t="s">
        <v>1070</v>
      </c>
      <c r="E47" s="66" t="s">
        <v>997</v>
      </c>
      <c r="F47" s="67">
        <v>46145</v>
      </c>
      <c r="G47" s="19" t="s">
        <v>1006</v>
      </c>
      <c r="H47" s="19" t="s">
        <v>1007</v>
      </c>
      <c r="I47" s="19" t="s">
        <v>1084</v>
      </c>
      <c r="J47" s="19" t="s">
        <v>1084</v>
      </c>
      <c r="K47" s="67">
        <v>46029</v>
      </c>
      <c r="L47" s="19" t="s">
        <v>1020</v>
      </c>
      <c r="M47" s="19" t="s">
        <v>1088</v>
      </c>
    </row>
    <row r="48" spans="1:13" x14ac:dyDescent="0.35">
      <c r="A48" s="19">
        <v>81552</v>
      </c>
      <c r="B48" s="19" t="s">
        <v>1098</v>
      </c>
      <c r="C48" s="19" t="s">
        <v>237</v>
      </c>
      <c r="D48" s="19" t="s">
        <v>1070</v>
      </c>
      <c r="E48" s="66" t="s">
        <v>997</v>
      </c>
      <c r="F48" s="67">
        <v>46157</v>
      </c>
      <c r="G48" s="19" t="s">
        <v>1006</v>
      </c>
      <c r="H48" s="19" t="s">
        <v>1007</v>
      </c>
      <c r="I48" s="19" t="s">
        <v>1057</v>
      </c>
      <c r="J48" s="19" t="s">
        <v>1067</v>
      </c>
      <c r="K48" s="67">
        <v>45925</v>
      </c>
      <c r="L48" s="19" t="s">
        <v>1001</v>
      </c>
      <c r="M48" s="19" t="s">
        <v>1010</v>
      </c>
    </row>
    <row r="49" spans="1:13" x14ac:dyDescent="0.35">
      <c r="A49" s="19">
        <v>81729</v>
      </c>
      <c r="B49" s="19" t="s">
        <v>1099</v>
      </c>
      <c r="C49" s="19" t="s">
        <v>355</v>
      </c>
      <c r="D49" s="19" t="s">
        <v>1100</v>
      </c>
      <c r="E49" s="66" t="s">
        <v>997</v>
      </c>
      <c r="F49" s="67">
        <v>46165</v>
      </c>
      <c r="G49" s="19" t="s">
        <v>1013</v>
      </c>
      <c r="H49" s="19" t="s">
        <v>1007</v>
      </c>
      <c r="I49" s="19" t="s">
        <v>1046</v>
      </c>
      <c r="J49" s="19" t="s">
        <v>1047</v>
      </c>
      <c r="K49" s="67">
        <v>45080</v>
      </c>
      <c r="L49" s="19" t="s">
        <v>1001</v>
      </c>
      <c r="M49" s="19" t="s">
        <v>1010</v>
      </c>
    </row>
    <row r="50" spans="1:13" x14ac:dyDescent="0.35">
      <c r="A50" s="19">
        <v>81968</v>
      </c>
      <c r="B50" s="19" t="s">
        <v>1101</v>
      </c>
      <c r="C50" s="19" t="s">
        <v>237</v>
      </c>
      <c r="D50" s="19" t="s">
        <v>1070</v>
      </c>
      <c r="E50" s="66" t="s">
        <v>997</v>
      </c>
      <c r="F50" s="67">
        <v>46161</v>
      </c>
      <c r="G50" s="19" t="s">
        <v>1006</v>
      </c>
      <c r="H50" s="19" t="s">
        <v>1007</v>
      </c>
      <c r="I50" s="19" t="s">
        <v>1019</v>
      </c>
      <c r="J50" s="19" t="s">
        <v>1067</v>
      </c>
      <c r="K50" s="67">
        <v>45920</v>
      </c>
      <c r="L50" s="19" t="s">
        <v>1020</v>
      </c>
      <c r="M50" s="19" t="s">
        <v>1010</v>
      </c>
    </row>
    <row r="51" spans="1:13" x14ac:dyDescent="0.35">
      <c r="A51" s="19">
        <v>82319</v>
      </c>
      <c r="B51" s="19" t="s">
        <v>1102</v>
      </c>
      <c r="C51" s="19" t="s">
        <v>82</v>
      </c>
      <c r="D51" s="19" t="s">
        <v>1103</v>
      </c>
      <c r="E51" s="66" t="s">
        <v>997</v>
      </c>
      <c r="F51" s="67">
        <v>46157</v>
      </c>
      <c r="G51" s="19" t="s">
        <v>1006</v>
      </c>
      <c r="H51" s="19" t="s">
        <v>1007</v>
      </c>
      <c r="I51" s="19" t="s">
        <v>1028</v>
      </c>
      <c r="J51" s="19" t="s">
        <v>1009</v>
      </c>
      <c r="K51" s="67">
        <v>46066</v>
      </c>
      <c r="L51" s="19" t="s">
        <v>1020</v>
      </c>
      <c r="M51" s="19" t="s">
        <v>1010</v>
      </c>
    </row>
    <row r="52" spans="1:13" x14ac:dyDescent="0.35">
      <c r="A52" s="19">
        <v>82661</v>
      </c>
      <c r="B52" s="19" t="s">
        <v>1104</v>
      </c>
      <c r="C52" s="19" t="s">
        <v>430</v>
      </c>
      <c r="D52" s="19" t="s">
        <v>1105</v>
      </c>
      <c r="E52" s="66" t="s">
        <v>997</v>
      </c>
      <c r="F52" s="67">
        <v>46147</v>
      </c>
      <c r="G52" s="19" t="s">
        <v>1006</v>
      </c>
      <c r="H52" s="19" t="s">
        <v>1007</v>
      </c>
      <c r="I52" s="19" t="s">
        <v>1057</v>
      </c>
      <c r="J52" s="19" t="s">
        <v>1057</v>
      </c>
      <c r="K52" s="67">
        <v>45651</v>
      </c>
      <c r="L52" s="19" t="s">
        <v>1001</v>
      </c>
      <c r="M52" s="19" t="s">
        <v>1010</v>
      </c>
    </row>
    <row r="53" spans="1:13" x14ac:dyDescent="0.35">
      <c r="A53" s="19">
        <v>82754</v>
      </c>
      <c r="B53" s="19" t="s">
        <v>1106</v>
      </c>
      <c r="C53" s="19" t="s">
        <v>78</v>
      </c>
      <c r="D53" s="19" t="s">
        <v>1107</v>
      </c>
      <c r="E53" s="66" t="s">
        <v>997</v>
      </c>
      <c r="F53" s="67">
        <v>46143</v>
      </c>
      <c r="G53" s="19" t="s">
        <v>1013</v>
      </c>
      <c r="H53" s="19" t="s">
        <v>1007</v>
      </c>
      <c r="I53" s="19" t="s">
        <v>1008</v>
      </c>
      <c r="J53" s="19" t="s">
        <v>1008</v>
      </c>
      <c r="K53" s="67">
        <v>45239</v>
      </c>
      <c r="L53" s="19" t="s">
        <v>1001</v>
      </c>
      <c r="M53" s="19" t="s">
        <v>1010</v>
      </c>
    </row>
    <row r="54" spans="1:13" x14ac:dyDescent="0.35">
      <c r="A54" s="19">
        <v>82969</v>
      </c>
      <c r="B54" s="19" t="s">
        <v>1108</v>
      </c>
      <c r="C54" s="19" t="s">
        <v>260</v>
      </c>
      <c r="D54" s="19" t="s">
        <v>1109</v>
      </c>
      <c r="E54" s="66" t="s">
        <v>997</v>
      </c>
      <c r="F54" s="67">
        <v>46173</v>
      </c>
      <c r="G54" s="19" t="s">
        <v>1006</v>
      </c>
      <c r="H54" s="19" t="s">
        <v>1007</v>
      </c>
      <c r="I54" s="19" t="s">
        <v>1028</v>
      </c>
      <c r="J54" s="19" t="s">
        <v>1028</v>
      </c>
      <c r="K54" s="67">
        <v>45870</v>
      </c>
      <c r="L54" s="19" t="s">
        <v>1020</v>
      </c>
      <c r="M54" s="19" t="s">
        <v>1010</v>
      </c>
    </row>
    <row r="55" spans="1:13" x14ac:dyDescent="0.35">
      <c r="A55" s="19">
        <v>83224</v>
      </c>
      <c r="B55" s="19" t="s">
        <v>1110</v>
      </c>
      <c r="C55" s="19" t="s">
        <v>420</v>
      </c>
      <c r="D55" s="19" t="s">
        <v>686</v>
      </c>
      <c r="E55" s="66" t="s">
        <v>997</v>
      </c>
      <c r="F55" s="67">
        <v>46143</v>
      </c>
      <c r="G55" s="19" t="s">
        <v>1006</v>
      </c>
      <c r="H55" s="19" t="s">
        <v>1007</v>
      </c>
      <c r="I55" s="19" t="s">
        <v>1084</v>
      </c>
      <c r="J55" s="19" t="s">
        <v>1084</v>
      </c>
      <c r="K55" s="67">
        <v>45122</v>
      </c>
      <c r="L55" s="19" t="s">
        <v>1001</v>
      </c>
      <c r="M55" s="19" t="s">
        <v>1111</v>
      </c>
    </row>
    <row r="56" spans="1:13" x14ac:dyDescent="0.35">
      <c r="A56" s="19">
        <v>83346</v>
      </c>
      <c r="B56" s="19" t="s">
        <v>1112</v>
      </c>
      <c r="C56" s="19" t="s">
        <v>91</v>
      </c>
      <c r="D56" s="19" t="s">
        <v>1113</v>
      </c>
      <c r="E56" s="66" t="s">
        <v>997</v>
      </c>
      <c r="F56" s="67">
        <v>46144</v>
      </c>
      <c r="G56" s="19" t="s">
        <v>1006</v>
      </c>
      <c r="H56" s="19" t="s">
        <v>1007</v>
      </c>
      <c r="I56" s="19" t="s">
        <v>1028</v>
      </c>
      <c r="J56" s="19" t="s">
        <v>1009</v>
      </c>
      <c r="K56" s="67">
        <v>46128</v>
      </c>
      <c r="L56" s="19" t="s">
        <v>1020</v>
      </c>
      <c r="M56" s="19" t="s">
        <v>1010</v>
      </c>
    </row>
    <row r="57" spans="1:13" x14ac:dyDescent="0.35">
      <c r="A57" s="19">
        <v>83685</v>
      </c>
      <c r="B57" s="19" t="s">
        <v>1114</v>
      </c>
      <c r="C57" s="19" t="s">
        <v>137</v>
      </c>
      <c r="D57" s="19" t="s">
        <v>1115</v>
      </c>
      <c r="E57" s="66" t="s">
        <v>997</v>
      </c>
      <c r="F57" s="67">
        <v>46150</v>
      </c>
      <c r="G57" s="19" t="s">
        <v>1006</v>
      </c>
      <c r="H57" s="19" t="s">
        <v>1007</v>
      </c>
      <c r="I57" s="19" t="s">
        <v>1008</v>
      </c>
      <c r="J57" s="19" t="s">
        <v>1008</v>
      </c>
      <c r="K57" s="67">
        <v>45150</v>
      </c>
      <c r="L57" s="19" t="s">
        <v>1001</v>
      </c>
      <c r="M57" s="19" t="s">
        <v>1010</v>
      </c>
    </row>
    <row r="58" spans="1:13" x14ac:dyDescent="0.35">
      <c r="A58" s="19">
        <v>83806</v>
      </c>
      <c r="B58" s="19" t="s">
        <v>1116</v>
      </c>
      <c r="C58" s="19" t="s">
        <v>365</v>
      </c>
      <c r="D58" s="19" t="s">
        <v>1117</v>
      </c>
      <c r="E58" s="66" t="s">
        <v>997</v>
      </c>
      <c r="F58" s="67">
        <v>46145</v>
      </c>
      <c r="G58" s="19" t="s">
        <v>1006</v>
      </c>
      <c r="H58" s="19" t="s">
        <v>1007</v>
      </c>
      <c r="I58" s="19" t="s">
        <v>1084</v>
      </c>
      <c r="J58" s="19" t="s">
        <v>1009</v>
      </c>
      <c r="K58" s="67">
        <v>46126</v>
      </c>
      <c r="L58" s="19" t="s">
        <v>1001</v>
      </c>
      <c r="M58" s="19" t="s">
        <v>1010</v>
      </c>
    </row>
    <row r="59" spans="1:13" x14ac:dyDescent="0.35">
      <c r="A59" s="19">
        <v>84290</v>
      </c>
      <c r="B59" s="19" t="s">
        <v>1118</v>
      </c>
      <c r="C59" s="19" t="s">
        <v>60</v>
      </c>
      <c r="D59" s="19" t="s">
        <v>1119</v>
      </c>
      <c r="E59" s="66" t="s">
        <v>997</v>
      </c>
      <c r="F59" s="67">
        <v>46166</v>
      </c>
      <c r="G59" s="19" t="s">
        <v>1006</v>
      </c>
      <c r="H59" s="19" t="s">
        <v>1007</v>
      </c>
      <c r="I59" s="19" t="s">
        <v>1028</v>
      </c>
      <c r="J59" s="19" t="s">
        <v>1009</v>
      </c>
      <c r="K59" s="67">
        <v>45988</v>
      </c>
      <c r="L59" s="19" t="s">
        <v>1020</v>
      </c>
      <c r="M59" s="19" t="s">
        <v>1010</v>
      </c>
    </row>
    <row r="60" spans="1:13" x14ac:dyDescent="0.35">
      <c r="A60" s="19">
        <v>84362</v>
      </c>
      <c r="B60" s="19" t="s">
        <v>1120</v>
      </c>
      <c r="C60" s="19" t="s">
        <v>420</v>
      </c>
      <c r="D60" s="19" t="s">
        <v>686</v>
      </c>
      <c r="E60" s="66" t="s">
        <v>997</v>
      </c>
      <c r="F60" s="67">
        <v>46145</v>
      </c>
      <c r="G60" s="19" t="s">
        <v>1006</v>
      </c>
      <c r="H60" s="19" t="s">
        <v>1007</v>
      </c>
      <c r="I60" s="19" t="s">
        <v>1028</v>
      </c>
      <c r="J60" s="19" t="s">
        <v>1028</v>
      </c>
      <c r="K60" s="67">
        <v>45184</v>
      </c>
      <c r="L60" s="19" t="s">
        <v>1020</v>
      </c>
      <c r="M60" s="19" t="s">
        <v>1010</v>
      </c>
    </row>
    <row r="61" spans="1:13" x14ac:dyDescent="0.35">
      <c r="A61" s="19">
        <v>84730</v>
      </c>
      <c r="B61" s="19" t="s">
        <v>1121</v>
      </c>
      <c r="C61" s="19" t="s">
        <v>45</v>
      </c>
      <c r="D61" s="19" t="s">
        <v>1122</v>
      </c>
      <c r="E61" s="66" t="s">
        <v>997</v>
      </c>
      <c r="F61" s="67">
        <v>46144</v>
      </c>
      <c r="G61" s="19" t="s">
        <v>1006</v>
      </c>
      <c r="H61" s="19" t="s">
        <v>1007</v>
      </c>
      <c r="I61" s="19" t="s">
        <v>1028</v>
      </c>
      <c r="J61" s="19" t="s">
        <v>1009</v>
      </c>
      <c r="K61" s="67">
        <v>45200</v>
      </c>
      <c r="L61" s="19" t="s">
        <v>1020</v>
      </c>
      <c r="M61" s="19" t="s">
        <v>1010</v>
      </c>
    </row>
    <row r="62" spans="1:13" x14ac:dyDescent="0.35">
      <c r="A62" s="19">
        <v>84875</v>
      </c>
      <c r="B62" s="19" t="s">
        <v>1123</v>
      </c>
      <c r="C62" s="19" t="s">
        <v>26</v>
      </c>
      <c r="D62" s="19" t="s">
        <v>1124</v>
      </c>
      <c r="E62" s="66" t="s">
        <v>997</v>
      </c>
      <c r="F62" s="67">
        <v>46153</v>
      </c>
      <c r="G62" s="19" t="s">
        <v>1006</v>
      </c>
      <c r="H62" s="19" t="s">
        <v>1007</v>
      </c>
      <c r="I62" s="19" t="s">
        <v>1028</v>
      </c>
      <c r="J62" s="19" t="s">
        <v>1028</v>
      </c>
      <c r="K62" s="67">
        <v>45926</v>
      </c>
      <c r="L62" s="19" t="s">
        <v>1020</v>
      </c>
      <c r="M62" s="19" t="s">
        <v>1010</v>
      </c>
    </row>
    <row r="63" spans="1:13" x14ac:dyDescent="0.35">
      <c r="A63" s="19">
        <v>85321</v>
      </c>
      <c r="B63" s="19" t="s">
        <v>1125</v>
      </c>
      <c r="C63" s="19" t="s">
        <v>250</v>
      </c>
      <c r="D63" s="19" t="s">
        <v>1126</v>
      </c>
      <c r="E63" s="66" t="s">
        <v>997</v>
      </c>
      <c r="F63" s="67">
        <v>46173</v>
      </c>
      <c r="G63" s="19" t="s">
        <v>1006</v>
      </c>
      <c r="H63" s="19" t="s">
        <v>1007</v>
      </c>
      <c r="I63" s="19" t="s">
        <v>1008</v>
      </c>
      <c r="J63" s="19" t="s">
        <v>1008</v>
      </c>
      <c r="K63" s="67">
        <v>45232</v>
      </c>
      <c r="L63" s="19" t="s">
        <v>1001</v>
      </c>
      <c r="M63" s="19" t="s">
        <v>1010</v>
      </c>
    </row>
    <row r="64" spans="1:13" x14ac:dyDescent="0.35">
      <c r="A64" s="19">
        <v>85757</v>
      </c>
      <c r="B64" s="19" t="s">
        <v>1127</v>
      </c>
      <c r="C64" s="19" t="s">
        <v>155</v>
      </c>
      <c r="D64" s="19" t="s">
        <v>896</v>
      </c>
      <c r="E64" s="66" t="s">
        <v>997</v>
      </c>
      <c r="F64" s="67">
        <v>46166</v>
      </c>
      <c r="G64" s="19" t="s">
        <v>1006</v>
      </c>
      <c r="H64" s="19" t="s">
        <v>1007</v>
      </c>
      <c r="I64" s="19" t="s">
        <v>1008</v>
      </c>
      <c r="J64" s="19" t="s">
        <v>1008</v>
      </c>
      <c r="K64" s="67">
        <v>45252</v>
      </c>
      <c r="L64" s="19" t="s">
        <v>1001</v>
      </c>
      <c r="M64" s="19" t="s">
        <v>1010</v>
      </c>
    </row>
    <row r="65" spans="1:13" x14ac:dyDescent="0.35">
      <c r="A65" s="19">
        <v>86742</v>
      </c>
      <c r="B65" s="19" t="s">
        <v>1128</v>
      </c>
      <c r="C65" s="19" t="s">
        <v>302</v>
      </c>
      <c r="D65" s="19" t="s">
        <v>1053</v>
      </c>
      <c r="E65" s="66" t="s">
        <v>997</v>
      </c>
      <c r="F65" s="67">
        <v>46173</v>
      </c>
      <c r="G65" s="19" t="s">
        <v>1013</v>
      </c>
      <c r="H65" s="19" t="s">
        <v>1007</v>
      </c>
      <c r="I65" s="19" t="s">
        <v>1008</v>
      </c>
      <c r="J65" s="19" t="s">
        <v>1008</v>
      </c>
      <c r="K65" s="67">
        <v>45323</v>
      </c>
      <c r="L65" s="19" t="s">
        <v>1001</v>
      </c>
      <c r="M65" s="19" t="s">
        <v>1010</v>
      </c>
    </row>
    <row r="66" spans="1:13" x14ac:dyDescent="0.35">
      <c r="A66" s="19">
        <v>86804</v>
      </c>
      <c r="B66" s="19" t="s">
        <v>1129</v>
      </c>
      <c r="C66" s="19" t="s">
        <v>335</v>
      </c>
      <c r="D66" s="19" t="s">
        <v>841</v>
      </c>
      <c r="E66" s="66" t="s">
        <v>997</v>
      </c>
      <c r="F66" s="67">
        <v>46145</v>
      </c>
      <c r="G66" s="19" t="s">
        <v>1006</v>
      </c>
      <c r="H66" s="19" t="s">
        <v>1007</v>
      </c>
      <c r="I66" s="19" t="s">
        <v>1028</v>
      </c>
      <c r="J66" s="19" t="s">
        <v>1028</v>
      </c>
      <c r="K66" s="67">
        <v>45328</v>
      </c>
      <c r="L66" s="19" t="s">
        <v>1020</v>
      </c>
      <c r="M66" s="19" t="s">
        <v>1010</v>
      </c>
    </row>
    <row r="67" spans="1:13" x14ac:dyDescent="0.35">
      <c r="A67" s="19">
        <v>86880</v>
      </c>
      <c r="B67" s="19" t="s">
        <v>1130</v>
      </c>
      <c r="C67" s="19" t="s">
        <v>278</v>
      </c>
      <c r="D67" s="19" t="s">
        <v>1131</v>
      </c>
      <c r="E67" s="66" t="s">
        <v>997</v>
      </c>
      <c r="F67" s="67">
        <v>46143</v>
      </c>
      <c r="G67" s="19" t="s">
        <v>1006</v>
      </c>
      <c r="H67" s="19" t="s">
        <v>1007</v>
      </c>
      <c r="I67" s="19" t="s">
        <v>1028</v>
      </c>
      <c r="J67" s="19" t="s">
        <v>1028</v>
      </c>
      <c r="K67" s="67">
        <v>45332</v>
      </c>
      <c r="L67" s="19" t="s">
        <v>1020</v>
      </c>
      <c r="M67" s="19" t="s">
        <v>1010</v>
      </c>
    </row>
    <row r="68" spans="1:13" x14ac:dyDescent="0.35">
      <c r="A68" s="19">
        <v>87086</v>
      </c>
      <c r="B68" s="19" t="s">
        <v>1132</v>
      </c>
      <c r="C68" s="19" t="s">
        <v>20</v>
      </c>
      <c r="D68" s="19" t="s">
        <v>1133</v>
      </c>
      <c r="E68" s="66" t="s">
        <v>997</v>
      </c>
      <c r="F68" s="67">
        <v>46145</v>
      </c>
      <c r="G68" s="19" t="s">
        <v>1006</v>
      </c>
      <c r="H68" s="19" t="s">
        <v>1007</v>
      </c>
      <c r="I68" s="19" t="s">
        <v>1028</v>
      </c>
      <c r="J68" s="19" t="s">
        <v>1028</v>
      </c>
      <c r="K68" s="67">
        <v>45345</v>
      </c>
      <c r="L68" s="19" t="s">
        <v>1020</v>
      </c>
      <c r="M68" s="19" t="s">
        <v>1010</v>
      </c>
    </row>
    <row r="69" spans="1:13" x14ac:dyDescent="0.35">
      <c r="A69" s="19">
        <v>88287</v>
      </c>
      <c r="B69" s="19" t="s">
        <v>1134</v>
      </c>
      <c r="C69" s="19" t="s">
        <v>76</v>
      </c>
      <c r="D69" s="19" t="s">
        <v>899</v>
      </c>
      <c r="E69" s="66" t="s">
        <v>997</v>
      </c>
      <c r="F69" s="67">
        <v>46146</v>
      </c>
      <c r="G69" s="19" t="s">
        <v>1006</v>
      </c>
      <c r="H69" s="19" t="s">
        <v>1007</v>
      </c>
      <c r="I69" s="19" t="s">
        <v>1028</v>
      </c>
      <c r="J69" s="19" t="s">
        <v>1028</v>
      </c>
      <c r="K69" s="67">
        <v>45409</v>
      </c>
      <c r="L69" s="19" t="s">
        <v>1020</v>
      </c>
      <c r="M69" s="19" t="s">
        <v>1010</v>
      </c>
    </row>
    <row r="70" spans="1:13" x14ac:dyDescent="0.35">
      <c r="A70" s="19">
        <v>88468</v>
      </c>
      <c r="B70" s="19" t="s">
        <v>1135</v>
      </c>
      <c r="C70" s="19" t="s">
        <v>601</v>
      </c>
      <c r="D70" s="19" t="s">
        <v>1136</v>
      </c>
      <c r="E70" s="66" t="s">
        <v>997</v>
      </c>
      <c r="F70" s="67">
        <v>46149</v>
      </c>
      <c r="G70" s="19" t="s">
        <v>1006</v>
      </c>
      <c r="H70" s="19" t="s">
        <v>1007</v>
      </c>
      <c r="I70" s="19" t="s">
        <v>1028</v>
      </c>
      <c r="J70" s="19" t="s">
        <v>1028</v>
      </c>
      <c r="K70" s="67">
        <v>45419</v>
      </c>
      <c r="L70" s="19" t="s">
        <v>1020</v>
      </c>
      <c r="M70" s="19" t="s">
        <v>1010</v>
      </c>
    </row>
    <row r="71" spans="1:13" x14ac:dyDescent="0.35">
      <c r="A71" s="19">
        <v>88610</v>
      </c>
      <c r="B71" s="19" t="s">
        <v>1137</v>
      </c>
      <c r="C71" s="19" t="s">
        <v>140</v>
      </c>
      <c r="D71" s="19" t="s">
        <v>1138</v>
      </c>
      <c r="E71" s="66" t="s">
        <v>997</v>
      </c>
      <c r="F71" s="67">
        <v>46162</v>
      </c>
      <c r="G71" s="19" t="s">
        <v>1013</v>
      </c>
      <c r="H71" s="19" t="s">
        <v>1007</v>
      </c>
      <c r="I71" s="19" t="s">
        <v>1008</v>
      </c>
      <c r="J71" s="19" t="s">
        <v>1008</v>
      </c>
      <c r="K71" s="67">
        <v>45428</v>
      </c>
      <c r="L71" s="19" t="s">
        <v>1001</v>
      </c>
      <c r="M71" s="19" t="s">
        <v>1010</v>
      </c>
    </row>
    <row r="72" spans="1:13" x14ac:dyDescent="0.35">
      <c r="A72" s="19">
        <v>89124</v>
      </c>
      <c r="B72" s="19" t="s">
        <v>1139</v>
      </c>
      <c r="C72" s="19" t="s">
        <v>311</v>
      </c>
      <c r="D72" s="19" t="s">
        <v>1140</v>
      </c>
      <c r="E72" s="66" t="s">
        <v>997</v>
      </c>
      <c r="F72" s="67">
        <v>46163</v>
      </c>
      <c r="G72" s="19" t="s">
        <v>1006</v>
      </c>
      <c r="H72" s="19" t="s">
        <v>1007</v>
      </c>
      <c r="I72" s="19" t="s">
        <v>1019</v>
      </c>
      <c r="J72" s="19" t="s">
        <v>1067</v>
      </c>
      <c r="K72" s="67">
        <v>45995</v>
      </c>
      <c r="L72" s="19" t="s">
        <v>1020</v>
      </c>
      <c r="M72" s="19" t="s">
        <v>1010</v>
      </c>
    </row>
    <row r="73" spans="1:13" x14ac:dyDescent="0.35">
      <c r="A73" s="19">
        <v>89905</v>
      </c>
      <c r="B73" s="19" t="s">
        <v>1141</v>
      </c>
      <c r="C73" s="19" t="s">
        <v>387</v>
      </c>
      <c r="D73" s="19" t="s">
        <v>1142</v>
      </c>
      <c r="E73" s="66" t="s">
        <v>997</v>
      </c>
      <c r="F73" s="67">
        <v>46156</v>
      </c>
      <c r="G73" s="19" t="s">
        <v>1006</v>
      </c>
      <c r="H73" s="19" t="s">
        <v>1007</v>
      </c>
      <c r="I73" s="19" t="s">
        <v>1028</v>
      </c>
      <c r="J73" s="19" t="s">
        <v>1028</v>
      </c>
      <c r="K73" s="67">
        <v>45474</v>
      </c>
      <c r="L73" s="19" t="s">
        <v>1020</v>
      </c>
      <c r="M73" s="19" t="s">
        <v>1010</v>
      </c>
    </row>
    <row r="74" spans="1:13" x14ac:dyDescent="0.35">
      <c r="A74" s="19">
        <v>89919</v>
      </c>
      <c r="B74" s="19" t="s">
        <v>1143</v>
      </c>
      <c r="C74" s="19" t="s">
        <v>431</v>
      </c>
      <c r="D74" s="19" t="s">
        <v>709</v>
      </c>
      <c r="E74" s="66" t="s">
        <v>997</v>
      </c>
      <c r="F74" s="67">
        <v>46173</v>
      </c>
      <c r="G74" s="19" t="s">
        <v>1006</v>
      </c>
      <c r="H74" s="19" t="s">
        <v>1007</v>
      </c>
      <c r="I74" s="19" t="s">
        <v>1008</v>
      </c>
      <c r="J74" s="19" t="s">
        <v>1008</v>
      </c>
      <c r="K74" s="67">
        <v>45476</v>
      </c>
      <c r="L74" s="19" t="s">
        <v>1001</v>
      </c>
      <c r="M74" s="19" t="s">
        <v>1010</v>
      </c>
    </row>
    <row r="75" spans="1:13" x14ac:dyDescent="0.35">
      <c r="A75" s="19">
        <v>90618</v>
      </c>
      <c r="B75" s="19" t="s">
        <v>1144</v>
      </c>
      <c r="C75" s="19" t="s">
        <v>12</v>
      </c>
      <c r="D75" s="19" t="s">
        <v>1145</v>
      </c>
      <c r="E75" s="66" t="s">
        <v>997</v>
      </c>
      <c r="F75" s="67">
        <v>46172</v>
      </c>
      <c r="G75" s="19" t="s">
        <v>1006</v>
      </c>
      <c r="H75" s="19" t="s">
        <v>1007</v>
      </c>
      <c r="I75" s="19" t="s">
        <v>1028</v>
      </c>
      <c r="J75" s="19" t="s">
        <v>1028</v>
      </c>
      <c r="K75" s="67">
        <v>45832</v>
      </c>
      <c r="L75" s="19" t="s">
        <v>1020</v>
      </c>
      <c r="M75" s="19" t="s">
        <v>1010</v>
      </c>
    </row>
    <row r="76" spans="1:13" x14ac:dyDescent="0.35">
      <c r="A76" s="19">
        <v>91219</v>
      </c>
      <c r="B76" s="19" t="s">
        <v>1146</v>
      </c>
      <c r="C76" s="19" t="s">
        <v>395</v>
      </c>
      <c r="D76" s="19" t="s">
        <v>1147</v>
      </c>
      <c r="E76" s="66" t="s">
        <v>997</v>
      </c>
      <c r="F76" s="67">
        <v>46173</v>
      </c>
      <c r="G76" s="19" t="s">
        <v>1006</v>
      </c>
      <c r="H76" s="19" t="s">
        <v>1007</v>
      </c>
      <c r="I76" s="19" t="s">
        <v>1028</v>
      </c>
      <c r="J76" s="19" t="s">
        <v>1028</v>
      </c>
      <c r="K76" s="67">
        <v>45639</v>
      </c>
      <c r="L76" s="19" t="s">
        <v>1020</v>
      </c>
      <c r="M76" s="19" t="s">
        <v>1010</v>
      </c>
    </row>
    <row r="77" spans="1:13" x14ac:dyDescent="0.35">
      <c r="A77" s="19">
        <v>91563</v>
      </c>
      <c r="B77" s="19" t="s">
        <v>1148</v>
      </c>
      <c r="C77" s="19" t="s">
        <v>161</v>
      </c>
      <c r="D77" s="19" t="s">
        <v>1027</v>
      </c>
      <c r="E77" s="66" t="s">
        <v>997</v>
      </c>
      <c r="F77" s="67">
        <v>46145</v>
      </c>
      <c r="G77" s="19" t="s">
        <v>1006</v>
      </c>
      <c r="H77" s="19" t="s">
        <v>1007</v>
      </c>
      <c r="I77" s="19" t="s">
        <v>1019</v>
      </c>
      <c r="J77" s="19" t="s">
        <v>1009</v>
      </c>
      <c r="K77" s="67">
        <v>45870</v>
      </c>
      <c r="L77" s="19" t="s">
        <v>1020</v>
      </c>
      <c r="M77" s="19" t="s">
        <v>1010</v>
      </c>
    </row>
    <row r="78" spans="1:13" x14ac:dyDescent="0.35">
      <c r="A78" s="19">
        <v>91808</v>
      </c>
      <c r="B78" s="19" t="s">
        <v>1149</v>
      </c>
      <c r="C78" s="19" t="s">
        <v>284</v>
      </c>
      <c r="D78" s="19" t="s">
        <v>1150</v>
      </c>
      <c r="E78" s="66" t="s">
        <v>997</v>
      </c>
      <c r="F78" s="67">
        <v>46173</v>
      </c>
      <c r="G78" s="19" t="s">
        <v>1006</v>
      </c>
      <c r="H78" s="19" t="s">
        <v>1007</v>
      </c>
      <c r="I78" s="19" t="s">
        <v>1028</v>
      </c>
      <c r="J78" s="19" t="s">
        <v>1028</v>
      </c>
      <c r="K78" s="67">
        <v>45769</v>
      </c>
      <c r="L78" s="19" t="s">
        <v>1020</v>
      </c>
      <c r="M78" s="19" t="s">
        <v>1010</v>
      </c>
    </row>
    <row r="79" spans="1:13" x14ac:dyDescent="0.35">
      <c r="A79" s="19">
        <v>91818</v>
      </c>
      <c r="B79" s="19" t="s">
        <v>1151</v>
      </c>
      <c r="C79" s="19" t="s">
        <v>126</v>
      </c>
      <c r="D79" s="19" t="s">
        <v>1152</v>
      </c>
      <c r="E79" s="66" t="s">
        <v>997</v>
      </c>
      <c r="F79" s="67">
        <v>46172</v>
      </c>
      <c r="G79" s="19" t="s">
        <v>1006</v>
      </c>
      <c r="H79" s="19" t="s">
        <v>1007</v>
      </c>
      <c r="I79" s="19" t="s">
        <v>1028</v>
      </c>
      <c r="J79" s="19" t="s">
        <v>1028</v>
      </c>
      <c r="K79" s="67">
        <v>46016</v>
      </c>
      <c r="L79" s="19" t="s">
        <v>1020</v>
      </c>
      <c r="M79" s="19" t="s">
        <v>1010</v>
      </c>
    </row>
    <row r="80" spans="1:13" x14ac:dyDescent="0.35">
      <c r="A80" s="19">
        <v>91877</v>
      </c>
      <c r="B80" s="19" t="s">
        <v>1153</v>
      </c>
      <c r="C80" s="19" t="s">
        <v>32</v>
      </c>
      <c r="D80" s="19" t="s">
        <v>1154</v>
      </c>
      <c r="E80" s="66" t="s">
        <v>997</v>
      </c>
      <c r="F80" s="67">
        <v>46157</v>
      </c>
      <c r="G80" s="19" t="s">
        <v>1006</v>
      </c>
      <c r="H80" s="19" t="s">
        <v>1007</v>
      </c>
      <c r="I80" s="19" t="s">
        <v>1028</v>
      </c>
      <c r="J80" s="19" t="s">
        <v>1028</v>
      </c>
      <c r="K80" s="67">
        <v>45919</v>
      </c>
      <c r="L80" s="19" t="s">
        <v>1020</v>
      </c>
      <c r="M80" s="19" t="s">
        <v>1010</v>
      </c>
    </row>
    <row r="81" spans="1:13" x14ac:dyDescent="0.35">
      <c r="A81" s="19">
        <v>91985</v>
      </c>
      <c r="B81" s="19" t="s">
        <v>1155</v>
      </c>
      <c r="C81" s="19" t="s">
        <v>278</v>
      </c>
      <c r="D81" s="19" t="s">
        <v>1131</v>
      </c>
      <c r="E81" s="66" t="s">
        <v>997</v>
      </c>
      <c r="F81" s="67">
        <v>46173</v>
      </c>
      <c r="G81" s="19" t="s">
        <v>1006</v>
      </c>
      <c r="H81" s="19" t="s">
        <v>1007</v>
      </c>
      <c r="I81" s="19" t="s">
        <v>1028</v>
      </c>
      <c r="J81" s="19" t="s">
        <v>1028</v>
      </c>
      <c r="K81" s="67">
        <v>45548</v>
      </c>
      <c r="L81" s="19" t="s">
        <v>1020</v>
      </c>
      <c r="M81" s="19" t="s">
        <v>1010</v>
      </c>
    </row>
    <row r="82" spans="1:13" x14ac:dyDescent="0.35">
      <c r="A82" s="19">
        <v>92291</v>
      </c>
      <c r="B82" s="19" t="s">
        <v>1156</v>
      </c>
      <c r="C82" s="19" t="s">
        <v>41</v>
      </c>
      <c r="D82" s="19" t="s">
        <v>1157</v>
      </c>
      <c r="E82" s="66" t="s">
        <v>997</v>
      </c>
      <c r="F82" s="67">
        <v>46166</v>
      </c>
      <c r="G82" s="19" t="s">
        <v>1013</v>
      </c>
      <c r="H82" s="19" t="s">
        <v>1007</v>
      </c>
      <c r="I82" s="19" t="s">
        <v>1158</v>
      </c>
      <c r="J82" s="19" t="s">
        <v>1158</v>
      </c>
      <c r="K82" s="67">
        <v>45555</v>
      </c>
      <c r="L82" s="19" t="s">
        <v>1001</v>
      </c>
      <c r="M82" s="19" t="s">
        <v>1010</v>
      </c>
    </row>
    <row r="83" spans="1:13" x14ac:dyDescent="0.35">
      <c r="A83" s="19">
        <v>92363</v>
      </c>
      <c r="B83" s="19" t="s">
        <v>1159</v>
      </c>
      <c r="C83" s="19" t="s">
        <v>330</v>
      </c>
      <c r="D83" s="19" t="s">
        <v>332</v>
      </c>
      <c r="E83" s="66" t="s">
        <v>997</v>
      </c>
      <c r="F83" s="67">
        <v>46172</v>
      </c>
      <c r="G83" s="19" t="s">
        <v>1006</v>
      </c>
      <c r="H83" s="19" t="s">
        <v>1007</v>
      </c>
      <c r="I83" s="19" t="s">
        <v>1028</v>
      </c>
      <c r="J83" s="19" t="s">
        <v>1009</v>
      </c>
      <c r="K83" s="67">
        <v>45560</v>
      </c>
      <c r="L83" s="19" t="s">
        <v>1020</v>
      </c>
      <c r="M83" s="19" t="s">
        <v>1010</v>
      </c>
    </row>
    <row r="84" spans="1:13" x14ac:dyDescent="0.35">
      <c r="A84" s="19">
        <v>92475</v>
      </c>
      <c r="B84" s="19" t="s">
        <v>1160</v>
      </c>
      <c r="C84" s="19" t="s">
        <v>357</v>
      </c>
      <c r="D84" s="19" t="s">
        <v>1161</v>
      </c>
      <c r="E84" s="66" t="s">
        <v>997</v>
      </c>
      <c r="F84" s="67">
        <v>46173</v>
      </c>
      <c r="G84" s="19" t="s">
        <v>1006</v>
      </c>
      <c r="H84" s="19" t="s">
        <v>1007</v>
      </c>
      <c r="I84" s="19" t="s">
        <v>1019</v>
      </c>
      <c r="J84" s="19" t="s">
        <v>1019</v>
      </c>
      <c r="K84" s="67">
        <v>45561</v>
      </c>
      <c r="L84" s="19" t="s">
        <v>1020</v>
      </c>
      <c r="M84" s="19" t="s">
        <v>1010</v>
      </c>
    </row>
    <row r="85" spans="1:13" x14ac:dyDescent="0.35">
      <c r="A85" s="19">
        <v>92543</v>
      </c>
      <c r="B85" s="19" t="s">
        <v>1162</v>
      </c>
      <c r="C85" s="19" t="s">
        <v>215</v>
      </c>
      <c r="D85" s="19" t="s">
        <v>1081</v>
      </c>
      <c r="E85" s="66" t="s">
        <v>997</v>
      </c>
      <c r="F85" s="67">
        <v>46173</v>
      </c>
      <c r="G85" s="19" t="s">
        <v>1006</v>
      </c>
      <c r="H85" s="19" t="s">
        <v>1007</v>
      </c>
      <c r="I85" s="19" t="s">
        <v>1028</v>
      </c>
      <c r="J85" s="19" t="s">
        <v>1028</v>
      </c>
      <c r="K85" s="67">
        <v>46086</v>
      </c>
      <c r="L85" s="19" t="s">
        <v>1020</v>
      </c>
      <c r="M85" s="19" t="s">
        <v>1010</v>
      </c>
    </row>
    <row r="86" spans="1:13" x14ac:dyDescent="0.35">
      <c r="A86" s="19">
        <v>92631</v>
      </c>
      <c r="B86" s="19" t="s">
        <v>1163</v>
      </c>
      <c r="C86" s="19" t="s">
        <v>186</v>
      </c>
      <c r="D86" s="19" t="s">
        <v>1164</v>
      </c>
      <c r="E86" s="66" t="s">
        <v>997</v>
      </c>
      <c r="F86" s="67">
        <v>46155</v>
      </c>
      <c r="G86" s="19" t="s">
        <v>1006</v>
      </c>
      <c r="H86" s="19" t="s">
        <v>1007</v>
      </c>
      <c r="I86" s="19" t="s">
        <v>1028</v>
      </c>
      <c r="J86" s="19" t="s">
        <v>1009</v>
      </c>
      <c r="K86" s="67">
        <v>46133</v>
      </c>
      <c r="L86" s="19" t="s">
        <v>1020</v>
      </c>
      <c r="M86" s="19" t="s">
        <v>1010</v>
      </c>
    </row>
    <row r="87" spans="1:13" x14ac:dyDescent="0.35">
      <c r="A87" s="19">
        <v>92726</v>
      </c>
      <c r="B87" s="19" t="s">
        <v>1165</v>
      </c>
      <c r="C87" s="19" t="s">
        <v>379</v>
      </c>
      <c r="D87" s="19" t="s">
        <v>381</v>
      </c>
      <c r="E87" s="66" t="s">
        <v>997</v>
      </c>
      <c r="F87" s="67">
        <v>46152</v>
      </c>
      <c r="G87" s="19" t="s">
        <v>1006</v>
      </c>
      <c r="H87" s="19" t="s">
        <v>1007</v>
      </c>
      <c r="I87" s="19" t="s">
        <v>1028</v>
      </c>
      <c r="J87" s="19" t="s">
        <v>1028</v>
      </c>
      <c r="K87" s="67">
        <v>45568</v>
      </c>
      <c r="L87" s="19" t="s">
        <v>1020</v>
      </c>
      <c r="M87" s="19" t="s">
        <v>1010</v>
      </c>
    </row>
    <row r="88" spans="1:13" x14ac:dyDescent="0.35">
      <c r="A88" s="19">
        <v>92810</v>
      </c>
      <c r="B88" s="19" t="s">
        <v>1166</v>
      </c>
      <c r="C88" s="19" t="s">
        <v>322</v>
      </c>
      <c r="D88" s="19" t="s">
        <v>834</v>
      </c>
      <c r="E88" s="66" t="s">
        <v>997</v>
      </c>
      <c r="F88" s="67">
        <v>46173</v>
      </c>
      <c r="G88" s="19" t="s">
        <v>1006</v>
      </c>
      <c r="H88" s="19" t="s">
        <v>1007</v>
      </c>
      <c r="I88" s="19" t="s">
        <v>1019</v>
      </c>
      <c r="J88" s="19" t="s">
        <v>1067</v>
      </c>
      <c r="K88" s="67">
        <v>46113</v>
      </c>
      <c r="L88" s="19" t="s">
        <v>1020</v>
      </c>
      <c r="M88" s="19" t="s">
        <v>1010</v>
      </c>
    </row>
    <row r="89" spans="1:13" x14ac:dyDescent="0.35">
      <c r="A89" s="19">
        <v>92951</v>
      </c>
      <c r="B89" s="19" t="s">
        <v>1167</v>
      </c>
      <c r="C89" s="19" t="s">
        <v>39</v>
      </c>
      <c r="D89" s="19" t="s">
        <v>1168</v>
      </c>
      <c r="E89" s="66" t="s">
        <v>997</v>
      </c>
      <c r="F89" s="67">
        <v>46156</v>
      </c>
      <c r="G89" s="19" t="s">
        <v>1006</v>
      </c>
      <c r="H89" s="19" t="s">
        <v>1007</v>
      </c>
      <c r="I89" s="19" t="s">
        <v>1028</v>
      </c>
      <c r="J89" s="19" t="s">
        <v>1028</v>
      </c>
      <c r="K89" s="67">
        <v>46084</v>
      </c>
      <c r="L89" s="19" t="s">
        <v>1020</v>
      </c>
      <c r="M89" s="19" t="s">
        <v>1010</v>
      </c>
    </row>
    <row r="90" spans="1:13" x14ac:dyDescent="0.35">
      <c r="A90" s="19">
        <v>93106</v>
      </c>
      <c r="B90" s="19" t="s">
        <v>1169</v>
      </c>
      <c r="C90" s="19" t="s">
        <v>343</v>
      </c>
      <c r="D90" s="19" t="s">
        <v>846</v>
      </c>
      <c r="E90" s="66" t="s">
        <v>997</v>
      </c>
      <c r="F90" s="67">
        <v>46159</v>
      </c>
      <c r="G90" s="19" t="s">
        <v>1006</v>
      </c>
      <c r="H90" s="19" t="s">
        <v>1007</v>
      </c>
      <c r="I90" s="19" t="s">
        <v>1057</v>
      </c>
      <c r="J90" s="19" t="s">
        <v>1067</v>
      </c>
      <c r="K90" s="67">
        <v>45582</v>
      </c>
      <c r="L90" s="19" t="s">
        <v>1001</v>
      </c>
      <c r="M90" s="19" t="s">
        <v>1010</v>
      </c>
    </row>
    <row r="91" spans="1:13" x14ac:dyDescent="0.35">
      <c r="A91" s="19">
        <v>93321</v>
      </c>
      <c r="B91" s="19" t="s">
        <v>1170</v>
      </c>
      <c r="C91" s="19" t="s">
        <v>295</v>
      </c>
      <c r="D91" s="19" t="s">
        <v>1095</v>
      </c>
      <c r="E91" s="66" t="s">
        <v>997</v>
      </c>
      <c r="F91" s="67">
        <v>46159</v>
      </c>
      <c r="G91" s="19" t="s">
        <v>1006</v>
      </c>
      <c r="H91" s="19" t="s">
        <v>1007</v>
      </c>
      <c r="I91" s="19" t="s">
        <v>1008</v>
      </c>
      <c r="J91" s="19" t="s">
        <v>1009</v>
      </c>
      <c r="K91" s="67">
        <v>46154</v>
      </c>
      <c r="L91" s="19" t="s">
        <v>1001</v>
      </c>
      <c r="M91" s="19" t="s">
        <v>1010</v>
      </c>
    </row>
    <row r="92" spans="1:13" x14ac:dyDescent="0.35">
      <c r="A92" s="19">
        <v>93400</v>
      </c>
      <c r="B92" s="19" t="s">
        <v>1171</v>
      </c>
      <c r="C92" s="19" t="s">
        <v>278</v>
      </c>
      <c r="D92" s="19" t="s">
        <v>1131</v>
      </c>
      <c r="E92" s="66" t="s">
        <v>997</v>
      </c>
      <c r="F92" s="67">
        <v>46145</v>
      </c>
      <c r="G92" s="19" t="s">
        <v>1006</v>
      </c>
      <c r="H92" s="19" t="s">
        <v>1007</v>
      </c>
      <c r="I92" s="19" t="s">
        <v>1008</v>
      </c>
      <c r="J92" s="19" t="s">
        <v>1008</v>
      </c>
      <c r="K92" s="67">
        <v>45598</v>
      </c>
      <c r="L92" s="19" t="s">
        <v>1001</v>
      </c>
      <c r="M92" s="19" t="s">
        <v>1010</v>
      </c>
    </row>
    <row r="93" spans="1:13" x14ac:dyDescent="0.35">
      <c r="A93" s="19">
        <v>93450</v>
      </c>
      <c r="B93" s="19" t="s">
        <v>1172</v>
      </c>
      <c r="C93" s="19" t="s">
        <v>76</v>
      </c>
      <c r="D93" s="19" t="s">
        <v>899</v>
      </c>
      <c r="E93" s="66" t="s">
        <v>997</v>
      </c>
      <c r="F93" s="67">
        <v>46143</v>
      </c>
      <c r="G93" s="19" t="s">
        <v>1006</v>
      </c>
      <c r="H93" s="19" t="s">
        <v>1007</v>
      </c>
      <c r="I93" s="19" t="s">
        <v>1019</v>
      </c>
      <c r="J93" s="19" t="s">
        <v>1019</v>
      </c>
      <c r="K93" s="67">
        <v>45604</v>
      </c>
      <c r="L93" s="19" t="s">
        <v>1020</v>
      </c>
      <c r="M93" s="19" t="s">
        <v>1010</v>
      </c>
    </row>
    <row r="94" spans="1:13" x14ac:dyDescent="0.35">
      <c r="A94" s="19">
        <v>93625</v>
      </c>
      <c r="B94" s="19" t="s">
        <v>1173</v>
      </c>
      <c r="C94" s="19" t="s">
        <v>163</v>
      </c>
      <c r="D94" s="19" t="s">
        <v>1174</v>
      </c>
      <c r="E94" s="66" t="s">
        <v>997</v>
      </c>
      <c r="F94" s="67">
        <v>46159</v>
      </c>
      <c r="G94" s="19" t="s">
        <v>1013</v>
      </c>
      <c r="H94" s="19" t="s">
        <v>1007</v>
      </c>
      <c r="I94" s="19" t="s">
        <v>1028</v>
      </c>
      <c r="J94" s="19" t="s">
        <v>1028</v>
      </c>
      <c r="K94" s="67">
        <v>45708</v>
      </c>
      <c r="L94" s="19" t="s">
        <v>1020</v>
      </c>
      <c r="M94" s="19" t="s">
        <v>1010</v>
      </c>
    </row>
    <row r="95" spans="1:13" x14ac:dyDescent="0.35">
      <c r="A95" s="19">
        <v>93633</v>
      </c>
      <c r="B95" s="19" t="s">
        <v>1175</v>
      </c>
      <c r="C95" s="19" t="s">
        <v>8</v>
      </c>
      <c r="D95" s="19" t="s">
        <v>1176</v>
      </c>
      <c r="E95" s="66" t="s">
        <v>997</v>
      </c>
      <c r="F95" s="67">
        <v>46160</v>
      </c>
      <c r="G95" s="19" t="s">
        <v>1006</v>
      </c>
      <c r="H95" s="19" t="s">
        <v>1007</v>
      </c>
      <c r="I95" s="19" t="s">
        <v>1028</v>
      </c>
      <c r="J95" s="19" t="s">
        <v>1028</v>
      </c>
      <c r="K95" s="67">
        <v>45615</v>
      </c>
      <c r="L95" s="19" t="s">
        <v>1020</v>
      </c>
      <c r="M95" s="19" t="s">
        <v>1010</v>
      </c>
    </row>
    <row r="96" spans="1:13" x14ac:dyDescent="0.35">
      <c r="A96" s="19">
        <v>93714</v>
      </c>
      <c r="B96" s="19" t="s">
        <v>1177</v>
      </c>
      <c r="C96" s="19" t="s">
        <v>73</v>
      </c>
      <c r="D96" s="19" t="s">
        <v>1178</v>
      </c>
      <c r="E96" s="66" t="s">
        <v>997</v>
      </c>
      <c r="F96" s="67">
        <v>46152</v>
      </c>
      <c r="G96" s="19" t="s">
        <v>1006</v>
      </c>
      <c r="H96" s="19" t="s">
        <v>1007</v>
      </c>
      <c r="I96" s="19" t="s">
        <v>1019</v>
      </c>
      <c r="J96" s="19" t="s">
        <v>1067</v>
      </c>
      <c r="K96" s="67">
        <v>45616</v>
      </c>
      <c r="L96" s="19" t="s">
        <v>1020</v>
      </c>
      <c r="M96" s="19" t="s">
        <v>1010</v>
      </c>
    </row>
    <row r="97" spans="1:13" x14ac:dyDescent="0.35">
      <c r="A97" s="19">
        <v>93781</v>
      </c>
      <c r="B97" s="19" t="s">
        <v>1179</v>
      </c>
      <c r="C97" s="19" t="s">
        <v>365</v>
      </c>
      <c r="D97" s="19" t="s">
        <v>1117</v>
      </c>
      <c r="E97" s="66" t="s">
        <v>997</v>
      </c>
      <c r="F97" s="67">
        <v>46163</v>
      </c>
      <c r="G97" s="19" t="s">
        <v>1006</v>
      </c>
      <c r="H97" s="19" t="s">
        <v>1007</v>
      </c>
      <c r="I97" s="19" t="s">
        <v>1028</v>
      </c>
      <c r="J97" s="19" t="s">
        <v>1028</v>
      </c>
      <c r="K97" s="67">
        <v>46067</v>
      </c>
      <c r="L97" s="19" t="s">
        <v>1020</v>
      </c>
      <c r="M97" s="19" t="s">
        <v>1010</v>
      </c>
    </row>
    <row r="98" spans="1:13" x14ac:dyDescent="0.35">
      <c r="A98" s="19">
        <v>93788</v>
      </c>
      <c r="B98" s="19" t="s">
        <v>1180</v>
      </c>
      <c r="C98" s="19" t="s">
        <v>362</v>
      </c>
      <c r="D98" s="19" t="s">
        <v>1056</v>
      </c>
      <c r="E98" s="66" t="s">
        <v>997</v>
      </c>
      <c r="F98" s="67">
        <v>46160</v>
      </c>
      <c r="G98" s="19" t="s">
        <v>1006</v>
      </c>
      <c r="H98" s="19" t="s">
        <v>1007</v>
      </c>
      <c r="I98" s="19" t="s">
        <v>1008</v>
      </c>
      <c r="J98" s="19" t="s">
        <v>1008</v>
      </c>
      <c r="K98" s="67">
        <v>45622</v>
      </c>
      <c r="L98" s="19" t="s">
        <v>1001</v>
      </c>
      <c r="M98" s="19" t="s">
        <v>1010</v>
      </c>
    </row>
    <row r="99" spans="1:13" x14ac:dyDescent="0.35">
      <c r="A99" s="19">
        <v>93792</v>
      </c>
      <c r="B99" s="19" t="s">
        <v>1181</v>
      </c>
      <c r="C99" s="19" t="s">
        <v>290</v>
      </c>
      <c r="D99" s="19" t="s">
        <v>1182</v>
      </c>
      <c r="E99" s="66" t="s">
        <v>997</v>
      </c>
      <c r="F99" s="67">
        <v>46156</v>
      </c>
      <c r="G99" s="19" t="s">
        <v>1006</v>
      </c>
      <c r="H99" s="19" t="s">
        <v>1007</v>
      </c>
      <c r="I99" s="19" t="s">
        <v>1028</v>
      </c>
      <c r="J99" s="19" t="s">
        <v>1028</v>
      </c>
      <c r="K99" s="67">
        <v>45622</v>
      </c>
      <c r="L99" s="19" t="s">
        <v>1020</v>
      </c>
      <c r="M99" s="19" t="s">
        <v>1010</v>
      </c>
    </row>
    <row r="100" spans="1:13" x14ac:dyDescent="0.35">
      <c r="A100" s="19">
        <v>93883</v>
      </c>
      <c r="B100" s="19" t="s">
        <v>1183</v>
      </c>
      <c r="C100" s="19" t="s">
        <v>278</v>
      </c>
      <c r="D100" s="19" t="s">
        <v>1131</v>
      </c>
      <c r="E100" s="66" t="s">
        <v>997</v>
      </c>
      <c r="F100" s="67">
        <v>46143</v>
      </c>
      <c r="G100" s="19" t="s">
        <v>1006</v>
      </c>
      <c r="H100" s="19" t="s">
        <v>1007</v>
      </c>
      <c r="I100" s="19" t="s">
        <v>1008</v>
      </c>
      <c r="J100" s="19" t="s">
        <v>1008</v>
      </c>
      <c r="K100" s="67">
        <v>45630</v>
      </c>
      <c r="L100" s="19" t="s">
        <v>1001</v>
      </c>
      <c r="M100" s="19" t="s">
        <v>1010</v>
      </c>
    </row>
    <row r="101" spans="1:13" x14ac:dyDescent="0.35">
      <c r="A101" s="19">
        <v>94203</v>
      </c>
      <c r="B101" s="19" t="s">
        <v>1184</v>
      </c>
      <c r="C101" s="19" t="s">
        <v>91</v>
      </c>
      <c r="D101" s="19" t="s">
        <v>1113</v>
      </c>
      <c r="E101" s="66" t="s">
        <v>997</v>
      </c>
      <c r="F101" s="67">
        <v>46147</v>
      </c>
      <c r="G101" s="19" t="s">
        <v>1013</v>
      </c>
      <c r="H101" s="19" t="s">
        <v>1007</v>
      </c>
      <c r="I101" s="19" t="s">
        <v>1028</v>
      </c>
      <c r="J101" s="19" t="s">
        <v>1028</v>
      </c>
      <c r="K101" s="67">
        <v>45660</v>
      </c>
      <c r="L101" s="19" t="s">
        <v>1020</v>
      </c>
      <c r="M101" s="19" t="s">
        <v>1010</v>
      </c>
    </row>
    <row r="102" spans="1:13" x14ac:dyDescent="0.35">
      <c r="A102" s="19">
        <v>94535</v>
      </c>
      <c r="B102" s="19" t="s">
        <v>1185</v>
      </c>
      <c r="C102" s="19" t="s">
        <v>330</v>
      </c>
      <c r="D102" s="19" t="s">
        <v>332</v>
      </c>
      <c r="E102" s="66" t="s">
        <v>997</v>
      </c>
      <c r="F102" s="67">
        <v>46173</v>
      </c>
      <c r="G102" s="19" t="s">
        <v>1006</v>
      </c>
      <c r="H102" s="19" t="s">
        <v>1007</v>
      </c>
      <c r="I102" s="19" t="s">
        <v>1008</v>
      </c>
      <c r="J102" s="19" t="s">
        <v>1008</v>
      </c>
      <c r="K102" s="67">
        <v>45699</v>
      </c>
      <c r="L102" s="19" t="s">
        <v>1001</v>
      </c>
      <c r="M102" s="19" t="s">
        <v>1010</v>
      </c>
    </row>
    <row r="103" spans="1:13" x14ac:dyDescent="0.35">
      <c r="A103" s="19">
        <v>94538</v>
      </c>
      <c r="B103" s="19" t="s">
        <v>1186</v>
      </c>
      <c r="C103" s="19" t="s">
        <v>195</v>
      </c>
      <c r="D103" s="19" t="s">
        <v>908</v>
      </c>
      <c r="E103" s="66" t="s">
        <v>997</v>
      </c>
      <c r="F103" s="67">
        <v>46173</v>
      </c>
      <c r="G103" s="19" t="s">
        <v>1025</v>
      </c>
      <c r="H103" s="19" t="s">
        <v>999</v>
      </c>
      <c r="I103" s="19" t="s">
        <v>1008</v>
      </c>
      <c r="J103" s="19" t="s">
        <v>1008</v>
      </c>
      <c r="K103" s="67">
        <v>45700</v>
      </c>
      <c r="L103" s="19" t="s">
        <v>1001</v>
      </c>
      <c r="M103" s="19" t="s">
        <v>1010</v>
      </c>
    </row>
    <row r="104" spans="1:13" x14ac:dyDescent="0.35">
      <c r="A104" s="19">
        <v>94579</v>
      </c>
      <c r="B104" s="19" t="s">
        <v>894</v>
      </c>
      <c r="C104" s="19" t="s">
        <v>30</v>
      </c>
      <c r="D104" s="19" t="s">
        <v>672</v>
      </c>
      <c r="E104" s="66" t="s">
        <v>997</v>
      </c>
      <c r="F104" s="67">
        <v>46162</v>
      </c>
      <c r="G104" s="19" t="s">
        <v>1013</v>
      </c>
      <c r="H104" s="19" t="s">
        <v>1007</v>
      </c>
      <c r="I104" s="19" t="s">
        <v>1008</v>
      </c>
      <c r="J104" s="19" t="s">
        <v>1008</v>
      </c>
      <c r="K104" s="67">
        <v>45702</v>
      </c>
      <c r="L104" s="19" t="s">
        <v>1001</v>
      </c>
      <c r="M104" s="19" t="s">
        <v>1010</v>
      </c>
    </row>
    <row r="105" spans="1:13" x14ac:dyDescent="0.35">
      <c r="A105" s="19">
        <v>94710</v>
      </c>
      <c r="B105" s="19" t="s">
        <v>1187</v>
      </c>
      <c r="C105" s="19" t="s">
        <v>95</v>
      </c>
      <c r="D105" s="19" t="s">
        <v>1188</v>
      </c>
      <c r="E105" s="66" t="s">
        <v>997</v>
      </c>
      <c r="F105" s="67">
        <v>46152</v>
      </c>
      <c r="G105" s="19" t="s">
        <v>1006</v>
      </c>
      <c r="H105" s="19" t="s">
        <v>1007</v>
      </c>
      <c r="I105" s="19" t="s">
        <v>1028</v>
      </c>
      <c r="J105" s="19" t="s">
        <v>1009</v>
      </c>
      <c r="K105" s="67">
        <v>45717</v>
      </c>
      <c r="L105" s="19" t="s">
        <v>1020</v>
      </c>
      <c r="M105" s="19" t="s">
        <v>1010</v>
      </c>
    </row>
    <row r="106" spans="1:13" x14ac:dyDescent="0.35">
      <c r="A106" s="19">
        <v>94868</v>
      </c>
      <c r="B106" s="19" t="s">
        <v>1189</v>
      </c>
      <c r="C106" s="19" t="s">
        <v>237</v>
      </c>
      <c r="D106" s="19" t="s">
        <v>1070</v>
      </c>
      <c r="E106" s="66" t="s">
        <v>997</v>
      </c>
      <c r="F106" s="67">
        <v>46173</v>
      </c>
      <c r="G106" s="19" t="s">
        <v>1006</v>
      </c>
      <c r="H106" s="19" t="s">
        <v>1007</v>
      </c>
      <c r="I106" s="19" t="s">
        <v>1028</v>
      </c>
      <c r="J106" s="19" t="s">
        <v>1028</v>
      </c>
      <c r="K106" s="67">
        <v>45731</v>
      </c>
      <c r="L106" s="19" t="s">
        <v>1020</v>
      </c>
      <c r="M106" s="19" t="s">
        <v>1010</v>
      </c>
    </row>
    <row r="107" spans="1:13" x14ac:dyDescent="0.35">
      <c r="A107" s="19">
        <v>94873</v>
      </c>
      <c r="B107" s="19" t="s">
        <v>1190</v>
      </c>
      <c r="C107" s="19" t="s">
        <v>32</v>
      </c>
      <c r="D107" s="19" t="s">
        <v>1154</v>
      </c>
      <c r="E107" s="66" t="s">
        <v>997</v>
      </c>
      <c r="F107" s="67">
        <v>46170</v>
      </c>
      <c r="G107" s="19" t="s">
        <v>1006</v>
      </c>
      <c r="H107" s="19" t="s">
        <v>1007</v>
      </c>
      <c r="I107" s="19" t="s">
        <v>1028</v>
      </c>
      <c r="J107" s="19" t="s">
        <v>1028</v>
      </c>
      <c r="K107" s="67">
        <v>45731</v>
      </c>
      <c r="L107" s="19" t="s">
        <v>1020</v>
      </c>
      <c r="M107" s="19" t="s">
        <v>1010</v>
      </c>
    </row>
    <row r="108" spans="1:13" x14ac:dyDescent="0.35">
      <c r="A108" s="19">
        <v>94948</v>
      </c>
      <c r="B108" s="19" t="s">
        <v>1191</v>
      </c>
      <c r="C108" s="19" t="s">
        <v>93</v>
      </c>
      <c r="D108" s="19" t="s">
        <v>919</v>
      </c>
      <c r="E108" s="66" t="s">
        <v>997</v>
      </c>
      <c r="F108" s="67">
        <v>46158</v>
      </c>
      <c r="G108" s="19" t="s">
        <v>1006</v>
      </c>
      <c r="H108" s="19" t="s">
        <v>1007</v>
      </c>
      <c r="I108" s="19" t="s">
        <v>1028</v>
      </c>
      <c r="J108" s="19" t="s">
        <v>1028</v>
      </c>
      <c r="K108" s="67">
        <v>45738</v>
      </c>
      <c r="L108" s="19" t="s">
        <v>1020</v>
      </c>
      <c r="M108" s="19" t="s">
        <v>1010</v>
      </c>
    </row>
    <row r="109" spans="1:13" x14ac:dyDescent="0.35">
      <c r="A109" s="19">
        <v>95025</v>
      </c>
      <c r="B109" s="19" t="s">
        <v>1192</v>
      </c>
      <c r="C109" s="19" t="s">
        <v>17</v>
      </c>
      <c r="D109" s="19" t="s">
        <v>906</v>
      </c>
      <c r="E109" s="66" t="s">
        <v>997</v>
      </c>
      <c r="F109" s="67">
        <v>46143</v>
      </c>
      <c r="G109" s="19" t="s">
        <v>1006</v>
      </c>
      <c r="H109" s="19" t="s">
        <v>1007</v>
      </c>
      <c r="I109" s="19" t="s">
        <v>1019</v>
      </c>
      <c r="J109" s="19" t="s">
        <v>1019</v>
      </c>
      <c r="K109" s="67">
        <v>45748</v>
      </c>
      <c r="L109" s="19" t="s">
        <v>1020</v>
      </c>
      <c r="M109" s="19" t="s">
        <v>1010</v>
      </c>
    </row>
    <row r="110" spans="1:13" x14ac:dyDescent="0.35">
      <c r="A110" s="19">
        <v>95088</v>
      </c>
      <c r="B110" s="19" t="s">
        <v>1193</v>
      </c>
      <c r="C110" s="19" t="s">
        <v>12</v>
      </c>
      <c r="D110" s="19" t="s">
        <v>1145</v>
      </c>
      <c r="E110" s="66" t="s">
        <v>997</v>
      </c>
      <c r="F110" s="67">
        <v>46146</v>
      </c>
      <c r="G110" s="19" t="s">
        <v>1006</v>
      </c>
      <c r="H110" s="19" t="s">
        <v>1007</v>
      </c>
      <c r="I110" s="19" t="s">
        <v>1028</v>
      </c>
      <c r="J110" s="19" t="s">
        <v>1028</v>
      </c>
      <c r="K110" s="67">
        <v>45743</v>
      </c>
      <c r="L110" s="19" t="s">
        <v>1020</v>
      </c>
      <c r="M110" s="19" t="s">
        <v>1010</v>
      </c>
    </row>
    <row r="111" spans="1:13" x14ac:dyDescent="0.35">
      <c r="A111" s="19">
        <v>95095</v>
      </c>
      <c r="B111" s="19" t="s">
        <v>1194</v>
      </c>
      <c r="C111" s="19" t="s">
        <v>365</v>
      </c>
      <c r="D111" s="19" t="s">
        <v>1117</v>
      </c>
      <c r="E111" s="66" t="s">
        <v>997</v>
      </c>
      <c r="F111" s="67">
        <v>46173</v>
      </c>
      <c r="G111" s="19" t="s">
        <v>1006</v>
      </c>
      <c r="H111" s="19" t="s">
        <v>1007</v>
      </c>
      <c r="I111" s="19" t="s">
        <v>1028</v>
      </c>
      <c r="J111" s="19" t="s">
        <v>1028</v>
      </c>
      <c r="K111" s="67">
        <v>45743</v>
      </c>
      <c r="L111" s="19" t="s">
        <v>1020</v>
      </c>
      <c r="M111" s="19" t="s">
        <v>1010</v>
      </c>
    </row>
    <row r="112" spans="1:13" x14ac:dyDescent="0.35">
      <c r="A112" s="19">
        <v>95532</v>
      </c>
      <c r="B112" s="19" t="s">
        <v>1195</v>
      </c>
      <c r="C112" s="19" t="s">
        <v>355</v>
      </c>
      <c r="D112" s="19" t="s">
        <v>1100</v>
      </c>
      <c r="E112" s="66" t="s">
        <v>997</v>
      </c>
      <c r="F112" s="67">
        <v>46171</v>
      </c>
      <c r="G112" s="19" t="s">
        <v>1006</v>
      </c>
      <c r="H112" s="19" t="s">
        <v>1007</v>
      </c>
      <c r="I112" s="19" t="s">
        <v>1028</v>
      </c>
      <c r="J112" s="19" t="s">
        <v>1028</v>
      </c>
      <c r="K112" s="67">
        <v>45787</v>
      </c>
      <c r="L112" s="19" t="s">
        <v>1020</v>
      </c>
      <c r="M112" s="19" t="s">
        <v>1010</v>
      </c>
    </row>
    <row r="113" spans="1:13" x14ac:dyDescent="0.35">
      <c r="A113" s="19">
        <v>95562</v>
      </c>
      <c r="B113" s="19" t="s">
        <v>1196</v>
      </c>
      <c r="C113" s="19" t="s">
        <v>64</v>
      </c>
      <c r="D113" s="19" t="s">
        <v>1197</v>
      </c>
      <c r="E113" s="66" t="s">
        <v>997</v>
      </c>
      <c r="F113" s="67">
        <v>46173</v>
      </c>
      <c r="G113" s="19" t="s">
        <v>1006</v>
      </c>
      <c r="H113" s="19" t="s">
        <v>1007</v>
      </c>
      <c r="I113" s="19" t="s">
        <v>1057</v>
      </c>
      <c r="J113" s="19" t="s">
        <v>1067</v>
      </c>
      <c r="K113" s="67">
        <v>45787</v>
      </c>
      <c r="L113" s="19" t="s">
        <v>1001</v>
      </c>
      <c r="M113" s="19" t="s">
        <v>1010</v>
      </c>
    </row>
    <row r="114" spans="1:13" x14ac:dyDescent="0.35">
      <c r="A114" s="19">
        <v>95621</v>
      </c>
      <c r="B114" s="19" t="s">
        <v>1198</v>
      </c>
      <c r="C114" s="19" t="s">
        <v>415</v>
      </c>
      <c r="D114" s="19" t="s">
        <v>1199</v>
      </c>
      <c r="E114" s="66" t="s">
        <v>997</v>
      </c>
      <c r="F114" s="67">
        <v>46173</v>
      </c>
      <c r="G114" s="19" t="s">
        <v>1006</v>
      </c>
      <c r="H114" s="19" t="s">
        <v>1007</v>
      </c>
      <c r="I114" s="19" t="s">
        <v>1008</v>
      </c>
      <c r="J114" s="19" t="s">
        <v>1008</v>
      </c>
      <c r="K114" s="67">
        <v>45794</v>
      </c>
      <c r="L114" s="19" t="s">
        <v>1001</v>
      </c>
      <c r="M114" s="19" t="s">
        <v>1010</v>
      </c>
    </row>
    <row r="115" spans="1:13" x14ac:dyDescent="0.35">
      <c r="A115" s="19">
        <v>95638</v>
      </c>
      <c r="B115" s="19" t="s">
        <v>1200</v>
      </c>
      <c r="C115" s="19" t="s">
        <v>600</v>
      </c>
      <c r="D115" s="19" t="s">
        <v>1201</v>
      </c>
      <c r="E115" s="66" t="s">
        <v>997</v>
      </c>
      <c r="F115" s="67">
        <v>46173</v>
      </c>
      <c r="G115" s="19" t="s">
        <v>1006</v>
      </c>
      <c r="H115" s="19" t="s">
        <v>1007</v>
      </c>
      <c r="I115" s="19" t="s">
        <v>1019</v>
      </c>
      <c r="J115" s="19" t="s">
        <v>1067</v>
      </c>
      <c r="K115" s="67">
        <v>45798</v>
      </c>
      <c r="L115" s="19" t="s">
        <v>1020</v>
      </c>
      <c r="M115" s="19" t="s">
        <v>1010</v>
      </c>
    </row>
    <row r="116" spans="1:13" x14ac:dyDescent="0.35">
      <c r="A116" s="19">
        <v>95883</v>
      </c>
      <c r="B116" s="19" t="s">
        <v>1202</v>
      </c>
      <c r="C116" s="19" t="s">
        <v>422</v>
      </c>
      <c r="D116" s="19" t="s">
        <v>423</v>
      </c>
      <c r="E116" s="66" t="s">
        <v>997</v>
      </c>
      <c r="F116" s="67">
        <v>46143</v>
      </c>
      <c r="G116" s="19" t="s">
        <v>1006</v>
      </c>
      <c r="H116" s="19" t="s">
        <v>1007</v>
      </c>
      <c r="I116" s="19" t="s">
        <v>1057</v>
      </c>
      <c r="J116" s="19" t="s">
        <v>1057</v>
      </c>
      <c r="K116" s="67">
        <v>45809</v>
      </c>
      <c r="L116" s="19" t="s">
        <v>1001</v>
      </c>
      <c r="M116" s="19" t="s">
        <v>1010</v>
      </c>
    </row>
    <row r="117" spans="1:13" x14ac:dyDescent="0.35">
      <c r="A117" s="19">
        <v>95909</v>
      </c>
      <c r="B117" s="19" t="s">
        <v>1203</v>
      </c>
      <c r="C117" s="19" t="s">
        <v>23</v>
      </c>
      <c r="D117" s="19" t="s">
        <v>660</v>
      </c>
      <c r="E117" s="66" t="s">
        <v>997</v>
      </c>
      <c r="F117" s="67">
        <v>46160</v>
      </c>
      <c r="G117" s="19" t="s">
        <v>1006</v>
      </c>
      <c r="H117" s="19" t="s">
        <v>1007</v>
      </c>
      <c r="I117" s="19" t="s">
        <v>1084</v>
      </c>
      <c r="J117" s="19" t="s">
        <v>1084</v>
      </c>
      <c r="K117" s="67">
        <v>45819</v>
      </c>
      <c r="L117" s="19" t="s">
        <v>1020</v>
      </c>
      <c r="M117" s="19" t="s">
        <v>1088</v>
      </c>
    </row>
    <row r="118" spans="1:13" x14ac:dyDescent="0.35">
      <c r="A118" s="19">
        <v>95960</v>
      </c>
      <c r="B118" s="19" t="s">
        <v>1204</v>
      </c>
      <c r="C118" s="19" t="s">
        <v>320</v>
      </c>
      <c r="D118" s="19" t="s">
        <v>1205</v>
      </c>
      <c r="E118" s="66" t="s">
        <v>997</v>
      </c>
      <c r="F118" s="67">
        <v>46158</v>
      </c>
      <c r="G118" s="19" t="s">
        <v>1006</v>
      </c>
      <c r="H118" s="19" t="s">
        <v>1007</v>
      </c>
      <c r="I118" s="19" t="s">
        <v>1057</v>
      </c>
      <c r="J118" s="19" t="s">
        <v>1067</v>
      </c>
      <c r="K118" s="67">
        <v>45821</v>
      </c>
      <c r="L118" s="19" t="s">
        <v>1001</v>
      </c>
      <c r="M118" s="19" t="s">
        <v>1010</v>
      </c>
    </row>
    <row r="119" spans="1:13" x14ac:dyDescent="0.35">
      <c r="A119" s="19">
        <v>96086</v>
      </c>
      <c r="B119" s="19" t="s">
        <v>895</v>
      </c>
      <c r="C119" s="19" t="s">
        <v>155</v>
      </c>
      <c r="D119" s="19" t="s">
        <v>896</v>
      </c>
      <c r="E119" s="66" t="s">
        <v>997</v>
      </c>
      <c r="F119" s="67">
        <v>46152</v>
      </c>
      <c r="G119" s="19" t="s">
        <v>1006</v>
      </c>
      <c r="H119" s="19" t="s">
        <v>1007</v>
      </c>
      <c r="I119" s="19" t="s">
        <v>1028</v>
      </c>
      <c r="J119" s="19" t="s">
        <v>1009</v>
      </c>
      <c r="K119" s="67">
        <v>46092</v>
      </c>
      <c r="L119" s="19" t="s">
        <v>1020</v>
      </c>
      <c r="M119" s="19" t="s">
        <v>1010</v>
      </c>
    </row>
    <row r="120" spans="1:13" x14ac:dyDescent="0.35">
      <c r="A120" s="19">
        <v>96358</v>
      </c>
      <c r="B120" s="19" t="s">
        <v>1206</v>
      </c>
      <c r="C120" s="19" t="s">
        <v>105</v>
      </c>
      <c r="D120" s="19" t="s">
        <v>1207</v>
      </c>
      <c r="E120" s="66" t="s">
        <v>997</v>
      </c>
      <c r="F120" s="67">
        <v>46155</v>
      </c>
      <c r="G120" s="19" t="s">
        <v>1006</v>
      </c>
      <c r="H120" s="19" t="s">
        <v>1007</v>
      </c>
      <c r="I120" s="19" t="s">
        <v>1008</v>
      </c>
      <c r="J120" s="19" t="s">
        <v>1008</v>
      </c>
      <c r="K120" s="67">
        <v>46082</v>
      </c>
      <c r="L120" s="19" t="s">
        <v>1001</v>
      </c>
      <c r="M120" s="19" t="s">
        <v>1010</v>
      </c>
    </row>
    <row r="121" spans="1:13" x14ac:dyDescent="0.35">
      <c r="A121" s="19">
        <v>96695</v>
      </c>
      <c r="B121" s="19" t="s">
        <v>1208</v>
      </c>
      <c r="C121" s="19" t="s">
        <v>357</v>
      </c>
      <c r="D121" s="19" t="s">
        <v>1161</v>
      </c>
      <c r="E121" s="66" t="s">
        <v>997</v>
      </c>
      <c r="F121" s="67">
        <v>46173</v>
      </c>
      <c r="G121" s="19" t="s">
        <v>1006</v>
      </c>
      <c r="H121" s="19" t="s">
        <v>1007</v>
      </c>
      <c r="I121" s="19" t="s">
        <v>1028</v>
      </c>
      <c r="J121" s="19" t="s">
        <v>1028</v>
      </c>
      <c r="K121" s="67">
        <v>45848</v>
      </c>
      <c r="L121" s="19" t="s">
        <v>1020</v>
      </c>
      <c r="M121" s="19" t="s">
        <v>1010</v>
      </c>
    </row>
    <row r="122" spans="1:13" x14ac:dyDescent="0.35">
      <c r="A122" s="19">
        <v>96794</v>
      </c>
      <c r="B122" s="19" t="s">
        <v>1209</v>
      </c>
      <c r="C122" s="19" t="s">
        <v>377</v>
      </c>
      <c r="D122" s="19" t="s">
        <v>862</v>
      </c>
      <c r="E122" s="66" t="s">
        <v>997</v>
      </c>
      <c r="F122" s="67">
        <v>46173</v>
      </c>
      <c r="G122" s="19" t="s">
        <v>1006</v>
      </c>
      <c r="H122" s="19" t="s">
        <v>1007</v>
      </c>
      <c r="I122" s="19" t="s">
        <v>1084</v>
      </c>
      <c r="J122" s="19" t="s">
        <v>1084</v>
      </c>
      <c r="K122" s="67">
        <v>45850</v>
      </c>
      <c r="L122" s="19" t="s">
        <v>1020</v>
      </c>
      <c r="M122" s="19" t="s">
        <v>1010</v>
      </c>
    </row>
    <row r="123" spans="1:13" x14ac:dyDescent="0.35">
      <c r="A123" s="19">
        <v>96809</v>
      </c>
      <c r="B123" s="19" t="s">
        <v>1210</v>
      </c>
      <c r="C123" s="19" t="s">
        <v>16</v>
      </c>
      <c r="D123" s="19" t="s">
        <v>1211</v>
      </c>
      <c r="E123" s="66" t="s">
        <v>997</v>
      </c>
      <c r="F123" s="67">
        <v>46152</v>
      </c>
      <c r="G123" s="19" t="s">
        <v>1006</v>
      </c>
      <c r="H123" s="19" t="s">
        <v>1007</v>
      </c>
      <c r="I123" s="19" t="s">
        <v>1028</v>
      </c>
      <c r="J123" s="19" t="s">
        <v>1028</v>
      </c>
      <c r="K123" s="67">
        <v>45850</v>
      </c>
      <c r="L123" s="19" t="s">
        <v>1020</v>
      </c>
      <c r="M123" s="19" t="s">
        <v>1010</v>
      </c>
    </row>
    <row r="124" spans="1:13" x14ac:dyDescent="0.35">
      <c r="A124" s="19">
        <v>97007</v>
      </c>
      <c r="B124" s="19" t="s">
        <v>1212</v>
      </c>
      <c r="C124" s="19" t="s">
        <v>49</v>
      </c>
      <c r="D124" s="19" t="s">
        <v>1213</v>
      </c>
      <c r="E124" s="66" t="s">
        <v>997</v>
      </c>
      <c r="F124" s="67">
        <v>46167</v>
      </c>
      <c r="G124" s="19" t="s">
        <v>1006</v>
      </c>
      <c r="H124" s="19" t="s">
        <v>1007</v>
      </c>
      <c r="I124" s="19" t="s">
        <v>1008</v>
      </c>
      <c r="J124" s="19" t="s">
        <v>1009</v>
      </c>
      <c r="K124" s="67">
        <v>45870</v>
      </c>
      <c r="L124" s="19" t="s">
        <v>1001</v>
      </c>
      <c r="M124" s="19" t="s">
        <v>1010</v>
      </c>
    </row>
    <row r="125" spans="1:13" x14ac:dyDescent="0.35">
      <c r="A125" s="19">
        <v>97033</v>
      </c>
      <c r="B125" s="19" t="s">
        <v>1214</v>
      </c>
      <c r="C125" s="19" t="s">
        <v>357</v>
      </c>
      <c r="D125" s="19" t="s">
        <v>1161</v>
      </c>
      <c r="E125" s="66" t="s">
        <v>997</v>
      </c>
      <c r="F125" s="67">
        <v>46152</v>
      </c>
      <c r="G125" s="19" t="s">
        <v>1006</v>
      </c>
      <c r="H125" s="19" t="s">
        <v>1007</v>
      </c>
      <c r="I125" s="19" t="s">
        <v>1028</v>
      </c>
      <c r="J125" s="19" t="s">
        <v>1028</v>
      </c>
      <c r="K125" s="67">
        <v>45870</v>
      </c>
      <c r="L125" s="19" t="s">
        <v>1020</v>
      </c>
      <c r="M125" s="19" t="s">
        <v>1010</v>
      </c>
    </row>
    <row r="126" spans="1:13" x14ac:dyDescent="0.35">
      <c r="A126" s="19">
        <v>97180</v>
      </c>
      <c r="B126" s="19" t="s">
        <v>1215</v>
      </c>
      <c r="C126" s="19" t="s">
        <v>11</v>
      </c>
      <c r="D126" s="19" t="s">
        <v>627</v>
      </c>
      <c r="E126" s="66" t="s">
        <v>997</v>
      </c>
      <c r="F126" s="67">
        <v>46173</v>
      </c>
      <c r="G126" s="19" t="s">
        <v>1006</v>
      </c>
      <c r="H126" s="19" t="s">
        <v>1007</v>
      </c>
      <c r="I126" s="19" t="s">
        <v>1028</v>
      </c>
      <c r="J126" s="19" t="s">
        <v>1028</v>
      </c>
      <c r="K126" s="67">
        <v>45878</v>
      </c>
      <c r="L126" s="19" t="s">
        <v>1020</v>
      </c>
      <c r="M126" s="19" t="s">
        <v>1010</v>
      </c>
    </row>
    <row r="127" spans="1:13" x14ac:dyDescent="0.35">
      <c r="A127" s="19">
        <v>97220</v>
      </c>
      <c r="B127" s="19" t="s">
        <v>897</v>
      </c>
      <c r="C127" s="19" t="s">
        <v>382</v>
      </c>
      <c r="D127" s="19" t="s">
        <v>384</v>
      </c>
      <c r="E127" s="66" t="s">
        <v>997</v>
      </c>
      <c r="F127" s="67">
        <v>46165</v>
      </c>
      <c r="G127" s="19" t="s">
        <v>1006</v>
      </c>
      <c r="H127" s="19" t="s">
        <v>1007</v>
      </c>
      <c r="I127" s="19" t="s">
        <v>1028</v>
      </c>
      <c r="J127" s="19" t="s">
        <v>1009</v>
      </c>
      <c r="K127" s="67">
        <v>46092</v>
      </c>
      <c r="L127" s="19" t="s">
        <v>1020</v>
      </c>
      <c r="M127" s="19" t="s">
        <v>1010</v>
      </c>
    </row>
    <row r="128" spans="1:13" x14ac:dyDescent="0.35">
      <c r="A128" s="19">
        <v>97272</v>
      </c>
      <c r="B128" s="19" t="s">
        <v>1216</v>
      </c>
      <c r="C128" s="19" t="s">
        <v>89</v>
      </c>
      <c r="D128" s="19" t="s">
        <v>1217</v>
      </c>
      <c r="E128" s="66" t="s">
        <v>997</v>
      </c>
      <c r="F128" s="67">
        <v>46168</v>
      </c>
      <c r="G128" s="19" t="s">
        <v>1006</v>
      </c>
      <c r="H128" s="19" t="s">
        <v>1007</v>
      </c>
      <c r="I128" s="19" t="s">
        <v>1028</v>
      </c>
      <c r="J128" s="19" t="s">
        <v>1028</v>
      </c>
      <c r="K128" s="67">
        <v>45885</v>
      </c>
      <c r="L128" s="19" t="s">
        <v>1020</v>
      </c>
      <c r="M128" s="19" t="s">
        <v>1010</v>
      </c>
    </row>
    <row r="129" spans="1:13" x14ac:dyDescent="0.35">
      <c r="A129" s="19">
        <v>97402</v>
      </c>
      <c r="B129" s="19" t="s">
        <v>1218</v>
      </c>
      <c r="C129" s="19" t="s">
        <v>89</v>
      </c>
      <c r="D129" s="19" t="s">
        <v>1217</v>
      </c>
      <c r="E129" s="66" t="s">
        <v>997</v>
      </c>
      <c r="F129" s="67">
        <v>46173</v>
      </c>
      <c r="G129" s="19" t="s">
        <v>1006</v>
      </c>
      <c r="H129" s="19" t="s">
        <v>1007</v>
      </c>
      <c r="I129" s="19" t="s">
        <v>1028</v>
      </c>
      <c r="J129" s="19" t="s">
        <v>1028</v>
      </c>
      <c r="K129" s="67">
        <v>45896</v>
      </c>
      <c r="L129" s="19" t="s">
        <v>1020</v>
      </c>
      <c r="M129" s="19" t="s">
        <v>1010</v>
      </c>
    </row>
    <row r="130" spans="1:13" x14ac:dyDescent="0.35">
      <c r="A130" s="19">
        <v>97416</v>
      </c>
      <c r="B130" s="19" t="s">
        <v>1219</v>
      </c>
      <c r="C130" s="19" t="s">
        <v>426</v>
      </c>
      <c r="D130" s="19" t="s">
        <v>1220</v>
      </c>
      <c r="E130" s="66" t="s">
        <v>997</v>
      </c>
      <c r="F130" s="67">
        <v>46161</v>
      </c>
      <c r="G130" s="19" t="s">
        <v>1221</v>
      </c>
      <c r="H130" s="19" t="s">
        <v>1044</v>
      </c>
      <c r="I130" s="19" t="s">
        <v>1019</v>
      </c>
      <c r="J130" s="19" t="s">
        <v>1019</v>
      </c>
      <c r="K130" s="67">
        <v>45901</v>
      </c>
      <c r="L130" s="19" t="s">
        <v>1020</v>
      </c>
      <c r="M130" s="19" t="s">
        <v>1010</v>
      </c>
    </row>
    <row r="131" spans="1:13" x14ac:dyDescent="0.35">
      <c r="A131" s="19">
        <v>97418</v>
      </c>
      <c r="B131" s="19" t="s">
        <v>1222</v>
      </c>
      <c r="C131" s="19" t="s">
        <v>280</v>
      </c>
      <c r="D131" s="19" t="s">
        <v>1223</v>
      </c>
      <c r="E131" s="66" t="s">
        <v>997</v>
      </c>
      <c r="F131" s="67">
        <v>46172</v>
      </c>
      <c r="G131" s="19" t="s">
        <v>1006</v>
      </c>
      <c r="H131" s="19" t="s">
        <v>1007</v>
      </c>
      <c r="I131" s="19" t="s">
        <v>1028</v>
      </c>
      <c r="J131" s="19" t="s">
        <v>1028</v>
      </c>
      <c r="K131" s="67">
        <v>45901</v>
      </c>
      <c r="L131" s="19" t="s">
        <v>1020</v>
      </c>
      <c r="M131" s="19" t="s">
        <v>1010</v>
      </c>
    </row>
    <row r="132" spans="1:13" x14ac:dyDescent="0.35">
      <c r="A132" s="19">
        <v>97427</v>
      </c>
      <c r="B132" s="19" t="s">
        <v>1224</v>
      </c>
      <c r="C132" s="19" t="s">
        <v>411</v>
      </c>
      <c r="D132" s="19" t="s">
        <v>1225</v>
      </c>
      <c r="E132" s="66" t="s">
        <v>997</v>
      </c>
      <c r="F132" s="67">
        <v>46144</v>
      </c>
      <c r="G132" s="19" t="s">
        <v>1006</v>
      </c>
      <c r="H132" s="19" t="s">
        <v>1007</v>
      </c>
      <c r="I132" s="19" t="s">
        <v>1028</v>
      </c>
      <c r="J132" s="19" t="s">
        <v>1028</v>
      </c>
      <c r="K132" s="67">
        <v>45901</v>
      </c>
      <c r="L132" s="19" t="s">
        <v>1020</v>
      </c>
      <c r="M132" s="19" t="s">
        <v>1010</v>
      </c>
    </row>
    <row r="133" spans="1:13" x14ac:dyDescent="0.35">
      <c r="A133" s="19">
        <v>97453</v>
      </c>
      <c r="B133" s="19" t="s">
        <v>1226</v>
      </c>
      <c r="C133" s="19" t="s">
        <v>330</v>
      </c>
      <c r="D133" s="19" t="s">
        <v>332</v>
      </c>
      <c r="E133" s="66" t="s">
        <v>997</v>
      </c>
      <c r="F133" s="67">
        <v>46173</v>
      </c>
      <c r="G133" s="19" t="s">
        <v>1006</v>
      </c>
      <c r="H133" s="19" t="s">
        <v>1007</v>
      </c>
      <c r="I133" s="19" t="s">
        <v>1028</v>
      </c>
      <c r="J133" s="19" t="s">
        <v>1028</v>
      </c>
      <c r="K133" s="67">
        <v>45901</v>
      </c>
      <c r="L133" s="19" t="s">
        <v>1020</v>
      </c>
      <c r="M133" s="19" t="s">
        <v>1010</v>
      </c>
    </row>
    <row r="134" spans="1:13" x14ac:dyDescent="0.35">
      <c r="A134" s="19">
        <v>97506</v>
      </c>
      <c r="B134" s="19" t="s">
        <v>1227</v>
      </c>
      <c r="C134" s="19" t="s">
        <v>62</v>
      </c>
      <c r="D134" s="19" t="s">
        <v>1228</v>
      </c>
      <c r="E134" s="66" t="s">
        <v>997</v>
      </c>
      <c r="F134" s="67">
        <v>46143</v>
      </c>
      <c r="G134" s="19" t="s">
        <v>1006</v>
      </c>
      <c r="H134" s="19" t="s">
        <v>1007</v>
      </c>
      <c r="I134" s="19" t="s">
        <v>1019</v>
      </c>
      <c r="J134" s="19" t="s">
        <v>1019</v>
      </c>
      <c r="K134" s="67">
        <v>45902</v>
      </c>
      <c r="L134" s="19" t="s">
        <v>1020</v>
      </c>
      <c r="M134" s="19" t="s">
        <v>1010</v>
      </c>
    </row>
    <row r="135" spans="1:13" x14ac:dyDescent="0.35">
      <c r="A135" s="19">
        <v>97507</v>
      </c>
      <c r="B135" s="19" t="s">
        <v>1229</v>
      </c>
      <c r="C135" s="19" t="s">
        <v>407</v>
      </c>
      <c r="D135" s="19" t="s">
        <v>1230</v>
      </c>
      <c r="E135" s="66" t="s">
        <v>997</v>
      </c>
      <c r="F135" s="67">
        <v>46173</v>
      </c>
      <c r="G135" s="19" t="s">
        <v>1006</v>
      </c>
      <c r="H135" s="19" t="s">
        <v>1007</v>
      </c>
      <c r="I135" s="19" t="s">
        <v>1028</v>
      </c>
      <c r="J135" s="19" t="s">
        <v>1028</v>
      </c>
      <c r="K135" s="67">
        <v>45903</v>
      </c>
      <c r="L135" s="19" t="s">
        <v>1020</v>
      </c>
      <c r="M135" s="19" t="s">
        <v>1010</v>
      </c>
    </row>
    <row r="136" spans="1:13" x14ac:dyDescent="0.35">
      <c r="A136" s="19">
        <v>97554</v>
      </c>
      <c r="B136" s="19" t="s">
        <v>898</v>
      </c>
      <c r="C136" s="19" t="s">
        <v>76</v>
      </c>
      <c r="D136" s="19" t="s">
        <v>899</v>
      </c>
      <c r="E136" s="66" t="s">
        <v>997</v>
      </c>
      <c r="F136" s="67">
        <v>46173</v>
      </c>
      <c r="G136" s="19" t="s">
        <v>1006</v>
      </c>
      <c r="H136" s="19" t="s">
        <v>1007</v>
      </c>
      <c r="I136" s="19" t="s">
        <v>1028</v>
      </c>
      <c r="J136" s="19" t="s">
        <v>1009</v>
      </c>
      <c r="K136" s="67">
        <v>45904</v>
      </c>
      <c r="L136" s="19" t="s">
        <v>1020</v>
      </c>
      <c r="M136" s="19" t="s">
        <v>1010</v>
      </c>
    </row>
    <row r="137" spans="1:13" x14ac:dyDescent="0.35">
      <c r="A137" s="19">
        <v>97581</v>
      </c>
      <c r="B137" s="19" t="s">
        <v>1231</v>
      </c>
      <c r="C137" s="19" t="s">
        <v>47</v>
      </c>
      <c r="D137" s="19" t="s">
        <v>1232</v>
      </c>
      <c r="E137" s="66" t="s">
        <v>997</v>
      </c>
      <c r="F137" s="67">
        <v>46149</v>
      </c>
      <c r="G137" s="19" t="s">
        <v>1006</v>
      </c>
      <c r="H137" s="19" t="s">
        <v>1007</v>
      </c>
      <c r="I137" s="19" t="s">
        <v>1019</v>
      </c>
      <c r="J137" s="19" t="s">
        <v>1067</v>
      </c>
      <c r="K137" s="67">
        <v>45906</v>
      </c>
      <c r="L137" s="19" t="s">
        <v>1020</v>
      </c>
      <c r="M137" s="19" t="s">
        <v>1010</v>
      </c>
    </row>
    <row r="138" spans="1:13" x14ac:dyDescent="0.35">
      <c r="A138" s="19">
        <v>97588</v>
      </c>
      <c r="B138" s="19" t="s">
        <v>1233</v>
      </c>
      <c r="C138" s="19" t="s">
        <v>309</v>
      </c>
      <c r="D138" s="19" t="s">
        <v>1234</v>
      </c>
      <c r="E138" s="66" t="s">
        <v>997</v>
      </c>
      <c r="F138" s="67">
        <v>46145</v>
      </c>
      <c r="G138" s="19" t="s">
        <v>1006</v>
      </c>
      <c r="H138" s="19" t="s">
        <v>1007</v>
      </c>
      <c r="I138" s="19" t="s">
        <v>1028</v>
      </c>
      <c r="J138" s="19" t="s">
        <v>1028</v>
      </c>
      <c r="K138" s="67">
        <v>45905</v>
      </c>
      <c r="L138" s="19" t="s">
        <v>1020</v>
      </c>
      <c r="M138" s="19" t="s">
        <v>1010</v>
      </c>
    </row>
    <row r="139" spans="1:13" x14ac:dyDescent="0.35">
      <c r="A139" s="19">
        <v>97854</v>
      </c>
      <c r="B139" s="19" t="s">
        <v>1235</v>
      </c>
      <c r="C139" s="19" t="s">
        <v>120</v>
      </c>
      <c r="D139" s="19" t="s">
        <v>1236</v>
      </c>
      <c r="E139" s="66" t="s">
        <v>997</v>
      </c>
      <c r="F139" s="67">
        <v>46173</v>
      </c>
      <c r="G139" s="19" t="s">
        <v>1006</v>
      </c>
      <c r="H139" s="19" t="s">
        <v>1007</v>
      </c>
      <c r="I139" s="19" t="s">
        <v>1019</v>
      </c>
      <c r="J139" s="19" t="s">
        <v>1067</v>
      </c>
      <c r="K139" s="67">
        <v>45916</v>
      </c>
      <c r="L139" s="19" t="s">
        <v>1020</v>
      </c>
      <c r="M139" s="19" t="s">
        <v>1010</v>
      </c>
    </row>
    <row r="140" spans="1:13" x14ac:dyDescent="0.35">
      <c r="A140" s="19">
        <v>97872</v>
      </c>
      <c r="B140" s="19" t="s">
        <v>1237</v>
      </c>
      <c r="C140" s="19" t="s">
        <v>165</v>
      </c>
      <c r="D140" s="19" t="s">
        <v>1238</v>
      </c>
      <c r="E140" s="66" t="s">
        <v>997</v>
      </c>
      <c r="F140" s="67">
        <v>46145</v>
      </c>
      <c r="G140" s="19" t="s">
        <v>1006</v>
      </c>
      <c r="H140" s="19" t="s">
        <v>1007</v>
      </c>
      <c r="I140" s="19" t="s">
        <v>1028</v>
      </c>
      <c r="J140" s="19" t="s">
        <v>1028</v>
      </c>
      <c r="K140" s="67">
        <v>45917</v>
      </c>
      <c r="L140" s="19" t="s">
        <v>1020</v>
      </c>
      <c r="M140" s="19" t="s">
        <v>1010</v>
      </c>
    </row>
    <row r="141" spans="1:13" x14ac:dyDescent="0.35">
      <c r="A141" s="19">
        <v>97878</v>
      </c>
      <c r="B141" s="19" t="s">
        <v>1239</v>
      </c>
      <c r="C141" s="19" t="s">
        <v>429</v>
      </c>
      <c r="D141" s="19" t="s">
        <v>1240</v>
      </c>
      <c r="E141" s="66" t="s">
        <v>997</v>
      </c>
      <c r="F141" s="67">
        <v>46157</v>
      </c>
      <c r="G141" s="19" t="s">
        <v>1006</v>
      </c>
      <c r="H141" s="19" t="s">
        <v>1007</v>
      </c>
      <c r="I141" s="19" t="s">
        <v>1008</v>
      </c>
      <c r="J141" s="19" t="s">
        <v>1008</v>
      </c>
      <c r="K141" s="67">
        <v>45917</v>
      </c>
      <c r="L141" s="19" t="s">
        <v>1001</v>
      </c>
      <c r="M141" s="19" t="s">
        <v>1010</v>
      </c>
    </row>
    <row r="142" spans="1:13" x14ac:dyDescent="0.35">
      <c r="A142" s="19">
        <v>97907</v>
      </c>
      <c r="B142" s="19" t="s">
        <v>1241</v>
      </c>
      <c r="C142" s="19" t="s">
        <v>11</v>
      </c>
      <c r="D142" s="19" t="s">
        <v>627</v>
      </c>
      <c r="E142" s="66" t="s">
        <v>997</v>
      </c>
      <c r="F142" s="67">
        <v>46158</v>
      </c>
      <c r="G142" s="19" t="s">
        <v>1006</v>
      </c>
      <c r="H142" s="19" t="s">
        <v>1007</v>
      </c>
      <c r="I142" s="19" t="s">
        <v>1028</v>
      </c>
      <c r="J142" s="19" t="s">
        <v>1028</v>
      </c>
      <c r="K142" s="67">
        <v>45917</v>
      </c>
      <c r="L142" s="19" t="s">
        <v>1020</v>
      </c>
      <c r="M142" s="19" t="s">
        <v>1010</v>
      </c>
    </row>
    <row r="143" spans="1:13" x14ac:dyDescent="0.35">
      <c r="A143" s="19">
        <v>97913</v>
      </c>
      <c r="B143" s="19" t="s">
        <v>1242</v>
      </c>
      <c r="C143" s="19" t="s">
        <v>278</v>
      </c>
      <c r="D143" s="19" t="s">
        <v>1131</v>
      </c>
      <c r="E143" s="66" t="s">
        <v>997</v>
      </c>
      <c r="F143" s="67">
        <v>46173</v>
      </c>
      <c r="G143" s="19" t="s">
        <v>1006</v>
      </c>
      <c r="H143" s="19" t="s">
        <v>1007</v>
      </c>
      <c r="I143" s="19" t="s">
        <v>1028</v>
      </c>
      <c r="J143" s="19" t="s">
        <v>1028</v>
      </c>
      <c r="K143" s="67">
        <v>45918</v>
      </c>
      <c r="L143" s="19" t="s">
        <v>1020</v>
      </c>
      <c r="M143" s="19" t="s">
        <v>1010</v>
      </c>
    </row>
    <row r="144" spans="1:13" x14ac:dyDescent="0.35">
      <c r="A144" s="19">
        <v>97952</v>
      </c>
      <c r="B144" s="19" t="s">
        <v>1243</v>
      </c>
      <c r="C144" s="19" t="s">
        <v>428</v>
      </c>
      <c r="D144" s="19" t="s">
        <v>1063</v>
      </c>
      <c r="E144" s="66" t="s">
        <v>997</v>
      </c>
      <c r="F144" s="67">
        <v>46151</v>
      </c>
      <c r="G144" s="19" t="s">
        <v>1006</v>
      </c>
      <c r="H144" s="19" t="s">
        <v>1007</v>
      </c>
      <c r="I144" s="19" t="s">
        <v>1019</v>
      </c>
      <c r="J144" s="19" t="s">
        <v>1019</v>
      </c>
      <c r="K144" s="67">
        <v>45919</v>
      </c>
      <c r="L144" s="19" t="s">
        <v>1020</v>
      </c>
      <c r="M144" s="19" t="s">
        <v>1010</v>
      </c>
    </row>
    <row r="145" spans="1:13" x14ac:dyDescent="0.35">
      <c r="A145" s="19">
        <v>97954</v>
      </c>
      <c r="B145" s="19" t="s">
        <v>1244</v>
      </c>
      <c r="C145" s="19" t="s">
        <v>252</v>
      </c>
      <c r="D145" s="19" t="s">
        <v>914</v>
      </c>
      <c r="E145" s="66" t="s">
        <v>997</v>
      </c>
      <c r="F145" s="67">
        <v>46159</v>
      </c>
      <c r="G145" s="19" t="s">
        <v>1006</v>
      </c>
      <c r="H145" s="19" t="s">
        <v>1007</v>
      </c>
      <c r="I145" s="19" t="s">
        <v>1028</v>
      </c>
      <c r="J145" s="19" t="s">
        <v>1028</v>
      </c>
      <c r="K145" s="67">
        <v>45919</v>
      </c>
      <c r="L145" s="19" t="s">
        <v>1020</v>
      </c>
      <c r="M145" s="19" t="s">
        <v>1010</v>
      </c>
    </row>
    <row r="146" spans="1:13" x14ac:dyDescent="0.35">
      <c r="A146" s="19">
        <v>97997</v>
      </c>
      <c r="B146" s="19" t="s">
        <v>1245</v>
      </c>
      <c r="C146" s="19" t="s">
        <v>21</v>
      </c>
      <c r="D146" s="19" t="s">
        <v>22</v>
      </c>
      <c r="E146" s="66" t="s">
        <v>997</v>
      </c>
      <c r="F146" s="67">
        <v>46159</v>
      </c>
      <c r="G146" s="19" t="s">
        <v>1006</v>
      </c>
      <c r="H146" s="19" t="s">
        <v>1007</v>
      </c>
      <c r="I146" s="19" t="s">
        <v>1028</v>
      </c>
      <c r="J146" s="19" t="s">
        <v>1028</v>
      </c>
      <c r="K146" s="67">
        <v>45920</v>
      </c>
      <c r="L146" s="19" t="s">
        <v>1020</v>
      </c>
      <c r="M146" s="19" t="s">
        <v>1010</v>
      </c>
    </row>
    <row r="147" spans="1:13" x14ac:dyDescent="0.35">
      <c r="A147" s="19">
        <v>98092</v>
      </c>
      <c r="B147" s="19" t="s">
        <v>1246</v>
      </c>
      <c r="C147" s="19" t="s">
        <v>278</v>
      </c>
      <c r="D147" s="19" t="s">
        <v>1131</v>
      </c>
      <c r="E147" s="66" t="s">
        <v>997</v>
      </c>
      <c r="F147" s="67">
        <v>46158</v>
      </c>
      <c r="G147" s="19" t="s">
        <v>1006</v>
      </c>
      <c r="H147" s="19" t="s">
        <v>1007</v>
      </c>
      <c r="I147" s="19" t="s">
        <v>1008</v>
      </c>
      <c r="J147" s="19" t="s">
        <v>1008</v>
      </c>
      <c r="K147" s="67">
        <v>45925</v>
      </c>
      <c r="L147" s="19" t="s">
        <v>1001</v>
      </c>
      <c r="M147" s="19" t="s">
        <v>1010</v>
      </c>
    </row>
    <row r="148" spans="1:13" x14ac:dyDescent="0.35">
      <c r="A148" s="19">
        <v>98136</v>
      </c>
      <c r="B148" s="19" t="s">
        <v>900</v>
      </c>
      <c r="C148" s="19" t="s">
        <v>173</v>
      </c>
      <c r="D148" s="19" t="s">
        <v>901</v>
      </c>
      <c r="E148" s="66" t="s">
        <v>997</v>
      </c>
      <c r="F148" s="67">
        <v>46161</v>
      </c>
      <c r="G148" s="19" t="s">
        <v>1006</v>
      </c>
      <c r="H148" s="19" t="s">
        <v>1007</v>
      </c>
      <c r="I148" s="19" t="s">
        <v>1057</v>
      </c>
      <c r="J148" s="19" t="s">
        <v>1067</v>
      </c>
      <c r="K148" s="67">
        <v>45926</v>
      </c>
      <c r="L148" s="19" t="s">
        <v>1001</v>
      </c>
      <c r="M148" s="19" t="s">
        <v>1010</v>
      </c>
    </row>
    <row r="149" spans="1:13" x14ac:dyDescent="0.35">
      <c r="A149" s="19">
        <v>98140</v>
      </c>
      <c r="B149" s="19" t="s">
        <v>1247</v>
      </c>
      <c r="C149" s="19" t="s">
        <v>311</v>
      </c>
      <c r="D149" s="19" t="s">
        <v>1140</v>
      </c>
      <c r="E149" s="66" t="s">
        <v>997</v>
      </c>
      <c r="F149" s="67">
        <v>46146</v>
      </c>
      <c r="G149" s="19" t="s">
        <v>1006</v>
      </c>
      <c r="H149" s="19" t="s">
        <v>1007</v>
      </c>
      <c r="I149" s="19" t="s">
        <v>1084</v>
      </c>
      <c r="J149" s="19" t="s">
        <v>1009</v>
      </c>
      <c r="K149" s="67">
        <v>45926</v>
      </c>
      <c r="L149" s="19" t="s">
        <v>1001</v>
      </c>
      <c r="M149" s="19" t="s">
        <v>1111</v>
      </c>
    </row>
    <row r="150" spans="1:13" x14ac:dyDescent="0.35">
      <c r="A150" s="19">
        <v>98165</v>
      </c>
      <c r="B150" s="19" t="s">
        <v>1248</v>
      </c>
      <c r="C150" s="19" t="s">
        <v>80</v>
      </c>
      <c r="D150" s="19" t="s">
        <v>1022</v>
      </c>
      <c r="E150" s="66" t="s">
        <v>997</v>
      </c>
      <c r="F150" s="67">
        <v>46146</v>
      </c>
      <c r="G150" s="19" t="s">
        <v>1006</v>
      </c>
      <c r="H150" s="19" t="s">
        <v>1007</v>
      </c>
      <c r="I150" s="19" t="s">
        <v>1028</v>
      </c>
      <c r="J150" s="19" t="s">
        <v>1028</v>
      </c>
      <c r="K150" s="67">
        <v>45931</v>
      </c>
      <c r="L150" s="19" t="s">
        <v>1020</v>
      </c>
      <c r="M150" s="19" t="s">
        <v>1010</v>
      </c>
    </row>
    <row r="151" spans="1:13" x14ac:dyDescent="0.35">
      <c r="A151" s="19">
        <v>98239</v>
      </c>
      <c r="B151" s="19" t="s">
        <v>1249</v>
      </c>
      <c r="C151" s="19" t="s">
        <v>27</v>
      </c>
      <c r="D151" s="19" t="s">
        <v>1250</v>
      </c>
      <c r="E151" s="66" t="s">
        <v>997</v>
      </c>
      <c r="F151" s="67">
        <v>46157</v>
      </c>
      <c r="G151" s="19" t="s">
        <v>1006</v>
      </c>
      <c r="H151" s="19" t="s">
        <v>1007</v>
      </c>
      <c r="I151" s="19" t="s">
        <v>1019</v>
      </c>
      <c r="J151" s="19" t="s">
        <v>1009</v>
      </c>
      <c r="K151" s="67">
        <v>45931</v>
      </c>
      <c r="L151" s="19" t="s">
        <v>1020</v>
      </c>
      <c r="M151" s="19" t="s">
        <v>1010</v>
      </c>
    </row>
    <row r="152" spans="1:13" x14ac:dyDescent="0.35">
      <c r="A152" s="19">
        <v>98249</v>
      </c>
      <c r="B152" s="19" t="s">
        <v>1251</v>
      </c>
      <c r="C152" s="19" t="s">
        <v>111</v>
      </c>
      <c r="D152" s="19" t="s">
        <v>1083</v>
      </c>
      <c r="E152" s="66" t="s">
        <v>997</v>
      </c>
      <c r="F152" s="67">
        <v>46173</v>
      </c>
      <c r="G152" s="19" t="s">
        <v>1006</v>
      </c>
      <c r="H152" s="19" t="s">
        <v>1007</v>
      </c>
      <c r="I152" s="19" t="s">
        <v>1028</v>
      </c>
      <c r="J152" s="19" t="s">
        <v>1028</v>
      </c>
      <c r="K152" s="67">
        <v>45933</v>
      </c>
      <c r="L152" s="19" t="s">
        <v>1020</v>
      </c>
      <c r="M152" s="19" t="s">
        <v>1010</v>
      </c>
    </row>
    <row r="153" spans="1:13" x14ac:dyDescent="0.35">
      <c r="A153" s="19">
        <v>98262</v>
      </c>
      <c r="B153" s="19" t="s">
        <v>1252</v>
      </c>
      <c r="C153" s="19" t="s">
        <v>379</v>
      </c>
      <c r="D153" s="19" t="s">
        <v>381</v>
      </c>
      <c r="E153" s="66" t="s">
        <v>997</v>
      </c>
      <c r="F153" s="67">
        <v>46149</v>
      </c>
      <c r="G153" s="19" t="s">
        <v>1221</v>
      </c>
      <c r="H153" s="19" t="s">
        <v>1044</v>
      </c>
      <c r="I153" s="19" t="s">
        <v>1019</v>
      </c>
      <c r="J153" s="19" t="s">
        <v>1067</v>
      </c>
      <c r="K153" s="67">
        <v>45931</v>
      </c>
      <c r="L153" s="19" t="s">
        <v>1020</v>
      </c>
      <c r="M153" s="19" t="s">
        <v>1010</v>
      </c>
    </row>
    <row r="154" spans="1:13" x14ac:dyDescent="0.35">
      <c r="A154" s="19">
        <v>98311</v>
      </c>
      <c r="B154" s="19" t="s">
        <v>1253</v>
      </c>
      <c r="C154" s="19" t="s">
        <v>126</v>
      </c>
      <c r="D154" s="19" t="s">
        <v>1152</v>
      </c>
      <c r="E154" s="66" t="s">
        <v>997</v>
      </c>
      <c r="F154" s="67">
        <v>46157</v>
      </c>
      <c r="G154" s="19" t="s">
        <v>1006</v>
      </c>
      <c r="H154" s="19" t="s">
        <v>1007</v>
      </c>
      <c r="I154" s="19" t="s">
        <v>1028</v>
      </c>
      <c r="J154" s="19" t="s">
        <v>1028</v>
      </c>
      <c r="K154" s="67">
        <v>45934</v>
      </c>
      <c r="L154" s="19" t="s">
        <v>1020</v>
      </c>
      <c r="M154" s="19" t="s">
        <v>1010</v>
      </c>
    </row>
    <row r="155" spans="1:13" x14ac:dyDescent="0.35">
      <c r="A155" s="19">
        <v>98313</v>
      </c>
      <c r="B155" s="19" t="s">
        <v>1254</v>
      </c>
      <c r="C155" s="19" t="s">
        <v>19</v>
      </c>
      <c r="D155" s="19" t="s">
        <v>1255</v>
      </c>
      <c r="E155" s="66" t="s">
        <v>997</v>
      </c>
      <c r="F155" s="67">
        <v>46152</v>
      </c>
      <c r="G155" s="19" t="s">
        <v>1006</v>
      </c>
      <c r="H155" s="19" t="s">
        <v>1007</v>
      </c>
      <c r="I155" s="19" t="s">
        <v>1019</v>
      </c>
      <c r="J155" s="19" t="s">
        <v>1019</v>
      </c>
      <c r="K155" s="67">
        <v>45934</v>
      </c>
      <c r="L155" s="19" t="s">
        <v>1020</v>
      </c>
      <c r="M155" s="19" t="s">
        <v>1010</v>
      </c>
    </row>
    <row r="156" spans="1:13" x14ac:dyDescent="0.35">
      <c r="A156" s="19">
        <v>98342</v>
      </c>
      <c r="B156" s="19" t="s">
        <v>1256</v>
      </c>
      <c r="C156" s="19" t="s">
        <v>379</v>
      </c>
      <c r="D156" s="19" t="s">
        <v>381</v>
      </c>
      <c r="E156" s="66" t="s">
        <v>997</v>
      </c>
      <c r="F156" s="67">
        <v>46145</v>
      </c>
      <c r="G156" s="19" t="s">
        <v>1006</v>
      </c>
      <c r="H156" s="19" t="s">
        <v>1007</v>
      </c>
      <c r="I156" s="19" t="s">
        <v>1028</v>
      </c>
      <c r="J156" s="19" t="s">
        <v>1028</v>
      </c>
      <c r="K156" s="67">
        <v>45937</v>
      </c>
      <c r="L156" s="19" t="s">
        <v>1020</v>
      </c>
      <c r="M156" s="19" t="s">
        <v>1010</v>
      </c>
    </row>
    <row r="157" spans="1:13" x14ac:dyDescent="0.35">
      <c r="A157" s="19">
        <v>98352</v>
      </c>
      <c r="B157" s="19" t="s">
        <v>1257</v>
      </c>
      <c r="C157" s="19" t="s">
        <v>349</v>
      </c>
      <c r="D157" s="19" t="s">
        <v>912</v>
      </c>
      <c r="E157" s="66" t="s">
        <v>997</v>
      </c>
      <c r="F157" s="67">
        <v>46173</v>
      </c>
      <c r="G157" s="19" t="s">
        <v>1006</v>
      </c>
      <c r="H157" s="19" t="s">
        <v>1007</v>
      </c>
      <c r="I157" s="19" t="s">
        <v>1028</v>
      </c>
      <c r="J157" s="19" t="s">
        <v>1028</v>
      </c>
      <c r="K157" s="67">
        <v>45938</v>
      </c>
      <c r="L157" s="19" t="s">
        <v>1020</v>
      </c>
      <c r="M157" s="19" t="s">
        <v>1010</v>
      </c>
    </row>
    <row r="158" spans="1:13" x14ac:dyDescent="0.35">
      <c r="A158" s="19">
        <v>98428</v>
      </c>
      <c r="B158" s="19" t="s">
        <v>1258</v>
      </c>
      <c r="C158" s="19" t="s">
        <v>252</v>
      </c>
      <c r="D158" s="19" t="s">
        <v>914</v>
      </c>
      <c r="E158" s="66" t="s">
        <v>997</v>
      </c>
      <c r="F158" s="67">
        <v>46172</v>
      </c>
      <c r="G158" s="19" t="s">
        <v>1006</v>
      </c>
      <c r="H158" s="19" t="s">
        <v>1007</v>
      </c>
      <c r="I158" s="19" t="s">
        <v>1019</v>
      </c>
      <c r="J158" s="19" t="s">
        <v>1019</v>
      </c>
      <c r="K158" s="67">
        <v>45941</v>
      </c>
      <c r="L158" s="19" t="s">
        <v>1020</v>
      </c>
      <c r="M158" s="19" t="s">
        <v>1010</v>
      </c>
    </row>
    <row r="159" spans="1:13" x14ac:dyDescent="0.35">
      <c r="A159" s="19">
        <v>98433</v>
      </c>
      <c r="B159" s="19" t="s">
        <v>1259</v>
      </c>
      <c r="C159" s="19" t="s">
        <v>201</v>
      </c>
      <c r="D159" s="19" t="s">
        <v>1061</v>
      </c>
      <c r="E159" s="66" t="s">
        <v>997</v>
      </c>
      <c r="F159" s="67">
        <v>46172</v>
      </c>
      <c r="G159" s="19" t="s">
        <v>1006</v>
      </c>
      <c r="H159" s="19" t="s">
        <v>1007</v>
      </c>
      <c r="I159" s="19" t="s">
        <v>1019</v>
      </c>
      <c r="J159" s="19" t="s">
        <v>1067</v>
      </c>
      <c r="K159" s="67">
        <v>45941</v>
      </c>
      <c r="L159" s="19" t="s">
        <v>1020</v>
      </c>
      <c r="M159" s="19" t="s">
        <v>1010</v>
      </c>
    </row>
    <row r="160" spans="1:13" x14ac:dyDescent="0.35">
      <c r="A160" s="19">
        <v>98435</v>
      </c>
      <c r="B160" s="19" t="s">
        <v>1260</v>
      </c>
      <c r="C160" s="19" t="s">
        <v>145</v>
      </c>
      <c r="D160" s="19" t="s">
        <v>1015</v>
      </c>
      <c r="E160" s="66" t="s">
        <v>997</v>
      </c>
      <c r="F160" s="67">
        <v>46173</v>
      </c>
      <c r="G160" s="19" t="s">
        <v>1006</v>
      </c>
      <c r="H160" s="19" t="s">
        <v>1007</v>
      </c>
      <c r="I160" s="19" t="s">
        <v>1028</v>
      </c>
      <c r="J160" s="19" t="s">
        <v>1028</v>
      </c>
      <c r="K160" s="67">
        <v>45940</v>
      </c>
      <c r="L160" s="19" t="s">
        <v>1020</v>
      </c>
      <c r="M160" s="19" t="s">
        <v>1010</v>
      </c>
    </row>
    <row r="161" spans="1:13" x14ac:dyDescent="0.35">
      <c r="A161" s="19">
        <v>98458</v>
      </c>
      <c r="B161" s="19" t="s">
        <v>1261</v>
      </c>
      <c r="C161" s="19" t="s">
        <v>42</v>
      </c>
      <c r="D161" s="19" t="s">
        <v>1262</v>
      </c>
      <c r="E161" s="66" t="s">
        <v>997</v>
      </c>
      <c r="F161" s="67">
        <v>46152</v>
      </c>
      <c r="G161" s="19" t="s">
        <v>1006</v>
      </c>
      <c r="H161" s="19" t="s">
        <v>1007</v>
      </c>
      <c r="I161" s="19" t="s">
        <v>1057</v>
      </c>
      <c r="J161" s="19" t="s">
        <v>1067</v>
      </c>
      <c r="K161" s="67">
        <v>45944</v>
      </c>
      <c r="L161" s="19" t="s">
        <v>1001</v>
      </c>
      <c r="M161" s="19" t="s">
        <v>1010</v>
      </c>
    </row>
    <row r="162" spans="1:13" x14ac:dyDescent="0.35">
      <c r="A162" s="19">
        <v>98465</v>
      </c>
      <c r="B162" s="19" t="s">
        <v>1263</v>
      </c>
      <c r="C162" s="19" t="s">
        <v>341</v>
      </c>
      <c r="D162" s="19" t="s">
        <v>1264</v>
      </c>
      <c r="E162" s="66" t="s">
        <v>997</v>
      </c>
      <c r="F162" s="67">
        <v>46146</v>
      </c>
      <c r="G162" s="19" t="s">
        <v>1006</v>
      </c>
      <c r="H162" s="19" t="s">
        <v>1007</v>
      </c>
      <c r="I162" s="19" t="s">
        <v>1008</v>
      </c>
      <c r="J162" s="19" t="s">
        <v>1009</v>
      </c>
      <c r="K162" s="67">
        <v>45945</v>
      </c>
      <c r="L162" s="19" t="s">
        <v>1001</v>
      </c>
      <c r="M162" s="19" t="s">
        <v>1010</v>
      </c>
    </row>
    <row r="163" spans="1:13" x14ac:dyDescent="0.35">
      <c r="A163" s="19">
        <v>98512</v>
      </c>
      <c r="B163" s="19" t="s">
        <v>1265</v>
      </c>
      <c r="C163" s="19" t="s">
        <v>318</v>
      </c>
      <c r="D163" s="19" t="s">
        <v>1266</v>
      </c>
      <c r="E163" s="66" t="s">
        <v>997</v>
      </c>
      <c r="F163" s="67">
        <v>46153</v>
      </c>
      <c r="G163" s="19" t="s">
        <v>1006</v>
      </c>
      <c r="H163" s="19" t="s">
        <v>1007</v>
      </c>
      <c r="I163" s="19" t="s">
        <v>1057</v>
      </c>
      <c r="J163" s="19" t="s">
        <v>1067</v>
      </c>
      <c r="K163" s="67">
        <v>45948</v>
      </c>
      <c r="L163" s="19" t="s">
        <v>1001</v>
      </c>
      <c r="M163" s="19" t="s">
        <v>1010</v>
      </c>
    </row>
    <row r="164" spans="1:13" x14ac:dyDescent="0.35">
      <c r="A164" s="19">
        <v>98538</v>
      </c>
      <c r="B164" s="19" t="s">
        <v>1267</v>
      </c>
      <c r="C164" s="19" t="s">
        <v>284</v>
      </c>
      <c r="D164" s="19" t="s">
        <v>1150</v>
      </c>
      <c r="E164" s="66" t="s">
        <v>997</v>
      </c>
      <c r="F164" s="67">
        <v>46143</v>
      </c>
      <c r="G164" s="19" t="s">
        <v>1006</v>
      </c>
      <c r="H164" s="19" t="s">
        <v>1007</v>
      </c>
      <c r="I164" s="19" t="s">
        <v>1019</v>
      </c>
      <c r="J164" s="19" t="s">
        <v>1067</v>
      </c>
      <c r="K164" s="67">
        <v>45951</v>
      </c>
      <c r="L164" s="19" t="s">
        <v>1020</v>
      </c>
      <c r="M164" s="19" t="s">
        <v>1010</v>
      </c>
    </row>
    <row r="165" spans="1:13" x14ac:dyDescent="0.35">
      <c r="A165" s="19">
        <v>98543</v>
      </c>
      <c r="B165" s="19" t="s">
        <v>1268</v>
      </c>
      <c r="C165" s="19" t="s">
        <v>252</v>
      </c>
      <c r="D165" s="19" t="s">
        <v>914</v>
      </c>
      <c r="E165" s="66" t="s">
        <v>997</v>
      </c>
      <c r="F165" s="67">
        <v>46173</v>
      </c>
      <c r="G165" s="19" t="s">
        <v>1006</v>
      </c>
      <c r="H165" s="19" t="s">
        <v>1007</v>
      </c>
      <c r="I165" s="19" t="s">
        <v>1084</v>
      </c>
      <c r="J165" s="19" t="s">
        <v>1084</v>
      </c>
      <c r="K165" s="67">
        <v>45951</v>
      </c>
      <c r="L165" s="19" t="s">
        <v>1001</v>
      </c>
      <c r="M165" s="19" t="s">
        <v>1010</v>
      </c>
    </row>
    <row r="166" spans="1:13" x14ac:dyDescent="0.35">
      <c r="A166" s="19">
        <v>98555</v>
      </c>
      <c r="B166" s="19" t="s">
        <v>1269</v>
      </c>
      <c r="C166" s="19" t="s">
        <v>375</v>
      </c>
      <c r="D166" s="19" t="s">
        <v>1270</v>
      </c>
      <c r="E166" s="66" t="s">
        <v>997</v>
      </c>
      <c r="F166" s="67">
        <v>46145</v>
      </c>
      <c r="G166" s="19" t="s">
        <v>1006</v>
      </c>
      <c r="H166" s="19" t="s">
        <v>1007</v>
      </c>
      <c r="I166" s="19" t="s">
        <v>1028</v>
      </c>
      <c r="J166" s="19" t="s">
        <v>1028</v>
      </c>
      <c r="K166" s="67">
        <v>45952</v>
      </c>
      <c r="L166" s="19" t="s">
        <v>1020</v>
      </c>
      <c r="M166" s="19" t="s">
        <v>1010</v>
      </c>
    </row>
    <row r="167" spans="1:13" x14ac:dyDescent="0.35">
      <c r="A167" s="19">
        <v>98556</v>
      </c>
      <c r="B167" s="19" t="s">
        <v>1271</v>
      </c>
      <c r="C167" s="19" t="s">
        <v>349</v>
      </c>
      <c r="D167" s="19" t="s">
        <v>912</v>
      </c>
      <c r="E167" s="66" t="s">
        <v>997</v>
      </c>
      <c r="F167" s="67">
        <v>46144</v>
      </c>
      <c r="G167" s="19" t="s">
        <v>1006</v>
      </c>
      <c r="H167" s="19" t="s">
        <v>1007</v>
      </c>
      <c r="I167" s="19" t="s">
        <v>1008</v>
      </c>
      <c r="J167" s="19" t="s">
        <v>1008</v>
      </c>
      <c r="K167" s="67">
        <v>45952</v>
      </c>
      <c r="L167" s="19" t="s">
        <v>1001</v>
      </c>
      <c r="M167" s="19" t="s">
        <v>1010</v>
      </c>
    </row>
    <row r="168" spans="1:13" x14ac:dyDescent="0.35">
      <c r="A168" s="19">
        <v>98581</v>
      </c>
      <c r="B168" s="19" t="s">
        <v>1272</v>
      </c>
      <c r="C168" s="19" t="s">
        <v>237</v>
      </c>
      <c r="D168" s="19" t="s">
        <v>1070</v>
      </c>
      <c r="E168" s="66" t="s">
        <v>997</v>
      </c>
      <c r="F168" s="67">
        <v>46145</v>
      </c>
      <c r="G168" s="19" t="s">
        <v>1006</v>
      </c>
      <c r="H168" s="19" t="s">
        <v>1007</v>
      </c>
      <c r="I168" s="19" t="s">
        <v>1019</v>
      </c>
      <c r="J168" s="19" t="s">
        <v>1019</v>
      </c>
      <c r="K168" s="67">
        <v>45953</v>
      </c>
      <c r="L168" s="19" t="s">
        <v>1020</v>
      </c>
      <c r="M168" s="19" t="s">
        <v>1010</v>
      </c>
    </row>
    <row r="169" spans="1:13" x14ac:dyDescent="0.35">
      <c r="A169" s="19">
        <v>98635</v>
      </c>
      <c r="B169" s="19" t="s">
        <v>1273</v>
      </c>
      <c r="C169" s="19" t="s">
        <v>169</v>
      </c>
      <c r="D169" s="19" t="s">
        <v>1274</v>
      </c>
      <c r="E169" s="66" t="s">
        <v>997</v>
      </c>
      <c r="F169" s="67">
        <v>46153</v>
      </c>
      <c r="G169" s="19" t="s">
        <v>1006</v>
      </c>
      <c r="H169" s="19" t="s">
        <v>1007</v>
      </c>
      <c r="I169" s="19" t="s">
        <v>1028</v>
      </c>
      <c r="J169" s="19" t="s">
        <v>1028</v>
      </c>
      <c r="K169" s="67">
        <v>45962</v>
      </c>
      <c r="L169" s="19" t="s">
        <v>1020</v>
      </c>
      <c r="M169" s="19" t="s">
        <v>1010</v>
      </c>
    </row>
    <row r="170" spans="1:13" x14ac:dyDescent="0.35">
      <c r="A170" s="19">
        <v>98641</v>
      </c>
      <c r="B170" s="19" t="s">
        <v>1275</v>
      </c>
      <c r="C170" s="19" t="s">
        <v>21</v>
      </c>
      <c r="D170" s="19" t="s">
        <v>22</v>
      </c>
      <c r="E170" s="66" t="s">
        <v>997</v>
      </c>
      <c r="F170" s="67">
        <v>46153</v>
      </c>
      <c r="G170" s="19" t="s">
        <v>1006</v>
      </c>
      <c r="H170" s="19" t="s">
        <v>1007</v>
      </c>
      <c r="I170" s="19" t="s">
        <v>1000</v>
      </c>
      <c r="J170" s="19" t="s">
        <v>1000</v>
      </c>
      <c r="K170" s="67">
        <v>45962</v>
      </c>
      <c r="L170" s="19" t="s">
        <v>1001</v>
      </c>
      <c r="M170" s="19" t="s">
        <v>1002</v>
      </c>
    </row>
    <row r="171" spans="1:13" x14ac:dyDescent="0.35">
      <c r="A171" s="19">
        <v>98644</v>
      </c>
      <c r="B171" s="19" t="s">
        <v>1276</v>
      </c>
      <c r="C171" s="19" t="s">
        <v>422</v>
      </c>
      <c r="D171" s="19" t="s">
        <v>423</v>
      </c>
      <c r="E171" s="66" t="s">
        <v>997</v>
      </c>
      <c r="F171" s="67">
        <v>46145</v>
      </c>
      <c r="G171" s="19" t="s">
        <v>1006</v>
      </c>
      <c r="H171" s="19" t="s">
        <v>1007</v>
      </c>
      <c r="I171" s="19" t="s">
        <v>1028</v>
      </c>
      <c r="J171" s="19" t="s">
        <v>1028</v>
      </c>
      <c r="K171" s="67">
        <v>45962</v>
      </c>
      <c r="L171" s="19" t="s">
        <v>1020</v>
      </c>
      <c r="M171" s="19" t="s">
        <v>1010</v>
      </c>
    </row>
    <row r="172" spans="1:13" x14ac:dyDescent="0.35">
      <c r="A172" s="19">
        <v>98687</v>
      </c>
      <c r="B172" s="19" t="s">
        <v>1277</v>
      </c>
      <c r="C172" s="19" t="s">
        <v>23</v>
      </c>
      <c r="D172" s="19" t="s">
        <v>660</v>
      </c>
      <c r="E172" s="66" t="s">
        <v>997</v>
      </c>
      <c r="F172" s="67">
        <v>46172</v>
      </c>
      <c r="G172" s="19" t="s">
        <v>1006</v>
      </c>
      <c r="H172" s="19" t="s">
        <v>1007</v>
      </c>
      <c r="I172" s="19" t="s">
        <v>1028</v>
      </c>
      <c r="J172" s="19" t="s">
        <v>1028</v>
      </c>
      <c r="K172" s="67">
        <v>45962</v>
      </c>
      <c r="L172" s="19" t="s">
        <v>1020</v>
      </c>
      <c r="M172" s="19" t="s">
        <v>1010</v>
      </c>
    </row>
    <row r="173" spans="1:13" x14ac:dyDescent="0.35">
      <c r="A173" s="19">
        <v>98693</v>
      </c>
      <c r="B173" s="19" t="s">
        <v>1278</v>
      </c>
      <c r="C173" s="19" t="s">
        <v>32</v>
      </c>
      <c r="D173" s="19" t="s">
        <v>1154</v>
      </c>
      <c r="E173" s="66" t="s">
        <v>997</v>
      </c>
      <c r="F173" s="67">
        <v>46170</v>
      </c>
      <c r="G173" s="19" t="s">
        <v>1006</v>
      </c>
      <c r="H173" s="19" t="s">
        <v>1007</v>
      </c>
      <c r="I173" s="19" t="s">
        <v>1028</v>
      </c>
      <c r="J173" s="19" t="s">
        <v>1028</v>
      </c>
      <c r="K173" s="67">
        <v>45965</v>
      </c>
      <c r="L173" s="19" t="s">
        <v>1020</v>
      </c>
      <c r="M173" s="19" t="s">
        <v>1010</v>
      </c>
    </row>
    <row r="174" spans="1:13" x14ac:dyDescent="0.35">
      <c r="A174" s="19">
        <v>98695</v>
      </c>
      <c r="B174" s="19" t="s">
        <v>1279</v>
      </c>
      <c r="C174" s="19" t="s">
        <v>424</v>
      </c>
      <c r="D174" s="19" t="s">
        <v>699</v>
      </c>
      <c r="E174" s="66" t="s">
        <v>997</v>
      </c>
      <c r="F174" s="67">
        <v>46173</v>
      </c>
      <c r="G174" s="19" t="s">
        <v>1006</v>
      </c>
      <c r="H174" s="19" t="s">
        <v>1007</v>
      </c>
      <c r="I174" s="19" t="s">
        <v>1008</v>
      </c>
      <c r="J174" s="19" t="s">
        <v>1008</v>
      </c>
      <c r="K174" s="67">
        <v>45962</v>
      </c>
      <c r="L174" s="19" t="s">
        <v>1001</v>
      </c>
      <c r="M174" s="19" t="s">
        <v>1010</v>
      </c>
    </row>
    <row r="175" spans="1:13" x14ac:dyDescent="0.35">
      <c r="A175" s="19">
        <v>98702</v>
      </c>
      <c r="B175" s="19" t="s">
        <v>1280</v>
      </c>
      <c r="C175" s="19" t="s">
        <v>318</v>
      </c>
      <c r="D175" s="19" t="s">
        <v>1266</v>
      </c>
      <c r="E175" s="66" t="s">
        <v>997</v>
      </c>
      <c r="F175" s="67">
        <v>46151</v>
      </c>
      <c r="G175" s="19" t="s">
        <v>1006</v>
      </c>
      <c r="H175" s="19" t="s">
        <v>1007</v>
      </c>
      <c r="I175" s="19" t="s">
        <v>1028</v>
      </c>
      <c r="J175" s="19" t="s">
        <v>1028</v>
      </c>
      <c r="K175" s="67">
        <v>45965</v>
      </c>
      <c r="L175" s="19" t="s">
        <v>1020</v>
      </c>
      <c r="M175" s="19" t="s">
        <v>1010</v>
      </c>
    </row>
    <row r="176" spans="1:13" x14ac:dyDescent="0.35">
      <c r="A176" s="19">
        <v>98756</v>
      </c>
      <c r="B176" s="19" t="s">
        <v>1281</v>
      </c>
      <c r="C176" s="19" t="s">
        <v>600</v>
      </c>
      <c r="D176" s="19" t="s">
        <v>1201</v>
      </c>
      <c r="E176" s="66" t="s">
        <v>997</v>
      </c>
      <c r="F176" s="67">
        <v>46172</v>
      </c>
      <c r="G176" s="19" t="s">
        <v>1006</v>
      </c>
      <c r="H176" s="19" t="s">
        <v>1007</v>
      </c>
      <c r="I176" s="19" t="s">
        <v>1045</v>
      </c>
      <c r="J176" s="19" t="s">
        <v>1057</v>
      </c>
      <c r="K176" s="67">
        <v>45968</v>
      </c>
      <c r="L176" s="19" t="s">
        <v>1001</v>
      </c>
      <c r="M176" s="19" t="s">
        <v>1002</v>
      </c>
    </row>
    <row r="177" spans="1:13" x14ac:dyDescent="0.35">
      <c r="A177" s="19">
        <v>98774</v>
      </c>
      <c r="B177" s="19" t="s">
        <v>1282</v>
      </c>
      <c r="C177" s="19" t="s">
        <v>89</v>
      </c>
      <c r="D177" s="19" t="s">
        <v>1217</v>
      </c>
      <c r="E177" s="66" t="s">
        <v>997</v>
      </c>
      <c r="F177" s="67">
        <v>46158</v>
      </c>
      <c r="G177" s="19" t="s">
        <v>1006</v>
      </c>
      <c r="H177" s="19" t="s">
        <v>1007</v>
      </c>
      <c r="I177" s="19" t="s">
        <v>1028</v>
      </c>
      <c r="J177" s="19" t="s">
        <v>1028</v>
      </c>
      <c r="K177" s="67">
        <v>45968</v>
      </c>
      <c r="L177" s="19" t="s">
        <v>1020</v>
      </c>
      <c r="M177" s="19" t="s">
        <v>1010</v>
      </c>
    </row>
    <row r="178" spans="1:13" x14ac:dyDescent="0.35">
      <c r="A178" s="19">
        <v>98784</v>
      </c>
      <c r="B178" s="19" t="s">
        <v>1283</v>
      </c>
      <c r="C178" s="19" t="s">
        <v>324</v>
      </c>
      <c r="D178" s="19" t="s">
        <v>1284</v>
      </c>
      <c r="E178" s="66" t="s">
        <v>997</v>
      </c>
      <c r="F178" s="67">
        <v>46159</v>
      </c>
      <c r="G178" s="19" t="s">
        <v>1006</v>
      </c>
      <c r="H178" s="19" t="s">
        <v>1007</v>
      </c>
      <c r="I178" s="19" t="s">
        <v>1019</v>
      </c>
      <c r="J178" s="19" t="s">
        <v>1067</v>
      </c>
      <c r="K178" s="67">
        <v>45968</v>
      </c>
      <c r="L178" s="19" t="s">
        <v>1020</v>
      </c>
      <c r="M178" s="19" t="s">
        <v>1010</v>
      </c>
    </row>
    <row r="179" spans="1:13" x14ac:dyDescent="0.35">
      <c r="A179" s="19">
        <v>98847</v>
      </c>
      <c r="B179" s="19" t="s">
        <v>1285</v>
      </c>
      <c r="C179" s="19" t="s">
        <v>379</v>
      </c>
      <c r="D179" s="19" t="s">
        <v>381</v>
      </c>
      <c r="E179" s="66" t="s">
        <v>997</v>
      </c>
      <c r="F179" s="67">
        <v>46145</v>
      </c>
      <c r="G179" s="19" t="s">
        <v>1006</v>
      </c>
      <c r="H179" s="19" t="s">
        <v>1007</v>
      </c>
      <c r="I179" s="19" t="s">
        <v>1028</v>
      </c>
      <c r="J179" s="19" t="s">
        <v>1028</v>
      </c>
      <c r="K179" s="67">
        <v>45974</v>
      </c>
      <c r="L179" s="19" t="s">
        <v>1020</v>
      </c>
      <c r="M179" s="19" t="s">
        <v>1010</v>
      </c>
    </row>
    <row r="180" spans="1:13" x14ac:dyDescent="0.35">
      <c r="A180" s="19">
        <v>98848</v>
      </c>
      <c r="B180" s="19" t="s">
        <v>902</v>
      </c>
      <c r="C180" s="19" t="s">
        <v>379</v>
      </c>
      <c r="D180" s="19" t="s">
        <v>381</v>
      </c>
      <c r="E180" s="66" t="s">
        <v>997</v>
      </c>
      <c r="F180" s="67">
        <v>46173</v>
      </c>
      <c r="G180" s="19" t="s">
        <v>1006</v>
      </c>
      <c r="H180" s="19" t="s">
        <v>1007</v>
      </c>
      <c r="I180" s="19" t="s">
        <v>1028</v>
      </c>
      <c r="J180" s="19" t="s">
        <v>1028</v>
      </c>
      <c r="K180" s="67">
        <v>45974</v>
      </c>
      <c r="L180" s="19" t="s">
        <v>1020</v>
      </c>
      <c r="M180" s="19" t="s">
        <v>1010</v>
      </c>
    </row>
    <row r="181" spans="1:13" x14ac:dyDescent="0.35">
      <c r="A181" s="19">
        <v>98855</v>
      </c>
      <c r="B181" s="19" t="s">
        <v>1286</v>
      </c>
      <c r="C181" s="19" t="s">
        <v>341</v>
      </c>
      <c r="D181" s="19" t="s">
        <v>1264</v>
      </c>
      <c r="E181" s="66" t="s">
        <v>997</v>
      </c>
      <c r="F181" s="67">
        <v>46150</v>
      </c>
      <c r="G181" s="19" t="s">
        <v>1006</v>
      </c>
      <c r="H181" s="19" t="s">
        <v>1007</v>
      </c>
      <c r="I181" s="19" t="s">
        <v>1019</v>
      </c>
      <c r="J181" s="19" t="s">
        <v>1019</v>
      </c>
      <c r="K181" s="67">
        <v>45974</v>
      </c>
      <c r="L181" s="19" t="s">
        <v>1020</v>
      </c>
      <c r="M181" s="19" t="s">
        <v>1010</v>
      </c>
    </row>
    <row r="182" spans="1:13" x14ac:dyDescent="0.35">
      <c r="A182" s="19">
        <v>98891</v>
      </c>
      <c r="B182" s="19" t="s">
        <v>1287</v>
      </c>
      <c r="C182" s="19" t="s">
        <v>89</v>
      </c>
      <c r="D182" s="19" t="s">
        <v>1217</v>
      </c>
      <c r="E182" s="66" t="s">
        <v>997</v>
      </c>
      <c r="F182" s="67">
        <v>46173</v>
      </c>
      <c r="G182" s="19" t="s">
        <v>1006</v>
      </c>
      <c r="H182" s="19" t="s">
        <v>1007</v>
      </c>
      <c r="I182" s="19" t="s">
        <v>1028</v>
      </c>
      <c r="J182" s="19" t="s">
        <v>1028</v>
      </c>
      <c r="K182" s="67">
        <v>45976</v>
      </c>
      <c r="L182" s="19" t="s">
        <v>1020</v>
      </c>
      <c r="M182" s="19" t="s">
        <v>1010</v>
      </c>
    </row>
    <row r="183" spans="1:13" x14ac:dyDescent="0.35">
      <c r="A183" s="19">
        <v>98947</v>
      </c>
      <c r="B183" s="19" t="s">
        <v>1288</v>
      </c>
      <c r="C183" s="19" t="s">
        <v>311</v>
      </c>
      <c r="D183" s="19" t="s">
        <v>1140</v>
      </c>
      <c r="E183" s="66" t="s">
        <v>997</v>
      </c>
      <c r="F183" s="67">
        <v>46145</v>
      </c>
      <c r="G183" s="19" t="s">
        <v>1006</v>
      </c>
      <c r="H183" s="19" t="s">
        <v>1007</v>
      </c>
      <c r="I183" s="19" t="s">
        <v>1019</v>
      </c>
      <c r="J183" s="19" t="s">
        <v>1067</v>
      </c>
      <c r="K183" s="67">
        <v>45980</v>
      </c>
      <c r="L183" s="19" t="s">
        <v>1020</v>
      </c>
      <c r="M183" s="19" t="s">
        <v>1010</v>
      </c>
    </row>
    <row r="184" spans="1:13" x14ac:dyDescent="0.35">
      <c r="A184" s="19">
        <v>98969</v>
      </c>
      <c r="B184" s="19" t="s">
        <v>1289</v>
      </c>
      <c r="C184" s="19" t="s">
        <v>427</v>
      </c>
      <c r="D184" s="19" t="s">
        <v>1290</v>
      </c>
      <c r="E184" s="66" t="s">
        <v>997</v>
      </c>
      <c r="F184" s="67">
        <v>46143</v>
      </c>
      <c r="G184" s="19" t="s">
        <v>1006</v>
      </c>
      <c r="H184" s="19" t="s">
        <v>1007</v>
      </c>
      <c r="I184" s="19" t="s">
        <v>1028</v>
      </c>
      <c r="J184" s="19" t="s">
        <v>1028</v>
      </c>
      <c r="K184" s="67">
        <v>45983</v>
      </c>
      <c r="L184" s="19" t="s">
        <v>1020</v>
      </c>
      <c r="M184" s="19" t="s">
        <v>1010</v>
      </c>
    </row>
    <row r="185" spans="1:13" x14ac:dyDescent="0.35">
      <c r="A185" s="19">
        <v>98974</v>
      </c>
      <c r="B185" s="19" t="s">
        <v>1291</v>
      </c>
      <c r="C185" s="19" t="s">
        <v>91</v>
      </c>
      <c r="D185" s="19" t="s">
        <v>1113</v>
      </c>
      <c r="E185" s="66" t="s">
        <v>997</v>
      </c>
      <c r="F185" s="67">
        <v>46173</v>
      </c>
      <c r="G185" s="19" t="s">
        <v>1006</v>
      </c>
      <c r="H185" s="19" t="s">
        <v>1007</v>
      </c>
      <c r="I185" s="19" t="s">
        <v>1028</v>
      </c>
      <c r="J185" s="19" t="s">
        <v>1028</v>
      </c>
      <c r="K185" s="67">
        <v>45983</v>
      </c>
      <c r="L185" s="19" t="s">
        <v>1020</v>
      </c>
      <c r="M185" s="19" t="s">
        <v>1010</v>
      </c>
    </row>
    <row r="186" spans="1:13" x14ac:dyDescent="0.35">
      <c r="A186" s="19">
        <v>98979</v>
      </c>
      <c r="B186" s="19" t="s">
        <v>1292</v>
      </c>
      <c r="C186" s="19" t="s">
        <v>89</v>
      </c>
      <c r="D186" s="19" t="s">
        <v>1217</v>
      </c>
      <c r="E186" s="66" t="s">
        <v>997</v>
      </c>
      <c r="F186" s="67">
        <v>46159</v>
      </c>
      <c r="G186" s="19" t="s">
        <v>1006</v>
      </c>
      <c r="H186" s="19" t="s">
        <v>1007</v>
      </c>
      <c r="I186" s="19" t="s">
        <v>1019</v>
      </c>
      <c r="J186" s="19" t="s">
        <v>1067</v>
      </c>
      <c r="K186" s="67">
        <v>45983</v>
      </c>
      <c r="L186" s="19" t="s">
        <v>1020</v>
      </c>
      <c r="M186" s="19" t="s">
        <v>1010</v>
      </c>
    </row>
    <row r="187" spans="1:13" x14ac:dyDescent="0.35">
      <c r="A187" s="19">
        <v>99003</v>
      </c>
      <c r="B187" s="19" t="s">
        <v>1293</v>
      </c>
      <c r="C187" s="19" t="s">
        <v>407</v>
      </c>
      <c r="D187" s="19" t="s">
        <v>1230</v>
      </c>
      <c r="E187" s="66" t="s">
        <v>997</v>
      </c>
      <c r="F187" s="67">
        <v>46143</v>
      </c>
      <c r="G187" s="19" t="s">
        <v>1006</v>
      </c>
      <c r="H187" s="19" t="s">
        <v>1007</v>
      </c>
      <c r="I187" s="19" t="s">
        <v>1028</v>
      </c>
      <c r="J187" s="19" t="s">
        <v>1028</v>
      </c>
      <c r="K187" s="67">
        <v>45986</v>
      </c>
      <c r="L187" s="19" t="s">
        <v>1020</v>
      </c>
      <c r="M187" s="19" t="s">
        <v>1010</v>
      </c>
    </row>
    <row r="188" spans="1:13" x14ac:dyDescent="0.35">
      <c r="A188" s="19">
        <v>99018</v>
      </c>
      <c r="B188" s="19" t="s">
        <v>1294</v>
      </c>
      <c r="C188" s="19" t="s">
        <v>428</v>
      </c>
      <c r="D188" s="19" t="s">
        <v>1063</v>
      </c>
      <c r="E188" s="66" t="s">
        <v>997</v>
      </c>
      <c r="F188" s="67">
        <v>46159</v>
      </c>
      <c r="G188" s="19" t="s">
        <v>1006</v>
      </c>
      <c r="H188" s="19" t="s">
        <v>1007</v>
      </c>
      <c r="I188" s="19" t="s">
        <v>1028</v>
      </c>
      <c r="J188" s="19" t="s">
        <v>1028</v>
      </c>
      <c r="K188" s="67">
        <v>45986</v>
      </c>
      <c r="L188" s="19" t="s">
        <v>1020</v>
      </c>
      <c r="M188" s="19" t="s">
        <v>1010</v>
      </c>
    </row>
    <row r="189" spans="1:13" x14ac:dyDescent="0.35">
      <c r="A189" s="19">
        <v>99028</v>
      </c>
      <c r="B189" s="19" t="s">
        <v>1295</v>
      </c>
      <c r="C189" s="19" t="s">
        <v>278</v>
      </c>
      <c r="D189" s="19" t="s">
        <v>1131</v>
      </c>
      <c r="E189" s="66" t="s">
        <v>997</v>
      </c>
      <c r="F189" s="67">
        <v>46167</v>
      </c>
      <c r="G189" s="19" t="s">
        <v>1006</v>
      </c>
      <c r="H189" s="19" t="s">
        <v>1007</v>
      </c>
      <c r="I189" s="19" t="s">
        <v>1008</v>
      </c>
      <c r="J189" s="19" t="s">
        <v>1008</v>
      </c>
      <c r="K189" s="67">
        <v>45987</v>
      </c>
      <c r="L189" s="19" t="s">
        <v>1001</v>
      </c>
      <c r="M189" s="19" t="s">
        <v>1010</v>
      </c>
    </row>
    <row r="190" spans="1:13" x14ac:dyDescent="0.35">
      <c r="A190" s="19">
        <v>99061</v>
      </c>
      <c r="B190" s="19" t="s">
        <v>903</v>
      </c>
      <c r="C190" s="19" t="s">
        <v>297</v>
      </c>
      <c r="D190" s="19" t="s">
        <v>904</v>
      </c>
      <c r="E190" s="66" t="s">
        <v>997</v>
      </c>
      <c r="F190" s="67">
        <v>46144</v>
      </c>
      <c r="G190" s="19" t="s">
        <v>1006</v>
      </c>
      <c r="H190" s="19" t="s">
        <v>1007</v>
      </c>
      <c r="I190" s="19" t="s">
        <v>1028</v>
      </c>
      <c r="J190" s="19" t="s">
        <v>1028</v>
      </c>
      <c r="K190" s="67">
        <v>45989</v>
      </c>
      <c r="L190" s="19" t="s">
        <v>1020</v>
      </c>
      <c r="M190" s="19" t="s">
        <v>1010</v>
      </c>
    </row>
    <row r="191" spans="1:13" x14ac:dyDescent="0.35">
      <c r="A191" s="19">
        <v>99089</v>
      </c>
      <c r="B191" s="19" t="s">
        <v>1296</v>
      </c>
      <c r="C191" s="19" t="s">
        <v>197</v>
      </c>
      <c r="D191" s="19" t="s">
        <v>1297</v>
      </c>
      <c r="E191" s="66" t="s">
        <v>997</v>
      </c>
      <c r="F191" s="67">
        <v>46167</v>
      </c>
      <c r="G191" s="19" t="s">
        <v>1006</v>
      </c>
      <c r="H191" s="19" t="s">
        <v>1007</v>
      </c>
      <c r="I191" s="19" t="s">
        <v>1028</v>
      </c>
      <c r="J191" s="19" t="s">
        <v>1028</v>
      </c>
      <c r="K191" s="67">
        <v>45992</v>
      </c>
      <c r="L191" s="19" t="s">
        <v>1020</v>
      </c>
      <c r="M191" s="19" t="s">
        <v>1010</v>
      </c>
    </row>
    <row r="192" spans="1:13" x14ac:dyDescent="0.35">
      <c r="A192" s="19">
        <v>99122</v>
      </c>
      <c r="B192" s="19" t="s">
        <v>1298</v>
      </c>
      <c r="C192" s="19" t="s">
        <v>42</v>
      </c>
      <c r="D192" s="19" t="s">
        <v>1262</v>
      </c>
      <c r="E192" s="66" t="s">
        <v>997</v>
      </c>
      <c r="F192" s="67">
        <v>46154</v>
      </c>
      <c r="G192" s="19" t="s">
        <v>1006</v>
      </c>
      <c r="H192" s="19" t="s">
        <v>1007</v>
      </c>
      <c r="I192" s="19" t="s">
        <v>1028</v>
      </c>
      <c r="J192" s="19" t="s">
        <v>1028</v>
      </c>
      <c r="K192" s="67">
        <v>45994</v>
      </c>
      <c r="L192" s="19" t="s">
        <v>1020</v>
      </c>
      <c r="M192" s="19" t="s">
        <v>1010</v>
      </c>
    </row>
    <row r="193" spans="1:13" x14ac:dyDescent="0.35">
      <c r="A193" s="19">
        <v>99129</v>
      </c>
      <c r="B193" s="19" t="s">
        <v>905</v>
      </c>
      <c r="C193" s="19" t="s">
        <v>17</v>
      </c>
      <c r="D193" s="19" t="s">
        <v>906</v>
      </c>
      <c r="E193" s="66" t="s">
        <v>997</v>
      </c>
      <c r="F193" s="67">
        <v>46166</v>
      </c>
      <c r="G193" s="19" t="s">
        <v>1006</v>
      </c>
      <c r="H193" s="19" t="s">
        <v>1007</v>
      </c>
      <c r="I193" s="19" t="s">
        <v>1028</v>
      </c>
      <c r="J193" s="19" t="s">
        <v>1028</v>
      </c>
      <c r="K193" s="67">
        <v>45994</v>
      </c>
      <c r="L193" s="19" t="s">
        <v>1020</v>
      </c>
      <c r="M193" s="19" t="s">
        <v>1010</v>
      </c>
    </row>
    <row r="194" spans="1:13" x14ac:dyDescent="0.35">
      <c r="A194" s="19">
        <v>99133</v>
      </c>
      <c r="B194" s="19" t="s">
        <v>1299</v>
      </c>
      <c r="C194" s="19" t="s">
        <v>362</v>
      </c>
      <c r="D194" s="19" t="s">
        <v>1056</v>
      </c>
      <c r="E194" s="66" t="s">
        <v>997</v>
      </c>
      <c r="F194" s="67">
        <v>46157</v>
      </c>
      <c r="G194" s="19" t="s">
        <v>1006</v>
      </c>
      <c r="H194" s="19" t="s">
        <v>1007</v>
      </c>
      <c r="I194" s="19" t="s">
        <v>1019</v>
      </c>
      <c r="J194" s="19" t="s">
        <v>1067</v>
      </c>
      <c r="K194" s="67">
        <v>45994</v>
      </c>
      <c r="L194" s="19" t="s">
        <v>1020</v>
      </c>
      <c r="M194" s="19" t="s">
        <v>1010</v>
      </c>
    </row>
    <row r="195" spans="1:13" x14ac:dyDescent="0.35">
      <c r="A195" s="19">
        <v>99147</v>
      </c>
      <c r="B195" s="19" t="s">
        <v>1300</v>
      </c>
      <c r="C195" s="19" t="s">
        <v>355</v>
      </c>
      <c r="D195" s="19" t="s">
        <v>1100</v>
      </c>
      <c r="E195" s="66" t="s">
        <v>997</v>
      </c>
      <c r="F195" s="67">
        <v>46166</v>
      </c>
      <c r="G195" s="19" t="s">
        <v>1006</v>
      </c>
      <c r="H195" s="19" t="s">
        <v>1007</v>
      </c>
      <c r="I195" s="19" t="s">
        <v>1008</v>
      </c>
      <c r="J195" s="19" t="s">
        <v>1008</v>
      </c>
      <c r="K195" s="67">
        <v>45995</v>
      </c>
      <c r="L195" s="19" t="s">
        <v>1001</v>
      </c>
      <c r="M195" s="19" t="s">
        <v>1010</v>
      </c>
    </row>
    <row r="196" spans="1:13" x14ac:dyDescent="0.35">
      <c r="A196" s="19">
        <v>99148</v>
      </c>
      <c r="B196" s="19" t="s">
        <v>1301</v>
      </c>
      <c r="C196" s="19" t="s">
        <v>362</v>
      </c>
      <c r="D196" s="19" t="s">
        <v>1056</v>
      </c>
      <c r="E196" s="66" t="s">
        <v>997</v>
      </c>
      <c r="F196" s="67">
        <v>46170</v>
      </c>
      <c r="G196" s="19" t="s">
        <v>1006</v>
      </c>
      <c r="H196" s="19" t="s">
        <v>1007</v>
      </c>
      <c r="I196" s="19" t="s">
        <v>1028</v>
      </c>
      <c r="J196" s="19" t="s">
        <v>1028</v>
      </c>
      <c r="K196" s="67">
        <v>45995</v>
      </c>
      <c r="L196" s="19" t="s">
        <v>1020</v>
      </c>
      <c r="M196" s="19" t="s">
        <v>1010</v>
      </c>
    </row>
    <row r="197" spans="1:13" x14ac:dyDescent="0.35">
      <c r="A197" s="19">
        <v>99207</v>
      </c>
      <c r="B197" s="19" t="s">
        <v>1302</v>
      </c>
      <c r="C197" s="19" t="s">
        <v>17</v>
      </c>
      <c r="D197" s="19" t="s">
        <v>906</v>
      </c>
      <c r="E197" s="66" t="s">
        <v>997</v>
      </c>
      <c r="F197" s="67">
        <v>46151</v>
      </c>
      <c r="G197" s="19" t="s">
        <v>1006</v>
      </c>
      <c r="H197" s="19" t="s">
        <v>1007</v>
      </c>
      <c r="I197" s="19" t="s">
        <v>1028</v>
      </c>
      <c r="J197" s="19" t="s">
        <v>1028</v>
      </c>
      <c r="K197" s="67">
        <v>46000</v>
      </c>
      <c r="L197" s="19" t="s">
        <v>1020</v>
      </c>
      <c r="M197" s="19" t="s">
        <v>1010</v>
      </c>
    </row>
    <row r="198" spans="1:13" x14ac:dyDescent="0.35">
      <c r="A198" s="19">
        <v>99222</v>
      </c>
      <c r="B198" s="19" t="s">
        <v>1303</v>
      </c>
      <c r="C198" s="19" t="s">
        <v>407</v>
      </c>
      <c r="D198" s="19" t="s">
        <v>1230</v>
      </c>
      <c r="E198" s="66" t="s">
        <v>997</v>
      </c>
      <c r="F198" s="67">
        <v>46143</v>
      </c>
      <c r="G198" s="19" t="s">
        <v>1006</v>
      </c>
      <c r="H198" s="19" t="s">
        <v>1007</v>
      </c>
      <c r="I198" s="19" t="s">
        <v>1028</v>
      </c>
      <c r="J198" s="19" t="s">
        <v>1028</v>
      </c>
      <c r="K198" s="67">
        <v>46001</v>
      </c>
      <c r="L198" s="19" t="s">
        <v>1020</v>
      </c>
      <c r="M198" s="19" t="s">
        <v>1010</v>
      </c>
    </row>
    <row r="199" spans="1:13" x14ac:dyDescent="0.35">
      <c r="A199" s="19">
        <v>99228</v>
      </c>
      <c r="B199" s="19" t="s">
        <v>1304</v>
      </c>
      <c r="C199" s="19" t="s">
        <v>355</v>
      </c>
      <c r="D199" s="19" t="s">
        <v>1100</v>
      </c>
      <c r="E199" s="66" t="s">
        <v>997</v>
      </c>
      <c r="F199" s="67">
        <v>46173</v>
      </c>
      <c r="G199" s="19" t="s">
        <v>1006</v>
      </c>
      <c r="H199" s="19" t="s">
        <v>1007</v>
      </c>
      <c r="I199" s="19" t="s">
        <v>1028</v>
      </c>
      <c r="J199" s="19" t="s">
        <v>1028</v>
      </c>
      <c r="K199" s="67">
        <v>46002</v>
      </c>
      <c r="L199" s="19" t="s">
        <v>1020</v>
      </c>
      <c r="M199" s="19" t="s">
        <v>1010</v>
      </c>
    </row>
    <row r="200" spans="1:13" x14ac:dyDescent="0.35">
      <c r="A200" s="19">
        <v>99232</v>
      </c>
      <c r="B200" s="19" t="s">
        <v>1305</v>
      </c>
      <c r="C200" s="19" t="s">
        <v>102</v>
      </c>
      <c r="D200" s="19" t="s">
        <v>1306</v>
      </c>
      <c r="E200" s="66" t="s">
        <v>997</v>
      </c>
      <c r="F200" s="67">
        <v>46166</v>
      </c>
      <c r="G200" s="19" t="s">
        <v>1006</v>
      </c>
      <c r="H200" s="19" t="s">
        <v>1007</v>
      </c>
      <c r="I200" s="19" t="s">
        <v>1008</v>
      </c>
      <c r="J200" s="19" t="s">
        <v>1009</v>
      </c>
      <c r="K200" s="67">
        <v>46001</v>
      </c>
      <c r="L200" s="19" t="s">
        <v>1001</v>
      </c>
      <c r="M200" s="19" t="s">
        <v>1010</v>
      </c>
    </row>
    <row r="201" spans="1:13" x14ac:dyDescent="0.35">
      <c r="A201" s="19">
        <v>99234</v>
      </c>
      <c r="B201" s="19" t="s">
        <v>1307</v>
      </c>
      <c r="C201" s="19" t="s">
        <v>53</v>
      </c>
      <c r="D201" s="19" t="s">
        <v>1308</v>
      </c>
      <c r="E201" s="66" t="s">
        <v>997</v>
      </c>
      <c r="F201" s="67">
        <v>46172</v>
      </c>
      <c r="G201" s="19" t="s">
        <v>1006</v>
      </c>
      <c r="H201" s="19" t="s">
        <v>1007</v>
      </c>
      <c r="I201" s="19" t="s">
        <v>1028</v>
      </c>
      <c r="J201" s="19" t="s">
        <v>1028</v>
      </c>
      <c r="K201" s="67">
        <v>46001</v>
      </c>
      <c r="L201" s="19" t="s">
        <v>1020</v>
      </c>
      <c r="M201" s="19" t="s">
        <v>1010</v>
      </c>
    </row>
    <row r="202" spans="1:13" x14ac:dyDescent="0.35">
      <c r="A202" s="19">
        <v>99248</v>
      </c>
      <c r="B202" s="19" t="s">
        <v>1309</v>
      </c>
      <c r="C202" s="19" t="s">
        <v>379</v>
      </c>
      <c r="D202" s="19" t="s">
        <v>381</v>
      </c>
      <c r="E202" s="66" t="s">
        <v>997</v>
      </c>
      <c r="F202" s="67">
        <v>46163</v>
      </c>
      <c r="G202" s="19" t="s">
        <v>1006</v>
      </c>
      <c r="H202" s="19" t="s">
        <v>1007</v>
      </c>
      <c r="I202" s="19" t="s">
        <v>1028</v>
      </c>
      <c r="J202" s="19" t="s">
        <v>1009</v>
      </c>
      <c r="K202" s="67">
        <v>46000</v>
      </c>
      <c r="L202" s="19" t="s">
        <v>1020</v>
      </c>
      <c r="M202" s="19" t="s">
        <v>1010</v>
      </c>
    </row>
    <row r="203" spans="1:13" x14ac:dyDescent="0.35">
      <c r="A203" s="19">
        <v>99256</v>
      </c>
      <c r="B203" s="19" t="s">
        <v>1310</v>
      </c>
      <c r="C203" s="19" t="s">
        <v>62</v>
      </c>
      <c r="D203" s="19" t="s">
        <v>1228</v>
      </c>
      <c r="E203" s="66" t="s">
        <v>997</v>
      </c>
      <c r="F203" s="67">
        <v>46165</v>
      </c>
      <c r="G203" s="19" t="s">
        <v>1006</v>
      </c>
      <c r="H203" s="19" t="s">
        <v>1007</v>
      </c>
      <c r="I203" s="19" t="s">
        <v>1028</v>
      </c>
      <c r="J203" s="19" t="s">
        <v>1009</v>
      </c>
      <c r="K203" s="67">
        <v>46001</v>
      </c>
      <c r="L203" s="19" t="s">
        <v>1020</v>
      </c>
      <c r="M203" s="19" t="s">
        <v>1010</v>
      </c>
    </row>
    <row r="204" spans="1:13" x14ac:dyDescent="0.35">
      <c r="A204" s="19">
        <v>99258</v>
      </c>
      <c r="B204" s="19" t="s">
        <v>1311</v>
      </c>
      <c r="C204" s="19" t="s">
        <v>140</v>
      </c>
      <c r="D204" s="19" t="s">
        <v>1138</v>
      </c>
      <c r="E204" s="66" t="s">
        <v>997</v>
      </c>
      <c r="F204" s="67">
        <v>46143</v>
      </c>
      <c r="G204" s="19" t="s">
        <v>1006</v>
      </c>
      <c r="H204" s="19" t="s">
        <v>1007</v>
      </c>
      <c r="I204" s="19" t="s">
        <v>1008</v>
      </c>
      <c r="J204" s="19" t="s">
        <v>1008</v>
      </c>
      <c r="K204" s="67">
        <v>46002</v>
      </c>
      <c r="L204" s="19" t="s">
        <v>1001</v>
      </c>
      <c r="M204" s="19" t="s">
        <v>1010</v>
      </c>
    </row>
    <row r="205" spans="1:13" x14ac:dyDescent="0.35">
      <c r="A205" s="19">
        <v>99271</v>
      </c>
      <c r="B205" s="19" t="s">
        <v>1312</v>
      </c>
      <c r="C205" s="19" t="s">
        <v>349</v>
      </c>
      <c r="D205" s="19" t="s">
        <v>912</v>
      </c>
      <c r="E205" s="66" t="s">
        <v>997</v>
      </c>
      <c r="F205" s="67">
        <v>46146</v>
      </c>
      <c r="G205" s="19" t="s">
        <v>1006</v>
      </c>
      <c r="H205" s="19" t="s">
        <v>1007</v>
      </c>
      <c r="I205" s="19" t="s">
        <v>1028</v>
      </c>
      <c r="J205" s="19" t="s">
        <v>1028</v>
      </c>
      <c r="K205" s="67">
        <v>46003</v>
      </c>
      <c r="L205" s="19" t="s">
        <v>1020</v>
      </c>
      <c r="M205" s="19" t="s">
        <v>1010</v>
      </c>
    </row>
    <row r="206" spans="1:13" x14ac:dyDescent="0.35">
      <c r="A206" s="19">
        <v>99341</v>
      </c>
      <c r="B206" s="19" t="s">
        <v>1313</v>
      </c>
      <c r="C206" s="19" t="s">
        <v>401</v>
      </c>
      <c r="D206" s="19" t="s">
        <v>1314</v>
      </c>
      <c r="E206" s="66" t="s">
        <v>997</v>
      </c>
      <c r="F206" s="67">
        <v>46153</v>
      </c>
      <c r="G206" s="19" t="s">
        <v>1006</v>
      </c>
      <c r="H206" s="19" t="s">
        <v>1007</v>
      </c>
      <c r="I206" s="19" t="s">
        <v>1028</v>
      </c>
      <c r="J206" s="19" t="s">
        <v>1028</v>
      </c>
      <c r="K206" s="67">
        <v>46009</v>
      </c>
      <c r="L206" s="19" t="s">
        <v>1020</v>
      </c>
      <c r="M206" s="19" t="s">
        <v>1010</v>
      </c>
    </row>
    <row r="207" spans="1:13" x14ac:dyDescent="0.35">
      <c r="A207" s="19">
        <v>99382</v>
      </c>
      <c r="B207" s="19" t="s">
        <v>1315</v>
      </c>
      <c r="C207" s="19" t="s">
        <v>20</v>
      </c>
      <c r="D207" s="19" t="s">
        <v>1133</v>
      </c>
      <c r="E207" s="66" t="s">
        <v>997</v>
      </c>
      <c r="F207" s="67">
        <v>46173</v>
      </c>
      <c r="G207" s="19" t="s">
        <v>1006</v>
      </c>
      <c r="H207" s="19" t="s">
        <v>1007</v>
      </c>
      <c r="I207" s="19" t="s">
        <v>1019</v>
      </c>
      <c r="J207" s="19" t="s">
        <v>1067</v>
      </c>
      <c r="K207" s="67">
        <v>46011</v>
      </c>
      <c r="L207" s="19" t="s">
        <v>1020</v>
      </c>
      <c r="M207" s="19" t="s">
        <v>1010</v>
      </c>
    </row>
    <row r="208" spans="1:13" x14ac:dyDescent="0.35">
      <c r="A208" s="19">
        <v>99396</v>
      </c>
      <c r="B208" s="19" t="s">
        <v>1316</v>
      </c>
      <c r="C208" s="19" t="s">
        <v>419</v>
      </c>
      <c r="D208" s="19" t="s">
        <v>695</v>
      </c>
      <c r="E208" s="66" t="s">
        <v>997</v>
      </c>
      <c r="F208" s="67">
        <v>46173</v>
      </c>
      <c r="G208" s="19" t="s">
        <v>1006</v>
      </c>
      <c r="H208" s="19" t="s">
        <v>1007</v>
      </c>
      <c r="I208" s="19" t="s">
        <v>1019</v>
      </c>
      <c r="J208" s="19" t="s">
        <v>1019</v>
      </c>
      <c r="K208" s="67">
        <v>46011</v>
      </c>
      <c r="L208" s="19" t="s">
        <v>1020</v>
      </c>
      <c r="M208" s="19" t="s">
        <v>1010</v>
      </c>
    </row>
    <row r="209" spans="1:13" x14ac:dyDescent="0.35">
      <c r="A209" s="19">
        <v>99407</v>
      </c>
      <c r="B209" s="19" t="s">
        <v>1317</v>
      </c>
      <c r="C209" s="19" t="s">
        <v>243</v>
      </c>
      <c r="D209" s="19" t="s">
        <v>1318</v>
      </c>
      <c r="E209" s="66" t="s">
        <v>997</v>
      </c>
      <c r="F209" s="67">
        <v>46160</v>
      </c>
      <c r="G209" s="19" t="s">
        <v>1006</v>
      </c>
      <c r="H209" s="19" t="s">
        <v>1007</v>
      </c>
      <c r="I209" s="19" t="s">
        <v>1028</v>
      </c>
      <c r="J209" s="19" t="s">
        <v>1028</v>
      </c>
      <c r="K209" s="67">
        <v>46014</v>
      </c>
      <c r="L209" s="19" t="s">
        <v>1020</v>
      </c>
      <c r="M209" s="19" t="s">
        <v>1010</v>
      </c>
    </row>
    <row r="210" spans="1:13" x14ac:dyDescent="0.35">
      <c r="A210" s="19">
        <v>99416</v>
      </c>
      <c r="B210" s="19" t="s">
        <v>1319</v>
      </c>
      <c r="C210" s="19" t="s">
        <v>428</v>
      </c>
      <c r="D210" s="19" t="s">
        <v>1063</v>
      </c>
      <c r="E210" s="66" t="s">
        <v>997</v>
      </c>
      <c r="F210" s="67">
        <v>46151</v>
      </c>
      <c r="G210" s="19" t="s">
        <v>1006</v>
      </c>
      <c r="H210" s="19" t="s">
        <v>1007</v>
      </c>
      <c r="I210" s="19" t="s">
        <v>1028</v>
      </c>
      <c r="J210" s="19" t="s">
        <v>1028</v>
      </c>
      <c r="K210" s="67">
        <v>46014</v>
      </c>
      <c r="L210" s="19" t="s">
        <v>1020</v>
      </c>
      <c r="M210" s="19" t="s">
        <v>1010</v>
      </c>
    </row>
    <row r="211" spans="1:13" x14ac:dyDescent="0.35">
      <c r="A211" s="19">
        <v>99421</v>
      </c>
      <c r="B211" s="19" t="s">
        <v>1320</v>
      </c>
      <c r="C211" s="19" t="s">
        <v>309</v>
      </c>
      <c r="D211" s="19" t="s">
        <v>1234</v>
      </c>
      <c r="E211" s="66" t="s">
        <v>997</v>
      </c>
      <c r="F211" s="67">
        <v>46143</v>
      </c>
      <c r="G211" s="19" t="s">
        <v>1006</v>
      </c>
      <c r="H211" s="19" t="s">
        <v>1007</v>
      </c>
      <c r="I211" s="19" t="s">
        <v>1028</v>
      </c>
      <c r="J211" s="19" t="s">
        <v>1028</v>
      </c>
      <c r="K211" s="67">
        <v>46015</v>
      </c>
      <c r="L211" s="19" t="s">
        <v>1020</v>
      </c>
      <c r="M211" s="19" t="s">
        <v>1010</v>
      </c>
    </row>
    <row r="212" spans="1:13" x14ac:dyDescent="0.35">
      <c r="A212" s="19">
        <v>99508</v>
      </c>
      <c r="B212" s="19" t="s">
        <v>1321</v>
      </c>
      <c r="C212" s="19" t="s">
        <v>315</v>
      </c>
      <c r="D212" s="19" t="s">
        <v>1322</v>
      </c>
      <c r="E212" s="66" t="s">
        <v>997</v>
      </c>
      <c r="F212" s="67">
        <v>46148</v>
      </c>
      <c r="G212" s="19" t="s">
        <v>1006</v>
      </c>
      <c r="H212" s="19" t="s">
        <v>1007</v>
      </c>
      <c r="I212" s="19" t="s">
        <v>1028</v>
      </c>
      <c r="J212" s="19" t="s">
        <v>1028</v>
      </c>
      <c r="K212" s="67">
        <v>46023</v>
      </c>
      <c r="L212" s="19" t="s">
        <v>1020</v>
      </c>
      <c r="M212" s="19" t="s">
        <v>1010</v>
      </c>
    </row>
    <row r="213" spans="1:13" x14ac:dyDescent="0.35">
      <c r="A213" s="19">
        <v>99514</v>
      </c>
      <c r="B213" s="19" t="s">
        <v>1323</v>
      </c>
      <c r="C213" s="19" t="s">
        <v>87</v>
      </c>
      <c r="D213" s="19" t="s">
        <v>1324</v>
      </c>
      <c r="E213" s="66" t="s">
        <v>997</v>
      </c>
      <c r="F213" s="67">
        <v>46147</v>
      </c>
      <c r="G213" s="19" t="s">
        <v>1006</v>
      </c>
      <c r="H213" s="19" t="s">
        <v>1007</v>
      </c>
      <c r="I213" s="19" t="s">
        <v>1028</v>
      </c>
      <c r="J213" s="19" t="s">
        <v>1028</v>
      </c>
      <c r="K213" s="67">
        <v>46023</v>
      </c>
      <c r="L213" s="19" t="s">
        <v>1020</v>
      </c>
      <c r="M213" s="19" t="s">
        <v>1010</v>
      </c>
    </row>
    <row r="214" spans="1:13" x14ac:dyDescent="0.35">
      <c r="A214" s="19">
        <v>99543</v>
      </c>
      <c r="B214" s="19" t="s">
        <v>907</v>
      </c>
      <c r="C214" s="19" t="s">
        <v>195</v>
      </c>
      <c r="D214" s="19" t="s">
        <v>908</v>
      </c>
      <c r="E214" s="66" t="s">
        <v>997</v>
      </c>
      <c r="F214" s="67">
        <v>46156</v>
      </c>
      <c r="G214" s="19" t="s">
        <v>1006</v>
      </c>
      <c r="H214" s="19" t="s">
        <v>1007</v>
      </c>
      <c r="I214" s="19" t="s">
        <v>1028</v>
      </c>
      <c r="J214" s="19" t="s">
        <v>1028</v>
      </c>
      <c r="K214" s="67">
        <v>46025</v>
      </c>
      <c r="L214" s="19" t="s">
        <v>1020</v>
      </c>
      <c r="M214" s="19" t="s">
        <v>1010</v>
      </c>
    </row>
    <row r="215" spans="1:13" x14ac:dyDescent="0.35">
      <c r="A215" s="19">
        <v>99548</v>
      </c>
      <c r="B215" s="19" t="s">
        <v>1325</v>
      </c>
      <c r="C215" s="19" t="s">
        <v>355</v>
      </c>
      <c r="D215" s="19" t="s">
        <v>1100</v>
      </c>
      <c r="E215" s="66" t="s">
        <v>997</v>
      </c>
      <c r="F215" s="67">
        <v>46145</v>
      </c>
      <c r="G215" s="19" t="s">
        <v>1006</v>
      </c>
      <c r="H215" s="19" t="s">
        <v>1007</v>
      </c>
      <c r="I215" s="19" t="s">
        <v>1028</v>
      </c>
      <c r="J215" s="19" t="s">
        <v>1028</v>
      </c>
      <c r="K215" s="67">
        <v>46027</v>
      </c>
      <c r="L215" s="19" t="s">
        <v>1020</v>
      </c>
      <c r="M215" s="19" t="s">
        <v>1010</v>
      </c>
    </row>
    <row r="216" spans="1:13" x14ac:dyDescent="0.35">
      <c r="A216" s="19">
        <v>99555</v>
      </c>
      <c r="B216" s="19" t="s">
        <v>1326</v>
      </c>
      <c r="C216" s="19" t="s">
        <v>195</v>
      </c>
      <c r="D216" s="19" t="s">
        <v>908</v>
      </c>
      <c r="E216" s="66" t="s">
        <v>997</v>
      </c>
      <c r="F216" s="67">
        <v>46164</v>
      </c>
      <c r="G216" s="19" t="s">
        <v>1221</v>
      </c>
      <c r="H216" s="19" t="s">
        <v>1044</v>
      </c>
      <c r="I216" s="19" t="s">
        <v>1057</v>
      </c>
      <c r="J216" s="19" t="s">
        <v>1067</v>
      </c>
      <c r="K216" s="67">
        <v>46023</v>
      </c>
      <c r="L216" s="19" t="s">
        <v>1001</v>
      </c>
      <c r="M216" s="19" t="s">
        <v>1010</v>
      </c>
    </row>
    <row r="217" spans="1:13" x14ac:dyDescent="0.35">
      <c r="A217" s="19">
        <v>99637</v>
      </c>
      <c r="B217" s="19" t="s">
        <v>1327</v>
      </c>
      <c r="C217" s="19" t="s">
        <v>163</v>
      </c>
      <c r="D217" s="19" t="s">
        <v>1174</v>
      </c>
      <c r="E217" s="66" t="s">
        <v>997</v>
      </c>
      <c r="F217" s="67">
        <v>46161</v>
      </c>
      <c r="G217" s="19" t="s">
        <v>1006</v>
      </c>
      <c r="H217" s="19" t="s">
        <v>1007</v>
      </c>
      <c r="I217" s="19" t="s">
        <v>1028</v>
      </c>
      <c r="J217" s="19" t="s">
        <v>1028</v>
      </c>
      <c r="K217" s="67">
        <v>46030</v>
      </c>
      <c r="L217" s="19" t="s">
        <v>1020</v>
      </c>
      <c r="M217" s="19" t="s">
        <v>1010</v>
      </c>
    </row>
    <row r="218" spans="1:13" x14ac:dyDescent="0.35">
      <c r="A218" s="19">
        <v>99694</v>
      </c>
      <c r="B218" s="19" t="s">
        <v>1328</v>
      </c>
      <c r="C218" s="19" t="s">
        <v>87</v>
      </c>
      <c r="D218" s="19" t="s">
        <v>1324</v>
      </c>
      <c r="E218" s="66" t="s">
        <v>997</v>
      </c>
      <c r="F218" s="67">
        <v>46151</v>
      </c>
      <c r="G218" s="19" t="s">
        <v>1006</v>
      </c>
      <c r="H218" s="19" t="s">
        <v>1007</v>
      </c>
      <c r="I218" s="19" t="s">
        <v>1028</v>
      </c>
      <c r="J218" s="19" t="s">
        <v>1028</v>
      </c>
      <c r="K218" s="67">
        <v>46035</v>
      </c>
      <c r="L218" s="19" t="s">
        <v>1020</v>
      </c>
      <c r="M218" s="19" t="s">
        <v>1010</v>
      </c>
    </row>
    <row r="219" spans="1:13" x14ac:dyDescent="0.35">
      <c r="A219" s="19">
        <v>99723</v>
      </c>
      <c r="B219" s="19" t="s">
        <v>1329</v>
      </c>
      <c r="C219" s="19" t="s">
        <v>425</v>
      </c>
      <c r="D219" s="19" t="s">
        <v>1330</v>
      </c>
      <c r="E219" s="66" t="s">
        <v>997</v>
      </c>
      <c r="F219" s="67">
        <v>46161</v>
      </c>
      <c r="G219" s="19" t="s">
        <v>1006</v>
      </c>
      <c r="H219" s="19" t="s">
        <v>1007</v>
      </c>
      <c r="I219" s="19" t="s">
        <v>1028</v>
      </c>
      <c r="J219" s="19" t="s">
        <v>1028</v>
      </c>
      <c r="K219" s="67">
        <v>46037</v>
      </c>
      <c r="L219" s="19" t="s">
        <v>1020</v>
      </c>
      <c r="M219" s="19" t="s">
        <v>1010</v>
      </c>
    </row>
    <row r="220" spans="1:13" x14ac:dyDescent="0.35">
      <c r="A220" s="19">
        <v>99754</v>
      </c>
      <c r="B220" s="19" t="s">
        <v>1331</v>
      </c>
      <c r="C220" s="19" t="s">
        <v>169</v>
      </c>
      <c r="D220" s="19" t="s">
        <v>1274</v>
      </c>
      <c r="E220" s="66" t="s">
        <v>997</v>
      </c>
      <c r="F220" s="67">
        <v>46157</v>
      </c>
      <c r="G220" s="19" t="s">
        <v>1006</v>
      </c>
      <c r="H220" s="19" t="s">
        <v>1007</v>
      </c>
      <c r="I220" s="19" t="s">
        <v>1019</v>
      </c>
      <c r="J220" s="19" t="s">
        <v>1067</v>
      </c>
      <c r="K220" s="67">
        <v>46039</v>
      </c>
      <c r="L220" s="19" t="s">
        <v>1020</v>
      </c>
      <c r="M220" s="19" t="s">
        <v>1010</v>
      </c>
    </row>
    <row r="221" spans="1:13" x14ac:dyDescent="0.35">
      <c r="A221" s="19">
        <v>99787</v>
      </c>
      <c r="B221" s="19" t="s">
        <v>1332</v>
      </c>
      <c r="C221" s="19" t="s">
        <v>333</v>
      </c>
      <c r="D221" s="19" t="s">
        <v>1333</v>
      </c>
      <c r="E221" s="66" t="s">
        <v>997</v>
      </c>
      <c r="F221" s="67">
        <v>46160</v>
      </c>
      <c r="G221" s="19" t="s">
        <v>1006</v>
      </c>
      <c r="H221" s="19" t="s">
        <v>1007</v>
      </c>
      <c r="I221" s="19" t="s">
        <v>1008</v>
      </c>
      <c r="J221" s="19" t="s">
        <v>1009</v>
      </c>
      <c r="K221" s="67">
        <v>46043</v>
      </c>
      <c r="L221" s="19" t="s">
        <v>1001</v>
      </c>
      <c r="M221" s="19" t="s">
        <v>1010</v>
      </c>
    </row>
    <row r="222" spans="1:13" x14ac:dyDescent="0.35">
      <c r="A222" s="19">
        <v>99793</v>
      </c>
      <c r="B222" s="19" t="s">
        <v>1334</v>
      </c>
      <c r="C222" s="19" t="s">
        <v>12</v>
      </c>
      <c r="D222" s="19" t="s">
        <v>1145</v>
      </c>
      <c r="E222" s="66" t="s">
        <v>997</v>
      </c>
      <c r="F222" s="67">
        <v>46159</v>
      </c>
      <c r="G222" s="19" t="s">
        <v>1006</v>
      </c>
      <c r="H222" s="19" t="s">
        <v>1007</v>
      </c>
      <c r="I222" s="19" t="s">
        <v>1008</v>
      </c>
      <c r="J222" s="19" t="s">
        <v>1008</v>
      </c>
      <c r="K222" s="67">
        <v>46045</v>
      </c>
      <c r="L222" s="19" t="s">
        <v>1001</v>
      </c>
      <c r="M222" s="19" t="s">
        <v>1010</v>
      </c>
    </row>
    <row r="223" spans="1:13" x14ac:dyDescent="0.35">
      <c r="A223" s="19">
        <v>99795</v>
      </c>
      <c r="B223" s="19" t="s">
        <v>1335</v>
      </c>
      <c r="C223" s="19" t="s">
        <v>239</v>
      </c>
      <c r="D223" s="19" t="s">
        <v>798</v>
      </c>
      <c r="E223" s="66" t="s">
        <v>997</v>
      </c>
      <c r="F223" s="67">
        <v>46168</v>
      </c>
      <c r="G223" s="19" t="s">
        <v>1006</v>
      </c>
      <c r="H223" s="19" t="s">
        <v>1007</v>
      </c>
      <c r="I223" s="19" t="s">
        <v>1028</v>
      </c>
      <c r="J223" s="19" t="s">
        <v>1028</v>
      </c>
      <c r="K223" s="67">
        <v>46045</v>
      </c>
      <c r="L223" s="19" t="s">
        <v>1020</v>
      </c>
      <c r="M223" s="19" t="s">
        <v>1010</v>
      </c>
    </row>
    <row r="224" spans="1:13" x14ac:dyDescent="0.35">
      <c r="A224" s="19">
        <v>99804</v>
      </c>
      <c r="B224" s="19" t="s">
        <v>1336</v>
      </c>
      <c r="C224" s="19" t="s">
        <v>415</v>
      </c>
      <c r="D224" s="19" t="s">
        <v>1199</v>
      </c>
      <c r="E224" s="66" t="s">
        <v>997</v>
      </c>
      <c r="F224" s="67">
        <v>46152</v>
      </c>
      <c r="G224" s="19" t="s">
        <v>1006</v>
      </c>
      <c r="H224" s="19" t="s">
        <v>1007</v>
      </c>
      <c r="I224" s="19" t="s">
        <v>1028</v>
      </c>
      <c r="J224" s="19" t="s">
        <v>1028</v>
      </c>
      <c r="K224" s="67">
        <v>46046</v>
      </c>
      <c r="L224" s="19" t="s">
        <v>1020</v>
      </c>
      <c r="M224" s="19" t="s">
        <v>1010</v>
      </c>
    </row>
    <row r="225" spans="1:13" x14ac:dyDescent="0.35">
      <c r="A225" s="19">
        <v>99813</v>
      </c>
      <c r="B225" s="19" t="s">
        <v>1337</v>
      </c>
      <c r="C225" s="19" t="s">
        <v>47</v>
      </c>
      <c r="D225" s="19" t="s">
        <v>1232</v>
      </c>
      <c r="E225" s="66" t="s">
        <v>997</v>
      </c>
      <c r="F225" s="67">
        <v>46145</v>
      </c>
      <c r="G225" s="19" t="s">
        <v>1006</v>
      </c>
      <c r="H225" s="19" t="s">
        <v>1007</v>
      </c>
      <c r="I225" s="19" t="s">
        <v>1028</v>
      </c>
      <c r="J225" s="19" t="s">
        <v>1028</v>
      </c>
      <c r="K225" s="67">
        <v>46046</v>
      </c>
      <c r="L225" s="19" t="s">
        <v>1020</v>
      </c>
      <c r="M225" s="19" t="s">
        <v>1010</v>
      </c>
    </row>
    <row r="226" spans="1:13" x14ac:dyDescent="0.35">
      <c r="A226" s="19">
        <v>99834</v>
      </c>
      <c r="B226" s="19" t="s">
        <v>1338</v>
      </c>
      <c r="C226" s="19" t="s">
        <v>362</v>
      </c>
      <c r="D226" s="19" t="s">
        <v>1056</v>
      </c>
      <c r="E226" s="66" t="s">
        <v>997</v>
      </c>
      <c r="F226" s="67">
        <v>46171</v>
      </c>
      <c r="G226" s="19" t="s">
        <v>1006</v>
      </c>
      <c r="H226" s="19" t="s">
        <v>1007</v>
      </c>
      <c r="I226" s="19" t="s">
        <v>1019</v>
      </c>
      <c r="J226" s="19" t="s">
        <v>1067</v>
      </c>
      <c r="K226" s="67">
        <v>46049</v>
      </c>
      <c r="L226" s="19" t="s">
        <v>1020</v>
      </c>
      <c r="M226" s="19" t="s">
        <v>1010</v>
      </c>
    </row>
    <row r="227" spans="1:13" x14ac:dyDescent="0.35">
      <c r="A227" s="19">
        <v>99875</v>
      </c>
      <c r="B227" s="19" t="s">
        <v>1339</v>
      </c>
      <c r="C227" s="19" t="s">
        <v>273</v>
      </c>
      <c r="D227" s="19" t="s">
        <v>1093</v>
      </c>
      <c r="E227" s="66" t="s">
        <v>997</v>
      </c>
      <c r="F227" s="67">
        <v>46152</v>
      </c>
      <c r="G227" s="19" t="s">
        <v>1006</v>
      </c>
      <c r="H227" s="19" t="s">
        <v>1007</v>
      </c>
      <c r="I227" s="19" t="s">
        <v>1028</v>
      </c>
      <c r="J227" s="19" t="s">
        <v>1028</v>
      </c>
      <c r="K227" s="67">
        <v>46054</v>
      </c>
      <c r="L227" s="19" t="s">
        <v>1020</v>
      </c>
      <c r="M227" s="19" t="s">
        <v>1010</v>
      </c>
    </row>
    <row r="228" spans="1:13" x14ac:dyDescent="0.35">
      <c r="A228" s="19">
        <v>99889</v>
      </c>
      <c r="B228" s="19" t="s">
        <v>1340</v>
      </c>
      <c r="C228" s="19" t="s">
        <v>163</v>
      </c>
      <c r="D228" s="19" t="s">
        <v>1174</v>
      </c>
      <c r="E228" s="66" t="s">
        <v>997</v>
      </c>
      <c r="F228" s="67">
        <v>46146</v>
      </c>
      <c r="G228" s="19" t="s">
        <v>1006</v>
      </c>
      <c r="H228" s="19" t="s">
        <v>1007</v>
      </c>
      <c r="I228" s="19" t="s">
        <v>1028</v>
      </c>
      <c r="J228" s="19" t="s">
        <v>1028</v>
      </c>
      <c r="K228" s="67">
        <v>46057</v>
      </c>
      <c r="L228" s="19" t="s">
        <v>1020</v>
      </c>
      <c r="M228" s="19" t="s">
        <v>1010</v>
      </c>
    </row>
    <row r="229" spans="1:13" x14ac:dyDescent="0.35">
      <c r="A229" s="19">
        <v>99905</v>
      </c>
      <c r="B229" s="19" t="s">
        <v>1341</v>
      </c>
      <c r="C229" s="19" t="s">
        <v>341</v>
      </c>
      <c r="D229" s="19" t="s">
        <v>1264</v>
      </c>
      <c r="E229" s="66" t="s">
        <v>997</v>
      </c>
      <c r="F229" s="67">
        <v>46152</v>
      </c>
      <c r="G229" s="19" t="s">
        <v>1006</v>
      </c>
      <c r="H229" s="19" t="s">
        <v>1007</v>
      </c>
      <c r="I229" s="19" t="s">
        <v>1057</v>
      </c>
      <c r="J229" s="19" t="s">
        <v>1067</v>
      </c>
      <c r="K229" s="67">
        <v>46058</v>
      </c>
      <c r="L229" s="19" t="s">
        <v>1001</v>
      </c>
      <c r="M229" s="19" t="s">
        <v>1010</v>
      </c>
    </row>
    <row r="230" spans="1:13" x14ac:dyDescent="0.35">
      <c r="A230" s="19">
        <v>99937</v>
      </c>
      <c r="B230" s="19" t="s">
        <v>1342</v>
      </c>
      <c r="C230" s="19" t="s">
        <v>49</v>
      </c>
      <c r="D230" s="19" t="s">
        <v>1213</v>
      </c>
      <c r="E230" s="66" t="s">
        <v>997</v>
      </c>
      <c r="F230" s="67">
        <v>46143</v>
      </c>
      <c r="G230" s="19" t="s">
        <v>1006</v>
      </c>
      <c r="H230" s="19" t="s">
        <v>1007</v>
      </c>
      <c r="I230" s="19" t="s">
        <v>1028</v>
      </c>
      <c r="J230" s="19" t="s">
        <v>1028</v>
      </c>
      <c r="K230" s="67">
        <v>46060</v>
      </c>
      <c r="L230" s="19" t="s">
        <v>1020</v>
      </c>
      <c r="M230" s="19" t="s">
        <v>1010</v>
      </c>
    </row>
    <row r="231" spans="1:13" x14ac:dyDescent="0.35">
      <c r="A231" s="19">
        <v>99944</v>
      </c>
      <c r="B231" s="19" t="s">
        <v>1343</v>
      </c>
      <c r="C231" s="19" t="s">
        <v>16</v>
      </c>
      <c r="D231" s="19" t="s">
        <v>1211</v>
      </c>
      <c r="E231" s="66" t="s">
        <v>997</v>
      </c>
      <c r="F231" s="67">
        <v>46151</v>
      </c>
      <c r="G231" s="19" t="s">
        <v>1006</v>
      </c>
      <c r="H231" s="19" t="s">
        <v>1007</v>
      </c>
      <c r="I231" s="19" t="s">
        <v>1028</v>
      </c>
      <c r="J231" s="19" t="s">
        <v>1028</v>
      </c>
      <c r="K231" s="67">
        <v>46060</v>
      </c>
      <c r="L231" s="19" t="s">
        <v>1020</v>
      </c>
      <c r="M231" s="19" t="s">
        <v>1010</v>
      </c>
    </row>
    <row r="232" spans="1:13" x14ac:dyDescent="0.35">
      <c r="A232" s="19">
        <v>99957</v>
      </c>
      <c r="B232" s="19" t="s">
        <v>1344</v>
      </c>
      <c r="C232" s="19" t="s">
        <v>297</v>
      </c>
      <c r="D232" s="19" t="s">
        <v>904</v>
      </c>
      <c r="E232" s="66" t="s">
        <v>997</v>
      </c>
      <c r="F232" s="67">
        <v>46171</v>
      </c>
      <c r="G232" s="19" t="s">
        <v>1006</v>
      </c>
      <c r="H232" s="19" t="s">
        <v>1007</v>
      </c>
      <c r="I232" s="19" t="s">
        <v>1008</v>
      </c>
      <c r="J232" s="19" t="s">
        <v>1008</v>
      </c>
      <c r="K232" s="67">
        <v>46063</v>
      </c>
      <c r="L232" s="19" t="s">
        <v>1001</v>
      </c>
      <c r="M232" s="19" t="s">
        <v>1010</v>
      </c>
    </row>
    <row r="233" spans="1:13" x14ac:dyDescent="0.35">
      <c r="A233" s="19">
        <v>99972</v>
      </c>
      <c r="B233" s="19" t="s">
        <v>1345</v>
      </c>
      <c r="C233" s="19" t="s">
        <v>349</v>
      </c>
      <c r="D233" s="19" t="s">
        <v>912</v>
      </c>
      <c r="E233" s="66" t="s">
        <v>997</v>
      </c>
      <c r="F233" s="67">
        <v>46167</v>
      </c>
      <c r="G233" s="19" t="s">
        <v>1006</v>
      </c>
      <c r="H233" s="19" t="s">
        <v>1007</v>
      </c>
      <c r="I233" s="19" t="s">
        <v>1028</v>
      </c>
      <c r="J233" s="19" t="s">
        <v>1028</v>
      </c>
      <c r="K233" s="67">
        <v>46064</v>
      </c>
      <c r="L233" s="19" t="s">
        <v>1020</v>
      </c>
      <c r="M233" s="19" t="s">
        <v>1010</v>
      </c>
    </row>
    <row r="234" spans="1:13" x14ac:dyDescent="0.35">
      <c r="A234" s="19">
        <v>99986</v>
      </c>
      <c r="B234" s="19" t="s">
        <v>1346</v>
      </c>
      <c r="C234" s="19" t="s">
        <v>126</v>
      </c>
      <c r="D234" s="19" t="s">
        <v>1152</v>
      </c>
      <c r="E234" s="66" t="s">
        <v>997</v>
      </c>
      <c r="F234" s="67">
        <v>46158</v>
      </c>
      <c r="G234" s="19" t="s">
        <v>1006</v>
      </c>
      <c r="H234" s="19" t="s">
        <v>1007</v>
      </c>
      <c r="I234" s="19" t="s">
        <v>1028</v>
      </c>
      <c r="J234" s="19" t="s">
        <v>1028</v>
      </c>
      <c r="K234" s="67">
        <v>46065</v>
      </c>
      <c r="L234" s="19" t="s">
        <v>1020</v>
      </c>
      <c r="M234" s="19" t="s">
        <v>1010</v>
      </c>
    </row>
    <row r="235" spans="1:13" x14ac:dyDescent="0.35">
      <c r="A235" s="19">
        <v>99988</v>
      </c>
      <c r="B235" s="19" t="s">
        <v>1347</v>
      </c>
      <c r="C235" s="19" t="s">
        <v>419</v>
      </c>
      <c r="D235" s="19" t="s">
        <v>695</v>
      </c>
      <c r="E235" s="66" t="s">
        <v>997</v>
      </c>
      <c r="F235" s="67">
        <v>46151</v>
      </c>
      <c r="G235" s="19" t="s">
        <v>1006</v>
      </c>
      <c r="H235" s="19" t="s">
        <v>1007</v>
      </c>
      <c r="I235" s="19" t="s">
        <v>1028</v>
      </c>
      <c r="J235" s="19" t="s">
        <v>1028</v>
      </c>
      <c r="K235" s="67">
        <v>46065</v>
      </c>
      <c r="L235" s="19" t="s">
        <v>1020</v>
      </c>
      <c r="M235" s="19" t="s">
        <v>1010</v>
      </c>
    </row>
    <row r="236" spans="1:13" x14ac:dyDescent="0.35">
      <c r="A236" s="19">
        <v>99994</v>
      </c>
      <c r="B236" s="19" t="s">
        <v>1348</v>
      </c>
      <c r="C236" s="19" t="s">
        <v>258</v>
      </c>
      <c r="D236" s="19" t="s">
        <v>1349</v>
      </c>
      <c r="E236" s="66" t="s">
        <v>997</v>
      </c>
      <c r="F236" s="67">
        <v>46152</v>
      </c>
      <c r="G236" s="19" t="s">
        <v>1006</v>
      </c>
      <c r="H236" s="19" t="s">
        <v>1007</v>
      </c>
      <c r="I236" s="19" t="s">
        <v>1028</v>
      </c>
      <c r="J236" s="19" t="s">
        <v>1028</v>
      </c>
      <c r="K236" s="67">
        <v>46066</v>
      </c>
      <c r="L236" s="19" t="s">
        <v>1020</v>
      </c>
      <c r="M236" s="19" t="s">
        <v>1010</v>
      </c>
    </row>
    <row r="237" spans="1:13" x14ac:dyDescent="0.35">
      <c r="A237" s="19">
        <v>100000</v>
      </c>
      <c r="B237" s="19" t="s">
        <v>1350</v>
      </c>
      <c r="C237" s="19" t="s">
        <v>163</v>
      </c>
      <c r="D237" s="19" t="s">
        <v>1174</v>
      </c>
      <c r="E237" s="66" t="s">
        <v>997</v>
      </c>
      <c r="F237" s="67">
        <v>46166</v>
      </c>
      <c r="G237" s="19" t="s">
        <v>1006</v>
      </c>
      <c r="H237" s="19" t="s">
        <v>1007</v>
      </c>
      <c r="I237" s="19" t="s">
        <v>1028</v>
      </c>
      <c r="J237" s="19" t="s">
        <v>1028</v>
      </c>
      <c r="K237" s="67">
        <v>46065</v>
      </c>
      <c r="L237" s="19" t="s">
        <v>1020</v>
      </c>
      <c r="M237" s="19" t="s">
        <v>1010</v>
      </c>
    </row>
    <row r="238" spans="1:13" x14ac:dyDescent="0.35">
      <c r="A238" s="19">
        <v>100049</v>
      </c>
      <c r="B238" s="19" t="s">
        <v>1351</v>
      </c>
      <c r="C238" s="19" t="s">
        <v>397</v>
      </c>
      <c r="D238" s="19" t="s">
        <v>867</v>
      </c>
      <c r="E238" s="66" t="s">
        <v>997</v>
      </c>
      <c r="F238" s="67">
        <v>46151</v>
      </c>
      <c r="G238" s="19" t="s">
        <v>1006</v>
      </c>
      <c r="H238" s="19" t="s">
        <v>1007</v>
      </c>
      <c r="I238" s="19" t="s">
        <v>1028</v>
      </c>
      <c r="J238" s="19" t="s">
        <v>1028</v>
      </c>
      <c r="K238" s="67">
        <v>46070</v>
      </c>
      <c r="L238" s="19" t="s">
        <v>1020</v>
      </c>
      <c r="M238" s="19" t="s">
        <v>1010</v>
      </c>
    </row>
    <row r="239" spans="1:13" x14ac:dyDescent="0.35">
      <c r="A239" s="19">
        <v>100060</v>
      </c>
      <c r="B239" s="19" t="s">
        <v>1352</v>
      </c>
      <c r="C239" s="19" t="s">
        <v>126</v>
      </c>
      <c r="D239" s="19" t="s">
        <v>1152</v>
      </c>
      <c r="E239" s="66" t="s">
        <v>997</v>
      </c>
      <c r="F239" s="67">
        <v>46172</v>
      </c>
      <c r="G239" s="19" t="s">
        <v>1006</v>
      </c>
      <c r="H239" s="19" t="s">
        <v>1007</v>
      </c>
      <c r="I239" s="19" t="s">
        <v>1028</v>
      </c>
      <c r="J239" s="19" t="s">
        <v>1028</v>
      </c>
      <c r="K239" s="67">
        <v>46072</v>
      </c>
      <c r="L239" s="19" t="s">
        <v>1020</v>
      </c>
      <c r="M239" s="19" t="s">
        <v>1010</v>
      </c>
    </row>
    <row r="240" spans="1:13" x14ac:dyDescent="0.35">
      <c r="A240" s="19">
        <v>100090</v>
      </c>
      <c r="B240" s="19" t="s">
        <v>1353</v>
      </c>
      <c r="C240" s="19" t="s">
        <v>241</v>
      </c>
      <c r="D240" s="19" t="s">
        <v>1030</v>
      </c>
      <c r="E240" s="66" t="s">
        <v>997</v>
      </c>
      <c r="F240" s="67">
        <v>46145</v>
      </c>
      <c r="G240" s="19" t="s">
        <v>1006</v>
      </c>
      <c r="H240" s="19" t="s">
        <v>1007</v>
      </c>
      <c r="I240" s="19" t="s">
        <v>1028</v>
      </c>
      <c r="J240" s="19" t="s">
        <v>1028</v>
      </c>
      <c r="K240" s="67">
        <v>46074</v>
      </c>
      <c r="L240" s="19" t="s">
        <v>1020</v>
      </c>
      <c r="M240" s="19" t="s">
        <v>1010</v>
      </c>
    </row>
    <row r="241" spans="1:13" x14ac:dyDescent="0.35">
      <c r="A241" s="19">
        <v>100115</v>
      </c>
      <c r="B241" s="19" t="s">
        <v>1354</v>
      </c>
      <c r="C241" s="19" t="s">
        <v>405</v>
      </c>
      <c r="D241" s="19" t="s">
        <v>594</v>
      </c>
      <c r="E241" s="66" t="s">
        <v>997</v>
      </c>
      <c r="F241" s="67">
        <v>46164</v>
      </c>
      <c r="G241" s="19" t="s">
        <v>1006</v>
      </c>
      <c r="H241" s="19" t="s">
        <v>1007</v>
      </c>
      <c r="I241" s="19" t="s">
        <v>1028</v>
      </c>
      <c r="J241" s="19" t="s">
        <v>1028</v>
      </c>
      <c r="K241" s="67">
        <v>46077</v>
      </c>
      <c r="L241" s="19" t="s">
        <v>1020</v>
      </c>
      <c r="M241" s="19" t="s">
        <v>1010</v>
      </c>
    </row>
    <row r="242" spans="1:13" x14ac:dyDescent="0.35">
      <c r="A242" s="19">
        <v>100120</v>
      </c>
      <c r="B242" s="19" t="s">
        <v>1355</v>
      </c>
      <c r="C242" s="19" t="s">
        <v>324</v>
      </c>
      <c r="D242" s="19" t="s">
        <v>1284</v>
      </c>
      <c r="E242" s="66" t="s">
        <v>997</v>
      </c>
      <c r="F242" s="67">
        <v>46171</v>
      </c>
      <c r="G242" s="19" t="s">
        <v>1006</v>
      </c>
      <c r="H242" s="19" t="s">
        <v>1007</v>
      </c>
      <c r="I242" s="19" t="s">
        <v>1057</v>
      </c>
      <c r="J242" s="19" t="s">
        <v>1067</v>
      </c>
      <c r="K242" s="67">
        <v>46077</v>
      </c>
      <c r="L242" s="19" t="s">
        <v>1001</v>
      </c>
      <c r="M242" s="19" t="s">
        <v>1010</v>
      </c>
    </row>
    <row r="243" spans="1:13" x14ac:dyDescent="0.35">
      <c r="A243" s="19">
        <v>100175</v>
      </c>
      <c r="B243" s="19" t="s">
        <v>1356</v>
      </c>
      <c r="C243" s="19" t="s">
        <v>14</v>
      </c>
      <c r="D243" s="19" t="s">
        <v>15</v>
      </c>
      <c r="E243" s="66" t="s">
        <v>997</v>
      </c>
      <c r="F243" s="67">
        <v>46173</v>
      </c>
      <c r="G243" s="19" t="s">
        <v>1006</v>
      </c>
      <c r="H243" s="19" t="s">
        <v>1007</v>
      </c>
      <c r="I243" s="19" t="s">
        <v>1028</v>
      </c>
      <c r="J243" s="19" t="s">
        <v>1028</v>
      </c>
      <c r="K243" s="67">
        <v>46082</v>
      </c>
      <c r="L243" s="19" t="s">
        <v>1020</v>
      </c>
      <c r="M243" s="19" t="s">
        <v>1010</v>
      </c>
    </row>
    <row r="244" spans="1:13" x14ac:dyDescent="0.35">
      <c r="A244" s="19">
        <v>100193</v>
      </c>
      <c r="B244" s="19" t="s">
        <v>1357</v>
      </c>
      <c r="C244" s="19" t="s">
        <v>369</v>
      </c>
      <c r="D244" s="19" t="s">
        <v>856</v>
      </c>
      <c r="E244" s="66" t="s">
        <v>997</v>
      </c>
      <c r="F244" s="67">
        <v>46156</v>
      </c>
      <c r="G244" s="19" t="s">
        <v>1006</v>
      </c>
      <c r="H244" s="19" t="s">
        <v>1007</v>
      </c>
      <c r="I244" s="19" t="s">
        <v>1057</v>
      </c>
      <c r="J244" s="19" t="s">
        <v>1067</v>
      </c>
      <c r="K244" s="67">
        <v>46084</v>
      </c>
      <c r="L244" s="19" t="s">
        <v>1001</v>
      </c>
      <c r="M244" s="19" t="s">
        <v>1010</v>
      </c>
    </row>
    <row r="245" spans="1:13" x14ac:dyDescent="0.35">
      <c r="A245" s="19">
        <v>100219</v>
      </c>
      <c r="B245" s="19" t="s">
        <v>1358</v>
      </c>
      <c r="C245" s="19" t="s">
        <v>407</v>
      </c>
      <c r="D245" s="19" t="s">
        <v>1230</v>
      </c>
      <c r="E245" s="66" t="s">
        <v>997</v>
      </c>
      <c r="F245" s="67">
        <v>46173</v>
      </c>
      <c r="G245" s="19" t="s">
        <v>1006</v>
      </c>
      <c r="H245" s="19" t="s">
        <v>1007</v>
      </c>
      <c r="I245" s="19" t="s">
        <v>1028</v>
      </c>
      <c r="J245" s="19" t="s">
        <v>1028</v>
      </c>
      <c r="K245" s="67">
        <v>46085</v>
      </c>
      <c r="L245" s="19" t="s">
        <v>1020</v>
      </c>
      <c r="M245" s="19" t="s">
        <v>1010</v>
      </c>
    </row>
    <row r="246" spans="1:13" x14ac:dyDescent="0.35">
      <c r="A246" s="19">
        <v>100260</v>
      </c>
      <c r="B246" s="19" t="s">
        <v>1359</v>
      </c>
      <c r="C246" s="19" t="s">
        <v>118</v>
      </c>
      <c r="D246" s="19" t="s">
        <v>1360</v>
      </c>
      <c r="E246" s="66" t="s">
        <v>997</v>
      </c>
      <c r="F246" s="67">
        <v>46151</v>
      </c>
      <c r="G246" s="19" t="s">
        <v>1006</v>
      </c>
      <c r="H246" s="19" t="s">
        <v>1007</v>
      </c>
      <c r="I246" s="19" t="s">
        <v>1028</v>
      </c>
      <c r="J246" s="19" t="s">
        <v>1009</v>
      </c>
      <c r="K246" s="67">
        <v>46086</v>
      </c>
      <c r="L246" s="19" t="s">
        <v>1020</v>
      </c>
      <c r="M246" s="19" t="s">
        <v>1010</v>
      </c>
    </row>
    <row r="247" spans="1:13" x14ac:dyDescent="0.35">
      <c r="A247" s="19">
        <v>100263</v>
      </c>
      <c r="B247" s="19" t="s">
        <v>1361</v>
      </c>
      <c r="C247" s="19" t="s">
        <v>204</v>
      </c>
      <c r="D247" s="19" t="s">
        <v>1090</v>
      </c>
      <c r="E247" s="66" t="s">
        <v>997</v>
      </c>
      <c r="F247" s="67">
        <v>46172</v>
      </c>
      <c r="G247" s="19" t="s">
        <v>1006</v>
      </c>
      <c r="H247" s="19" t="s">
        <v>1007</v>
      </c>
      <c r="I247" s="19" t="s">
        <v>1028</v>
      </c>
      <c r="J247" s="19" t="s">
        <v>1009</v>
      </c>
      <c r="K247" s="67">
        <v>46086</v>
      </c>
      <c r="L247" s="19" t="s">
        <v>1020</v>
      </c>
      <c r="M247" s="19" t="s">
        <v>1010</v>
      </c>
    </row>
    <row r="248" spans="1:13" x14ac:dyDescent="0.35">
      <c r="A248" s="19">
        <v>100266</v>
      </c>
      <c r="B248" s="19" t="s">
        <v>1362</v>
      </c>
      <c r="C248" s="19" t="s">
        <v>280</v>
      </c>
      <c r="D248" s="19" t="s">
        <v>1223</v>
      </c>
      <c r="E248" s="66" t="s">
        <v>997</v>
      </c>
      <c r="F248" s="67">
        <v>46162</v>
      </c>
      <c r="G248" s="19" t="s">
        <v>1006</v>
      </c>
      <c r="H248" s="19" t="s">
        <v>1007</v>
      </c>
      <c r="I248" s="19" t="s">
        <v>1028</v>
      </c>
      <c r="J248" s="19" t="s">
        <v>1009</v>
      </c>
      <c r="K248" s="67">
        <v>46086</v>
      </c>
      <c r="L248" s="19" t="s">
        <v>1020</v>
      </c>
      <c r="M248" s="19" t="s">
        <v>1010</v>
      </c>
    </row>
    <row r="249" spans="1:13" x14ac:dyDescent="0.35">
      <c r="A249" s="19">
        <v>100278</v>
      </c>
      <c r="B249" s="19" t="s">
        <v>1363</v>
      </c>
      <c r="C249" s="19" t="s">
        <v>145</v>
      </c>
      <c r="D249" s="19" t="s">
        <v>1015</v>
      </c>
      <c r="E249" s="66" t="s">
        <v>997</v>
      </c>
      <c r="F249" s="67">
        <v>46168</v>
      </c>
      <c r="G249" s="19" t="s">
        <v>1006</v>
      </c>
      <c r="H249" s="19" t="s">
        <v>1007</v>
      </c>
      <c r="I249" s="19" t="s">
        <v>1028</v>
      </c>
      <c r="J249" s="19" t="s">
        <v>1009</v>
      </c>
      <c r="K249" s="67">
        <v>46087</v>
      </c>
      <c r="L249" s="19" t="s">
        <v>1020</v>
      </c>
      <c r="M249" s="19" t="s">
        <v>1010</v>
      </c>
    </row>
    <row r="250" spans="1:13" x14ac:dyDescent="0.35">
      <c r="A250" s="19">
        <v>100284</v>
      </c>
      <c r="B250" s="19" t="s">
        <v>1364</v>
      </c>
      <c r="C250" s="19" t="s">
        <v>245</v>
      </c>
      <c r="D250" s="19" t="s">
        <v>1365</v>
      </c>
      <c r="E250" s="66" t="s">
        <v>997</v>
      </c>
      <c r="F250" s="67">
        <v>46145</v>
      </c>
      <c r="G250" s="19" t="s">
        <v>1006</v>
      </c>
      <c r="H250" s="19" t="s">
        <v>1007</v>
      </c>
      <c r="I250" s="19" t="s">
        <v>1028</v>
      </c>
      <c r="J250" s="19" t="s">
        <v>1009</v>
      </c>
      <c r="K250" s="67">
        <v>46087</v>
      </c>
      <c r="L250" s="19" t="s">
        <v>1020</v>
      </c>
      <c r="M250" s="19" t="s">
        <v>1010</v>
      </c>
    </row>
    <row r="251" spans="1:13" x14ac:dyDescent="0.35">
      <c r="A251" s="19">
        <v>100288</v>
      </c>
      <c r="B251" s="19" t="s">
        <v>1366</v>
      </c>
      <c r="C251" s="19" t="s">
        <v>126</v>
      </c>
      <c r="D251" s="19" t="s">
        <v>1152</v>
      </c>
      <c r="E251" s="66" t="s">
        <v>997</v>
      </c>
      <c r="F251" s="67">
        <v>46152</v>
      </c>
      <c r="G251" s="19" t="s">
        <v>1006</v>
      </c>
      <c r="H251" s="19" t="s">
        <v>1007</v>
      </c>
      <c r="I251" s="19" t="s">
        <v>1028</v>
      </c>
      <c r="J251" s="19" t="s">
        <v>1009</v>
      </c>
      <c r="K251" s="67">
        <v>46087</v>
      </c>
      <c r="L251" s="19" t="s">
        <v>1020</v>
      </c>
      <c r="M251" s="19" t="s">
        <v>1010</v>
      </c>
    </row>
    <row r="252" spans="1:13" x14ac:dyDescent="0.35">
      <c r="A252" s="19">
        <v>100294</v>
      </c>
      <c r="B252" s="19" t="s">
        <v>1367</v>
      </c>
      <c r="C252" s="19" t="s">
        <v>60</v>
      </c>
      <c r="D252" s="19" t="s">
        <v>1119</v>
      </c>
      <c r="E252" s="66" t="s">
        <v>997</v>
      </c>
      <c r="F252" s="67">
        <v>46166</v>
      </c>
      <c r="G252" s="19" t="s">
        <v>1006</v>
      </c>
      <c r="H252" s="19" t="s">
        <v>1007</v>
      </c>
      <c r="I252" s="19" t="s">
        <v>1019</v>
      </c>
      <c r="J252" s="19" t="s">
        <v>1067</v>
      </c>
      <c r="K252" s="67">
        <v>46088</v>
      </c>
      <c r="L252" s="19" t="s">
        <v>1020</v>
      </c>
      <c r="M252" s="19" t="s">
        <v>1010</v>
      </c>
    </row>
    <row r="253" spans="1:13" x14ac:dyDescent="0.35">
      <c r="A253" s="19">
        <v>100323</v>
      </c>
      <c r="B253" s="19" t="s">
        <v>1368</v>
      </c>
      <c r="C253" s="19" t="s">
        <v>189</v>
      </c>
      <c r="D253" s="19" t="s">
        <v>1369</v>
      </c>
      <c r="E253" s="66" t="s">
        <v>997</v>
      </c>
      <c r="F253" s="67">
        <v>46168</v>
      </c>
      <c r="G253" s="19" t="s">
        <v>1006</v>
      </c>
      <c r="H253" s="19" t="s">
        <v>1007</v>
      </c>
      <c r="I253" s="19" t="s">
        <v>1008</v>
      </c>
      <c r="J253" s="19" t="s">
        <v>1009</v>
      </c>
      <c r="K253" s="67">
        <v>46091</v>
      </c>
      <c r="L253" s="19" t="s">
        <v>1001</v>
      </c>
      <c r="M253" s="19" t="s">
        <v>1010</v>
      </c>
    </row>
    <row r="254" spans="1:13" x14ac:dyDescent="0.35">
      <c r="A254" s="19">
        <v>100325</v>
      </c>
      <c r="B254" s="19" t="s">
        <v>1370</v>
      </c>
      <c r="C254" s="19" t="s">
        <v>295</v>
      </c>
      <c r="D254" s="19" t="s">
        <v>1095</v>
      </c>
      <c r="E254" s="66" t="s">
        <v>997</v>
      </c>
      <c r="F254" s="67">
        <v>46152</v>
      </c>
      <c r="G254" s="19" t="s">
        <v>1006</v>
      </c>
      <c r="H254" s="19" t="s">
        <v>1007</v>
      </c>
      <c r="I254" s="19" t="s">
        <v>1028</v>
      </c>
      <c r="J254" s="19" t="s">
        <v>1009</v>
      </c>
      <c r="K254" s="67">
        <v>46091</v>
      </c>
      <c r="L254" s="19" t="s">
        <v>1020</v>
      </c>
      <c r="M254" s="19" t="s">
        <v>1010</v>
      </c>
    </row>
    <row r="255" spans="1:13" x14ac:dyDescent="0.35">
      <c r="A255" s="19">
        <v>100349</v>
      </c>
      <c r="B255" s="19" t="s">
        <v>1371</v>
      </c>
      <c r="C255" s="19" t="s">
        <v>218</v>
      </c>
      <c r="D255" s="19" t="s">
        <v>1372</v>
      </c>
      <c r="E255" s="66" t="s">
        <v>997</v>
      </c>
      <c r="F255" s="67">
        <v>46156</v>
      </c>
      <c r="G255" s="19" t="s">
        <v>1006</v>
      </c>
      <c r="H255" s="19" t="s">
        <v>1007</v>
      </c>
      <c r="I255" s="19" t="s">
        <v>1028</v>
      </c>
      <c r="J255" s="19" t="s">
        <v>1009</v>
      </c>
      <c r="K255" s="67">
        <v>46091</v>
      </c>
      <c r="L255" s="19" t="s">
        <v>1020</v>
      </c>
      <c r="M255" s="19" t="s">
        <v>1010</v>
      </c>
    </row>
    <row r="256" spans="1:13" x14ac:dyDescent="0.35">
      <c r="A256" s="19">
        <v>100351</v>
      </c>
      <c r="B256" s="19" t="s">
        <v>1373</v>
      </c>
      <c r="C256" s="19" t="s">
        <v>181</v>
      </c>
      <c r="D256" s="19" t="s">
        <v>1374</v>
      </c>
      <c r="E256" s="66" t="s">
        <v>997</v>
      </c>
      <c r="F256" s="67">
        <v>46172</v>
      </c>
      <c r="G256" s="19" t="s">
        <v>1006</v>
      </c>
      <c r="H256" s="19" t="s">
        <v>1007</v>
      </c>
      <c r="I256" s="19" t="s">
        <v>1028</v>
      </c>
      <c r="J256" s="19" t="s">
        <v>1009</v>
      </c>
      <c r="K256" s="67">
        <v>46092</v>
      </c>
      <c r="L256" s="19" t="s">
        <v>1020</v>
      </c>
      <c r="M256" s="19" t="s">
        <v>1010</v>
      </c>
    </row>
    <row r="257" spans="1:13" x14ac:dyDescent="0.35">
      <c r="A257" s="19">
        <v>100352</v>
      </c>
      <c r="B257" s="19" t="s">
        <v>1375</v>
      </c>
      <c r="C257" s="19" t="s">
        <v>245</v>
      </c>
      <c r="D257" s="19" t="s">
        <v>1365</v>
      </c>
      <c r="E257" s="66" t="s">
        <v>997</v>
      </c>
      <c r="F257" s="67">
        <v>46169</v>
      </c>
      <c r="G257" s="19" t="s">
        <v>1006</v>
      </c>
      <c r="H257" s="19" t="s">
        <v>1007</v>
      </c>
      <c r="I257" s="19" t="s">
        <v>1028</v>
      </c>
      <c r="J257" s="19" t="s">
        <v>1009</v>
      </c>
      <c r="K257" s="67">
        <v>46092</v>
      </c>
      <c r="L257" s="19" t="s">
        <v>1020</v>
      </c>
      <c r="M257" s="19" t="s">
        <v>1010</v>
      </c>
    </row>
    <row r="258" spans="1:13" x14ac:dyDescent="0.35">
      <c r="A258" s="19">
        <v>100357</v>
      </c>
      <c r="B258" s="19" t="s">
        <v>1376</v>
      </c>
      <c r="C258" s="19" t="s">
        <v>31</v>
      </c>
      <c r="D258" s="19" t="s">
        <v>675</v>
      </c>
      <c r="E258" s="66" t="s">
        <v>997</v>
      </c>
      <c r="F258" s="67">
        <v>46146</v>
      </c>
      <c r="G258" s="19" t="s">
        <v>1006</v>
      </c>
      <c r="H258" s="19" t="s">
        <v>1007</v>
      </c>
      <c r="I258" s="19" t="s">
        <v>1028</v>
      </c>
      <c r="J258" s="19" t="s">
        <v>1009</v>
      </c>
      <c r="K258" s="67">
        <v>46092</v>
      </c>
      <c r="L258" s="19" t="s">
        <v>1020</v>
      </c>
      <c r="M258" s="19" t="s">
        <v>1010</v>
      </c>
    </row>
    <row r="259" spans="1:13" x14ac:dyDescent="0.35">
      <c r="A259" s="19">
        <v>100363</v>
      </c>
      <c r="B259" s="19" t="s">
        <v>1377</v>
      </c>
      <c r="C259" s="19" t="s">
        <v>17</v>
      </c>
      <c r="D259" s="19" t="s">
        <v>906</v>
      </c>
      <c r="E259" s="66" t="s">
        <v>997</v>
      </c>
      <c r="F259" s="67">
        <v>46143</v>
      </c>
      <c r="G259" s="19" t="s">
        <v>1006</v>
      </c>
      <c r="H259" s="19" t="s">
        <v>1007</v>
      </c>
      <c r="I259" s="19" t="s">
        <v>1008</v>
      </c>
      <c r="J259" s="19" t="s">
        <v>1009</v>
      </c>
      <c r="K259" s="67">
        <v>46092</v>
      </c>
      <c r="L259" s="19" t="s">
        <v>1001</v>
      </c>
      <c r="M259" s="19" t="s">
        <v>1010</v>
      </c>
    </row>
    <row r="260" spans="1:13" x14ac:dyDescent="0.35">
      <c r="A260" s="19">
        <v>100384</v>
      </c>
      <c r="B260" s="19" t="s">
        <v>1378</v>
      </c>
      <c r="C260" s="19" t="s">
        <v>11</v>
      </c>
      <c r="D260" s="19" t="s">
        <v>627</v>
      </c>
      <c r="E260" s="66" t="s">
        <v>997</v>
      </c>
      <c r="F260" s="67">
        <v>46166</v>
      </c>
      <c r="G260" s="19" t="s">
        <v>1006</v>
      </c>
      <c r="H260" s="19" t="s">
        <v>1007</v>
      </c>
      <c r="I260" s="19" t="s">
        <v>1028</v>
      </c>
      <c r="J260" s="19" t="s">
        <v>1009</v>
      </c>
      <c r="K260" s="67">
        <v>46093</v>
      </c>
      <c r="L260" s="19" t="s">
        <v>1020</v>
      </c>
      <c r="M260" s="19" t="s">
        <v>1010</v>
      </c>
    </row>
    <row r="261" spans="1:13" x14ac:dyDescent="0.35">
      <c r="A261" s="19">
        <v>100391</v>
      </c>
      <c r="B261" s="19" t="s">
        <v>1379</v>
      </c>
      <c r="C261" s="19" t="s">
        <v>326</v>
      </c>
      <c r="D261" s="19" t="s">
        <v>1051</v>
      </c>
      <c r="E261" s="66" t="s">
        <v>997</v>
      </c>
      <c r="F261" s="67">
        <v>46164</v>
      </c>
      <c r="G261" s="19" t="s">
        <v>1006</v>
      </c>
      <c r="H261" s="19" t="s">
        <v>1007</v>
      </c>
      <c r="I261" s="19" t="s">
        <v>1028</v>
      </c>
      <c r="J261" s="19" t="s">
        <v>1009</v>
      </c>
      <c r="K261" s="67">
        <v>46093</v>
      </c>
      <c r="L261" s="19" t="s">
        <v>1020</v>
      </c>
      <c r="M261" s="19" t="s">
        <v>1010</v>
      </c>
    </row>
    <row r="262" spans="1:13" x14ac:dyDescent="0.35">
      <c r="A262" s="19">
        <v>100392</v>
      </c>
      <c r="B262" s="19" t="s">
        <v>1380</v>
      </c>
      <c r="C262" s="19" t="s">
        <v>280</v>
      </c>
      <c r="D262" s="19" t="s">
        <v>1223</v>
      </c>
      <c r="E262" s="66" t="s">
        <v>997</v>
      </c>
      <c r="F262" s="67">
        <v>46166</v>
      </c>
      <c r="G262" s="19" t="s">
        <v>1006</v>
      </c>
      <c r="H262" s="19" t="s">
        <v>1007</v>
      </c>
      <c r="I262" s="19" t="s">
        <v>1028</v>
      </c>
      <c r="J262" s="19" t="s">
        <v>1009</v>
      </c>
      <c r="K262" s="67">
        <v>46093</v>
      </c>
      <c r="L262" s="19" t="s">
        <v>1020</v>
      </c>
      <c r="M262" s="19" t="s">
        <v>1010</v>
      </c>
    </row>
    <row r="263" spans="1:13" x14ac:dyDescent="0.35">
      <c r="A263" s="19">
        <v>100397</v>
      </c>
      <c r="B263" s="19" t="s">
        <v>1381</v>
      </c>
      <c r="C263" s="19" t="s">
        <v>68</v>
      </c>
      <c r="D263" s="19" t="s">
        <v>1078</v>
      </c>
      <c r="E263" s="66" t="s">
        <v>997</v>
      </c>
      <c r="F263" s="67">
        <v>46172</v>
      </c>
      <c r="G263" s="19" t="s">
        <v>1006</v>
      </c>
      <c r="H263" s="19" t="s">
        <v>1007</v>
      </c>
      <c r="I263" s="19" t="s">
        <v>1008</v>
      </c>
      <c r="J263" s="19" t="s">
        <v>1009</v>
      </c>
      <c r="K263" s="67">
        <v>46094</v>
      </c>
      <c r="L263" s="19" t="s">
        <v>1001</v>
      </c>
      <c r="M263" s="19" t="s">
        <v>1010</v>
      </c>
    </row>
    <row r="264" spans="1:13" x14ac:dyDescent="0.35">
      <c r="A264" s="19">
        <v>100403</v>
      </c>
      <c r="B264" s="19" t="s">
        <v>1382</v>
      </c>
      <c r="C264" s="19" t="s">
        <v>115</v>
      </c>
      <c r="D264" s="19" t="s">
        <v>1383</v>
      </c>
      <c r="E264" s="66" t="s">
        <v>997</v>
      </c>
      <c r="F264" s="67">
        <v>46147</v>
      </c>
      <c r="G264" s="19" t="s">
        <v>1006</v>
      </c>
      <c r="H264" s="19" t="s">
        <v>1007</v>
      </c>
      <c r="I264" s="19" t="s">
        <v>1028</v>
      </c>
      <c r="J264" s="19" t="s">
        <v>1009</v>
      </c>
      <c r="K264" s="67">
        <v>46094</v>
      </c>
      <c r="L264" s="19" t="s">
        <v>1020</v>
      </c>
      <c r="M264" s="19" t="s">
        <v>1010</v>
      </c>
    </row>
    <row r="265" spans="1:13" x14ac:dyDescent="0.35">
      <c r="A265" s="19">
        <v>100445</v>
      </c>
      <c r="B265" s="19" t="s">
        <v>909</v>
      </c>
      <c r="C265" s="19" t="s">
        <v>347</v>
      </c>
      <c r="D265" s="19" t="s">
        <v>910</v>
      </c>
      <c r="E265" s="66" t="s">
        <v>997</v>
      </c>
      <c r="F265" s="67">
        <v>46159</v>
      </c>
      <c r="G265" s="19" t="s">
        <v>1006</v>
      </c>
      <c r="H265" s="19" t="s">
        <v>1007</v>
      </c>
      <c r="I265" s="19" t="s">
        <v>1057</v>
      </c>
      <c r="J265" s="19" t="s">
        <v>1067</v>
      </c>
      <c r="K265" s="67">
        <v>46095</v>
      </c>
      <c r="L265" s="19" t="s">
        <v>1001</v>
      </c>
      <c r="M265" s="19" t="s">
        <v>1010</v>
      </c>
    </row>
    <row r="266" spans="1:13" x14ac:dyDescent="0.35">
      <c r="A266" s="19">
        <v>100448</v>
      </c>
      <c r="B266" s="19" t="s">
        <v>1384</v>
      </c>
      <c r="C266" s="19" t="s">
        <v>426</v>
      </c>
      <c r="D266" s="19" t="s">
        <v>1220</v>
      </c>
      <c r="E266" s="66" t="s">
        <v>997</v>
      </c>
      <c r="F266" s="67">
        <v>46173</v>
      </c>
      <c r="G266" s="19" t="s">
        <v>1006</v>
      </c>
      <c r="H266" s="19" t="s">
        <v>1007</v>
      </c>
      <c r="I266" s="19" t="s">
        <v>1028</v>
      </c>
      <c r="J266" s="19" t="s">
        <v>1009</v>
      </c>
      <c r="K266" s="67">
        <v>46095</v>
      </c>
      <c r="L266" s="19" t="s">
        <v>1020</v>
      </c>
      <c r="M266" s="19" t="s">
        <v>1010</v>
      </c>
    </row>
    <row r="267" spans="1:13" x14ac:dyDescent="0.35">
      <c r="A267" s="19">
        <v>100451</v>
      </c>
      <c r="B267" s="19" t="s">
        <v>911</v>
      </c>
      <c r="C267" s="19" t="s">
        <v>349</v>
      </c>
      <c r="D267" s="19" t="s">
        <v>912</v>
      </c>
      <c r="E267" s="66" t="s">
        <v>997</v>
      </c>
      <c r="F267" s="67">
        <v>46144</v>
      </c>
      <c r="G267" s="19" t="s">
        <v>1006</v>
      </c>
      <c r="H267" s="19" t="s">
        <v>1007</v>
      </c>
      <c r="I267" s="19" t="s">
        <v>1008</v>
      </c>
      <c r="J267" s="19" t="s">
        <v>1009</v>
      </c>
      <c r="K267" s="67">
        <v>46095</v>
      </c>
      <c r="L267" s="19" t="s">
        <v>1001</v>
      </c>
      <c r="M267" s="19" t="s">
        <v>1010</v>
      </c>
    </row>
    <row r="268" spans="1:13" x14ac:dyDescent="0.35">
      <c r="A268" s="19">
        <v>100453</v>
      </c>
      <c r="B268" s="19" t="s">
        <v>1385</v>
      </c>
      <c r="C268" s="19" t="s">
        <v>273</v>
      </c>
      <c r="D268" s="19" t="s">
        <v>1093</v>
      </c>
      <c r="E268" s="66" t="s">
        <v>997</v>
      </c>
      <c r="F268" s="67">
        <v>46154</v>
      </c>
      <c r="G268" s="19" t="s">
        <v>1006</v>
      </c>
      <c r="H268" s="19" t="s">
        <v>1007</v>
      </c>
      <c r="I268" s="19" t="s">
        <v>1008</v>
      </c>
      <c r="J268" s="19" t="s">
        <v>1009</v>
      </c>
      <c r="K268" s="67">
        <v>46095</v>
      </c>
      <c r="L268" s="19" t="s">
        <v>1001</v>
      </c>
      <c r="M268" s="19" t="s">
        <v>1010</v>
      </c>
    </row>
    <row r="269" spans="1:13" x14ac:dyDescent="0.35">
      <c r="A269" s="19">
        <v>100465</v>
      </c>
      <c r="B269" s="19" t="s">
        <v>1386</v>
      </c>
      <c r="C269" s="19" t="s">
        <v>118</v>
      </c>
      <c r="D269" s="19" t="s">
        <v>1360</v>
      </c>
      <c r="E269" s="66" t="s">
        <v>997</v>
      </c>
      <c r="F269" s="67">
        <v>46152</v>
      </c>
      <c r="G269" s="19" t="s">
        <v>1006</v>
      </c>
      <c r="H269" s="19" t="s">
        <v>1007</v>
      </c>
      <c r="I269" s="19" t="s">
        <v>1028</v>
      </c>
      <c r="J269" s="19" t="s">
        <v>1009</v>
      </c>
      <c r="K269" s="67">
        <v>46095</v>
      </c>
      <c r="L269" s="19" t="s">
        <v>1020</v>
      </c>
      <c r="M269" s="19" t="s">
        <v>1010</v>
      </c>
    </row>
    <row r="270" spans="1:13" x14ac:dyDescent="0.35">
      <c r="A270" s="19">
        <v>100477</v>
      </c>
      <c r="B270" s="19" t="s">
        <v>913</v>
      </c>
      <c r="C270" s="19" t="s">
        <v>252</v>
      </c>
      <c r="D270" s="19" t="s">
        <v>914</v>
      </c>
      <c r="E270" s="66" t="s">
        <v>997</v>
      </c>
      <c r="F270" s="67">
        <v>46152</v>
      </c>
      <c r="G270" s="19" t="s">
        <v>1006</v>
      </c>
      <c r="H270" s="19" t="s">
        <v>1007</v>
      </c>
      <c r="I270" s="19" t="s">
        <v>1028</v>
      </c>
      <c r="J270" s="19" t="s">
        <v>1009</v>
      </c>
      <c r="K270" s="67">
        <v>46096</v>
      </c>
      <c r="L270" s="19" t="s">
        <v>1020</v>
      </c>
      <c r="M270" s="19" t="s">
        <v>1010</v>
      </c>
    </row>
    <row r="271" spans="1:13" x14ac:dyDescent="0.35">
      <c r="A271" s="19">
        <v>100481</v>
      </c>
      <c r="B271" s="19" t="s">
        <v>1387</v>
      </c>
      <c r="C271" s="19" t="s">
        <v>197</v>
      </c>
      <c r="D271" s="19" t="s">
        <v>1297</v>
      </c>
      <c r="E271" s="66" t="s">
        <v>997</v>
      </c>
      <c r="F271" s="67">
        <v>46172</v>
      </c>
      <c r="G271" s="19" t="s">
        <v>1006</v>
      </c>
      <c r="H271" s="19" t="s">
        <v>1007</v>
      </c>
      <c r="I271" s="19" t="s">
        <v>1028</v>
      </c>
      <c r="J271" s="19" t="s">
        <v>1009</v>
      </c>
      <c r="K271" s="67">
        <v>46097</v>
      </c>
      <c r="L271" s="19" t="s">
        <v>1020</v>
      </c>
      <c r="M271" s="19" t="s">
        <v>1010</v>
      </c>
    </row>
    <row r="272" spans="1:13" x14ac:dyDescent="0.35">
      <c r="A272" s="19">
        <v>100502</v>
      </c>
      <c r="B272" s="19" t="s">
        <v>1388</v>
      </c>
      <c r="C272" s="19" t="s">
        <v>318</v>
      </c>
      <c r="D272" s="19" t="s">
        <v>1266</v>
      </c>
      <c r="E272" s="66" t="s">
        <v>997</v>
      </c>
      <c r="F272" s="67">
        <v>46161</v>
      </c>
      <c r="G272" s="19" t="s">
        <v>1006</v>
      </c>
      <c r="H272" s="19" t="s">
        <v>1007</v>
      </c>
      <c r="I272" s="19" t="s">
        <v>1028</v>
      </c>
      <c r="J272" s="19" t="s">
        <v>1009</v>
      </c>
      <c r="K272" s="67">
        <v>46098</v>
      </c>
      <c r="L272" s="19" t="s">
        <v>1020</v>
      </c>
      <c r="M272" s="19" t="s">
        <v>1010</v>
      </c>
    </row>
    <row r="273" spans="1:13" x14ac:dyDescent="0.35">
      <c r="A273" s="19">
        <v>100503</v>
      </c>
      <c r="B273" s="19" t="s">
        <v>1389</v>
      </c>
      <c r="C273" s="19" t="s">
        <v>318</v>
      </c>
      <c r="D273" s="19" t="s">
        <v>1266</v>
      </c>
      <c r="E273" s="66" t="s">
        <v>997</v>
      </c>
      <c r="F273" s="67">
        <v>46173</v>
      </c>
      <c r="G273" s="19" t="s">
        <v>1006</v>
      </c>
      <c r="H273" s="19" t="s">
        <v>1007</v>
      </c>
      <c r="I273" s="19" t="s">
        <v>1028</v>
      </c>
      <c r="J273" s="19" t="s">
        <v>1009</v>
      </c>
      <c r="K273" s="67">
        <v>46098</v>
      </c>
      <c r="L273" s="19" t="s">
        <v>1020</v>
      </c>
      <c r="M273" s="19" t="s">
        <v>1010</v>
      </c>
    </row>
    <row r="274" spans="1:13" x14ac:dyDescent="0.35">
      <c r="A274" s="19">
        <v>100509</v>
      </c>
      <c r="B274" s="19" t="s">
        <v>1390</v>
      </c>
      <c r="C274" s="19" t="s">
        <v>62</v>
      </c>
      <c r="D274" s="19" t="s">
        <v>1228</v>
      </c>
      <c r="E274" s="66" t="s">
        <v>997</v>
      </c>
      <c r="F274" s="67">
        <v>46143</v>
      </c>
      <c r="G274" s="19" t="s">
        <v>1006</v>
      </c>
      <c r="H274" s="19" t="s">
        <v>1007</v>
      </c>
      <c r="I274" s="19" t="s">
        <v>1028</v>
      </c>
      <c r="J274" s="19" t="s">
        <v>1009</v>
      </c>
      <c r="K274" s="67">
        <v>46098</v>
      </c>
      <c r="L274" s="19" t="s">
        <v>1020</v>
      </c>
      <c r="M274" s="19" t="s">
        <v>1010</v>
      </c>
    </row>
    <row r="275" spans="1:13" x14ac:dyDescent="0.35">
      <c r="A275" s="19">
        <v>100539</v>
      </c>
      <c r="B275" s="19" t="s">
        <v>1391</v>
      </c>
      <c r="C275" s="19" t="s">
        <v>102</v>
      </c>
      <c r="D275" s="19" t="s">
        <v>1306</v>
      </c>
      <c r="E275" s="66" t="s">
        <v>997</v>
      </c>
      <c r="F275" s="67">
        <v>46150</v>
      </c>
      <c r="G275" s="19" t="s">
        <v>1006</v>
      </c>
      <c r="H275" s="19" t="s">
        <v>1007</v>
      </c>
      <c r="I275" s="19" t="s">
        <v>1008</v>
      </c>
      <c r="J275" s="19" t="s">
        <v>1009</v>
      </c>
      <c r="K275" s="67">
        <v>46148</v>
      </c>
      <c r="L275" s="19" t="s">
        <v>1001</v>
      </c>
      <c r="M275" s="19" t="s">
        <v>1010</v>
      </c>
    </row>
    <row r="276" spans="1:13" x14ac:dyDescent="0.35">
      <c r="A276" s="19">
        <v>100560</v>
      </c>
      <c r="B276" s="19" t="s">
        <v>1392</v>
      </c>
      <c r="C276" s="19" t="s">
        <v>347</v>
      </c>
      <c r="D276" s="19" t="s">
        <v>910</v>
      </c>
      <c r="E276" s="66" t="s">
        <v>997</v>
      </c>
      <c r="F276" s="67">
        <v>46155</v>
      </c>
      <c r="G276" s="19" t="s">
        <v>1006</v>
      </c>
      <c r="H276" s="19" t="s">
        <v>1007</v>
      </c>
      <c r="I276" s="19" t="s">
        <v>1028</v>
      </c>
      <c r="J276" s="19" t="s">
        <v>1009</v>
      </c>
      <c r="K276" s="67">
        <v>46098</v>
      </c>
      <c r="L276" s="19" t="s">
        <v>1020</v>
      </c>
      <c r="M276" s="19" t="s">
        <v>1010</v>
      </c>
    </row>
    <row r="277" spans="1:13" x14ac:dyDescent="0.35">
      <c r="A277" s="19">
        <v>100561</v>
      </c>
      <c r="B277" s="19" t="s">
        <v>1393</v>
      </c>
      <c r="C277" s="19" t="s">
        <v>243</v>
      </c>
      <c r="D277" s="19" t="s">
        <v>1318</v>
      </c>
      <c r="E277" s="66" t="s">
        <v>997</v>
      </c>
      <c r="F277" s="67">
        <v>46154</v>
      </c>
      <c r="G277" s="19" t="s">
        <v>1394</v>
      </c>
      <c r="H277" s="19" t="s">
        <v>1044</v>
      </c>
      <c r="I277" s="19" t="s">
        <v>1028</v>
      </c>
      <c r="J277" s="19" t="s">
        <v>1009</v>
      </c>
      <c r="K277" s="67">
        <v>46098</v>
      </c>
      <c r="L277" s="19" t="s">
        <v>1020</v>
      </c>
      <c r="M277" s="19" t="s">
        <v>1010</v>
      </c>
    </row>
    <row r="278" spans="1:13" x14ac:dyDescent="0.35">
      <c r="A278" s="19">
        <v>100562</v>
      </c>
      <c r="B278" s="19" t="s">
        <v>1395</v>
      </c>
      <c r="C278" s="19" t="s">
        <v>147</v>
      </c>
      <c r="D278" s="19" t="s">
        <v>1396</v>
      </c>
      <c r="E278" s="66" t="s">
        <v>997</v>
      </c>
      <c r="F278" s="67">
        <v>46145</v>
      </c>
      <c r="G278" s="19" t="s">
        <v>1006</v>
      </c>
      <c r="H278" s="19" t="s">
        <v>1007</v>
      </c>
      <c r="I278" s="19" t="s">
        <v>1028</v>
      </c>
      <c r="J278" s="19" t="s">
        <v>1009</v>
      </c>
      <c r="K278" s="67">
        <v>46098</v>
      </c>
      <c r="L278" s="19" t="s">
        <v>1020</v>
      </c>
      <c r="M278" s="19" t="s">
        <v>1010</v>
      </c>
    </row>
    <row r="279" spans="1:13" x14ac:dyDescent="0.35">
      <c r="A279" s="19">
        <v>100563</v>
      </c>
      <c r="B279" s="19" t="s">
        <v>1397</v>
      </c>
      <c r="C279" s="19" t="s">
        <v>124</v>
      </c>
      <c r="D279" s="19" t="s">
        <v>1398</v>
      </c>
      <c r="E279" s="66" t="s">
        <v>997</v>
      </c>
      <c r="F279" s="67">
        <v>46160</v>
      </c>
      <c r="G279" s="19" t="s">
        <v>1006</v>
      </c>
      <c r="H279" s="19" t="s">
        <v>1007</v>
      </c>
      <c r="I279" s="19" t="s">
        <v>1084</v>
      </c>
      <c r="J279" s="19" t="s">
        <v>1009</v>
      </c>
      <c r="K279" s="67">
        <v>46098</v>
      </c>
      <c r="L279" s="19" t="s">
        <v>1001</v>
      </c>
      <c r="M279" s="19" t="s">
        <v>1111</v>
      </c>
    </row>
    <row r="280" spans="1:13" x14ac:dyDescent="0.35">
      <c r="A280" s="19">
        <v>100572</v>
      </c>
      <c r="B280" s="19" t="s">
        <v>1399</v>
      </c>
      <c r="C280" s="19" t="s">
        <v>335</v>
      </c>
      <c r="D280" s="19" t="s">
        <v>841</v>
      </c>
      <c r="E280" s="66" t="s">
        <v>997</v>
      </c>
      <c r="F280" s="67">
        <v>46152</v>
      </c>
      <c r="G280" s="19" t="s">
        <v>1006</v>
      </c>
      <c r="H280" s="19" t="s">
        <v>1007</v>
      </c>
      <c r="I280" s="19" t="s">
        <v>1028</v>
      </c>
      <c r="J280" s="19" t="s">
        <v>1009</v>
      </c>
      <c r="K280" s="67">
        <v>46098</v>
      </c>
      <c r="L280" s="19" t="s">
        <v>1020</v>
      </c>
      <c r="M280" s="19" t="s">
        <v>1010</v>
      </c>
    </row>
    <row r="281" spans="1:13" x14ac:dyDescent="0.35">
      <c r="A281" s="19">
        <v>100583</v>
      </c>
      <c r="B281" s="19" t="s">
        <v>915</v>
      </c>
      <c r="C281" s="19" t="s">
        <v>28</v>
      </c>
      <c r="D281" s="19" t="s">
        <v>916</v>
      </c>
      <c r="E281" s="66" t="s">
        <v>997</v>
      </c>
      <c r="F281" s="67">
        <v>46168</v>
      </c>
      <c r="G281" s="19" t="s">
        <v>1006</v>
      </c>
      <c r="H281" s="19" t="s">
        <v>1007</v>
      </c>
      <c r="I281" s="19" t="s">
        <v>1028</v>
      </c>
      <c r="J281" s="19" t="s">
        <v>1009</v>
      </c>
      <c r="K281" s="67">
        <v>46099</v>
      </c>
      <c r="L281" s="19" t="s">
        <v>1020</v>
      </c>
      <c r="M281" s="19" t="s">
        <v>1010</v>
      </c>
    </row>
    <row r="282" spans="1:13" x14ac:dyDescent="0.35">
      <c r="A282" s="19">
        <v>100601</v>
      </c>
      <c r="B282" s="19" t="s">
        <v>1400</v>
      </c>
      <c r="C282" s="19" t="s">
        <v>313</v>
      </c>
      <c r="D282" s="19" t="s">
        <v>1401</v>
      </c>
      <c r="E282" s="66" t="s">
        <v>997</v>
      </c>
      <c r="F282" s="67">
        <v>46157</v>
      </c>
      <c r="G282" s="19" t="s">
        <v>1006</v>
      </c>
      <c r="H282" s="19" t="s">
        <v>1007</v>
      </c>
      <c r="I282" s="19" t="s">
        <v>1008</v>
      </c>
      <c r="J282" s="19" t="s">
        <v>1009</v>
      </c>
      <c r="K282" s="67">
        <v>46098</v>
      </c>
      <c r="L282" s="19" t="s">
        <v>1001</v>
      </c>
      <c r="M282" s="19" t="s">
        <v>1010</v>
      </c>
    </row>
    <row r="283" spans="1:13" x14ac:dyDescent="0.35">
      <c r="A283" s="19">
        <v>100605</v>
      </c>
      <c r="B283" s="19" t="s">
        <v>1402</v>
      </c>
      <c r="C283" s="19" t="s">
        <v>36</v>
      </c>
      <c r="D283" s="19" t="s">
        <v>1403</v>
      </c>
      <c r="E283" s="66" t="s">
        <v>997</v>
      </c>
      <c r="F283" s="67">
        <v>46160</v>
      </c>
      <c r="G283" s="19" t="s">
        <v>1006</v>
      </c>
      <c r="H283" s="19" t="s">
        <v>1007</v>
      </c>
      <c r="I283" s="19" t="s">
        <v>1028</v>
      </c>
      <c r="J283" s="19" t="s">
        <v>1009</v>
      </c>
      <c r="K283" s="67">
        <v>46100</v>
      </c>
      <c r="L283" s="19" t="s">
        <v>1020</v>
      </c>
      <c r="M283" s="19" t="s">
        <v>1010</v>
      </c>
    </row>
    <row r="284" spans="1:13" x14ac:dyDescent="0.35">
      <c r="A284" s="19">
        <v>100618</v>
      </c>
      <c r="B284" s="19" t="s">
        <v>917</v>
      </c>
      <c r="C284" s="19" t="s">
        <v>347</v>
      </c>
      <c r="D284" s="19" t="s">
        <v>910</v>
      </c>
      <c r="E284" s="66" t="s">
        <v>997</v>
      </c>
      <c r="F284" s="67">
        <v>46161</v>
      </c>
      <c r="G284" s="19" t="s">
        <v>1006</v>
      </c>
      <c r="H284" s="19" t="s">
        <v>1007</v>
      </c>
      <c r="I284" s="19" t="s">
        <v>1008</v>
      </c>
      <c r="J284" s="19" t="s">
        <v>1009</v>
      </c>
      <c r="K284" s="67">
        <v>46100</v>
      </c>
      <c r="L284" s="19" t="s">
        <v>1001</v>
      </c>
      <c r="M284" s="19" t="s">
        <v>1010</v>
      </c>
    </row>
    <row r="285" spans="1:13" x14ac:dyDescent="0.35">
      <c r="A285" s="19">
        <v>100624</v>
      </c>
      <c r="B285" s="19" t="s">
        <v>1404</v>
      </c>
      <c r="C285" s="19" t="s">
        <v>426</v>
      </c>
      <c r="D285" s="19" t="s">
        <v>1220</v>
      </c>
      <c r="E285" s="66" t="s">
        <v>997</v>
      </c>
      <c r="F285" s="67">
        <v>46173</v>
      </c>
      <c r="G285" s="19" t="s">
        <v>1006</v>
      </c>
      <c r="H285" s="19" t="s">
        <v>1007</v>
      </c>
      <c r="I285" s="19" t="s">
        <v>1028</v>
      </c>
      <c r="J285" s="19" t="s">
        <v>1009</v>
      </c>
      <c r="K285" s="67">
        <v>46105</v>
      </c>
      <c r="L285" s="19" t="s">
        <v>1020</v>
      </c>
      <c r="M285" s="19" t="s">
        <v>1010</v>
      </c>
    </row>
    <row r="286" spans="1:13" x14ac:dyDescent="0.35">
      <c r="A286" s="19">
        <v>100625</v>
      </c>
      <c r="B286" s="19" t="s">
        <v>1405</v>
      </c>
      <c r="C286" s="19" t="s">
        <v>426</v>
      </c>
      <c r="D286" s="19" t="s">
        <v>1220</v>
      </c>
      <c r="E286" s="66" t="s">
        <v>997</v>
      </c>
      <c r="F286" s="67">
        <v>46173</v>
      </c>
      <c r="G286" s="19" t="s">
        <v>1006</v>
      </c>
      <c r="H286" s="19" t="s">
        <v>1007</v>
      </c>
      <c r="I286" s="19" t="s">
        <v>1028</v>
      </c>
      <c r="J286" s="19" t="s">
        <v>1009</v>
      </c>
      <c r="K286" s="67">
        <v>46105</v>
      </c>
      <c r="L286" s="19" t="s">
        <v>1020</v>
      </c>
      <c r="M286" s="19" t="s">
        <v>1010</v>
      </c>
    </row>
    <row r="287" spans="1:13" x14ac:dyDescent="0.35">
      <c r="A287" s="19">
        <v>100626</v>
      </c>
      <c r="B287" s="19" t="s">
        <v>1406</v>
      </c>
      <c r="C287" s="19" t="s">
        <v>426</v>
      </c>
      <c r="D287" s="19" t="s">
        <v>1220</v>
      </c>
      <c r="E287" s="66" t="s">
        <v>997</v>
      </c>
      <c r="F287" s="67">
        <v>46158</v>
      </c>
      <c r="G287" s="19" t="s">
        <v>1006</v>
      </c>
      <c r="H287" s="19" t="s">
        <v>1007</v>
      </c>
      <c r="I287" s="19" t="s">
        <v>1028</v>
      </c>
      <c r="J287" s="19" t="s">
        <v>1009</v>
      </c>
      <c r="K287" s="67">
        <v>46105</v>
      </c>
      <c r="L287" s="19" t="s">
        <v>1020</v>
      </c>
      <c r="M287" s="19" t="s">
        <v>1010</v>
      </c>
    </row>
    <row r="288" spans="1:13" x14ac:dyDescent="0.35">
      <c r="A288" s="19">
        <v>100627</v>
      </c>
      <c r="B288" s="19" t="s">
        <v>1407</v>
      </c>
      <c r="C288" s="19" t="s">
        <v>349</v>
      </c>
      <c r="D288" s="19" t="s">
        <v>912</v>
      </c>
      <c r="E288" s="66" t="s">
        <v>997</v>
      </c>
      <c r="F288" s="67">
        <v>46144</v>
      </c>
      <c r="G288" s="19" t="s">
        <v>1006</v>
      </c>
      <c r="H288" s="19" t="s">
        <v>1007</v>
      </c>
      <c r="I288" s="19" t="s">
        <v>1008</v>
      </c>
      <c r="J288" s="19" t="s">
        <v>1009</v>
      </c>
      <c r="K288" s="67">
        <v>46105</v>
      </c>
      <c r="L288" s="19" t="s">
        <v>1001</v>
      </c>
      <c r="M288" s="19" t="s">
        <v>1010</v>
      </c>
    </row>
    <row r="289" spans="1:13" x14ac:dyDescent="0.35">
      <c r="A289" s="19">
        <v>100636</v>
      </c>
      <c r="B289" s="19" t="s">
        <v>1408</v>
      </c>
      <c r="C289" s="19" t="s">
        <v>273</v>
      </c>
      <c r="D289" s="19" t="s">
        <v>1093</v>
      </c>
      <c r="E289" s="66" t="s">
        <v>997</v>
      </c>
      <c r="F289" s="67">
        <v>46151</v>
      </c>
      <c r="G289" s="19" t="s">
        <v>1006</v>
      </c>
      <c r="H289" s="19" t="s">
        <v>1007</v>
      </c>
      <c r="I289" s="19" t="s">
        <v>1028</v>
      </c>
      <c r="J289" s="19" t="s">
        <v>1009</v>
      </c>
      <c r="K289" s="67">
        <v>46106</v>
      </c>
      <c r="L289" s="19" t="s">
        <v>1020</v>
      </c>
      <c r="M289" s="19" t="s">
        <v>1010</v>
      </c>
    </row>
    <row r="290" spans="1:13" x14ac:dyDescent="0.35">
      <c r="A290" s="19">
        <v>100640</v>
      </c>
      <c r="B290" s="19" t="s">
        <v>1409</v>
      </c>
      <c r="C290" s="19" t="s">
        <v>318</v>
      </c>
      <c r="D290" s="19" t="s">
        <v>1266</v>
      </c>
      <c r="E290" s="66" t="s">
        <v>997</v>
      </c>
      <c r="F290" s="67">
        <v>46173</v>
      </c>
      <c r="G290" s="19" t="s">
        <v>1006</v>
      </c>
      <c r="H290" s="19" t="s">
        <v>1007</v>
      </c>
      <c r="I290" s="19" t="s">
        <v>1028</v>
      </c>
      <c r="J290" s="19" t="s">
        <v>1009</v>
      </c>
      <c r="K290" s="67">
        <v>46107</v>
      </c>
      <c r="L290" s="19" t="s">
        <v>1020</v>
      </c>
      <c r="M290" s="19" t="s">
        <v>1010</v>
      </c>
    </row>
    <row r="291" spans="1:13" x14ac:dyDescent="0.35">
      <c r="A291" s="19">
        <v>100652</v>
      </c>
      <c r="B291" s="19" t="s">
        <v>1410</v>
      </c>
      <c r="C291" s="19" t="s">
        <v>218</v>
      </c>
      <c r="D291" s="19" t="s">
        <v>1372</v>
      </c>
      <c r="E291" s="66" t="s">
        <v>997</v>
      </c>
      <c r="F291" s="67">
        <v>46155</v>
      </c>
      <c r="G291" s="19" t="s">
        <v>1006</v>
      </c>
      <c r="H291" s="19" t="s">
        <v>1007</v>
      </c>
      <c r="I291" s="19" t="s">
        <v>1028</v>
      </c>
      <c r="J291" s="19" t="s">
        <v>1009</v>
      </c>
      <c r="K291" s="67">
        <v>46108</v>
      </c>
      <c r="L291" s="19" t="s">
        <v>1020</v>
      </c>
      <c r="M291" s="19" t="s">
        <v>1010</v>
      </c>
    </row>
    <row r="292" spans="1:13" x14ac:dyDescent="0.35">
      <c r="A292" s="19">
        <v>100690</v>
      </c>
      <c r="B292" s="19" t="s">
        <v>1411</v>
      </c>
      <c r="C292" s="19" t="s">
        <v>161</v>
      </c>
      <c r="D292" s="19" t="s">
        <v>1027</v>
      </c>
      <c r="E292" s="66" t="s">
        <v>997</v>
      </c>
      <c r="F292" s="67">
        <v>46163</v>
      </c>
      <c r="G292" s="19" t="s">
        <v>1006</v>
      </c>
      <c r="H292" s="19" t="s">
        <v>1007</v>
      </c>
      <c r="I292" s="19" t="s">
        <v>1028</v>
      </c>
      <c r="J292" s="19" t="s">
        <v>1009</v>
      </c>
      <c r="K292" s="67">
        <v>46113</v>
      </c>
      <c r="L292" s="19" t="s">
        <v>1020</v>
      </c>
      <c r="M292" s="19" t="s">
        <v>1010</v>
      </c>
    </row>
    <row r="293" spans="1:13" x14ac:dyDescent="0.35">
      <c r="A293" s="19">
        <v>100706</v>
      </c>
      <c r="B293" s="19" t="s">
        <v>1412</v>
      </c>
      <c r="C293" s="19" t="s">
        <v>324</v>
      </c>
      <c r="D293" s="19" t="s">
        <v>1284</v>
      </c>
      <c r="E293" s="66" t="s">
        <v>997</v>
      </c>
      <c r="F293" s="67">
        <v>46151</v>
      </c>
      <c r="G293" s="19" t="s">
        <v>1006</v>
      </c>
      <c r="H293" s="19" t="s">
        <v>1007</v>
      </c>
      <c r="I293" s="19" t="s">
        <v>1019</v>
      </c>
      <c r="J293" s="19" t="s">
        <v>1067</v>
      </c>
      <c r="K293" s="67">
        <v>46114</v>
      </c>
      <c r="L293" s="19" t="s">
        <v>1020</v>
      </c>
      <c r="M293" s="19" t="s">
        <v>1010</v>
      </c>
    </row>
    <row r="294" spans="1:13" x14ac:dyDescent="0.35">
      <c r="A294" s="19">
        <v>100709</v>
      </c>
      <c r="B294" s="19" t="s">
        <v>1413</v>
      </c>
      <c r="C294" s="19" t="s">
        <v>118</v>
      </c>
      <c r="D294" s="19" t="s">
        <v>1360</v>
      </c>
      <c r="E294" s="66" t="s">
        <v>997</v>
      </c>
      <c r="F294" s="67">
        <v>46152</v>
      </c>
      <c r="G294" s="19" t="s">
        <v>1006</v>
      </c>
      <c r="H294" s="19" t="s">
        <v>1007</v>
      </c>
      <c r="I294" s="19" t="s">
        <v>1028</v>
      </c>
      <c r="J294" s="19" t="s">
        <v>1009</v>
      </c>
      <c r="K294" s="67">
        <v>46114</v>
      </c>
      <c r="L294" s="19" t="s">
        <v>1020</v>
      </c>
      <c r="M294" s="19" t="s">
        <v>1010</v>
      </c>
    </row>
    <row r="295" spans="1:13" x14ac:dyDescent="0.35">
      <c r="A295" s="19">
        <v>100717</v>
      </c>
      <c r="B295" s="19" t="s">
        <v>1414</v>
      </c>
      <c r="C295" s="19" t="s">
        <v>140</v>
      </c>
      <c r="D295" s="19" t="s">
        <v>1138</v>
      </c>
      <c r="E295" s="66" t="s">
        <v>997</v>
      </c>
      <c r="F295" s="67">
        <v>46173</v>
      </c>
      <c r="G295" s="19" t="s">
        <v>1006</v>
      </c>
      <c r="H295" s="19" t="s">
        <v>1007</v>
      </c>
      <c r="I295" s="19" t="s">
        <v>1008</v>
      </c>
      <c r="J295" s="19" t="s">
        <v>1009</v>
      </c>
      <c r="K295" s="67">
        <v>46114</v>
      </c>
      <c r="L295" s="19" t="s">
        <v>1001</v>
      </c>
      <c r="M295" s="19" t="s">
        <v>1010</v>
      </c>
    </row>
    <row r="296" spans="1:13" x14ac:dyDescent="0.35">
      <c r="A296" s="19">
        <v>100720</v>
      </c>
      <c r="B296" s="19" t="s">
        <v>1415</v>
      </c>
      <c r="C296" s="19" t="s">
        <v>30</v>
      </c>
      <c r="D296" s="19" t="s">
        <v>672</v>
      </c>
      <c r="E296" s="66" t="s">
        <v>997</v>
      </c>
      <c r="F296" s="67">
        <v>46147</v>
      </c>
      <c r="G296" s="19" t="s">
        <v>1394</v>
      </c>
      <c r="H296" s="19" t="s">
        <v>1044</v>
      </c>
      <c r="I296" s="19" t="s">
        <v>1084</v>
      </c>
      <c r="J296" s="19" t="s">
        <v>1009</v>
      </c>
      <c r="K296" s="67">
        <v>46114</v>
      </c>
      <c r="L296" s="19" t="s">
        <v>1001</v>
      </c>
      <c r="M296" s="19" t="s">
        <v>1010</v>
      </c>
    </row>
    <row r="297" spans="1:13" x14ac:dyDescent="0.35">
      <c r="A297" s="19">
        <v>100726</v>
      </c>
      <c r="B297" s="19" t="s">
        <v>1416</v>
      </c>
      <c r="C297" s="19" t="s">
        <v>282</v>
      </c>
      <c r="D297" s="19" t="s">
        <v>1417</v>
      </c>
      <c r="E297" s="66" t="s">
        <v>997</v>
      </c>
      <c r="F297" s="67">
        <v>46164</v>
      </c>
      <c r="G297" s="19" t="s">
        <v>1006</v>
      </c>
      <c r="H297" s="19" t="s">
        <v>1007</v>
      </c>
      <c r="I297" s="19" t="s">
        <v>1028</v>
      </c>
      <c r="J297" s="19" t="s">
        <v>1009</v>
      </c>
      <c r="K297" s="67">
        <v>46115</v>
      </c>
      <c r="L297" s="19" t="s">
        <v>1020</v>
      </c>
      <c r="M297" s="19" t="s">
        <v>1010</v>
      </c>
    </row>
    <row r="298" spans="1:13" x14ac:dyDescent="0.35">
      <c r="A298" s="19">
        <v>100727</v>
      </c>
      <c r="B298" s="19" t="s">
        <v>1418</v>
      </c>
      <c r="C298" s="19" t="s">
        <v>373</v>
      </c>
      <c r="D298" s="19" t="s">
        <v>1033</v>
      </c>
      <c r="E298" s="66" t="s">
        <v>997</v>
      </c>
      <c r="F298" s="67">
        <v>46173</v>
      </c>
      <c r="G298" s="19" t="s">
        <v>1006</v>
      </c>
      <c r="H298" s="19" t="s">
        <v>1007</v>
      </c>
      <c r="I298" s="19" t="s">
        <v>1028</v>
      </c>
      <c r="J298" s="19" t="s">
        <v>1009</v>
      </c>
      <c r="K298" s="67">
        <v>46114</v>
      </c>
      <c r="L298" s="19" t="s">
        <v>1020</v>
      </c>
      <c r="M298" s="19" t="s">
        <v>1010</v>
      </c>
    </row>
    <row r="299" spans="1:13" x14ac:dyDescent="0.35">
      <c r="A299" s="19">
        <v>100728</v>
      </c>
      <c r="B299" s="19" t="s">
        <v>1419</v>
      </c>
      <c r="C299" s="19" t="s">
        <v>284</v>
      </c>
      <c r="D299" s="19" t="s">
        <v>1150</v>
      </c>
      <c r="E299" s="66" t="s">
        <v>997</v>
      </c>
      <c r="F299" s="67">
        <v>46173</v>
      </c>
      <c r="G299" s="19" t="s">
        <v>1006</v>
      </c>
      <c r="H299" s="19" t="s">
        <v>1007</v>
      </c>
      <c r="I299" s="19" t="s">
        <v>1019</v>
      </c>
      <c r="J299" s="19" t="s">
        <v>1067</v>
      </c>
      <c r="K299" s="67">
        <v>46114</v>
      </c>
      <c r="L299" s="19" t="s">
        <v>1020</v>
      </c>
      <c r="M299" s="19" t="s">
        <v>1010</v>
      </c>
    </row>
    <row r="300" spans="1:13" x14ac:dyDescent="0.35">
      <c r="A300" s="19">
        <v>100733</v>
      </c>
      <c r="B300" s="19" t="s">
        <v>1420</v>
      </c>
      <c r="C300" s="19" t="s">
        <v>147</v>
      </c>
      <c r="D300" s="19" t="s">
        <v>1396</v>
      </c>
      <c r="E300" s="66" t="s">
        <v>997</v>
      </c>
      <c r="F300" s="67">
        <v>46163</v>
      </c>
      <c r="G300" s="19" t="s">
        <v>1394</v>
      </c>
      <c r="H300" s="19" t="s">
        <v>1044</v>
      </c>
      <c r="I300" s="19" t="s">
        <v>1028</v>
      </c>
      <c r="J300" s="19" t="s">
        <v>1009</v>
      </c>
      <c r="K300" s="67">
        <v>46114</v>
      </c>
      <c r="L300" s="19" t="s">
        <v>1020</v>
      </c>
      <c r="M300" s="19" t="s">
        <v>1010</v>
      </c>
    </row>
    <row r="301" spans="1:13" x14ac:dyDescent="0.35">
      <c r="A301" s="19">
        <v>100734</v>
      </c>
      <c r="B301" s="19" t="s">
        <v>1421</v>
      </c>
      <c r="C301" s="19" t="s">
        <v>341</v>
      </c>
      <c r="D301" s="19" t="s">
        <v>1264</v>
      </c>
      <c r="E301" s="66" t="s">
        <v>997</v>
      </c>
      <c r="F301" s="67">
        <v>46159</v>
      </c>
      <c r="G301" s="19" t="s">
        <v>1006</v>
      </c>
      <c r="H301" s="19" t="s">
        <v>1007</v>
      </c>
      <c r="I301" s="19" t="s">
        <v>1008</v>
      </c>
      <c r="J301" s="19" t="s">
        <v>1009</v>
      </c>
      <c r="K301" s="67">
        <v>46114</v>
      </c>
      <c r="L301" s="19" t="s">
        <v>1001</v>
      </c>
      <c r="M301" s="19" t="s">
        <v>1010</v>
      </c>
    </row>
    <row r="302" spans="1:13" x14ac:dyDescent="0.35">
      <c r="A302" s="19">
        <v>100741</v>
      </c>
      <c r="B302" s="19" t="s">
        <v>1422</v>
      </c>
      <c r="C302" s="19" t="s">
        <v>347</v>
      </c>
      <c r="D302" s="19" t="s">
        <v>910</v>
      </c>
      <c r="E302" s="66" t="s">
        <v>997</v>
      </c>
      <c r="F302" s="67">
        <v>46161</v>
      </c>
      <c r="G302" s="19" t="s">
        <v>1006</v>
      </c>
      <c r="H302" s="19" t="s">
        <v>1007</v>
      </c>
      <c r="I302" s="19" t="s">
        <v>1084</v>
      </c>
      <c r="J302" s="19" t="s">
        <v>1009</v>
      </c>
      <c r="K302" s="67">
        <v>46116</v>
      </c>
      <c r="L302" s="19" t="s">
        <v>1001</v>
      </c>
      <c r="M302" s="19" t="s">
        <v>1010</v>
      </c>
    </row>
    <row r="303" spans="1:13" x14ac:dyDescent="0.35">
      <c r="A303" s="19">
        <v>100745</v>
      </c>
      <c r="B303" s="19" t="s">
        <v>1423</v>
      </c>
      <c r="C303" s="19" t="s">
        <v>161</v>
      </c>
      <c r="D303" s="19" t="s">
        <v>1027</v>
      </c>
      <c r="E303" s="66" t="s">
        <v>997</v>
      </c>
      <c r="F303" s="67">
        <v>46154</v>
      </c>
      <c r="G303" s="19" t="s">
        <v>1006</v>
      </c>
      <c r="H303" s="19" t="s">
        <v>1007</v>
      </c>
      <c r="I303" s="19" t="s">
        <v>1028</v>
      </c>
      <c r="J303" s="19" t="s">
        <v>1009</v>
      </c>
      <c r="K303" s="67">
        <v>46116</v>
      </c>
      <c r="L303" s="19" t="s">
        <v>1020</v>
      </c>
      <c r="M303" s="19" t="s">
        <v>1010</v>
      </c>
    </row>
    <row r="304" spans="1:13" x14ac:dyDescent="0.35">
      <c r="A304" s="19">
        <v>100754</v>
      </c>
      <c r="B304" s="19" t="s">
        <v>918</v>
      </c>
      <c r="C304" s="19" t="s">
        <v>93</v>
      </c>
      <c r="D304" s="19" t="s">
        <v>919</v>
      </c>
      <c r="E304" s="66" t="s">
        <v>997</v>
      </c>
      <c r="F304" s="67">
        <v>46173</v>
      </c>
      <c r="G304" s="19" t="s">
        <v>1006</v>
      </c>
      <c r="H304" s="19" t="s">
        <v>1007</v>
      </c>
      <c r="I304" s="19" t="s">
        <v>1084</v>
      </c>
      <c r="J304" s="19" t="s">
        <v>1009</v>
      </c>
      <c r="K304" s="67">
        <v>46119</v>
      </c>
      <c r="L304" s="19" t="s">
        <v>1020</v>
      </c>
      <c r="M304" s="19" t="s">
        <v>1010</v>
      </c>
    </row>
    <row r="305" spans="1:13" x14ac:dyDescent="0.35">
      <c r="A305" s="19">
        <v>100779</v>
      </c>
      <c r="B305" s="19" t="s">
        <v>1424</v>
      </c>
      <c r="C305" s="19" t="s">
        <v>430</v>
      </c>
      <c r="D305" s="19" t="s">
        <v>1105</v>
      </c>
      <c r="E305" s="66" t="s">
        <v>997</v>
      </c>
      <c r="F305" s="67">
        <v>46153</v>
      </c>
      <c r="G305" s="19" t="s">
        <v>1006</v>
      </c>
      <c r="H305" s="19" t="s">
        <v>1007</v>
      </c>
      <c r="I305" s="19" t="s">
        <v>1019</v>
      </c>
      <c r="J305" s="19" t="s">
        <v>1009</v>
      </c>
      <c r="K305" s="67">
        <v>46120</v>
      </c>
      <c r="L305" s="19" t="s">
        <v>1020</v>
      </c>
      <c r="M305" s="19" t="s">
        <v>1010</v>
      </c>
    </row>
    <row r="306" spans="1:13" x14ac:dyDescent="0.35">
      <c r="A306" s="19">
        <v>100781</v>
      </c>
      <c r="B306" s="19" t="s">
        <v>1425</v>
      </c>
      <c r="C306" s="19" t="s">
        <v>422</v>
      </c>
      <c r="D306" s="19" t="s">
        <v>423</v>
      </c>
      <c r="E306" s="66" t="s">
        <v>997</v>
      </c>
      <c r="F306" s="67">
        <v>46171</v>
      </c>
      <c r="G306" s="19" t="s">
        <v>1006</v>
      </c>
      <c r="H306" s="19" t="s">
        <v>1007</v>
      </c>
      <c r="I306" s="19" t="s">
        <v>1008</v>
      </c>
      <c r="J306" s="19" t="s">
        <v>1009</v>
      </c>
      <c r="K306" s="67">
        <v>46120</v>
      </c>
      <c r="L306" s="19" t="s">
        <v>1001</v>
      </c>
      <c r="M306" s="19" t="s">
        <v>1010</v>
      </c>
    </row>
    <row r="307" spans="1:13" x14ac:dyDescent="0.35">
      <c r="A307" s="19">
        <v>100792</v>
      </c>
      <c r="B307" s="19" t="s">
        <v>1426</v>
      </c>
      <c r="C307" s="19" t="s">
        <v>89</v>
      </c>
      <c r="D307" s="19" t="s">
        <v>1217</v>
      </c>
      <c r="E307" s="66" t="s">
        <v>997</v>
      </c>
      <c r="F307" s="67">
        <v>46171</v>
      </c>
      <c r="G307" s="19" t="s">
        <v>1006</v>
      </c>
      <c r="H307" s="19" t="s">
        <v>1007</v>
      </c>
      <c r="I307" s="19" t="s">
        <v>1028</v>
      </c>
      <c r="J307" s="19" t="s">
        <v>1009</v>
      </c>
      <c r="K307" s="67">
        <v>46120</v>
      </c>
      <c r="L307" s="19" t="s">
        <v>1020</v>
      </c>
      <c r="M307" s="19" t="s">
        <v>1010</v>
      </c>
    </row>
    <row r="308" spans="1:13" x14ac:dyDescent="0.35">
      <c r="A308" s="19">
        <v>100795</v>
      </c>
      <c r="B308" s="19" t="s">
        <v>1427</v>
      </c>
      <c r="C308" s="19" t="s">
        <v>23</v>
      </c>
      <c r="D308" s="19" t="s">
        <v>660</v>
      </c>
      <c r="E308" s="66" t="s">
        <v>997</v>
      </c>
      <c r="F308" s="67">
        <v>46159</v>
      </c>
      <c r="G308" s="19" t="s">
        <v>1006</v>
      </c>
      <c r="H308" s="19" t="s">
        <v>1007</v>
      </c>
      <c r="I308" s="19" t="s">
        <v>1019</v>
      </c>
      <c r="J308" s="19" t="s">
        <v>1009</v>
      </c>
      <c r="K308" s="67">
        <v>46120</v>
      </c>
      <c r="L308" s="19" t="s">
        <v>1020</v>
      </c>
      <c r="M308" s="19" t="s">
        <v>1010</v>
      </c>
    </row>
    <row r="309" spans="1:13" x14ac:dyDescent="0.35">
      <c r="A309" s="19">
        <v>100814</v>
      </c>
      <c r="B309" s="19" t="s">
        <v>1428</v>
      </c>
      <c r="C309" s="19" t="s">
        <v>128</v>
      </c>
      <c r="D309" s="19" t="s">
        <v>1075</v>
      </c>
      <c r="E309" s="66" t="s">
        <v>997</v>
      </c>
      <c r="F309" s="67">
        <v>46162</v>
      </c>
      <c r="G309" s="19" t="s">
        <v>1006</v>
      </c>
      <c r="H309" s="19" t="s">
        <v>1007</v>
      </c>
      <c r="I309" s="19" t="s">
        <v>1008</v>
      </c>
      <c r="J309" s="19" t="s">
        <v>1009</v>
      </c>
      <c r="K309" s="67">
        <v>46121</v>
      </c>
      <c r="L309" s="19" t="s">
        <v>1001</v>
      </c>
      <c r="M309" s="19" t="s">
        <v>1010</v>
      </c>
    </row>
    <row r="310" spans="1:13" x14ac:dyDescent="0.35">
      <c r="A310" s="19">
        <v>100818</v>
      </c>
      <c r="B310" s="19" t="s">
        <v>1429</v>
      </c>
      <c r="C310" s="19" t="s">
        <v>278</v>
      </c>
      <c r="D310" s="19" t="s">
        <v>1131</v>
      </c>
      <c r="E310" s="66" t="s">
        <v>997</v>
      </c>
      <c r="F310" s="67">
        <v>46157</v>
      </c>
      <c r="G310" s="19" t="s">
        <v>1394</v>
      </c>
      <c r="H310" s="19" t="s">
        <v>1044</v>
      </c>
      <c r="I310" s="19" t="s">
        <v>1028</v>
      </c>
      <c r="J310" s="19" t="s">
        <v>1009</v>
      </c>
      <c r="K310" s="67">
        <v>46121</v>
      </c>
      <c r="L310" s="19" t="s">
        <v>1020</v>
      </c>
      <c r="M310" s="19" t="s">
        <v>1010</v>
      </c>
    </row>
    <row r="311" spans="1:13" x14ac:dyDescent="0.35">
      <c r="A311" s="19">
        <v>100821</v>
      </c>
      <c r="B311" s="19" t="s">
        <v>1430</v>
      </c>
      <c r="C311" s="19" t="s">
        <v>280</v>
      </c>
      <c r="D311" s="19" t="s">
        <v>1223</v>
      </c>
      <c r="E311" s="66" t="s">
        <v>997</v>
      </c>
      <c r="F311" s="67">
        <v>46172</v>
      </c>
      <c r="G311" s="19" t="s">
        <v>1006</v>
      </c>
      <c r="H311" s="19" t="s">
        <v>1007</v>
      </c>
      <c r="I311" s="19" t="s">
        <v>1028</v>
      </c>
      <c r="J311" s="19" t="s">
        <v>1009</v>
      </c>
      <c r="K311" s="67">
        <v>46122</v>
      </c>
      <c r="L311" s="19" t="s">
        <v>1020</v>
      </c>
      <c r="M311" s="19" t="s">
        <v>1010</v>
      </c>
    </row>
    <row r="312" spans="1:13" x14ac:dyDescent="0.35">
      <c r="A312" s="19">
        <v>100829</v>
      </c>
      <c r="B312" s="19" t="s">
        <v>1431</v>
      </c>
      <c r="C312" s="19" t="s">
        <v>26</v>
      </c>
      <c r="D312" s="19" t="s">
        <v>1124</v>
      </c>
      <c r="E312" s="66" t="s">
        <v>997</v>
      </c>
      <c r="F312" s="67">
        <v>46158</v>
      </c>
      <c r="G312" s="19" t="s">
        <v>1006</v>
      </c>
      <c r="H312" s="19" t="s">
        <v>1007</v>
      </c>
      <c r="I312" s="19" t="s">
        <v>1084</v>
      </c>
      <c r="J312" s="19" t="s">
        <v>1009</v>
      </c>
      <c r="K312" s="67">
        <v>46122</v>
      </c>
      <c r="L312" s="19" t="s">
        <v>1001</v>
      </c>
      <c r="M312" s="19" t="s">
        <v>1010</v>
      </c>
    </row>
    <row r="313" spans="1:13" x14ac:dyDescent="0.35">
      <c r="A313" s="19">
        <v>100832</v>
      </c>
      <c r="B313" s="19" t="s">
        <v>1432</v>
      </c>
      <c r="C313" s="19" t="s">
        <v>385</v>
      </c>
      <c r="D313" s="19" t="s">
        <v>1059</v>
      </c>
      <c r="E313" s="66" t="s">
        <v>997</v>
      </c>
      <c r="F313" s="67">
        <v>46152</v>
      </c>
      <c r="G313" s="19" t="s">
        <v>1006</v>
      </c>
      <c r="H313" s="19" t="s">
        <v>1007</v>
      </c>
      <c r="I313" s="19" t="s">
        <v>1028</v>
      </c>
      <c r="J313" s="19" t="s">
        <v>1009</v>
      </c>
      <c r="K313" s="67">
        <v>46122</v>
      </c>
      <c r="L313" s="19" t="s">
        <v>1020</v>
      </c>
      <c r="M313" s="19" t="s">
        <v>1010</v>
      </c>
    </row>
    <row r="314" spans="1:13" x14ac:dyDescent="0.35">
      <c r="A314" s="19">
        <v>100840</v>
      </c>
      <c r="B314" s="19" t="s">
        <v>1433</v>
      </c>
      <c r="C314" s="19" t="s">
        <v>201</v>
      </c>
      <c r="D314" s="19" t="s">
        <v>1061</v>
      </c>
      <c r="E314" s="66" t="s">
        <v>997</v>
      </c>
      <c r="F314" s="67">
        <v>46155</v>
      </c>
      <c r="G314" s="19" t="s">
        <v>1006</v>
      </c>
      <c r="H314" s="19" t="s">
        <v>1007</v>
      </c>
      <c r="I314" s="19" t="s">
        <v>1028</v>
      </c>
      <c r="J314" s="19" t="s">
        <v>1009</v>
      </c>
      <c r="K314" s="67">
        <v>46123</v>
      </c>
      <c r="L314" s="19" t="s">
        <v>1020</v>
      </c>
      <c r="M314" s="19" t="s">
        <v>1010</v>
      </c>
    </row>
    <row r="315" spans="1:13" x14ac:dyDescent="0.35">
      <c r="A315" s="19">
        <v>100849</v>
      </c>
      <c r="B315" s="19" t="s">
        <v>1434</v>
      </c>
      <c r="C315" s="19" t="s">
        <v>330</v>
      </c>
      <c r="D315" s="19" t="s">
        <v>332</v>
      </c>
      <c r="E315" s="66" t="s">
        <v>997</v>
      </c>
      <c r="F315" s="67">
        <v>46144</v>
      </c>
      <c r="G315" s="19" t="s">
        <v>1006</v>
      </c>
      <c r="H315" s="19" t="s">
        <v>1007</v>
      </c>
      <c r="I315" s="19" t="s">
        <v>1028</v>
      </c>
      <c r="J315" s="19" t="s">
        <v>1009</v>
      </c>
      <c r="K315" s="67">
        <v>46123</v>
      </c>
      <c r="L315" s="19" t="s">
        <v>1020</v>
      </c>
      <c r="M315" s="19" t="s">
        <v>1010</v>
      </c>
    </row>
    <row r="316" spans="1:13" x14ac:dyDescent="0.35">
      <c r="A316" s="19">
        <v>100850</v>
      </c>
      <c r="B316" s="19" t="s">
        <v>1435</v>
      </c>
      <c r="C316" s="19" t="s">
        <v>126</v>
      </c>
      <c r="D316" s="19" t="s">
        <v>1152</v>
      </c>
      <c r="E316" s="66" t="s">
        <v>997</v>
      </c>
      <c r="F316" s="67">
        <v>46173</v>
      </c>
      <c r="G316" s="19" t="s">
        <v>1006</v>
      </c>
      <c r="H316" s="19" t="s">
        <v>1007</v>
      </c>
      <c r="I316" s="19" t="s">
        <v>1008</v>
      </c>
      <c r="J316" s="19" t="s">
        <v>1009</v>
      </c>
      <c r="K316" s="67">
        <v>46123</v>
      </c>
      <c r="L316" s="19" t="s">
        <v>1001</v>
      </c>
      <c r="M316" s="19" t="s">
        <v>1010</v>
      </c>
    </row>
    <row r="317" spans="1:13" x14ac:dyDescent="0.35">
      <c r="A317" s="19">
        <v>100852</v>
      </c>
      <c r="B317" s="19" t="s">
        <v>1436</v>
      </c>
      <c r="C317" s="19" t="s">
        <v>89</v>
      </c>
      <c r="D317" s="19" t="s">
        <v>1217</v>
      </c>
      <c r="E317" s="66" t="s">
        <v>997</v>
      </c>
      <c r="F317" s="67">
        <v>46155</v>
      </c>
      <c r="G317" s="19" t="s">
        <v>1006</v>
      </c>
      <c r="H317" s="19" t="s">
        <v>1007</v>
      </c>
      <c r="I317" s="19" t="s">
        <v>1028</v>
      </c>
      <c r="J317" s="19" t="s">
        <v>1009</v>
      </c>
      <c r="K317" s="67">
        <v>46123</v>
      </c>
      <c r="L317" s="19" t="s">
        <v>1020</v>
      </c>
      <c r="M317" s="19" t="s">
        <v>1010</v>
      </c>
    </row>
    <row r="318" spans="1:13" x14ac:dyDescent="0.35">
      <c r="A318" s="19">
        <v>100854</v>
      </c>
      <c r="B318" s="19" t="s">
        <v>1437</v>
      </c>
      <c r="C318" s="19" t="s">
        <v>415</v>
      </c>
      <c r="D318" s="19" t="s">
        <v>1199</v>
      </c>
      <c r="E318" s="66" t="s">
        <v>997</v>
      </c>
      <c r="F318" s="67">
        <v>46173</v>
      </c>
      <c r="G318" s="19" t="s">
        <v>1006</v>
      </c>
      <c r="H318" s="19" t="s">
        <v>1007</v>
      </c>
      <c r="I318" s="19" t="s">
        <v>1028</v>
      </c>
      <c r="J318" s="19" t="s">
        <v>1009</v>
      </c>
      <c r="K318" s="67">
        <v>46123</v>
      </c>
      <c r="L318" s="19" t="s">
        <v>1020</v>
      </c>
      <c r="M318" s="19" t="s">
        <v>1010</v>
      </c>
    </row>
    <row r="319" spans="1:13" x14ac:dyDescent="0.35">
      <c r="A319" s="19">
        <v>100867</v>
      </c>
      <c r="B319" s="19" t="s">
        <v>1438</v>
      </c>
      <c r="C319" s="19" t="s">
        <v>318</v>
      </c>
      <c r="D319" s="19" t="s">
        <v>1266</v>
      </c>
      <c r="E319" s="66" t="s">
        <v>997</v>
      </c>
      <c r="F319" s="67">
        <v>46161</v>
      </c>
      <c r="G319" s="19" t="s">
        <v>1006</v>
      </c>
      <c r="H319" s="19" t="s">
        <v>1007</v>
      </c>
      <c r="I319" s="19" t="s">
        <v>1028</v>
      </c>
      <c r="J319" s="19" t="s">
        <v>1009</v>
      </c>
      <c r="K319" s="67">
        <v>46126</v>
      </c>
      <c r="L319" s="19" t="s">
        <v>1020</v>
      </c>
      <c r="M319" s="19" t="s">
        <v>1010</v>
      </c>
    </row>
    <row r="320" spans="1:13" x14ac:dyDescent="0.35">
      <c r="A320" s="19">
        <v>100882</v>
      </c>
      <c r="B320" s="19" t="s">
        <v>1209</v>
      </c>
      <c r="C320" s="19" t="s">
        <v>11</v>
      </c>
      <c r="D320" s="19" t="s">
        <v>627</v>
      </c>
      <c r="E320" s="66" t="s">
        <v>997</v>
      </c>
      <c r="F320" s="67">
        <v>46145</v>
      </c>
      <c r="G320" s="19" t="s">
        <v>1006</v>
      </c>
      <c r="H320" s="19" t="s">
        <v>1007</v>
      </c>
      <c r="I320" s="19" t="s">
        <v>1028</v>
      </c>
      <c r="J320" s="19" t="s">
        <v>1009</v>
      </c>
      <c r="K320" s="67">
        <v>46127</v>
      </c>
      <c r="L320" s="19" t="s">
        <v>1020</v>
      </c>
      <c r="M320" s="19" t="s">
        <v>1010</v>
      </c>
    </row>
    <row r="321" spans="1:13" x14ac:dyDescent="0.35">
      <c r="A321" s="19">
        <v>100893</v>
      </c>
      <c r="B321" s="19" t="s">
        <v>1439</v>
      </c>
      <c r="C321" s="19" t="s">
        <v>118</v>
      </c>
      <c r="D321" s="19" t="s">
        <v>1360</v>
      </c>
      <c r="E321" s="66" t="s">
        <v>997</v>
      </c>
      <c r="F321" s="67">
        <v>46172</v>
      </c>
      <c r="G321" s="19" t="s">
        <v>1006</v>
      </c>
      <c r="H321" s="19" t="s">
        <v>1007</v>
      </c>
      <c r="I321" s="19" t="s">
        <v>1028</v>
      </c>
      <c r="J321" s="19" t="s">
        <v>1009</v>
      </c>
      <c r="K321" s="67">
        <v>46127</v>
      </c>
      <c r="L321" s="19" t="s">
        <v>1020</v>
      </c>
      <c r="M321" s="19" t="s">
        <v>1010</v>
      </c>
    </row>
    <row r="322" spans="1:13" x14ac:dyDescent="0.35">
      <c r="A322" s="19">
        <v>100896</v>
      </c>
      <c r="B322" s="19" t="s">
        <v>1440</v>
      </c>
      <c r="C322" s="19" t="s">
        <v>27</v>
      </c>
      <c r="D322" s="19" t="s">
        <v>1250</v>
      </c>
      <c r="E322" s="66" t="s">
        <v>997</v>
      </c>
      <c r="F322" s="67">
        <v>46159</v>
      </c>
      <c r="G322" s="19" t="s">
        <v>1006</v>
      </c>
      <c r="H322" s="19" t="s">
        <v>1007</v>
      </c>
      <c r="I322" s="19" t="s">
        <v>1028</v>
      </c>
      <c r="J322" s="19" t="s">
        <v>1009</v>
      </c>
      <c r="K322" s="67">
        <v>46127</v>
      </c>
      <c r="L322" s="19" t="s">
        <v>1020</v>
      </c>
      <c r="M322" s="19" t="s">
        <v>1010</v>
      </c>
    </row>
    <row r="323" spans="1:13" x14ac:dyDescent="0.35">
      <c r="A323" s="19">
        <v>100904</v>
      </c>
      <c r="B323" s="19" t="s">
        <v>1441</v>
      </c>
      <c r="C323" s="19" t="s">
        <v>16</v>
      </c>
      <c r="D323" s="19" t="s">
        <v>1211</v>
      </c>
      <c r="E323" s="66" t="s">
        <v>997</v>
      </c>
      <c r="F323" s="67">
        <v>46158</v>
      </c>
      <c r="G323" s="19" t="s">
        <v>1006</v>
      </c>
      <c r="H323" s="19" t="s">
        <v>1007</v>
      </c>
      <c r="I323" s="19" t="s">
        <v>1019</v>
      </c>
      <c r="J323" s="19" t="s">
        <v>1067</v>
      </c>
      <c r="K323" s="67">
        <v>46128</v>
      </c>
      <c r="L323" s="19" t="s">
        <v>1020</v>
      </c>
      <c r="M323" s="19" t="s">
        <v>1010</v>
      </c>
    </row>
    <row r="324" spans="1:13" x14ac:dyDescent="0.35">
      <c r="A324" s="19">
        <v>100912</v>
      </c>
      <c r="B324" s="19" t="s">
        <v>1442</v>
      </c>
      <c r="C324" s="19" t="s">
        <v>181</v>
      </c>
      <c r="D324" s="19" t="s">
        <v>1374</v>
      </c>
      <c r="E324" s="66" t="s">
        <v>997</v>
      </c>
      <c r="F324" s="67">
        <v>46148</v>
      </c>
      <c r="G324" s="19" t="s">
        <v>1006</v>
      </c>
      <c r="H324" s="19" t="s">
        <v>1007</v>
      </c>
      <c r="I324" s="19" t="s">
        <v>1028</v>
      </c>
      <c r="J324" s="19" t="s">
        <v>1009</v>
      </c>
      <c r="K324" s="67">
        <v>46128</v>
      </c>
      <c r="L324" s="19" t="s">
        <v>1020</v>
      </c>
      <c r="M324" s="19" t="s">
        <v>1010</v>
      </c>
    </row>
    <row r="325" spans="1:13" x14ac:dyDescent="0.35">
      <c r="A325" s="19">
        <v>100935</v>
      </c>
      <c r="B325" s="19" t="s">
        <v>1443</v>
      </c>
      <c r="C325" s="19" t="s">
        <v>208</v>
      </c>
      <c r="D325" s="19" t="s">
        <v>1444</v>
      </c>
      <c r="E325" s="66" t="s">
        <v>997</v>
      </c>
      <c r="F325" s="67">
        <v>46160</v>
      </c>
      <c r="G325" s="19" t="s">
        <v>1006</v>
      </c>
      <c r="H325" s="19" t="s">
        <v>1007</v>
      </c>
      <c r="I325" s="19" t="s">
        <v>1028</v>
      </c>
      <c r="J325" s="19" t="s">
        <v>1009</v>
      </c>
      <c r="K325" s="67">
        <v>46129</v>
      </c>
      <c r="L325" s="19" t="s">
        <v>1020</v>
      </c>
      <c r="M325" s="19" t="s">
        <v>1010</v>
      </c>
    </row>
    <row r="326" spans="1:13" x14ac:dyDescent="0.35">
      <c r="A326" s="19">
        <v>100939</v>
      </c>
      <c r="B326" s="19" t="s">
        <v>1445</v>
      </c>
      <c r="C326" s="19" t="s">
        <v>341</v>
      </c>
      <c r="D326" s="19" t="s">
        <v>1264</v>
      </c>
      <c r="E326" s="66" t="s">
        <v>997</v>
      </c>
      <c r="F326" s="67">
        <v>46165</v>
      </c>
      <c r="G326" s="19" t="s">
        <v>1006</v>
      </c>
      <c r="H326" s="19" t="s">
        <v>1007</v>
      </c>
      <c r="I326" s="19" t="s">
        <v>1057</v>
      </c>
      <c r="J326" s="19" t="s">
        <v>1067</v>
      </c>
      <c r="K326" s="67">
        <v>46129</v>
      </c>
      <c r="L326" s="19" t="s">
        <v>1001</v>
      </c>
      <c r="M326" s="19" t="s">
        <v>1010</v>
      </c>
    </row>
    <row r="327" spans="1:13" x14ac:dyDescent="0.35">
      <c r="A327" s="19">
        <v>100940</v>
      </c>
      <c r="B327" s="19" t="s">
        <v>1446</v>
      </c>
      <c r="C327" s="19" t="s">
        <v>375</v>
      </c>
      <c r="D327" s="19" t="s">
        <v>1270</v>
      </c>
      <c r="E327" s="66" t="s">
        <v>997</v>
      </c>
      <c r="F327" s="67">
        <v>46152</v>
      </c>
      <c r="G327" s="19" t="s">
        <v>1006</v>
      </c>
      <c r="H327" s="19" t="s">
        <v>1007</v>
      </c>
      <c r="I327" s="19" t="s">
        <v>1028</v>
      </c>
      <c r="J327" s="19" t="s">
        <v>1009</v>
      </c>
      <c r="K327" s="67">
        <v>46129</v>
      </c>
      <c r="L327" s="19" t="s">
        <v>1020</v>
      </c>
      <c r="M327" s="19" t="s">
        <v>1010</v>
      </c>
    </row>
    <row r="328" spans="1:13" x14ac:dyDescent="0.35">
      <c r="A328" s="19">
        <v>100944</v>
      </c>
      <c r="B328" s="19" t="s">
        <v>1447</v>
      </c>
      <c r="C328" s="19" t="s">
        <v>91</v>
      </c>
      <c r="D328" s="19" t="s">
        <v>1113</v>
      </c>
      <c r="E328" s="66" t="s">
        <v>997</v>
      </c>
      <c r="F328" s="67">
        <v>46158</v>
      </c>
      <c r="G328" s="19" t="s">
        <v>1006</v>
      </c>
      <c r="H328" s="19" t="s">
        <v>1007</v>
      </c>
      <c r="I328" s="19" t="s">
        <v>1019</v>
      </c>
      <c r="J328" s="19" t="s">
        <v>1067</v>
      </c>
      <c r="K328" s="67">
        <v>46128</v>
      </c>
      <c r="L328" s="19" t="s">
        <v>1020</v>
      </c>
      <c r="M328" s="19" t="s">
        <v>1010</v>
      </c>
    </row>
    <row r="329" spans="1:13" x14ac:dyDescent="0.35">
      <c r="A329" s="19">
        <v>100948</v>
      </c>
      <c r="B329" s="19" t="s">
        <v>920</v>
      </c>
      <c r="C329" s="19" t="s">
        <v>51</v>
      </c>
      <c r="D329" s="19" t="s">
        <v>921</v>
      </c>
      <c r="E329" s="66" t="s">
        <v>997</v>
      </c>
      <c r="F329" s="67">
        <v>46152</v>
      </c>
      <c r="G329" s="19" t="s">
        <v>1006</v>
      </c>
      <c r="H329" s="19" t="s">
        <v>1007</v>
      </c>
      <c r="I329" s="19" t="s">
        <v>1028</v>
      </c>
      <c r="J329" s="19" t="s">
        <v>1009</v>
      </c>
      <c r="K329" s="67">
        <v>46130</v>
      </c>
      <c r="L329" s="19" t="s">
        <v>1020</v>
      </c>
      <c r="M329" s="19" t="s">
        <v>1010</v>
      </c>
    </row>
    <row r="330" spans="1:13" x14ac:dyDescent="0.35">
      <c r="A330" s="19">
        <v>100950</v>
      </c>
      <c r="B330" s="19" t="s">
        <v>1448</v>
      </c>
      <c r="C330" s="19" t="s">
        <v>278</v>
      </c>
      <c r="D330" s="19" t="s">
        <v>1131</v>
      </c>
      <c r="E330" s="66" t="s">
        <v>997</v>
      </c>
      <c r="F330" s="67">
        <v>46163</v>
      </c>
      <c r="G330" s="19" t="s">
        <v>1006</v>
      </c>
      <c r="H330" s="19" t="s">
        <v>1007</v>
      </c>
      <c r="I330" s="19" t="s">
        <v>1028</v>
      </c>
      <c r="J330" s="19" t="s">
        <v>1009</v>
      </c>
      <c r="K330" s="67">
        <v>46129</v>
      </c>
      <c r="L330" s="19" t="s">
        <v>1020</v>
      </c>
      <c r="M330" s="19" t="s">
        <v>1010</v>
      </c>
    </row>
    <row r="331" spans="1:13" x14ac:dyDescent="0.35">
      <c r="A331" s="19">
        <v>100951</v>
      </c>
      <c r="B331" s="19" t="s">
        <v>1449</v>
      </c>
      <c r="C331" s="19" t="s">
        <v>278</v>
      </c>
      <c r="D331" s="19" t="s">
        <v>1131</v>
      </c>
      <c r="E331" s="66" t="s">
        <v>997</v>
      </c>
      <c r="F331" s="67">
        <v>46172</v>
      </c>
      <c r="G331" s="19" t="s">
        <v>1006</v>
      </c>
      <c r="H331" s="19" t="s">
        <v>1007</v>
      </c>
      <c r="I331" s="19" t="s">
        <v>1028</v>
      </c>
      <c r="J331" s="19" t="s">
        <v>1009</v>
      </c>
      <c r="K331" s="67">
        <v>46129</v>
      </c>
      <c r="L331" s="19" t="s">
        <v>1020</v>
      </c>
      <c r="M331" s="19" t="s">
        <v>1010</v>
      </c>
    </row>
    <row r="332" spans="1:13" x14ac:dyDescent="0.35">
      <c r="A332" s="19">
        <v>100953</v>
      </c>
      <c r="B332" s="19" t="s">
        <v>1450</v>
      </c>
      <c r="C332" s="19" t="s">
        <v>273</v>
      </c>
      <c r="D332" s="19" t="s">
        <v>1093</v>
      </c>
      <c r="E332" s="66" t="s">
        <v>997</v>
      </c>
      <c r="F332" s="67">
        <v>46151</v>
      </c>
      <c r="G332" s="19" t="s">
        <v>1006</v>
      </c>
      <c r="H332" s="19" t="s">
        <v>1007</v>
      </c>
      <c r="I332" s="19" t="s">
        <v>1008</v>
      </c>
      <c r="J332" s="19" t="s">
        <v>1009</v>
      </c>
      <c r="K332" s="67">
        <v>46130</v>
      </c>
      <c r="L332" s="19" t="s">
        <v>1001</v>
      </c>
      <c r="M332" s="19" t="s">
        <v>1010</v>
      </c>
    </row>
    <row r="333" spans="1:13" x14ac:dyDescent="0.35">
      <c r="A333" s="19">
        <v>100955</v>
      </c>
      <c r="B333" s="19" t="s">
        <v>1451</v>
      </c>
      <c r="C333" s="19" t="s">
        <v>375</v>
      </c>
      <c r="D333" s="19" t="s">
        <v>1270</v>
      </c>
      <c r="E333" s="66" t="s">
        <v>997</v>
      </c>
      <c r="F333" s="67">
        <v>46153</v>
      </c>
      <c r="G333" s="19" t="s">
        <v>1006</v>
      </c>
      <c r="H333" s="19" t="s">
        <v>1007</v>
      </c>
      <c r="I333" s="19" t="s">
        <v>1028</v>
      </c>
      <c r="J333" s="19" t="s">
        <v>1009</v>
      </c>
      <c r="K333" s="67">
        <v>46130</v>
      </c>
      <c r="L333" s="19" t="s">
        <v>1020</v>
      </c>
      <c r="M333" s="19" t="s">
        <v>1010</v>
      </c>
    </row>
    <row r="334" spans="1:13" x14ac:dyDescent="0.35">
      <c r="A334" s="19">
        <v>100967</v>
      </c>
      <c r="B334" s="19" t="s">
        <v>1452</v>
      </c>
      <c r="C334" s="19" t="s">
        <v>278</v>
      </c>
      <c r="D334" s="19" t="s">
        <v>1131</v>
      </c>
      <c r="E334" s="66" t="s">
        <v>997</v>
      </c>
      <c r="F334" s="67">
        <v>46162</v>
      </c>
      <c r="G334" s="19" t="s">
        <v>1453</v>
      </c>
      <c r="H334" s="19" t="s">
        <v>1007</v>
      </c>
      <c r="I334" s="19" t="s">
        <v>1008</v>
      </c>
      <c r="J334" s="19" t="s">
        <v>1009</v>
      </c>
      <c r="K334" s="67">
        <v>46130</v>
      </c>
      <c r="L334" s="19" t="s">
        <v>1001</v>
      </c>
      <c r="M334" s="19" t="s">
        <v>1010</v>
      </c>
    </row>
    <row r="335" spans="1:13" x14ac:dyDescent="0.35">
      <c r="A335" s="19">
        <v>100971</v>
      </c>
      <c r="B335" s="19" t="s">
        <v>1454</v>
      </c>
      <c r="C335" s="19" t="s">
        <v>377</v>
      </c>
      <c r="D335" s="19" t="s">
        <v>862</v>
      </c>
      <c r="E335" s="66" t="s">
        <v>997</v>
      </c>
      <c r="F335" s="67">
        <v>46152</v>
      </c>
      <c r="G335" s="19" t="s">
        <v>1006</v>
      </c>
      <c r="H335" s="19" t="s">
        <v>1007</v>
      </c>
      <c r="I335" s="19" t="s">
        <v>1028</v>
      </c>
      <c r="J335" s="19" t="s">
        <v>1009</v>
      </c>
      <c r="K335" s="67">
        <v>46130</v>
      </c>
      <c r="L335" s="19" t="s">
        <v>1020</v>
      </c>
      <c r="M335" s="19" t="s">
        <v>1010</v>
      </c>
    </row>
    <row r="336" spans="1:13" x14ac:dyDescent="0.35">
      <c r="A336" s="19">
        <v>100975</v>
      </c>
      <c r="B336" s="19" t="s">
        <v>1455</v>
      </c>
      <c r="C336" s="19" t="s">
        <v>118</v>
      </c>
      <c r="D336" s="19" t="s">
        <v>1360</v>
      </c>
      <c r="E336" s="66" t="s">
        <v>997</v>
      </c>
      <c r="F336" s="67">
        <v>46165</v>
      </c>
      <c r="G336" s="19" t="s">
        <v>1006</v>
      </c>
      <c r="H336" s="19" t="s">
        <v>1007</v>
      </c>
      <c r="I336" s="19" t="s">
        <v>1028</v>
      </c>
      <c r="J336" s="19" t="s">
        <v>1009</v>
      </c>
      <c r="K336" s="67">
        <v>46131</v>
      </c>
      <c r="L336" s="19" t="s">
        <v>1020</v>
      </c>
      <c r="M336" s="19" t="s">
        <v>1010</v>
      </c>
    </row>
    <row r="337" spans="1:13" x14ac:dyDescent="0.35">
      <c r="A337" s="19">
        <v>100981</v>
      </c>
      <c r="B337" s="19" t="s">
        <v>1456</v>
      </c>
      <c r="C337" s="19" t="s">
        <v>235</v>
      </c>
      <c r="D337" s="19" t="s">
        <v>1457</v>
      </c>
      <c r="E337" s="66" t="s">
        <v>997</v>
      </c>
      <c r="F337" s="67">
        <v>46147</v>
      </c>
      <c r="G337" s="19" t="s">
        <v>1006</v>
      </c>
      <c r="H337" s="19" t="s">
        <v>1007</v>
      </c>
      <c r="I337" s="19" t="s">
        <v>1008</v>
      </c>
      <c r="J337" s="19" t="s">
        <v>1009</v>
      </c>
      <c r="K337" s="67">
        <v>46133</v>
      </c>
      <c r="L337" s="19" t="s">
        <v>1001</v>
      </c>
      <c r="M337" s="19" t="s">
        <v>1010</v>
      </c>
    </row>
    <row r="338" spans="1:13" x14ac:dyDescent="0.35">
      <c r="A338" s="19">
        <v>100988</v>
      </c>
      <c r="B338" s="19" t="s">
        <v>1458</v>
      </c>
      <c r="C338" s="19" t="s">
        <v>429</v>
      </c>
      <c r="D338" s="19" t="s">
        <v>1240</v>
      </c>
      <c r="E338" s="66" t="s">
        <v>997</v>
      </c>
      <c r="F338" s="67">
        <v>46158</v>
      </c>
      <c r="G338" s="19" t="s">
        <v>1006</v>
      </c>
      <c r="H338" s="19" t="s">
        <v>1007</v>
      </c>
      <c r="I338" s="19" t="s">
        <v>1028</v>
      </c>
      <c r="J338" s="19" t="s">
        <v>1009</v>
      </c>
      <c r="K338" s="67">
        <v>46133</v>
      </c>
      <c r="L338" s="19" t="s">
        <v>1020</v>
      </c>
      <c r="M338" s="19" t="s">
        <v>1010</v>
      </c>
    </row>
    <row r="339" spans="1:13" x14ac:dyDescent="0.35">
      <c r="A339" s="19">
        <v>100990</v>
      </c>
      <c r="B339" s="19" t="s">
        <v>1459</v>
      </c>
      <c r="C339" s="19" t="s">
        <v>318</v>
      </c>
      <c r="D339" s="19" t="s">
        <v>1266</v>
      </c>
      <c r="E339" s="66" t="s">
        <v>997</v>
      </c>
      <c r="F339" s="67">
        <v>46152</v>
      </c>
      <c r="G339" s="19" t="s">
        <v>1006</v>
      </c>
      <c r="H339" s="19" t="s">
        <v>1007</v>
      </c>
      <c r="I339" s="19" t="s">
        <v>1028</v>
      </c>
      <c r="J339" s="19" t="s">
        <v>1009</v>
      </c>
      <c r="K339" s="67">
        <v>46133</v>
      </c>
      <c r="L339" s="19" t="s">
        <v>1020</v>
      </c>
      <c r="M339" s="19" t="s">
        <v>1010</v>
      </c>
    </row>
    <row r="340" spans="1:13" x14ac:dyDescent="0.35">
      <c r="A340" s="19">
        <v>100992</v>
      </c>
      <c r="B340" s="19" t="s">
        <v>1460</v>
      </c>
      <c r="C340" s="19" t="s">
        <v>318</v>
      </c>
      <c r="D340" s="19" t="s">
        <v>1266</v>
      </c>
      <c r="E340" s="66" t="s">
        <v>997</v>
      </c>
      <c r="F340" s="67">
        <v>46146</v>
      </c>
      <c r="G340" s="19" t="s">
        <v>1006</v>
      </c>
      <c r="H340" s="19" t="s">
        <v>1007</v>
      </c>
      <c r="I340" s="19" t="s">
        <v>1028</v>
      </c>
      <c r="J340" s="19" t="s">
        <v>1009</v>
      </c>
      <c r="K340" s="67">
        <v>46133</v>
      </c>
      <c r="L340" s="19" t="s">
        <v>1020</v>
      </c>
      <c r="M340" s="19" t="s">
        <v>1010</v>
      </c>
    </row>
    <row r="341" spans="1:13" x14ac:dyDescent="0.35">
      <c r="A341" s="19">
        <v>101006</v>
      </c>
      <c r="B341" s="19" t="s">
        <v>1461</v>
      </c>
      <c r="C341" s="19" t="s">
        <v>324</v>
      </c>
      <c r="D341" s="19" t="s">
        <v>1284</v>
      </c>
      <c r="E341" s="66" t="s">
        <v>997</v>
      </c>
      <c r="F341" s="67">
        <v>46156</v>
      </c>
      <c r="G341" s="19" t="s">
        <v>1006</v>
      </c>
      <c r="H341" s="19" t="s">
        <v>1007</v>
      </c>
      <c r="I341" s="19" t="s">
        <v>1028</v>
      </c>
      <c r="J341" s="19" t="s">
        <v>1009</v>
      </c>
      <c r="K341" s="67">
        <v>46133</v>
      </c>
      <c r="L341" s="19" t="s">
        <v>1020</v>
      </c>
      <c r="M341" s="19" t="s">
        <v>1010</v>
      </c>
    </row>
    <row r="342" spans="1:13" x14ac:dyDescent="0.35">
      <c r="A342" s="19">
        <v>101007</v>
      </c>
      <c r="B342" s="19" t="s">
        <v>1462</v>
      </c>
      <c r="C342" s="19" t="s">
        <v>385</v>
      </c>
      <c r="D342" s="19" t="s">
        <v>1059</v>
      </c>
      <c r="E342" s="66" t="s">
        <v>997</v>
      </c>
      <c r="F342" s="67">
        <v>46144</v>
      </c>
      <c r="G342" s="19" t="s">
        <v>1006</v>
      </c>
      <c r="H342" s="19" t="s">
        <v>1007</v>
      </c>
      <c r="I342" s="19" t="s">
        <v>1028</v>
      </c>
      <c r="J342" s="19" t="s">
        <v>1009</v>
      </c>
      <c r="K342" s="67">
        <v>46133</v>
      </c>
      <c r="L342" s="19" t="s">
        <v>1020</v>
      </c>
      <c r="M342" s="19" t="s">
        <v>1010</v>
      </c>
    </row>
    <row r="343" spans="1:13" x14ac:dyDescent="0.35">
      <c r="A343" s="19">
        <v>101018</v>
      </c>
      <c r="B343" s="19" t="s">
        <v>1463</v>
      </c>
      <c r="C343" s="19" t="s">
        <v>280</v>
      </c>
      <c r="D343" s="19" t="s">
        <v>1223</v>
      </c>
      <c r="E343" s="66" t="s">
        <v>997</v>
      </c>
      <c r="F343" s="67">
        <v>46150</v>
      </c>
      <c r="G343" s="19" t="s">
        <v>1006</v>
      </c>
      <c r="H343" s="19" t="s">
        <v>1007</v>
      </c>
      <c r="I343" s="19" t="s">
        <v>1019</v>
      </c>
      <c r="J343" s="19" t="s">
        <v>1067</v>
      </c>
      <c r="K343" s="67">
        <v>46134</v>
      </c>
      <c r="L343" s="19" t="s">
        <v>1020</v>
      </c>
      <c r="M343" s="19" t="s">
        <v>1010</v>
      </c>
    </row>
    <row r="344" spans="1:13" x14ac:dyDescent="0.35">
      <c r="A344" s="19">
        <v>101032</v>
      </c>
      <c r="B344" s="19" t="s">
        <v>1464</v>
      </c>
      <c r="C344" s="19" t="s">
        <v>157</v>
      </c>
      <c r="D344" s="19" t="s">
        <v>1012</v>
      </c>
      <c r="E344" s="66" t="s">
        <v>997</v>
      </c>
      <c r="F344" s="67">
        <v>46151</v>
      </c>
      <c r="G344" s="19" t="s">
        <v>1006</v>
      </c>
      <c r="H344" s="19" t="s">
        <v>1007</v>
      </c>
      <c r="I344" s="19" t="s">
        <v>1028</v>
      </c>
      <c r="J344" s="19" t="s">
        <v>1009</v>
      </c>
      <c r="K344" s="67">
        <v>46135</v>
      </c>
      <c r="L344" s="19" t="s">
        <v>1020</v>
      </c>
      <c r="M344" s="19" t="s">
        <v>1010</v>
      </c>
    </row>
    <row r="345" spans="1:13" x14ac:dyDescent="0.35">
      <c r="A345" s="19">
        <v>101035</v>
      </c>
      <c r="B345" s="19" t="s">
        <v>1465</v>
      </c>
      <c r="C345" s="19" t="s">
        <v>328</v>
      </c>
      <c r="D345" s="19" t="s">
        <v>838</v>
      </c>
      <c r="E345" s="66" t="s">
        <v>997</v>
      </c>
      <c r="F345" s="67">
        <v>46159</v>
      </c>
      <c r="G345" s="19" t="s">
        <v>1006</v>
      </c>
      <c r="H345" s="19" t="s">
        <v>1007</v>
      </c>
      <c r="I345" s="19" t="s">
        <v>1028</v>
      </c>
      <c r="J345" s="19" t="s">
        <v>1009</v>
      </c>
      <c r="K345" s="67">
        <v>46135</v>
      </c>
      <c r="L345" s="19" t="s">
        <v>1020</v>
      </c>
      <c r="M345" s="19" t="s">
        <v>1010</v>
      </c>
    </row>
    <row r="346" spans="1:13" x14ac:dyDescent="0.35">
      <c r="A346" s="19">
        <v>101040</v>
      </c>
      <c r="B346" s="19" t="s">
        <v>1466</v>
      </c>
      <c r="C346" s="19" t="s">
        <v>13</v>
      </c>
      <c r="D346" s="19" t="s">
        <v>1467</v>
      </c>
      <c r="E346" s="66" t="s">
        <v>997</v>
      </c>
      <c r="F346" s="67">
        <v>46170</v>
      </c>
      <c r="G346" s="19" t="s">
        <v>1006</v>
      </c>
      <c r="H346" s="19" t="s">
        <v>1007</v>
      </c>
      <c r="I346" s="19" t="s">
        <v>1028</v>
      </c>
      <c r="J346" s="19" t="s">
        <v>1009</v>
      </c>
      <c r="K346" s="67">
        <v>46134</v>
      </c>
      <c r="L346" s="19" t="s">
        <v>1020</v>
      </c>
      <c r="M346" s="19" t="s">
        <v>1010</v>
      </c>
    </row>
    <row r="347" spans="1:13" x14ac:dyDescent="0.35">
      <c r="A347" s="19">
        <v>101048</v>
      </c>
      <c r="B347" s="19" t="s">
        <v>1468</v>
      </c>
      <c r="C347" s="19" t="s">
        <v>13</v>
      </c>
      <c r="D347" s="19" t="s">
        <v>1467</v>
      </c>
      <c r="E347" s="66" t="s">
        <v>997</v>
      </c>
      <c r="F347" s="67">
        <v>46159</v>
      </c>
      <c r="G347" s="19" t="s">
        <v>1006</v>
      </c>
      <c r="H347" s="19" t="s">
        <v>1007</v>
      </c>
      <c r="I347" s="19" t="s">
        <v>1028</v>
      </c>
      <c r="J347" s="19" t="s">
        <v>1009</v>
      </c>
      <c r="K347" s="67">
        <v>46135</v>
      </c>
      <c r="L347" s="19" t="s">
        <v>1020</v>
      </c>
      <c r="M347" s="19" t="s">
        <v>1010</v>
      </c>
    </row>
    <row r="348" spans="1:13" x14ac:dyDescent="0.35">
      <c r="A348" s="19">
        <v>101051</v>
      </c>
      <c r="B348" s="19" t="s">
        <v>1469</v>
      </c>
      <c r="C348" s="19" t="s">
        <v>379</v>
      </c>
      <c r="D348" s="19" t="s">
        <v>381</v>
      </c>
      <c r="E348" s="66" t="s">
        <v>997</v>
      </c>
      <c r="F348" s="67">
        <v>46145</v>
      </c>
      <c r="G348" s="19" t="s">
        <v>1006</v>
      </c>
      <c r="H348" s="19" t="s">
        <v>1007</v>
      </c>
      <c r="I348" s="19" t="s">
        <v>1084</v>
      </c>
      <c r="J348" s="19" t="s">
        <v>1009</v>
      </c>
      <c r="K348" s="67">
        <v>46135</v>
      </c>
      <c r="L348" s="19" t="s">
        <v>1001</v>
      </c>
      <c r="M348" s="19" t="s">
        <v>1010</v>
      </c>
    </row>
    <row r="349" spans="1:13" x14ac:dyDescent="0.35">
      <c r="A349" s="19">
        <v>101055</v>
      </c>
      <c r="B349" s="19" t="s">
        <v>1470</v>
      </c>
      <c r="C349" s="19" t="s">
        <v>161</v>
      </c>
      <c r="D349" s="19" t="s">
        <v>1027</v>
      </c>
      <c r="E349" s="66" t="s">
        <v>997</v>
      </c>
      <c r="F349" s="67">
        <v>46152</v>
      </c>
      <c r="G349" s="19" t="s">
        <v>1006</v>
      </c>
      <c r="H349" s="19" t="s">
        <v>1007</v>
      </c>
      <c r="I349" s="19" t="s">
        <v>1028</v>
      </c>
      <c r="J349" s="19" t="s">
        <v>1009</v>
      </c>
      <c r="K349" s="67">
        <v>46135</v>
      </c>
      <c r="L349" s="19" t="s">
        <v>1020</v>
      </c>
      <c r="M349" s="19" t="s">
        <v>1010</v>
      </c>
    </row>
    <row r="350" spans="1:13" x14ac:dyDescent="0.35">
      <c r="A350" s="19">
        <v>101059</v>
      </c>
      <c r="B350" s="19" t="s">
        <v>1471</v>
      </c>
      <c r="C350" s="19" t="s">
        <v>105</v>
      </c>
      <c r="D350" s="19" t="s">
        <v>1207</v>
      </c>
      <c r="E350" s="66" t="s">
        <v>997</v>
      </c>
      <c r="F350" s="67">
        <v>46160</v>
      </c>
      <c r="G350" s="19" t="s">
        <v>1006</v>
      </c>
      <c r="H350" s="19" t="s">
        <v>1007</v>
      </c>
      <c r="I350" s="19" t="s">
        <v>1008</v>
      </c>
      <c r="J350" s="19" t="s">
        <v>1009</v>
      </c>
      <c r="K350" s="67">
        <v>46137</v>
      </c>
      <c r="L350" s="19" t="s">
        <v>1001</v>
      </c>
      <c r="M350" s="19" t="s">
        <v>1010</v>
      </c>
    </row>
    <row r="351" spans="1:13" x14ac:dyDescent="0.35">
      <c r="A351" s="19">
        <v>101060</v>
      </c>
      <c r="B351" s="19" t="s">
        <v>1472</v>
      </c>
      <c r="C351" s="19" t="s">
        <v>105</v>
      </c>
      <c r="D351" s="19" t="s">
        <v>1207</v>
      </c>
      <c r="E351" s="66" t="s">
        <v>997</v>
      </c>
      <c r="F351" s="67">
        <v>46160</v>
      </c>
      <c r="G351" s="19" t="s">
        <v>1006</v>
      </c>
      <c r="H351" s="19" t="s">
        <v>1007</v>
      </c>
      <c r="I351" s="19" t="s">
        <v>1028</v>
      </c>
      <c r="J351" s="19" t="s">
        <v>1009</v>
      </c>
      <c r="K351" s="67">
        <v>46137</v>
      </c>
      <c r="L351" s="19" t="s">
        <v>1020</v>
      </c>
      <c r="M351" s="19" t="s">
        <v>1010</v>
      </c>
    </row>
    <row r="352" spans="1:13" x14ac:dyDescent="0.35">
      <c r="A352" s="19">
        <v>101063</v>
      </c>
      <c r="B352" s="19" t="s">
        <v>1473</v>
      </c>
      <c r="C352" s="19" t="s">
        <v>403</v>
      </c>
      <c r="D352" s="19" t="s">
        <v>870</v>
      </c>
      <c r="E352" s="66" t="s">
        <v>997</v>
      </c>
      <c r="F352" s="67">
        <v>46157</v>
      </c>
      <c r="G352" s="19" t="s">
        <v>1006</v>
      </c>
      <c r="H352" s="19" t="s">
        <v>1007</v>
      </c>
      <c r="I352" s="19" t="s">
        <v>1008</v>
      </c>
      <c r="J352" s="19" t="s">
        <v>1009</v>
      </c>
      <c r="K352" s="67">
        <v>46137</v>
      </c>
      <c r="L352" s="19" t="s">
        <v>1001</v>
      </c>
      <c r="M352" s="19" t="s">
        <v>1010</v>
      </c>
    </row>
    <row r="353" spans="1:13" x14ac:dyDescent="0.35">
      <c r="A353" s="19">
        <v>101064</v>
      </c>
      <c r="B353" s="19" t="s">
        <v>1474</v>
      </c>
      <c r="C353" s="19" t="s">
        <v>362</v>
      </c>
      <c r="D353" s="19" t="s">
        <v>1056</v>
      </c>
      <c r="E353" s="66" t="s">
        <v>997</v>
      </c>
      <c r="F353" s="67">
        <v>46160</v>
      </c>
      <c r="G353" s="19" t="s">
        <v>1006</v>
      </c>
      <c r="H353" s="19" t="s">
        <v>1007</v>
      </c>
      <c r="I353" s="19" t="s">
        <v>1028</v>
      </c>
      <c r="J353" s="19" t="s">
        <v>1009</v>
      </c>
      <c r="K353" s="67">
        <v>46137</v>
      </c>
      <c r="L353" s="19" t="s">
        <v>1020</v>
      </c>
      <c r="M353" s="19" t="s">
        <v>1010</v>
      </c>
    </row>
    <row r="354" spans="1:13" x14ac:dyDescent="0.35">
      <c r="A354" s="19">
        <v>101067</v>
      </c>
      <c r="B354" s="19" t="s">
        <v>1475</v>
      </c>
      <c r="C354" s="19" t="s">
        <v>349</v>
      </c>
      <c r="D354" s="19" t="s">
        <v>912</v>
      </c>
      <c r="E354" s="66" t="s">
        <v>997</v>
      </c>
      <c r="F354" s="67">
        <v>46160</v>
      </c>
      <c r="G354" s="19" t="s">
        <v>1006</v>
      </c>
      <c r="H354" s="19" t="s">
        <v>1007</v>
      </c>
      <c r="I354" s="19" t="s">
        <v>1057</v>
      </c>
      <c r="J354" s="19" t="s">
        <v>1067</v>
      </c>
      <c r="K354" s="67">
        <v>46137</v>
      </c>
      <c r="L354" s="19" t="s">
        <v>1001</v>
      </c>
      <c r="M354" s="19" t="s">
        <v>1010</v>
      </c>
    </row>
    <row r="355" spans="1:13" x14ac:dyDescent="0.35">
      <c r="A355" s="19">
        <v>101073</v>
      </c>
      <c r="B355" s="19" t="s">
        <v>1476</v>
      </c>
      <c r="C355" s="19" t="s">
        <v>211</v>
      </c>
      <c r="D355" s="19" t="s">
        <v>1049</v>
      </c>
      <c r="E355" s="66" t="s">
        <v>997</v>
      </c>
      <c r="F355" s="67">
        <v>46158</v>
      </c>
      <c r="G355" s="19" t="s">
        <v>1006</v>
      </c>
      <c r="H355" s="19" t="s">
        <v>1007</v>
      </c>
      <c r="I355" s="19" t="s">
        <v>1028</v>
      </c>
      <c r="J355" s="19" t="s">
        <v>1009</v>
      </c>
      <c r="K355" s="67">
        <v>46137</v>
      </c>
      <c r="L355" s="19" t="s">
        <v>1020</v>
      </c>
      <c r="M355" s="19" t="s">
        <v>1010</v>
      </c>
    </row>
    <row r="356" spans="1:13" x14ac:dyDescent="0.35">
      <c r="A356" s="19">
        <v>101076</v>
      </c>
      <c r="B356" s="19" t="s">
        <v>1477</v>
      </c>
      <c r="C356" s="19" t="s">
        <v>387</v>
      </c>
      <c r="D356" s="19" t="s">
        <v>1142</v>
      </c>
      <c r="E356" s="66" t="s">
        <v>997</v>
      </c>
      <c r="F356" s="67">
        <v>46155</v>
      </c>
      <c r="G356" s="19" t="s">
        <v>1006</v>
      </c>
      <c r="H356" s="19" t="s">
        <v>1007</v>
      </c>
      <c r="I356" s="19" t="s">
        <v>1028</v>
      </c>
      <c r="J356" s="19" t="s">
        <v>1009</v>
      </c>
      <c r="K356" s="67">
        <v>46137</v>
      </c>
      <c r="L356" s="19" t="s">
        <v>1020</v>
      </c>
      <c r="M356" s="19" t="s">
        <v>1010</v>
      </c>
    </row>
    <row r="357" spans="1:13" x14ac:dyDescent="0.35">
      <c r="A357" s="19">
        <v>101081</v>
      </c>
      <c r="B357" s="19" t="s">
        <v>1478</v>
      </c>
      <c r="C357" s="19" t="s">
        <v>147</v>
      </c>
      <c r="D357" s="19" t="s">
        <v>1396</v>
      </c>
      <c r="E357" s="66" t="s">
        <v>997</v>
      </c>
      <c r="F357" s="67">
        <v>46146</v>
      </c>
      <c r="G357" s="19" t="s">
        <v>1006</v>
      </c>
      <c r="H357" s="19" t="s">
        <v>1007</v>
      </c>
      <c r="I357" s="19" t="s">
        <v>1028</v>
      </c>
      <c r="J357" s="19" t="s">
        <v>1009</v>
      </c>
      <c r="K357" s="67">
        <v>46137</v>
      </c>
      <c r="L357" s="19" t="s">
        <v>1020</v>
      </c>
      <c r="M357" s="19" t="s">
        <v>1010</v>
      </c>
    </row>
    <row r="358" spans="1:13" x14ac:dyDescent="0.35">
      <c r="A358" s="19">
        <v>101084</v>
      </c>
      <c r="B358" s="19" t="s">
        <v>1479</v>
      </c>
      <c r="C358" s="19" t="s">
        <v>37</v>
      </c>
      <c r="D358" s="19" t="s">
        <v>1480</v>
      </c>
      <c r="E358" s="66" t="s">
        <v>997</v>
      </c>
      <c r="F358" s="67">
        <v>46164</v>
      </c>
      <c r="G358" s="19" t="s">
        <v>1006</v>
      </c>
      <c r="H358" s="19" t="s">
        <v>1007</v>
      </c>
      <c r="I358" s="19" t="s">
        <v>1028</v>
      </c>
      <c r="J358" s="19" t="s">
        <v>1009</v>
      </c>
      <c r="K358" s="67">
        <v>46137</v>
      </c>
      <c r="L358" s="19" t="s">
        <v>1020</v>
      </c>
      <c r="M358" s="19" t="s">
        <v>1010</v>
      </c>
    </row>
    <row r="359" spans="1:13" x14ac:dyDescent="0.35">
      <c r="A359" s="19">
        <v>101097</v>
      </c>
      <c r="B359" s="19" t="s">
        <v>1481</v>
      </c>
      <c r="C359" s="19" t="s">
        <v>419</v>
      </c>
      <c r="D359" s="19" t="s">
        <v>695</v>
      </c>
      <c r="E359" s="66" t="s">
        <v>997</v>
      </c>
      <c r="F359" s="67">
        <v>46163</v>
      </c>
      <c r="G359" s="19" t="s">
        <v>1006</v>
      </c>
      <c r="H359" s="19" t="s">
        <v>1007</v>
      </c>
      <c r="I359" s="19" t="s">
        <v>1028</v>
      </c>
      <c r="J359" s="19" t="s">
        <v>1009</v>
      </c>
      <c r="K359" s="67">
        <v>46137</v>
      </c>
      <c r="L359" s="19" t="s">
        <v>1020</v>
      </c>
      <c r="M359" s="19" t="s">
        <v>1010</v>
      </c>
    </row>
    <row r="360" spans="1:13" x14ac:dyDescent="0.35">
      <c r="A360" s="19">
        <v>101105</v>
      </c>
      <c r="B360" s="19" t="s">
        <v>1482</v>
      </c>
      <c r="C360" s="19" t="s">
        <v>147</v>
      </c>
      <c r="D360" s="19" t="s">
        <v>1396</v>
      </c>
      <c r="E360" s="66" t="s">
        <v>997</v>
      </c>
      <c r="F360" s="67">
        <v>46143</v>
      </c>
      <c r="G360" s="19" t="s">
        <v>1006</v>
      </c>
      <c r="H360" s="19" t="s">
        <v>1007</v>
      </c>
      <c r="I360" s="19" t="s">
        <v>1028</v>
      </c>
      <c r="J360" s="19" t="s">
        <v>1009</v>
      </c>
      <c r="K360" s="67">
        <v>46140</v>
      </c>
      <c r="L360" s="19" t="s">
        <v>1020</v>
      </c>
      <c r="M360" s="19" t="s">
        <v>1010</v>
      </c>
    </row>
    <row r="361" spans="1:13" x14ac:dyDescent="0.35">
      <c r="A361" s="19">
        <v>101114</v>
      </c>
      <c r="B361" s="19" t="s">
        <v>1483</v>
      </c>
      <c r="C361" s="19" t="s">
        <v>17</v>
      </c>
      <c r="D361" s="19" t="s">
        <v>906</v>
      </c>
      <c r="E361" s="66" t="s">
        <v>997</v>
      </c>
      <c r="F361" s="67">
        <v>46163</v>
      </c>
      <c r="G361" s="19" t="s">
        <v>1006</v>
      </c>
      <c r="H361" s="19" t="s">
        <v>1007</v>
      </c>
      <c r="I361" s="19" t="s">
        <v>1008</v>
      </c>
      <c r="J361" s="19" t="s">
        <v>1009</v>
      </c>
      <c r="K361" s="67">
        <v>46140</v>
      </c>
      <c r="L361" s="19" t="s">
        <v>1001</v>
      </c>
      <c r="M361" s="19" t="s">
        <v>1010</v>
      </c>
    </row>
    <row r="362" spans="1:13" x14ac:dyDescent="0.35">
      <c r="A362" s="19">
        <v>101115</v>
      </c>
      <c r="B362" s="19" t="s">
        <v>1484</v>
      </c>
      <c r="C362" s="19" t="s">
        <v>118</v>
      </c>
      <c r="D362" s="19" t="s">
        <v>1360</v>
      </c>
      <c r="E362" s="66" t="s">
        <v>997</v>
      </c>
      <c r="F362" s="67">
        <v>46168</v>
      </c>
      <c r="G362" s="19" t="s">
        <v>1006</v>
      </c>
      <c r="H362" s="19" t="s">
        <v>1007</v>
      </c>
      <c r="I362" s="19" t="s">
        <v>1028</v>
      </c>
      <c r="J362" s="19" t="s">
        <v>1009</v>
      </c>
      <c r="K362" s="67">
        <v>46140</v>
      </c>
      <c r="L362" s="19" t="s">
        <v>1020</v>
      </c>
      <c r="M362" s="19" t="s">
        <v>1010</v>
      </c>
    </row>
    <row r="363" spans="1:13" x14ac:dyDescent="0.35">
      <c r="A363" s="19">
        <v>101125</v>
      </c>
      <c r="B363" s="19" t="s">
        <v>1485</v>
      </c>
      <c r="C363" s="19" t="s">
        <v>282</v>
      </c>
      <c r="D363" s="19" t="s">
        <v>1417</v>
      </c>
      <c r="E363" s="66" t="s">
        <v>997</v>
      </c>
      <c r="F363" s="67">
        <v>46152</v>
      </c>
      <c r="G363" s="19" t="s">
        <v>1006</v>
      </c>
      <c r="H363" s="19" t="s">
        <v>1007</v>
      </c>
      <c r="I363" s="19" t="s">
        <v>1028</v>
      </c>
      <c r="J363" s="19" t="s">
        <v>1009</v>
      </c>
      <c r="K363" s="67">
        <v>46143</v>
      </c>
      <c r="L363" s="19" t="s">
        <v>1020</v>
      </c>
      <c r="M363" s="19" t="s">
        <v>1010</v>
      </c>
    </row>
    <row r="364" spans="1:13" x14ac:dyDescent="0.35">
      <c r="A364" s="19">
        <v>101131</v>
      </c>
      <c r="B364" s="19" t="s">
        <v>1486</v>
      </c>
      <c r="C364" s="19" t="s">
        <v>118</v>
      </c>
      <c r="D364" s="19" t="s">
        <v>1360</v>
      </c>
      <c r="E364" s="66" t="s">
        <v>997</v>
      </c>
      <c r="F364" s="67">
        <v>46173</v>
      </c>
      <c r="G364" s="19" t="s">
        <v>1006</v>
      </c>
      <c r="H364" s="19" t="s">
        <v>1007</v>
      </c>
      <c r="I364" s="19" t="s">
        <v>1028</v>
      </c>
      <c r="J364" s="19" t="s">
        <v>1009</v>
      </c>
      <c r="K364" s="67">
        <v>46142</v>
      </c>
      <c r="L364" s="19" t="s">
        <v>1020</v>
      </c>
      <c r="M364" s="19" t="s">
        <v>1010</v>
      </c>
    </row>
    <row r="365" spans="1:13" x14ac:dyDescent="0.35">
      <c r="A365" s="19">
        <v>101133</v>
      </c>
      <c r="B365" s="19" t="s">
        <v>1487</v>
      </c>
      <c r="C365" s="19" t="s">
        <v>159</v>
      </c>
      <c r="D365" s="19" t="s">
        <v>1488</v>
      </c>
      <c r="E365" s="66" t="s">
        <v>997</v>
      </c>
      <c r="F365" s="67">
        <v>46167</v>
      </c>
      <c r="G365" s="19" t="s">
        <v>1006</v>
      </c>
      <c r="H365" s="19" t="s">
        <v>1007</v>
      </c>
      <c r="I365" s="19" t="s">
        <v>1028</v>
      </c>
      <c r="J365" s="19" t="s">
        <v>1009</v>
      </c>
      <c r="K365" s="67">
        <v>46143</v>
      </c>
      <c r="L365" s="19" t="s">
        <v>1020</v>
      </c>
      <c r="M365" s="19" t="s">
        <v>1010</v>
      </c>
    </row>
    <row r="366" spans="1:13" x14ac:dyDescent="0.35">
      <c r="A366" s="19">
        <v>101134</v>
      </c>
      <c r="B366" s="19" t="s">
        <v>1489</v>
      </c>
      <c r="C366" s="19" t="s">
        <v>159</v>
      </c>
      <c r="D366" s="19" t="s">
        <v>1488</v>
      </c>
      <c r="E366" s="66" t="s">
        <v>997</v>
      </c>
      <c r="F366" s="67">
        <v>46165</v>
      </c>
      <c r="G366" s="19" t="s">
        <v>1006</v>
      </c>
      <c r="H366" s="19" t="s">
        <v>1007</v>
      </c>
      <c r="I366" s="19" t="s">
        <v>1028</v>
      </c>
      <c r="J366" s="19" t="s">
        <v>1009</v>
      </c>
      <c r="K366" s="67">
        <v>46143</v>
      </c>
      <c r="L366" s="19" t="s">
        <v>1020</v>
      </c>
      <c r="M366" s="19" t="s">
        <v>1010</v>
      </c>
    </row>
    <row r="367" spans="1:13" x14ac:dyDescent="0.35">
      <c r="A367" s="19">
        <v>101137</v>
      </c>
      <c r="B367" s="19" t="s">
        <v>1490</v>
      </c>
      <c r="C367" s="19" t="s">
        <v>318</v>
      </c>
      <c r="D367" s="19" t="s">
        <v>1266</v>
      </c>
      <c r="E367" s="66" t="s">
        <v>997</v>
      </c>
      <c r="F367" s="67">
        <v>46149</v>
      </c>
      <c r="G367" s="19" t="s">
        <v>1006</v>
      </c>
      <c r="H367" s="19" t="s">
        <v>1007</v>
      </c>
      <c r="I367" s="19" t="s">
        <v>1057</v>
      </c>
      <c r="J367" s="19" t="s">
        <v>1067</v>
      </c>
      <c r="K367" s="67">
        <v>46143</v>
      </c>
      <c r="L367" s="19" t="s">
        <v>1001</v>
      </c>
      <c r="M367" s="19" t="s">
        <v>1010</v>
      </c>
    </row>
    <row r="368" spans="1:13" x14ac:dyDescent="0.35">
      <c r="A368" s="19">
        <v>101139</v>
      </c>
      <c r="B368" s="19" t="s">
        <v>1491</v>
      </c>
      <c r="C368" s="19" t="s">
        <v>76</v>
      </c>
      <c r="D368" s="19" t="s">
        <v>899</v>
      </c>
      <c r="E368" s="66" t="s">
        <v>997</v>
      </c>
      <c r="F368" s="67">
        <v>46173</v>
      </c>
      <c r="G368" s="19" t="s">
        <v>1006</v>
      </c>
      <c r="H368" s="19" t="s">
        <v>1007</v>
      </c>
      <c r="I368" s="19" t="s">
        <v>1028</v>
      </c>
      <c r="J368" s="19" t="s">
        <v>1009</v>
      </c>
      <c r="K368" s="67">
        <v>46143</v>
      </c>
      <c r="L368" s="19" t="s">
        <v>1020</v>
      </c>
      <c r="M368" s="19" t="s">
        <v>1010</v>
      </c>
    </row>
    <row r="369" spans="1:13" x14ac:dyDescent="0.35">
      <c r="A369" s="19">
        <v>101149</v>
      </c>
      <c r="B369" s="19" t="s">
        <v>1492</v>
      </c>
      <c r="C369" s="19" t="s">
        <v>235</v>
      </c>
      <c r="D369" s="19" t="s">
        <v>1457</v>
      </c>
      <c r="E369" s="66" t="s">
        <v>997</v>
      </c>
      <c r="F369" s="67">
        <v>46149</v>
      </c>
      <c r="G369" s="19" t="s">
        <v>1006</v>
      </c>
      <c r="H369" s="19" t="s">
        <v>1007</v>
      </c>
      <c r="I369" s="19" t="s">
        <v>1008</v>
      </c>
      <c r="J369" s="19" t="s">
        <v>1009</v>
      </c>
      <c r="K369" s="67">
        <v>46143</v>
      </c>
      <c r="L369" s="19" t="s">
        <v>1001</v>
      </c>
      <c r="M369" s="19" t="s">
        <v>1010</v>
      </c>
    </row>
    <row r="370" spans="1:13" x14ac:dyDescent="0.35">
      <c r="A370" s="19">
        <v>101161</v>
      </c>
      <c r="B370" s="19" t="s">
        <v>1493</v>
      </c>
      <c r="C370" s="19" t="s">
        <v>349</v>
      </c>
      <c r="D370" s="19" t="s">
        <v>912</v>
      </c>
      <c r="E370" s="66" t="s">
        <v>997</v>
      </c>
      <c r="F370" s="67">
        <v>46158</v>
      </c>
      <c r="G370" s="19" t="s">
        <v>1006</v>
      </c>
      <c r="H370" s="19" t="s">
        <v>1007</v>
      </c>
      <c r="I370" s="19" t="s">
        <v>1028</v>
      </c>
      <c r="J370" s="19" t="s">
        <v>1009</v>
      </c>
      <c r="K370" s="67">
        <v>46143</v>
      </c>
      <c r="L370" s="19" t="s">
        <v>1020</v>
      </c>
      <c r="M370" s="19" t="s">
        <v>1010</v>
      </c>
    </row>
    <row r="371" spans="1:13" x14ac:dyDescent="0.35">
      <c r="A371" s="19">
        <v>101167</v>
      </c>
      <c r="B371" s="19" t="s">
        <v>1494</v>
      </c>
      <c r="C371" s="19" t="s">
        <v>159</v>
      </c>
      <c r="D371" s="19" t="s">
        <v>1488</v>
      </c>
      <c r="E371" s="66" t="s">
        <v>997</v>
      </c>
      <c r="F371" s="67">
        <v>46160</v>
      </c>
      <c r="G371" s="19" t="s">
        <v>1006</v>
      </c>
      <c r="H371" s="19" t="s">
        <v>1007</v>
      </c>
      <c r="I371" s="19" t="s">
        <v>1028</v>
      </c>
      <c r="J371" s="19" t="s">
        <v>1009</v>
      </c>
      <c r="K371" s="67">
        <v>46143</v>
      </c>
      <c r="L371" s="19" t="s">
        <v>1020</v>
      </c>
      <c r="M371" s="19" t="s">
        <v>1010</v>
      </c>
    </row>
    <row r="372" spans="1:13" x14ac:dyDescent="0.35">
      <c r="A372" s="19">
        <v>101171</v>
      </c>
      <c r="B372" s="19" t="s">
        <v>1495</v>
      </c>
      <c r="C372" s="19" t="s">
        <v>199</v>
      </c>
      <c r="D372" s="19" t="s">
        <v>1496</v>
      </c>
      <c r="E372" s="66" t="s">
        <v>997</v>
      </c>
      <c r="F372" s="67">
        <v>46144</v>
      </c>
      <c r="G372" s="19" t="s">
        <v>1006</v>
      </c>
      <c r="H372" s="19" t="s">
        <v>1007</v>
      </c>
      <c r="I372" s="19" t="s">
        <v>1028</v>
      </c>
      <c r="J372" s="19" t="s">
        <v>1009</v>
      </c>
      <c r="K372" s="67">
        <v>46143</v>
      </c>
      <c r="L372" s="19" t="s">
        <v>1020</v>
      </c>
      <c r="M372" s="19" t="s">
        <v>1010</v>
      </c>
    </row>
    <row r="373" spans="1:13" x14ac:dyDescent="0.35">
      <c r="A373" s="19">
        <v>101172</v>
      </c>
      <c r="B373" s="19" t="s">
        <v>1497</v>
      </c>
      <c r="C373" s="19" t="s">
        <v>80</v>
      </c>
      <c r="D373" s="19" t="s">
        <v>1022</v>
      </c>
      <c r="E373" s="66" t="s">
        <v>997</v>
      </c>
      <c r="F373" s="67">
        <v>46168</v>
      </c>
      <c r="G373" s="19" t="s">
        <v>1498</v>
      </c>
      <c r="H373" s="19" t="s">
        <v>1044</v>
      </c>
      <c r="I373" s="19" t="s">
        <v>1028</v>
      </c>
      <c r="J373" s="19" t="s">
        <v>1009</v>
      </c>
      <c r="K373" s="67">
        <v>46143</v>
      </c>
      <c r="L373" s="19" t="s">
        <v>1020</v>
      </c>
      <c r="M373" s="19" t="s">
        <v>1010</v>
      </c>
    </row>
    <row r="374" spans="1:13" x14ac:dyDescent="0.35">
      <c r="A374" s="19">
        <v>101173</v>
      </c>
      <c r="B374" s="19" t="s">
        <v>1499</v>
      </c>
      <c r="C374" s="19" t="s">
        <v>349</v>
      </c>
      <c r="D374" s="19" t="s">
        <v>912</v>
      </c>
      <c r="E374" s="66" t="s">
        <v>997</v>
      </c>
      <c r="F374" s="67">
        <v>46159</v>
      </c>
      <c r="G374" s="19" t="s">
        <v>1006</v>
      </c>
      <c r="H374" s="19" t="s">
        <v>1007</v>
      </c>
      <c r="I374" s="19" t="s">
        <v>1008</v>
      </c>
      <c r="J374" s="19" t="s">
        <v>1009</v>
      </c>
      <c r="K374" s="67">
        <v>46144</v>
      </c>
      <c r="L374" s="19" t="s">
        <v>1001</v>
      </c>
      <c r="M374" s="19" t="s">
        <v>1010</v>
      </c>
    </row>
    <row r="375" spans="1:13" x14ac:dyDescent="0.35">
      <c r="A375" s="19">
        <v>101175</v>
      </c>
      <c r="B375" s="19" t="s">
        <v>1500</v>
      </c>
      <c r="C375" s="19" t="s">
        <v>349</v>
      </c>
      <c r="D375" s="19" t="s">
        <v>912</v>
      </c>
      <c r="E375" s="66" t="s">
        <v>997</v>
      </c>
      <c r="F375" s="67">
        <v>46155</v>
      </c>
      <c r="G375" s="19" t="s">
        <v>1498</v>
      </c>
      <c r="H375" s="19" t="s">
        <v>1044</v>
      </c>
      <c r="I375" s="19" t="s">
        <v>1008</v>
      </c>
      <c r="J375" s="19" t="s">
        <v>1009</v>
      </c>
      <c r="K375" s="67">
        <v>46144</v>
      </c>
      <c r="L375" s="19" t="s">
        <v>1001</v>
      </c>
      <c r="M375" s="19" t="s">
        <v>1010</v>
      </c>
    </row>
    <row r="376" spans="1:13" x14ac:dyDescent="0.35">
      <c r="A376" s="19">
        <v>101185</v>
      </c>
      <c r="B376" s="19" t="s">
        <v>1501</v>
      </c>
      <c r="C376" s="19" t="s">
        <v>23</v>
      </c>
      <c r="D376" s="19" t="s">
        <v>660</v>
      </c>
      <c r="E376" s="66" t="s">
        <v>997</v>
      </c>
      <c r="F376" s="67">
        <v>46155</v>
      </c>
      <c r="G376" s="19" t="s">
        <v>1006</v>
      </c>
      <c r="H376" s="19" t="s">
        <v>1007</v>
      </c>
      <c r="I376" s="19" t="s">
        <v>1028</v>
      </c>
      <c r="J376" s="19" t="s">
        <v>1009</v>
      </c>
      <c r="K376" s="67">
        <v>46144</v>
      </c>
      <c r="L376" s="19" t="s">
        <v>1020</v>
      </c>
      <c r="M376" s="19" t="s">
        <v>1010</v>
      </c>
    </row>
    <row r="377" spans="1:13" x14ac:dyDescent="0.35">
      <c r="A377" s="19">
        <v>101187</v>
      </c>
      <c r="B377" s="19" t="s">
        <v>1502</v>
      </c>
      <c r="C377" s="19" t="s">
        <v>147</v>
      </c>
      <c r="D377" s="19" t="s">
        <v>1396</v>
      </c>
      <c r="E377" s="66" t="s">
        <v>997</v>
      </c>
      <c r="F377" s="67">
        <v>46173</v>
      </c>
      <c r="G377" s="19" t="s">
        <v>1006</v>
      </c>
      <c r="H377" s="19" t="s">
        <v>1007</v>
      </c>
      <c r="I377" s="19" t="s">
        <v>1028</v>
      </c>
      <c r="J377" s="19" t="s">
        <v>1009</v>
      </c>
      <c r="K377" s="67">
        <v>46144</v>
      </c>
      <c r="L377" s="19" t="s">
        <v>1020</v>
      </c>
      <c r="M377" s="19" t="s">
        <v>1010</v>
      </c>
    </row>
    <row r="378" spans="1:13" x14ac:dyDescent="0.35">
      <c r="A378" s="19">
        <v>101198</v>
      </c>
      <c r="B378" s="19" t="s">
        <v>1503</v>
      </c>
      <c r="C378" s="19" t="s">
        <v>165</v>
      </c>
      <c r="D378" s="19" t="s">
        <v>1238</v>
      </c>
      <c r="E378" s="66" t="s">
        <v>997</v>
      </c>
      <c r="F378" s="67">
        <v>46147</v>
      </c>
      <c r="G378" s="19" t="s">
        <v>1006</v>
      </c>
      <c r="H378" s="19" t="s">
        <v>1007</v>
      </c>
      <c r="I378" s="19" t="s">
        <v>1028</v>
      </c>
      <c r="J378" s="19" t="s">
        <v>1009</v>
      </c>
      <c r="K378" s="67">
        <v>46147</v>
      </c>
      <c r="L378" s="19" t="s">
        <v>1020</v>
      </c>
      <c r="M378" s="19" t="s">
        <v>1010</v>
      </c>
    </row>
    <row r="379" spans="1:13" x14ac:dyDescent="0.35">
      <c r="A379" s="19">
        <v>101207</v>
      </c>
      <c r="B379" s="19" t="s">
        <v>1504</v>
      </c>
      <c r="C379" s="19" t="s">
        <v>601</v>
      </c>
      <c r="D379" s="19" t="s">
        <v>1136</v>
      </c>
      <c r="E379" s="66" t="s">
        <v>997</v>
      </c>
      <c r="F379" s="67">
        <v>46173</v>
      </c>
      <c r="G379" s="19" t="s">
        <v>1006</v>
      </c>
      <c r="H379" s="19" t="s">
        <v>1007</v>
      </c>
      <c r="I379" s="19" t="s">
        <v>1028</v>
      </c>
      <c r="J379" s="19" t="s">
        <v>1009</v>
      </c>
      <c r="K379" s="67">
        <v>46147</v>
      </c>
      <c r="L379" s="19" t="s">
        <v>1020</v>
      </c>
      <c r="M379" s="19" t="s">
        <v>1010</v>
      </c>
    </row>
    <row r="380" spans="1:13" x14ac:dyDescent="0.35">
      <c r="A380" s="19">
        <v>101208</v>
      </c>
      <c r="B380" s="19" t="s">
        <v>1505</v>
      </c>
      <c r="C380" s="19" t="s">
        <v>417</v>
      </c>
      <c r="D380" s="19" t="s">
        <v>418</v>
      </c>
      <c r="E380" s="66" t="s">
        <v>997</v>
      </c>
      <c r="F380" s="67">
        <v>46152</v>
      </c>
      <c r="G380" s="19" t="s">
        <v>1498</v>
      </c>
      <c r="H380" s="19" t="s">
        <v>1044</v>
      </c>
      <c r="I380" s="19" t="s">
        <v>1028</v>
      </c>
      <c r="J380" s="19" t="s">
        <v>1009</v>
      </c>
      <c r="K380" s="67">
        <v>46147</v>
      </c>
      <c r="L380" s="19" t="s">
        <v>1020</v>
      </c>
      <c r="M380" s="19" t="s">
        <v>1010</v>
      </c>
    </row>
    <row r="381" spans="1:13" x14ac:dyDescent="0.35">
      <c r="A381" s="19">
        <v>101215</v>
      </c>
      <c r="B381" s="19" t="s">
        <v>1506</v>
      </c>
      <c r="C381" s="19" t="s">
        <v>351</v>
      </c>
      <c r="D381" s="19" t="s">
        <v>1507</v>
      </c>
      <c r="E381" s="66" t="s">
        <v>997</v>
      </c>
      <c r="F381" s="67">
        <v>46149</v>
      </c>
      <c r="G381" s="19" t="s">
        <v>1006</v>
      </c>
      <c r="H381" s="19" t="s">
        <v>1007</v>
      </c>
      <c r="I381" s="19" t="s">
        <v>1028</v>
      </c>
      <c r="J381" s="19" t="s">
        <v>1009</v>
      </c>
      <c r="K381" s="67">
        <v>46147</v>
      </c>
      <c r="L381" s="19" t="s">
        <v>1020</v>
      </c>
      <c r="M381" s="19" t="s">
        <v>1010</v>
      </c>
    </row>
    <row r="382" spans="1:13" x14ac:dyDescent="0.35">
      <c r="A382" s="19">
        <v>101216</v>
      </c>
      <c r="B382" s="19" t="s">
        <v>1508</v>
      </c>
      <c r="C382" s="19" t="s">
        <v>124</v>
      </c>
      <c r="D382" s="19" t="s">
        <v>1398</v>
      </c>
      <c r="E382" s="66" t="s">
        <v>997</v>
      </c>
      <c r="F382" s="67">
        <v>46172</v>
      </c>
      <c r="G382" s="19" t="s">
        <v>1006</v>
      </c>
      <c r="H382" s="19" t="s">
        <v>1007</v>
      </c>
      <c r="I382" s="19" t="s">
        <v>1019</v>
      </c>
      <c r="J382" s="19" t="s">
        <v>1067</v>
      </c>
      <c r="K382" s="67">
        <v>46147</v>
      </c>
      <c r="L382" s="19" t="s">
        <v>1020</v>
      </c>
      <c r="M382" s="19" t="s">
        <v>1010</v>
      </c>
    </row>
    <row r="383" spans="1:13" x14ac:dyDescent="0.35">
      <c r="A383" s="19">
        <v>101218</v>
      </c>
      <c r="B383" s="19" t="s">
        <v>1509</v>
      </c>
      <c r="C383" s="19" t="s">
        <v>45</v>
      </c>
      <c r="D383" s="19" t="s">
        <v>1122</v>
      </c>
      <c r="E383" s="66" t="s">
        <v>997</v>
      </c>
      <c r="F383" s="67">
        <v>46150</v>
      </c>
      <c r="G383" s="19" t="s">
        <v>1006</v>
      </c>
      <c r="H383" s="19" t="s">
        <v>1007</v>
      </c>
      <c r="I383" s="19" t="s">
        <v>1057</v>
      </c>
      <c r="J383" s="19" t="s">
        <v>1067</v>
      </c>
      <c r="K383" s="67">
        <v>46147</v>
      </c>
      <c r="L383" s="19" t="s">
        <v>1001</v>
      </c>
      <c r="M383" s="19" t="s">
        <v>1010</v>
      </c>
    </row>
    <row r="384" spans="1:13" x14ac:dyDescent="0.35">
      <c r="A384" s="19">
        <v>101222</v>
      </c>
      <c r="B384" s="19" t="s">
        <v>1510</v>
      </c>
      <c r="C384" s="19" t="s">
        <v>68</v>
      </c>
      <c r="D384" s="19" t="s">
        <v>1078</v>
      </c>
      <c r="E384" s="66" t="s">
        <v>997</v>
      </c>
      <c r="F384" s="67">
        <v>46152</v>
      </c>
      <c r="G384" s="19" t="s">
        <v>1006</v>
      </c>
      <c r="H384" s="19" t="s">
        <v>1007</v>
      </c>
      <c r="I384" s="19" t="s">
        <v>1028</v>
      </c>
      <c r="J384" s="19" t="s">
        <v>1009</v>
      </c>
      <c r="K384" s="67">
        <v>46148</v>
      </c>
      <c r="L384" s="19" t="s">
        <v>1020</v>
      </c>
      <c r="M384" s="19" t="s">
        <v>1010</v>
      </c>
    </row>
    <row r="385" spans="1:13" x14ac:dyDescent="0.35">
      <c r="A385" s="19">
        <v>101229</v>
      </c>
      <c r="B385" s="19" t="s">
        <v>1511</v>
      </c>
      <c r="C385" s="19" t="s">
        <v>49</v>
      </c>
      <c r="D385" s="19" t="s">
        <v>1213</v>
      </c>
      <c r="E385" s="66" t="s">
        <v>997</v>
      </c>
      <c r="F385" s="67">
        <v>46158</v>
      </c>
      <c r="G385" s="19" t="s">
        <v>1006</v>
      </c>
      <c r="H385" s="19" t="s">
        <v>1007</v>
      </c>
      <c r="I385" s="19" t="s">
        <v>1028</v>
      </c>
      <c r="J385" s="19" t="s">
        <v>1009</v>
      </c>
      <c r="K385" s="67">
        <v>46148</v>
      </c>
      <c r="L385" s="19" t="s">
        <v>1020</v>
      </c>
      <c r="M385" s="19" t="s">
        <v>1010</v>
      </c>
    </row>
    <row r="386" spans="1:13" x14ac:dyDescent="0.35">
      <c r="A386" s="19">
        <v>101232</v>
      </c>
      <c r="B386" s="19" t="s">
        <v>1512</v>
      </c>
      <c r="C386" s="19" t="s">
        <v>362</v>
      </c>
      <c r="D386" s="19" t="s">
        <v>1056</v>
      </c>
      <c r="E386" s="66" t="s">
        <v>997</v>
      </c>
      <c r="F386" s="67">
        <v>46155</v>
      </c>
      <c r="G386" s="19" t="s">
        <v>1006</v>
      </c>
      <c r="H386" s="19" t="s">
        <v>1007</v>
      </c>
      <c r="I386" s="19" t="s">
        <v>1028</v>
      </c>
      <c r="J386" s="19" t="s">
        <v>1009</v>
      </c>
      <c r="K386" s="67">
        <v>46148</v>
      </c>
      <c r="L386" s="19" t="s">
        <v>1020</v>
      </c>
      <c r="M386" s="19" t="s">
        <v>1010</v>
      </c>
    </row>
    <row r="387" spans="1:13" x14ac:dyDescent="0.35">
      <c r="A387" s="19">
        <v>101237</v>
      </c>
      <c r="B387" s="19" t="s">
        <v>1513</v>
      </c>
      <c r="C387" s="19" t="s">
        <v>159</v>
      </c>
      <c r="D387" s="19" t="s">
        <v>1488</v>
      </c>
      <c r="E387" s="66" t="s">
        <v>997</v>
      </c>
      <c r="F387" s="67">
        <v>46150</v>
      </c>
      <c r="G387" s="19" t="s">
        <v>1006</v>
      </c>
      <c r="H387" s="19" t="s">
        <v>1007</v>
      </c>
      <c r="I387" s="19" t="s">
        <v>1008</v>
      </c>
      <c r="J387" s="19" t="s">
        <v>1009</v>
      </c>
      <c r="K387" s="67">
        <v>46148</v>
      </c>
      <c r="L387" s="19" t="s">
        <v>1001</v>
      </c>
      <c r="M387" s="19" t="s">
        <v>1010</v>
      </c>
    </row>
    <row r="388" spans="1:13" x14ac:dyDescent="0.35">
      <c r="A388" s="19">
        <v>101239</v>
      </c>
      <c r="B388" s="19" t="s">
        <v>1514</v>
      </c>
      <c r="C388" s="19" t="s">
        <v>126</v>
      </c>
      <c r="D388" s="19" t="s">
        <v>1152</v>
      </c>
      <c r="E388" s="66" t="s">
        <v>997</v>
      </c>
      <c r="F388" s="67">
        <v>46163</v>
      </c>
      <c r="G388" s="19" t="s">
        <v>1006</v>
      </c>
      <c r="H388" s="19" t="s">
        <v>1007</v>
      </c>
      <c r="I388" s="19" t="s">
        <v>1028</v>
      </c>
      <c r="J388" s="19" t="s">
        <v>1009</v>
      </c>
      <c r="K388" s="67">
        <v>46148</v>
      </c>
      <c r="L388" s="19" t="s">
        <v>1020</v>
      </c>
      <c r="M388" s="19" t="s">
        <v>1010</v>
      </c>
    </row>
    <row r="389" spans="1:13" x14ac:dyDescent="0.35">
      <c r="A389" s="19">
        <v>101242</v>
      </c>
      <c r="B389" s="19" t="s">
        <v>1515</v>
      </c>
      <c r="C389" s="19" t="s">
        <v>290</v>
      </c>
      <c r="D389" s="19" t="s">
        <v>1182</v>
      </c>
      <c r="E389" s="66" t="s">
        <v>997</v>
      </c>
      <c r="F389" s="67">
        <v>46163</v>
      </c>
      <c r="G389" s="19" t="s">
        <v>1498</v>
      </c>
      <c r="H389" s="19" t="s">
        <v>1044</v>
      </c>
      <c r="I389" s="19" t="s">
        <v>1008</v>
      </c>
      <c r="J389" s="19" t="s">
        <v>1009</v>
      </c>
      <c r="K389" s="67">
        <v>46148</v>
      </c>
      <c r="L389" s="19" t="s">
        <v>1001</v>
      </c>
      <c r="M389" s="19" t="s">
        <v>1010</v>
      </c>
    </row>
    <row r="390" spans="1:13" x14ac:dyDescent="0.35">
      <c r="A390" s="19">
        <v>101247</v>
      </c>
      <c r="B390" s="19" t="s">
        <v>1516</v>
      </c>
      <c r="C390" s="19" t="s">
        <v>199</v>
      </c>
      <c r="D390" s="19" t="s">
        <v>1496</v>
      </c>
      <c r="E390" s="66" t="s">
        <v>997</v>
      </c>
      <c r="F390" s="67">
        <v>46172</v>
      </c>
      <c r="G390" s="19" t="s">
        <v>1006</v>
      </c>
      <c r="H390" s="19" t="s">
        <v>1007</v>
      </c>
      <c r="I390" s="19" t="s">
        <v>1028</v>
      </c>
      <c r="J390" s="19" t="s">
        <v>1009</v>
      </c>
      <c r="K390" s="67">
        <v>46149</v>
      </c>
      <c r="L390" s="19" t="s">
        <v>1020</v>
      </c>
      <c r="M390" s="19" t="s">
        <v>1010</v>
      </c>
    </row>
    <row r="391" spans="1:13" x14ac:dyDescent="0.35">
      <c r="A391" s="19">
        <v>101249</v>
      </c>
      <c r="B391" s="19" t="s">
        <v>1517</v>
      </c>
      <c r="C391" s="19" t="s">
        <v>302</v>
      </c>
      <c r="D391" s="19" t="s">
        <v>1053</v>
      </c>
      <c r="E391" s="66" t="s">
        <v>997</v>
      </c>
      <c r="F391" s="67">
        <v>46157</v>
      </c>
      <c r="G391" s="19" t="s">
        <v>1006</v>
      </c>
      <c r="H391" s="19" t="s">
        <v>1007</v>
      </c>
      <c r="I391" s="19" t="s">
        <v>1028</v>
      </c>
      <c r="J391" s="19" t="s">
        <v>1009</v>
      </c>
      <c r="K391" s="67">
        <v>46149</v>
      </c>
      <c r="L391" s="19" t="s">
        <v>1020</v>
      </c>
      <c r="M391" s="19" t="s">
        <v>1010</v>
      </c>
    </row>
    <row r="392" spans="1:13" x14ac:dyDescent="0.35">
      <c r="A392" s="19">
        <v>101250</v>
      </c>
      <c r="B392" s="19" t="s">
        <v>1518</v>
      </c>
      <c r="C392" s="19" t="s">
        <v>302</v>
      </c>
      <c r="D392" s="19" t="s">
        <v>1053</v>
      </c>
      <c r="E392" s="66" t="s">
        <v>997</v>
      </c>
      <c r="F392" s="67">
        <v>46173</v>
      </c>
      <c r="G392" s="19" t="s">
        <v>1006</v>
      </c>
      <c r="H392" s="19" t="s">
        <v>1007</v>
      </c>
      <c r="I392" s="19" t="s">
        <v>1028</v>
      </c>
      <c r="J392" s="19" t="s">
        <v>1009</v>
      </c>
      <c r="K392" s="67">
        <v>46149</v>
      </c>
      <c r="L392" s="19" t="s">
        <v>1020</v>
      </c>
      <c r="M392" s="19" t="s">
        <v>1010</v>
      </c>
    </row>
    <row r="393" spans="1:13" x14ac:dyDescent="0.35">
      <c r="A393" s="19">
        <v>101251</v>
      </c>
      <c r="B393" s="19" t="s">
        <v>1519</v>
      </c>
      <c r="C393" s="19" t="s">
        <v>375</v>
      </c>
      <c r="D393" s="19" t="s">
        <v>1270</v>
      </c>
      <c r="E393" s="66" t="s">
        <v>997</v>
      </c>
      <c r="F393" s="67">
        <v>46150</v>
      </c>
      <c r="G393" s="19" t="s">
        <v>1006</v>
      </c>
      <c r="H393" s="19" t="s">
        <v>1007</v>
      </c>
      <c r="I393" s="19" t="s">
        <v>1028</v>
      </c>
      <c r="J393" s="19" t="s">
        <v>1009</v>
      </c>
      <c r="K393" s="67">
        <v>46149</v>
      </c>
      <c r="L393" s="19" t="s">
        <v>1020</v>
      </c>
      <c r="M393" s="19" t="s">
        <v>1010</v>
      </c>
    </row>
    <row r="394" spans="1:13" x14ac:dyDescent="0.35">
      <c r="A394" s="19">
        <v>101257</v>
      </c>
      <c r="B394" s="19" t="s">
        <v>1520</v>
      </c>
      <c r="C394" s="19" t="s">
        <v>355</v>
      </c>
      <c r="D394" s="19" t="s">
        <v>1100</v>
      </c>
      <c r="E394" s="66" t="s">
        <v>997</v>
      </c>
      <c r="F394" s="67">
        <v>46164</v>
      </c>
      <c r="G394" s="19" t="s">
        <v>1498</v>
      </c>
      <c r="H394" s="19" t="s">
        <v>1044</v>
      </c>
      <c r="I394" s="19" t="s">
        <v>1028</v>
      </c>
      <c r="J394" s="19" t="s">
        <v>1009</v>
      </c>
      <c r="K394" s="67">
        <v>46149</v>
      </c>
      <c r="L394" s="19" t="s">
        <v>1020</v>
      </c>
      <c r="M394" s="19" t="s">
        <v>1010</v>
      </c>
    </row>
    <row r="395" spans="1:13" x14ac:dyDescent="0.35">
      <c r="A395" s="19">
        <v>101263</v>
      </c>
      <c r="B395" s="19" t="s">
        <v>1521</v>
      </c>
      <c r="C395" s="19" t="s">
        <v>431</v>
      </c>
      <c r="D395" s="19" t="s">
        <v>709</v>
      </c>
      <c r="E395" s="66" t="s">
        <v>997</v>
      </c>
      <c r="F395" s="67">
        <v>46172</v>
      </c>
      <c r="G395" s="19" t="s">
        <v>1006</v>
      </c>
      <c r="H395" s="19" t="s">
        <v>1007</v>
      </c>
      <c r="I395" s="19" t="s">
        <v>1028</v>
      </c>
      <c r="J395" s="19" t="s">
        <v>1009</v>
      </c>
      <c r="K395" s="67">
        <v>46150</v>
      </c>
      <c r="L395" s="19" t="s">
        <v>1020</v>
      </c>
      <c r="M395" s="19" t="s">
        <v>1010</v>
      </c>
    </row>
    <row r="396" spans="1:13" x14ac:dyDescent="0.35">
      <c r="A396" s="19">
        <v>101269</v>
      </c>
      <c r="B396" s="19" t="s">
        <v>1522</v>
      </c>
      <c r="C396" s="19" t="s">
        <v>341</v>
      </c>
      <c r="D396" s="19" t="s">
        <v>1264</v>
      </c>
      <c r="E396" s="66" t="s">
        <v>997</v>
      </c>
      <c r="F396" s="67">
        <v>46150</v>
      </c>
      <c r="G396" s="19" t="s">
        <v>1006</v>
      </c>
      <c r="H396" s="19" t="s">
        <v>1007</v>
      </c>
      <c r="I396" s="19" t="s">
        <v>1028</v>
      </c>
      <c r="J396" s="19" t="s">
        <v>1009</v>
      </c>
      <c r="K396" s="67">
        <v>46150</v>
      </c>
      <c r="L396" s="19" t="s">
        <v>1020</v>
      </c>
      <c r="M396" s="19" t="s">
        <v>1010</v>
      </c>
    </row>
    <row r="397" spans="1:13" x14ac:dyDescent="0.35">
      <c r="A397" s="19">
        <v>101275</v>
      </c>
      <c r="B397" s="19" t="s">
        <v>1523</v>
      </c>
      <c r="C397" s="19" t="s">
        <v>307</v>
      </c>
      <c r="D397" s="19" t="s">
        <v>1524</v>
      </c>
      <c r="E397" s="66" t="s">
        <v>997</v>
      </c>
      <c r="F397" s="67">
        <v>46155</v>
      </c>
      <c r="G397" s="19" t="s">
        <v>1006</v>
      </c>
      <c r="H397" s="19" t="s">
        <v>1007</v>
      </c>
      <c r="I397" s="19" t="s">
        <v>1028</v>
      </c>
      <c r="J397" s="19" t="s">
        <v>1009</v>
      </c>
      <c r="K397" s="67">
        <v>46150</v>
      </c>
      <c r="L397" s="19" t="s">
        <v>1020</v>
      </c>
      <c r="M397" s="19" t="s">
        <v>1010</v>
      </c>
    </row>
    <row r="398" spans="1:13" x14ac:dyDescent="0.35">
      <c r="A398" s="19">
        <v>101277</v>
      </c>
      <c r="B398" s="19" t="s">
        <v>1525</v>
      </c>
      <c r="C398" s="19" t="s">
        <v>73</v>
      </c>
      <c r="D398" s="19" t="s">
        <v>1178</v>
      </c>
      <c r="E398" s="66" t="s">
        <v>997</v>
      </c>
      <c r="F398" s="67">
        <v>46170</v>
      </c>
      <c r="G398" s="19" t="s">
        <v>1006</v>
      </c>
      <c r="H398" s="19" t="s">
        <v>1007</v>
      </c>
      <c r="I398" s="19" t="s">
        <v>1028</v>
      </c>
      <c r="J398" s="19" t="s">
        <v>1009</v>
      </c>
      <c r="K398" s="67">
        <v>46150</v>
      </c>
      <c r="L398" s="19" t="s">
        <v>1020</v>
      </c>
      <c r="M398" s="19" t="s">
        <v>1010</v>
      </c>
    </row>
    <row r="399" spans="1:13" x14ac:dyDescent="0.35">
      <c r="A399" s="19">
        <v>101281</v>
      </c>
      <c r="B399" s="19" t="s">
        <v>1526</v>
      </c>
      <c r="C399" s="19" t="s">
        <v>420</v>
      </c>
      <c r="D399" s="19" t="s">
        <v>686</v>
      </c>
      <c r="E399" s="66" t="s">
        <v>997</v>
      </c>
      <c r="F399" s="67">
        <v>46173</v>
      </c>
      <c r="G399" s="19" t="s">
        <v>1006</v>
      </c>
      <c r="H399" s="19" t="s">
        <v>1007</v>
      </c>
      <c r="I399" s="19" t="s">
        <v>1028</v>
      </c>
      <c r="J399" s="19" t="s">
        <v>1009</v>
      </c>
      <c r="K399" s="67">
        <v>46150</v>
      </c>
      <c r="L399" s="19" t="s">
        <v>1020</v>
      </c>
      <c r="M399" s="19" t="s">
        <v>1010</v>
      </c>
    </row>
    <row r="400" spans="1:13" x14ac:dyDescent="0.35">
      <c r="A400" s="19">
        <v>101283</v>
      </c>
      <c r="B400" s="19" t="s">
        <v>1527</v>
      </c>
      <c r="C400" s="19" t="s">
        <v>147</v>
      </c>
      <c r="D400" s="19" t="s">
        <v>1396</v>
      </c>
      <c r="E400" s="66" t="s">
        <v>997</v>
      </c>
      <c r="F400" s="67">
        <v>46155</v>
      </c>
      <c r="G400" s="19" t="s">
        <v>1006</v>
      </c>
      <c r="H400" s="19" t="s">
        <v>1007</v>
      </c>
      <c r="I400" s="19" t="s">
        <v>1028</v>
      </c>
      <c r="J400" s="19" t="s">
        <v>1009</v>
      </c>
      <c r="K400" s="67">
        <v>46150</v>
      </c>
      <c r="L400" s="19" t="s">
        <v>1020</v>
      </c>
      <c r="M400" s="19" t="s">
        <v>1010</v>
      </c>
    </row>
    <row r="401" spans="1:13" x14ac:dyDescent="0.35">
      <c r="A401" s="19">
        <v>101286</v>
      </c>
      <c r="B401" s="19" t="s">
        <v>1528</v>
      </c>
      <c r="C401" s="19" t="s">
        <v>280</v>
      </c>
      <c r="D401" s="19" t="s">
        <v>1223</v>
      </c>
      <c r="E401" s="66" t="s">
        <v>997</v>
      </c>
      <c r="F401" s="67">
        <v>46162</v>
      </c>
      <c r="G401" s="19" t="s">
        <v>1006</v>
      </c>
      <c r="H401" s="19" t="s">
        <v>1007</v>
      </c>
      <c r="I401" s="19" t="s">
        <v>1028</v>
      </c>
      <c r="J401" s="19" t="s">
        <v>1009</v>
      </c>
      <c r="K401" s="67">
        <v>46151</v>
      </c>
      <c r="L401" s="19" t="s">
        <v>1020</v>
      </c>
      <c r="M401" s="19" t="s">
        <v>1010</v>
      </c>
    </row>
    <row r="402" spans="1:13" x14ac:dyDescent="0.35">
      <c r="A402" s="19">
        <v>101295</v>
      </c>
      <c r="B402" s="19" t="s">
        <v>1529</v>
      </c>
      <c r="C402" s="19" t="s">
        <v>245</v>
      </c>
      <c r="D402" s="19" t="s">
        <v>1365</v>
      </c>
      <c r="E402" s="66" t="s">
        <v>997</v>
      </c>
      <c r="F402" s="67">
        <v>46172</v>
      </c>
      <c r="G402" s="19" t="s">
        <v>1006</v>
      </c>
      <c r="H402" s="19" t="s">
        <v>1007</v>
      </c>
      <c r="I402" s="19" t="s">
        <v>1028</v>
      </c>
      <c r="J402" s="19" t="s">
        <v>1009</v>
      </c>
      <c r="K402" s="67">
        <v>46151</v>
      </c>
      <c r="L402" s="19" t="s">
        <v>1020</v>
      </c>
      <c r="M402" s="19" t="s">
        <v>1010</v>
      </c>
    </row>
    <row r="403" spans="1:13" x14ac:dyDescent="0.35">
      <c r="A403" s="19">
        <v>101296</v>
      </c>
      <c r="B403" s="19" t="s">
        <v>1530</v>
      </c>
      <c r="C403" s="19" t="s">
        <v>80</v>
      </c>
      <c r="D403" s="19" t="s">
        <v>1022</v>
      </c>
      <c r="E403" s="66" t="s">
        <v>997</v>
      </c>
      <c r="F403" s="67">
        <v>46155</v>
      </c>
      <c r="G403" s="19" t="s">
        <v>1006</v>
      </c>
      <c r="H403" s="19" t="s">
        <v>1007</v>
      </c>
      <c r="I403" s="19" t="s">
        <v>1057</v>
      </c>
      <c r="J403" s="19" t="s">
        <v>1067</v>
      </c>
      <c r="K403" s="67">
        <v>46151</v>
      </c>
      <c r="L403" s="19" t="s">
        <v>1001</v>
      </c>
      <c r="M403" s="19" t="s">
        <v>1010</v>
      </c>
    </row>
    <row r="404" spans="1:13" x14ac:dyDescent="0.35">
      <c r="A404" s="19">
        <v>101300</v>
      </c>
      <c r="B404" s="19" t="s">
        <v>1531</v>
      </c>
      <c r="C404" s="19" t="s">
        <v>183</v>
      </c>
      <c r="D404" s="19" t="s">
        <v>1532</v>
      </c>
      <c r="E404" s="66" t="s">
        <v>997</v>
      </c>
      <c r="F404" s="67">
        <v>46166</v>
      </c>
      <c r="G404" s="19" t="s">
        <v>1006</v>
      </c>
      <c r="H404" s="19" t="s">
        <v>1007</v>
      </c>
      <c r="I404" s="19" t="s">
        <v>1028</v>
      </c>
      <c r="J404" s="19" t="s">
        <v>1009</v>
      </c>
      <c r="K404" s="67">
        <v>46151</v>
      </c>
      <c r="L404" s="19" t="s">
        <v>1020</v>
      </c>
      <c r="M404" s="19" t="s">
        <v>1010</v>
      </c>
    </row>
    <row r="405" spans="1:13" x14ac:dyDescent="0.35">
      <c r="A405" s="19">
        <v>101311</v>
      </c>
      <c r="B405" s="19" t="s">
        <v>1533</v>
      </c>
      <c r="C405" s="19" t="s">
        <v>432</v>
      </c>
      <c r="D405" s="19" t="s">
        <v>1037</v>
      </c>
      <c r="E405" s="66" t="s">
        <v>997</v>
      </c>
      <c r="F405" s="67">
        <v>46155</v>
      </c>
      <c r="G405" s="19" t="s">
        <v>1006</v>
      </c>
      <c r="H405" s="19" t="s">
        <v>1007</v>
      </c>
      <c r="I405" s="19" t="s">
        <v>1000</v>
      </c>
      <c r="J405" s="19" t="s">
        <v>1000</v>
      </c>
      <c r="K405" s="67">
        <v>46153</v>
      </c>
      <c r="L405" s="19" t="s">
        <v>1001</v>
      </c>
      <c r="M405" s="19" t="s">
        <v>1010</v>
      </c>
    </row>
    <row r="406" spans="1:13" x14ac:dyDescent="0.35">
      <c r="A406" s="19">
        <v>101313</v>
      </c>
      <c r="B406" s="19" t="s">
        <v>1534</v>
      </c>
      <c r="C406" s="19" t="s">
        <v>181</v>
      </c>
      <c r="D406" s="19" t="s">
        <v>1374</v>
      </c>
      <c r="E406" s="66" t="s">
        <v>997</v>
      </c>
      <c r="F406" s="67">
        <v>46161</v>
      </c>
      <c r="G406" s="19" t="s">
        <v>1006</v>
      </c>
      <c r="H406" s="19" t="s">
        <v>1007</v>
      </c>
      <c r="I406" s="19" t="s">
        <v>1028</v>
      </c>
      <c r="J406" s="19" t="s">
        <v>1009</v>
      </c>
      <c r="K406" s="67">
        <v>46153</v>
      </c>
      <c r="L406" s="19" t="s">
        <v>1020</v>
      </c>
      <c r="M406" s="19" t="s">
        <v>1010</v>
      </c>
    </row>
    <row r="407" spans="1:13" x14ac:dyDescent="0.35">
      <c r="A407" s="19">
        <v>101320</v>
      </c>
      <c r="B407" s="19" t="s">
        <v>1535</v>
      </c>
      <c r="C407" s="19" t="s">
        <v>307</v>
      </c>
      <c r="D407" s="19" t="s">
        <v>1524</v>
      </c>
      <c r="E407" s="66" t="s">
        <v>997</v>
      </c>
      <c r="F407" s="67">
        <v>46158</v>
      </c>
      <c r="G407" s="19" t="s">
        <v>1006</v>
      </c>
      <c r="H407" s="19" t="s">
        <v>1007</v>
      </c>
      <c r="I407" s="19" t="s">
        <v>1028</v>
      </c>
      <c r="J407" s="19" t="s">
        <v>1009</v>
      </c>
      <c r="K407" s="67">
        <v>46154</v>
      </c>
      <c r="L407" s="19" t="s">
        <v>1020</v>
      </c>
      <c r="M407" s="19" t="s">
        <v>1010</v>
      </c>
    </row>
    <row r="408" spans="1:13" x14ac:dyDescent="0.35">
      <c r="A408" s="19">
        <v>101327</v>
      </c>
      <c r="B408" s="19" t="s">
        <v>1536</v>
      </c>
      <c r="C408" s="19" t="s">
        <v>118</v>
      </c>
      <c r="D408" s="19" t="s">
        <v>1360</v>
      </c>
      <c r="E408" s="66" t="s">
        <v>997</v>
      </c>
      <c r="F408" s="67">
        <v>46159</v>
      </c>
      <c r="G408" s="19" t="s">
        <v>1006</v>
      </c>
      <c r="H408" s="19" t="s">
        <v>1007</v>
      </c>
      <c r="I408" s="19" t="s">
        <v>1028</v>
      </c>
      <c r="J408" s="19" t="s">
        <v>1009</v>
      </c>
      <c r="K408" s="67">
        <v>46154</v>
      </c>
      <c r="L408" s="19" t="s">
        <v>1020</v>
      </c>
      <c r="M408" s="19" t="s">
        <v>1010</v>
      </c>
    </row>
    <row r="409" spans="1:13" x14ac:dyDescent="0.35">
      <c r="A409" s="19">
        <v>101337</v>
      </c>
      <c r="B409" s="19" t="s">
        <v>1537</v>
      </c>
      <c r="C409" s="19" t="s">
        <v>175</v>
      </c>
      <c r="D409" s="19" t="s">
        <v>1538</v>
      </c>
      <c r="E409" s="66" t="s">
        <v>997</v>
      </c>
      <c r="F409" s="67">
        <v>46172</v>
      </c>
      <c r="G409" s="19" t="s">
        <v>1006</v>
      </c>
      <c r="H409" s="19" t="s">
        <v>1007</v>
      </c>
      <c r="I409" s="19" t="s">
        <v>1028</v>
      </c>
      <c r="J409" s="19" t="s">
        <v>1009</v>
      </c>
      <c r="K409" s="67">
        <v>46155</v>
      </c>
      <c r="L409" s="19" t="s">
        <v>1020</v>
      </c>
      <c r="M409" s="19" t="s">
        <v>1010</v>
      </c>
    </row>
    <row r="410" spans="1:13" x14ac:dyDescent="0.35">
      <c r="A410" s="19">
        <v>101341</v>
      </c>
      <c r="B410" s="19" t="s">
        <v>1539</v>
      </c>
      <c r="C410" s="19" t="s">
        <v>102</v>
      </c>
      <c r="D410" s="19" t="s">
        <v>1306</v>
      </c>
      <c r="E410" s="66" t="s">
        <v>997</v>
      </c>
      <c r="F410" s="67">
        <v>46160</v>
      </c>
      <c r="G410" s="19" t="s">
        <v>1006</v>
      </c>
      <c r="H410" s="19" t="s">
        <v>1007</v>
      </c>
      <c r="I410" s="19" t="s">
        <v>1028</v>
      </c>
      <c r="J410" s="19" t="s">
        <v>1009</v>
      </c>
      <c r="K410" s="67">
        <v>46155</v>
      </c>
      <c r="L410" s="19" t="s">
        <v>1020</v>
      </c>
      <c r="M410" s="19" t="s">
        <v>1010</v>
      </c>
    </row>
    <row r="411" spans="1:13" x14ac:dyDescent="0.35">
      <c r="A411" s="19">
        <v>101347</v>
      </c>
      <c r="B411" s="19" t="s">
        <v>1540</v>
      </c>
      <c r="C411" s="19" t="s">
        <v>318</v>
      </c>
      <c r="D411" s="19" t="s">
        <v>1266</v>
      </c>
      <c r="E411" s="66" t="s">
        <v>997</v>
      </c>
      <c r="F411" s="67">
        <v>46158</v>
      </c>
      <c r="G411" s="19" t="s">
        <v>1006</v>
      </c>
      <c r="H411" s="19" t="s">
        <v>1007</v>
      </c>
      <c r="I411" s="19" t="s">
        <v>1008</v>
      </c>
      <c r="J411" s="19" t="s">
        <v>1009</v>
      </c>
      <c r="K411" s="67">
        <v>46155</v>
      </c>
      <c r="L411" s="19" t="s">
        <v>1001</v>
      </c>
      <c r="M411" s="19" t="s">
        <v>1010</v>
      </c>
    </row>
    <row r="412" spans="1:13" x14ac:dyDescent="0.35">
      <c r="A412" s="19">
        <v>101349</v>
      </c>
      <c r="B412" s="19" t="s">
        <v>1541</v>
      </c>
      <c r="C412" s="19" t="s">
        <v>34</v>
      </c>
      <c r="D412" s="19" t="s">
        <v>1066</v>
      </c>
      <c r="E412" s="66" t="s">
        <v>997</v>
      </c>
      <c r="F412" s="67">
        <v>46167</v>
      </c>
      <c r="G412" s="19" t="s">
        <v>1006</v>
      </c>
      <c r="H412" s="19" t="s">
        <v>1007</v>
      </c>
      <c r="I412" s="19" t="s">
        <v>1028</v>
      </c>
      <c r="J412" s="19" t="s">
        <v>1009</v>
      </c>
      <c r="K412" s="67">
        <v>46155</v>
      </c>
      <c r="L412" s="19" t="s">
        <v>1020</v>
      </c>
      <c r="M412" s="19" t="s">
        <v>1010</v>
      </c>
    </row>
    <row r="413" spans="1:13" x14ac:dyDescent="0.35">
      <c r="A413" s="19">
        <v>101353</v>
      </c>
      <c r="B413" s="19" t="s">
        <v>1542</v>
      </c>
      <c r="C413" s="19" t="s">
        <v>256</v>
      </c>
      <c r="D413" s="19" t="s">
        <v>1005</v>
      </c>
      <c r="E413" s="66" t="s">
        <v>997</v>
      </c>
      <c r="F413" s="67">
        <v>46162</v>
      </c>
      <c r="G413" s="19" t="s">
        <v>1006</v>
      </c>
      <c r="H413" s="19" t="s">
        <v>1007</v>
      </c>
      <c r="I413" s="19" t="s">
        <v>1028</v>
      </c>
      <c r="J413" s="19" t="s">
        <v>1009</v>
      </c>
      <c r="K413" s="67">
        <v>46156</v>
      </c>
      <c r="L413" s="19" t="s">
        <v>1020</v>
      </c>
      <c r="M413" s="19" t="s">
        <v>1010</v>
      </c>
    </row>
    <row r="414" spans="1:13" x14ac:dyDescent="0.35">
      <c r="A414" s="19">
        <v>101380</v>
      </c>
      <c r="B414" s="19" t="s">
        <v>1543</v>
      </c>
      <c r="C414" s="19" t="s">
        <v>147</v>
      </c>
      <c r="D414" s="19" t="s">
        <v>1396</v>
      </c>
      <c r="E414" s="66" t="s">
        <v>997</v>
      </c>
      <c r="F414" s="67">
        <v>46159</v>
      </c>
      <c r="G414" s="19" t="s">
        <v>1394</v>
      </c>
      <c r="H414" s="19" t="s">
        <v>1044</v>
      </c>
      <c r="I414" s="19" t="s">
        <v>1028</v>
      </c>
      <c r="J414" s="19" t="s">
        <v>1009</v>
      </c>
      <c r="K414" s="67">
        <v>46156</v>
      </c>
      <c r="L414" s="19" t="s">
        <v>1020</v>
      </c>
      <c r="M414" s="19" t="s">
        <v>1010</v>
      </c>
    </row>
    <row r="415" spans="1:13" x14ac:dyDescent="0.35">
      <c r="A415" s="19">
        <v>101381</v>
      </c>
      <c r="B415" s="19" t="s">
        <v>1544</v>
      </c>
      <c r="C415" s="19" t="s">
        <v>140</v>
      </c>
      <c r="D415" s="19" t="s">
        <v>1138</v>
      </c>
      <c r="E415" s="66" t="s">
        <v>997</v>
      </c>
      <c r="F415" s="67">
        <v>46164</v>
      </c>
      <c r="G415" s="19" t="s">
        <v>1394</v>
      </c>
      <c r="H415" s="19" t="s">
        <v>1044</v>
      </c>
      <c r="I415" s="19" t="s">
        <v>1008</v>
      </c>
      <c r="J415" s="19" t="s">
        <v>1009</v>
      </c>
      <c r="K415" s="67">
        <v>46156</v>
      </c>
      <c r="L415" s="19" t="s">
        <v>1001</v>
      </c>
      <c r="M415" s="19" t="s">
        <v>1010</v>
      </c>
    </row>
    <row r="416" spans="1:13" x14ac:dyDescent="0.35">
      <c r="A416" s="19">
        <v>101384</v>
      </c>
      <c r="B416" s="19" t="s">
        <v>1545</v>
      </c>
      <c r="C416" s="19" t="s">
        <v>42</v>
      </c>
      <c r="D416" s="19" t="s">
        <v>1262</v>
      </c>
      <c r="E416" s="66" t="s">
        <v>997</v>
      </c>
      <c r="F416" s="67">
        <v>46160</v>
      </c>
      <c r="G416" s="19" t="s">
        <v>1006</v>
      </c>
      <c r="H416" s="19" t="s">
        <v>1007</v>
      </c>
      <c r="I416" s="19" t="s">
        <v>1028</v>
      </c>
      <c r="J416" s="19" t="s">
        <v>1009</v>
      </c>
      <c r="K416" s="67">
        <v>46156</v>
      </c>
      <c r="L416" s="19" t="s">
        <v>1020</v>
      </c>
      <c r="M416" s="19" t="s">
        <v>1010</v>
      </c>
    </row>
    <row r="417" spans="1:13" x14ac:dyDescent="0.35">
      <c r="A417" s="19">
        <v>101385</v>
      </c>
      <c r="B417" s="19" t="s">
        <v>1546</v>
      </c>
      <c r="C417" s="19" t="s">
        <v>311</v>
      </c>
      <c r="D417" s="19" t="s">
        <v>1140</v>
      </c>
      <c r="E417" s="66" t="s">
        <v>997</v>
      </c>
      <c r="F417" s="67">
        <v>46160</v>
      </c>
      <c r="G417" s="19" t="s">
        <v>1006</v>
      </c>
      <c r="H417" s="19" t="s">
        <v>1007</v>
      </c>
      <c r="I417" s="19" t="s">
        <v>1028</v>
      </c>
      <c r="J417" s="19" t="s">
        <v>1009</v>
      </c>
      <c r="K417" s="67">
        <v>46156</v>
      </c>
      <c r="L417" s="19" t="s">
        <v>1020</v>
      </c>
      <c r="M417" s="19" t="s">
        <v>1010</v>
      </c>
    </row>
    <row r="418" spans="1:13" x14ac:dyDescent="0.35">
      <c r="A418" s="19">
        <v>101390</v>
      </c>
      <c r="B418" s="19" t="s">
        <v>1547</v>
      </c>
      <c r="C418" s="19" t="s">
        <v>149</v>
      </c>
      <c r="D418" s="19" t="s">
        <v>1548</v>
      </c>
      <c r="E418" s="66" t="s">
        <v>997</v>
      </c>
      <c r="F418" s="67">
        <v>46163</v>
      </c>
      <c r="G418" s="19" t="s">
        <v>1006</v>
      </c>
      <c r="H418" s="19" t="s">
        <v>1007</v>
      </c>
      <c r="I418" s="19" t="s">
        <v>1028</v>
      </c>
      <c r="J418" s="19" t="s">
        <v>1009</v>
      </c>
      <c r="K418" s="67">
        <v>46156</v>
      </c>
      <c r="L418" s="19" t="s">
        <v>1020</v>
      </c>
      <c r="M418" s="19" t="s">
        <v>1010</v>
      </c>
    </row>
    <row r="419" spans="1:13" x14ac:dyDescent="0.35">
      <c r="A419" s="19">
        <v>101391</v>
      </c>
      <c r="B419" s="19" t="s">
        <v>1549</v>
      </c>
      <c r="C419" s="19" t="s">
        <v>273</v>
      </c>
      <c r="D419" s="19" t="s">
        <v>1093</v>
      </c>
      <c r="E419" s="66" t="s">
        <v>997</v>
      </c>
      <c r="F419" s="67">
        <v>46159</v>
      </c>
      <c r="G419" s="19" t="s">
        <v>1006</v>
      </c>
      <c r="H419" s="19" t="s">
        <v>1007</v>
      </c>
      <c r="I419" s="19" t="s">
        <v>1008</v>
      </c>
      <c r="J419" s="19" t="s">
        <v>1009</v>
      </c>
      <c r="K419" s="67">
        <v>46156</v>
      </c>
      <c r="L419" s="19" t="s">
        <v>1001</v>
      </c>
      <c r="M419" s="19" t="s">
        <v>1010</v>
      </c>
    </row>
    <row r="420" spans="1:13" x14ac:dyDescent="0.35">
      <c r="A420" s="19">
        <v>101399</v>
      </c>
      <c r="B420" s="19" t="s">
        <v>1550</v>
      </c>
      <c r="C420" s="19" t="s">
        <v>115</v>
      </c>
      <c r="D420" s="19" t="s">
        <v>1383</v>
      </c>
      <c r="E420" s="66" t="s">
        <v>997</v>
      </c>
      <c r="F420" s="67">
        <v>46160</v>
      </c>
      <c r="G420" s="19" t="s">
        <v>1006</v>
      </c>
      <c r="H420" s="19" t="s">
        <v>1007</v>
      </c>
      <c r="I420" s="19" t="s">
        <v>1028</v>
      </c>
      <c r="J420" s="19" t="s">
        <v>1009</v>
      </c>
      <c r="K420" s="67">
        <v>46157</v>
      </c>
      <c r="L420" s="19" t="s">
        <v>1020</v>
      </c>
      <c r="M420" s="19" t="s">
        <v>1010</v>
      </c>
    </row>
    <row r="421" spans="1:13" x14ac:dyDescent="0.35">
      <c r="A421" s="19">
        <v>101400</v>
      </c>
      <c r="B421" s="19" t="s">
        <v>1551</v>
      </c>
      <c r="C421" s="19" t="s">
        <v>235</v>
      </c>
      <c r="D421" s="19" t="s">
        <v>1457</v>
      </c>
      <c r="E421" s="66" t="s">
        <v>997</v>
      </c>
      <c r="F421" s="67">
        <v>46158</v>
      </c>
      <c r="G421" s="19" t="s">
        <v>1006</v>
      </c>
      <c r="H421" s="19" t="s">
        <v>1007</v>
      </c>
      <c r="I421" s="19" t="s">
        <v>1028</v>
      </c>
      <c r="J421" s="19" t="s">
        <v>1009</v>
      </c>
      <c r="K421" s="67">
        <v>46157</v>
      </c>
      <c r="L421" s="19" t="s">
        <v>1020</v>
      </c>
      <c r="M421" s="19" t="s">
        <v>1010</v>
      </c>
    </row>
    <row r="422" spans="1:13" x14ac:dyDescent="0.35">
      <c r="A422" s="19">
        <v>101428</v>
      </c>
      <c r="B422" s="19" t="s">
        <v>1552</v>
      </c>
      <c r="C422" s="19" t="s">
        <v>422</v>
      </c>
      <c r="D422" s="19" t="s">
        <v>423</v>
      </c>
      <c r="E422" s="66" t="s">
        <v>997</v>
      </c>
      <c r="F422" s="67">
        <v>46167</v>
      </c>
      <c r="G422" s="19" t="s">
        <v>1006</v>
      </c>
      <c r="H422" s="19" t="s">
        <v>1007</v>
      </c>
      <c r="I422" s="19" t="s">
        <v>1028</v>
      </c>
      <c r="J422" s="19" t="s">
        <v>1009</v>
      </c>
      <c r="K422" s="67">
        <v>46158</v>
      </c>
      <c r="L422" s="19" t="s">
        <v>1020</v>
      </c>
      <c r="M422" s="19" t="s">
        <v>1010</v>
      </c>
    </row>
    <row r="423" spans="1:13" x14ac:dyDescent="0.35">
      <c r="A423" s="19">
        <v>101446</v>
      </c>
      <c r="B423" s="19" t="s">
        <v>1553</v>
      </c>
      <c r="C423" s="19" t="s">
        <v>324</v>
      </c>
      <c r="D423" s="19" t="s">
        <v>1284</v>
      </c>
      <c r="E423" s="66" t="s">
        <v>997</v>
      </c>
      <c r="F423" s="67">
        <v>46161</v>
      </c>
      <c r="G423" s="19" t="s">
        <v>1006</v>
      </c>
      <c r="H423" s="19" t="s">
        <v>1007</v>
      </c>
      <c r="I423" s="19" t="s">
        <v>1028</v>
      </c>
      <c r="J423" s="19" t="s">
        <v>1009</v>
      </c>
      <c r="K423" s="67">
        <v>46158</v>
      </c>
      <c r="L423" s="19" t="s">
        <v>1020</v>
      </c>
      <c r="M423" s="19" t="s">
        <v>1010</v>
      </c>
    </row>
    <row r="424" spans="1:13" x14ac:dyDescent="0.35">
      <c r="A424" s="19">
        <v>101472</v>
      </c>
      <c r="B424" s="19" t="s">
        <v>1554</v>
      </c>
      <c r="C424" s="19" t="s">
        <v>26</v>
      </c>
      <c r="D424" s="19" t="s">
        <v>1124</v>
      </c>
      <c r="E424" s="66" t="s">
        <v>997</v>
      </c>
      <c r="F424" s="67">
        <v>46165</v>
      </c>
      <c r="G424" s="19" t="s">
        <v>1006</v>
      </c>
      <c r="H424" s="19" t="s">
        <v>1007</v>
      </c>
      <c r="I424" s="19" t="s">
        <v>1028</v>
      </c>
      <c r="J424" s="19" t="s">
        <v>1009</v>
      </c>
      <c r="K424" s="67">
        <v>46161</v>
      </c>
      <c r="L424" s="19" t="s">
        <v>1020</v>
      </c>
      <c r="M424" s="19" t="s">
        <v>1010</v>
      </c>
    </row>
    <row r="425" spans="1:13" x14ac:dyDescent="0.35">
      <c r="A425" s="19">
        <v>101505</v>
      </c>
      <c r="B425" s="19" t="s">
        <v>1555</v>
      </c>
      <c r="C425" s="19" t="s">
        <v>41</v>
      </c>
      <c r="D425" s="19" t="s">
        <v>1157</v>
      </c>
      <c r="E425" s="66" t="s">
        <v>997</v>
      </c>
      <c r="F425" s="67">
        <v>46164</v>
      </c>
      <c r="G425" s="19" t="s">
        <v>1006</v>
      </c>
      <c r="H425" s="19" t="s">
        <v>1007</v>
      </c>
      <c r="I425" s="19" t="s">
        <v>1028</v>
      </c>
      <c r="J425" s="19" t="s">
        <v>1009</v>
      </c>
      <c r="K425" s="67">
        <v>46163</v>
      </c>
      <c r="L425" s="19" t="s">
        <v>1020</v>
      </c>
      <c r="M425" s="19" t="s">
        <v>1010</v>
      </c>
    </row>
    <row r="426" spans="1:13" x14ac:dyDescent="0.35">
      <c r="A426" s="19">
        <v>101539</v>
      </c>
      <c r="B426" s="19" t="s">
        <v>1556</v>
      </c>
      <c r="C426" s="19" t="s">
        <v>151</v>
      </c>
      <c r="D426" s="19" t="s">
        <v>1557</v>
      </c>
      <c r="E426" s="66" t="s">
        <v>997</v>
      </c>
      <c r="F426" s="67">
        <v>46167</v>
      </c>
      <c r="G426" s="19" t="s">
        <v>1006</v>
      </c>
      <c r="H426" s="19" t="s">
        <v>1007</v>
      </c>
      <c r="I426" s="19" t="s">
        <v>1028</v>
      </c>
      <c r="J426" s="19" t="s">
        <v>1009</v>
      </c>
      <c r="K426" s="67">
        <v>46163</v>
      </c>
      <c r="L426" s="19" t="s">
        <v>1020</v>
      </c>
      <c r="M426" s="19" t="s">
        <v>1010</v>
      </c>
    </row>
    <row r="427" spans="1:13" x14ac:dyDescent="0.35">
      <c r="A427" s="19">
        <v>101549</v>
      </c>
      <c r="B427" s="19" t="s">
        <v>1558</v>
      </c>
      <c r="C427" s="19" t="s">
        <v>362</v>
      </c>
      <c r="D427" s="19" t="s">
        <v>1056</v>
      </c>
      <c r="E427" s="66" t="s">
        <v>997</v>
      </c>
      <c r="F427" s="67">
        <v>46165</v>
      </c>
      <c r="G427" s="19" t="s">
        <v>1006</v>
      </c>
      <c r="H427" s="19" t="s">
        <v>1007</v>
      </c>
      <c r="I427" s="19" t="s">
        <v>1008</v>
      </c>
      <c r="J427" s="19" t="s">
        <v>1009</v>
      </c>
      <c r="K427" s="67">
        <v>46163</v>
      </c>
      <c r="L427" s="19" t="s">
        <v>1001</v>
      </c>
      <c r="M427" s="19" t="s">
        <v>1010</v>
      </c>
    </row>
    <row r="428" spans="1:13" x14ac:dyDescent="0.35">
      <c r="A428" s="19">
        <v>101557</v>
      </c>
      <c r="B428" s="19" t="s">
        <v>1559</v>
      </c>
      <c r="C428" s="19" t="s">
        <v>393</v>
      </c>
      <c r="D428" s="19" t="s">
        <v>865</v>
      </c>
      <c r="E428" s="66" t="s">
        <v>997</v>
      </c>
      <c r="F428" s="67">
        <v>46166</v>
      </c>
      <c r="G428" s="19" t="s">
        <v>1006</v>
      </c>
      <c r="H428" s="19" t="s">
        <v>1007</v>
      </c>
      <c r="I428" s="19" t="s">
        <v>1028</v>
      </c>
      <c r="J428" s="19" t="s">
        <v>1009</v>
      </c>
      <c r="K428" s="67">
        <v>46164</v>
      </c>
      <c r="L428" s="19" t="s">
        <v>1020</v>
      </c>
      <c r="M428" s="19" t="s">
        <v>1010</v>
      </c>
    </row>
    <row r="429" spans="1:13" x14ac:dyDescent="0.35">
      <c r="A429" s="19">
        <v>101567</v>
      </c>
      <c r="B429" s="19" t="s">
        <v>1560</v>
      </c>
      <c r="C429" s="19" t="s">
        <v>278</v>
      </c>
      <c r="D429" s="19" t="s">
        <v>1131</v>
      </c>
      <c r="E429" s="66" t="s">
        <v>997</v>
      </c>
      <c r="F429" s="67">
        <v>46173</v>
      </c>
      <c r="G429" s="19" t="s">
        <v>1006</v>
      </c>
      <c r="H429" s="19" t="s">
        <v>1007</v>
      </c>
      <c r="I429" s="19" t="s">
        <v>1008</v>
      </c>
      <c r="J429" s="19" t="s">
        <v>1009</v>
      </c>
      <c r="K429" s="67">
        <v>46164</v>
      </c>
      <c r="L429" s="19" t="s">
        <v>1001</v>
      </c>
      <c r="M429" s="19" t="s">
        <v>1010</v>
      </c>
    </row>
    <row r="430" spans="1:13" x14ac:dyDescent="0.35">
      <c r="A430" s="19">
        <v>101575</v>
      </c>
      <c r="B430" s="19" t="s">
        <v>1561</v>
      </c>
      <c r="C430" s="19" t="s">
        <v>295</v>
      </c>
      <c r="D430" s="19" t="s">
        <v>1095</v>
      </c>
      <c r="E430" s="66" t="s">
        <v>997</v>
      </c>
      <c r="F430" s="67">
        <v>46173</v>
      </c>
      <c r="G430" s="19" t="s">
        <v>1006</v>
      </c>
      <c r="H430" s="19" t="s">
        <v>1007</v>
      </c>
      <c r="I430" s="19" t="s">
        <v>1028</v>
      </c>
      <c r="J430" s="19" t="s">
        <v>1009</v>
      </c>
      <c r="K430" s="67">
        <v>46165</v>
      </c>
      <c r="L430" s="19" t="s">
        <v>1020</v>
      </c>
      <c r="M430" s="19" t="s">
        <v>1010</v>
      </c>
    </row>
    <row r="431" spans="1:13" x14ac:dyDescent="0.35">
      <c r="A431" s="19">
        <v>101599</v>
      </c>
      <c r="B431" s="19" t="s">
        <v>1562</v>
      </c>
      <c r="C431" s="19" t="s">
        <v>42</v>
      </c>
      <c r="D431" s="19" t="s">
        <v>1262</v>
      </c>
      <c r="E431" s="66" t="s">
        <v>997</v>
      </c>
      <c r="F431" s="67">
        <v>46167</v>
      </c>
      <c r="G431" s="19" t="s">
        <v>1006</v>
      </c>
      <c r="H431" s="19" t="s">
        <v>1007</v>
      </c>
      <c r="I431" s="19" t="s">
        <v>1028</v>
      </c>
      <c r="J431" s="19" t="s">
        <v>1009</v>
      </c>
      <c r="K431" s="67">
        <v>46165</v>
      </c>
      <c r="L431" s="19" t="s">
        <v>1020</v>
      </c>
      <c r="M431" s="19" t="s">
        <v>1010</v>
      </c>
    </row>
    <row r="432" spans="1:13" x14ac:dyDescent="0.35">
      <c r="A432" s="19">
        <v>101601</v>
      </c>
      <c r="B432" s="19" t="s">
        <v>1563</v>
      </c>
      <c r="C432" s="19" t="s">
        <v>201</v>
      </c>
      <c r="D432" s="19" t="s">
        <v>1061</v>
      </c>
      <c r="E432" s="66" t="s">
        <v>997</v>
      </c>
      <c r="F432" s="67">
        <v>46167</v>
      </c>
      <c r="G432" s="19" t="s">
        <v>1006</v>
      </c>
      <c r="H432" s="19" t="s">
        <v>1007</v>
      </c>
      <c r="I432" s="19" t="s">
        <v>1028</v>
      </c>
      <c r="J432" s="19" t="s">
        <v>1009</v>
      </c>
      <c r="K432" s="67">
        <v>46165</v>
      </c>
      <c r="L432" s="19" t="s">
        <v>1020</v>
      </c>
      <c r="M432" s="19" t="s">
        <v>1010</v>
      </c>
    </row>
    <row r="433" spans="1:15" x14ac:dyDescent="0.35">
      <c r="A433" s="19">
        <v>101604</v>
      </c>
      <c r="B433" s="19" t="s">
        <v>1564</v>
      </c>
      <c r="C433" s="19" t="s">
        <v>318</v>
      </c>
      <c r="D433" s="19" t="s">
        <v>1266</v>
      </c>
      <c r="E433" s="66" t="s">
        <v>997</v>
      </c>
      <c r="F433" s="67">
        <v>46169</v>
      </c>
      <c r="G433" s="19" t="s">
        <v>1394</v>
      </c>
      <c r="H433" s="19" t="s">
        <v>1044</v>
      </c>
      <c r="I433" s="19" t="s">
        <v>1028</v>
      </c>
      <c r="J433" s="19" t="s">
        <v>1009</v>
      </c>
      <c r="K433" s="67">
        <v>46165</v>
      </c>
      <c r="L433" s="19" t="s">
        <v>1020</v>
      </c>
      <c r="M433" s="19" t="s">
        <v>1010</v>
      </c>
    </row>
    <row r="434" spans="1:15" x14ac:dyDescent="0.35">
      <c r="A434" s="19">
        <v>101610</v>
      </c>
      <c r="B434" s="19" t="s">
        <v>1565</v>
      </c>
      <c r="C434" s="19" t="s">
        <v>318</v>
      </c>
      <c r="D434" s="19" t="s">
        <v>1266</v>
      </c>
      <c r="E434" s="66" t="s">
        <v>997</v>
      </c>
      <c r="F434" s="67">
        <v>46165</v>
      </c>
      <c r="G434" s="19" t="s">
        <v>1006</v>
      </c>
      <c r="H434" s="19" t="s">
        <v>1007</v>
      </c>
      <c r="I434" s="19" t="s">
        <v>1028</v>
      </c>
      <c r="J434" s="19" t="s">
        <v>1009</v>
      </c>
      <c r="K434" s="67">
        <v>46165</v>
      </c>
      <c r="L434" s="19" t="s">
        <v>1020</v>
      </c>
      <c r="M434" s="19" t="s">
        <v>1010</v>
      </c>
    </row>
    <row r="435" spans="1:15" x14ac:dyDescent="0.35">
      <c r="A435" s="19">
        <v>101630</v>
      </c>
      <c r="B435" s="19" t="s">
        <v>1566</v>
      </c>
      <c r="C435" s="19" t="s">
        <v>351</v>
      </c>
      <c r="D435" s="19" t="s">
        <v>1507</v>
      </c>
      <c r="E435" s="66" t="s">
        <v>997</v>
      </c>
      <c r="F435" s="67">
        <v>46170</v>
      </c>
      <c r="G435" s="19" t="s">
        <v>1006</v>
      </c>
      <c r="H435" s="19" t="s">
        <v>1007</v>
      </c>
      <c r="I435" s="19" t="s">
        <v>1028</v>
      </c>
      <c r="J435" s="19" t="s">
        <v>1009</v>
      </c>
      <c r="K435" s="67">
        <v>46168</v>
      </c>
      <c r="L435" s="19" t="s">
        <v>1020</v>
      </c>
      <c r="M435" s="19" t="s">
        <v>1010</v>
      </c>
    </row>
    <row r="436" spans="1:15" x14ac:dyDescent="0.35">
      <c r="A436" s="19">
        <v>101633</v>
      </c>
      <c r="B436" s="19" t="s">
        <v>1567</v>
      </c>
      <c r="C436" s="19" t="s">
        <v>355</v>
      </c>
      <c r="D436" s="19" t="s">
        <v>1100</v>
      </c>
      <c r="E436" s="66" t="s">
        <v>997</v>
      </c>
      <c r="F436" s="67">
        <v>46171</v>
      </c>
      <c r="G436" s="19" t="s">
        <v>1006</v>
      </c>
      <c r="H436" s="19" t="s">
        <v>1007</v>
      </c>
      <c r="I436" s="19" t="s">
        <v>1028</v>
      </c>
      <c r="J436" s="19" t="s">
        <v>1009</v>
      </c>
      <c r="K436" s="67">
        <v>46168</v>
      </c>
      <c r="L436" s="19" t="s">
        <v>1020</v>
      </c>
      <c r="M436" s="19" t="s">
        <v>1010</v>
      </c>
    </row>
    <row r="437" spans="1:15" x14ac:dyDescent="0.35">
      <c r="A437" s="66" t="s">
        <v>1572</v>
      </c>
      <c r="B437" s="66" t="s">
        <v>1573</v>
      </c>
      <c r="C437" s="66" t="s">
        <v>68</v>
      </c>
      <c r="D437" s="66" t="s">
        <v>1078</v>
      </c>
      <c r="E437" s="66" t="s">
        <v>997</v>
      </c>
      <c r="F437" s="75">
        <v>46142</v>
      </c>
      <c r="G437" s="75" t="s">
        <v>998</v>
      </c>
      <c r="H437" s="66" t="s">
        <v>999</v>
      </c>
      <c r="I437" s="66" t="s">
        <v>1158</v>
      </c>
      <c r="J437" s="66" t="s">
        <v>1158</v>
      </c>
      <c r="K437" s="75">
        <v>40627</v>
      </c>
      <c r="L437" s="66" t="s">
        <v>1001</v>
      </c>
      <c r="M437" s="66" t="s">
        <v>1010</v>
      </c>
      <c r="N437" s="66" t="s">
        <v>1574</v>
      </c>
      <c r="O437" s="66" t="s">
        <v>1575</v>
      </c>
    </row>
    <row r="438" spans="1:15" x14ac:dyDescent="0.35">
      <c r="A438" s="66" t="s">
        <v>1576</v>
      </c>
      <c r="B438" s="66" t="s">
        <v>1577</v>
      </c>
      <c r="C438" s="66" t="s">
        <v>28</v>
      </c>
      <c r="D438" s="66" t="s">
        <v>916</v>
      </c>
      <c r="E438" s="66" t="s">
        <v>997</v>
      </c>
      <c r="F438" s="75">
        <v>46113</v>
      </c>
      <c r="G438" s="75" t="s">
        <v>998</v>
      </c>
      <c r="H438" s="66" t="s">
        <v>999</v>
      </c>
      <c r="I438" s="66" t="s">
        <v>1045</v>
      </c>
      <c r="J438" s="66" t="s">
        <v>1045</v>
      </c>
      <c r="K438" s="75">
        <v>40865</v>
      </c>
      <c r="L438" s="66" t="s">
        <v>1001</v>
      </c>
      <c r="M438" s="66" t="s">
        <v>1002</v>
      </c>
      <c r="N438" s="66" t="s">
        <v>1574</v>
      </c>
      <c r="O438" s="66" t="s">
        <v>1575</v>
      </c>
    </row>
    <row r="439" spans="1:15" x14ac:dyDescent="0.35">
      <c r="A439" s="66" t="s">
        <v>1578</v>
      </c>
      <c r="B439" s="66" t="s">
        <v>1579</v>
      </c>
      <c r="C439" s="66" t="s">
        <v>189</v>
      </c>
      <c r="D439" s="66" t="s">
        <v>1369</v>
      </c>
      <c r="E439" s="66" t="s">
        <v>997</v>
      </c>
      <c r="F439" s="75">
        <v>46113</v>
      </c>
      <c r="G439" s="75" t="s">
        <v>1006</v>
      </c>
      <c r="H439" s="66" t="s">
        <v>1007</v>
      </c>
      <c r="I439" s="66" t="s">
        <v>1084</v>
      </c>
      <c r="J439" s="66" t="s">
        <v>1084</v>
      </c>
      <c r="K439" s="75">
        <v>44491</v>
      </c>
      <c r="L439" s="66" t="s">
        <v>1001</v>
      </c>
      <c r="M439" s="66" t="s">
        <v>1088</v>
      </c>
      <c r="N439" s="66" t="s">
        <v>1574</v>
      </c>
      <c r="O439" s="66" t="s">
        <v>1575</v>
      </c>
    </row>
    <row r="440" spans="1:15" x14ac:dyDescent="0.35">
      <c r="A440" s="66" t="s">
        <v>1580</v>
      </c>
      <c r="B440" s="66" t="s">
        <v>1581</v>
      </c>
      <c r="C440" s="66" t="s">
        <v>409</v>
      </c>
      <c r="D440" s="66" t="s">
        <v>874</v>
      </c>
      <c r="E440" s="66" t="s">
        <v>997</v>
      </c>
      <c r="F440" s="75">
        <v>46113</v>
      </c>
      <c r="G440" s="75" t="s">
        <v>1582</v>
      </c>
      <c r="H440" s="66" t="s">
        <v>1044</v>
      </c>
      <c r="I440" s="66" t="s">
        <v>1016</v>
      </c>
      <c r="J440" s="66" t="s">
        <v>1016</v>
      </c>
      <c r="K440" s="75">
        <v>41760</v>
      </c>
      <c r="L440" s="66" t="s">
        <v>1001</v>
      </c>
      <c r="M440" s="66" t="s">
        <v>1010</v>
      </c>
      <c r="N440" s="66" t="s">
        <v>1574</v>
      </c>
      <c r="O440" s="66" t="s">
        <v>1575</v>
      </c>
    </row>
    <row r="441" spans="1:15" x14ac:dyDescent="0.35">
      <c r="A441" s="66" t="s">
        <v>1583</v>
      </c>
      <c r="B441" s="66" t="s">
        <v>1584</v>
      </c>
      <c r="C441" s="66" t="s">
        <v>225</v>
      </c>
      <c r="D441" s="66" t="s">
        <v>1585</v>
      </c>
      <c r="E441" s="66" t="s">
        <v>997</v>
      </c>
      <c r="F441" s="75">
        <v>46118</v>
      </c>
      <c r="G441" s="75" t="s">
        <v>1586</v>
      </c>
      <c r="H441" s="66" t="s">
        <v>999</v>
      </c>
      <c r="I441" s="66" t="s">
        <v>1045</v>
      </c>
      <c r="J441" s="66" t="s">
        <v>1045</v>
      </c>
      <c r="K441" s="75">
        <v>42186</v>
      </c>
      <c r="L441" s="66" t="s">
        <v>1001</v>
      </c>
      <c r="M441" s="66" t="s">
        <v>1002</v>
      </c>
      <c r="N441" s="66" t="s">
        <v>1574</v>
      </c>
      <c r="O441" s="66" t="s">
        <v>1575</v>
      </c>
    </row>
    <row r="442" spans="1:15" x14ac:dyDescent="0.35">
      <c r="A442" s="66" t="s">
        <v>1587</v>
      </c>
      <c r="B442" s="66" t="s">
        <v>1588</v>
      </c>
      <c r="C442" s="66" t="s">
        <v>181</v>
      </c>
      <c r="D442" s="66" t="s">
        <v>1374</v>
      </c>
      <c r="E442" s="66" t="s">
        <v>997</v>
      </c>
      <c r="F442" s="75">
        <v>46121</v>
      </c>
      <c r="G442" s="75" t="s">
        <v>1221</v>
      </c>
      <c r="H442" s="66" t="s">
        <v>1044</v>
      </c>
      <c r="I442" s="66" t="s">
        <v>1589</v>
      </c>
      <c r="J442" s="66" t="s">
        <v>1589</v>
      </c>
      <c r="K442" s="75">
        <v>42255</v>
      </c>
      <c r="L442" s="66" t="s">
        <v>1001</v>
      </c>
      <c r="M442" s="66" t="s">
        <v>1010</v>
      </c>
      <c r="N442" s="66" t="s">
        <v>1574</v>
      </c>
      <c r="O442" s="66" t="s">
        <v>1575</v>
      </c>
    </row>
    <row r="443" spans="1:15" x14ac:dyDescent="0.35">
      <c r="A443" s="66" t="s">
        <v>1590</v>
      </c>
      <c r="B443" s="66" t="s">
        <v>1591</v>
      </c>
      <c r="C443" s="66" t="s">
        <v>225</v>
      </c>
      <c r="D443" s="66" t="s">
        <v>1585</v>
      </c>
      <c r="E443" s="66" t="s">
        <v>997</v>
      </c>
      <c r="F443" s="75">
        <v>46113</v>
      </c>
      <c r="G443" s="75" t="s">
        <v>1586</v>
      </c>
      <c r="H443" s="66" t="s">
        <v>999</v>
      </c>
      <c r="I443" s="66" t="s">
        <v>1034</v>
      </c>
      <c r="J443" s="66" t="s">
        <v>1034</v>
      </c>
      <c r="K443" s="75">
        <v>42363</v>
      </c>
      <c r="L443" s="66" t="s">
        <v>1001</v>
      </c>
      <c r="M443" s="66" t="s">
        <v>1010</v>
      </c>
      <c r="N443" s="66" t="s">
        <v>1574</v>
      </c>
      <c r="O443" s="66" t="s">
        <v>1575</v>
      </c>
    </row>
    <row r="444" spans="1:15" x14ac:dyDescent="0.35">
      <c r="A444" s="66" t="s">
        <v>1592</v>
      </c>
      <c r="B444" s="66" t="s">
        <v>1593</v>
      </c>
      <c r="C444" s="66" t="s">
        <v>313</v>
      </c>
      <c r="D444" s="66" t="s">
        <v>1401</v>
      </c>
      <c r="E444" s="66" t="s">
        <v>997</v>
      </c>
      <c r="F444" s="75">
        <v>46120</v>
      </c>
      <c r="G444" s="75" t="s">
        <v>1006</v>
      </c>
      <c r="H444" s="66" t="s">
        <v>1007</v>
      </c>
      <c r="I444" s="66" t="s">
        <v>1008</v>
      </c>
      <c r="J444" s="66" t="s">
        <v>1008</v>
      </c>
      <c r="K444" s="75">
        <v>42524</v>
      </c>
      <c r="L444" s="66" t="s">
        <v>1001</v>
      </c>
      <c r="M444" s="66" t="s">
        <v>1010</v>
      </c>
      <c r="N444" s="66" t="s">
        <v>1574</v>
      </c>
      <c r="O444" s="66" t="s">
        <v>1575</v>
      </c>
    </row>
    <row r="445" spans="1:15" x14ac:dyDescent="0.35">
      <c r="A445" s="66" t="s">
        <v>1594</v>
      </c>
      <c r="B445" s="66" t="s">
        <v>1595</v>
      </c>
      <c r="C445" s="66" t="s">
        <v>432</v>
      </c>
      <c r="D445" s="66" t="s">
        <v>1037</v>
      </c>
      <c r="E445" s="66" t="s">
        <v>997</v>
      </c>
      <c r="F445" s="75">
        <v>46122</v>
      </c>
      <c r="G445" s="75" t="s">
        <v>1013</v>
      </c>
      <c r="H445" s="66" t="s">
        <v>1007</v>
      </c>
      <c r="I445" s="66" t="s">
        <v>1000</v>
      </c>
      <c r="J445" s="66" t="s">
        <v>1000</v>
      </c>
      <c r="K445" s="75">
        <v>42532</v>
      </c>
      <c r="L445" s="66" t="s">
        <v>1001</v>
      </c>
      <c r="M445" s="66" t="s">
        <v>1002</v>
      </c>
      <c r="N445" s="66" t="s">
        <v>1574</v>
      </c>
      <c r="O445" s="66" t="s">
        <v>1575</v>
      </c>
    </row>
    <row r="446" spans="1:15" x14ac:dyDescent="0.35">
      <c r="A446" s="66" t="s">
        <v>1596</v>
      </c>
      <c r="B446" s="66" t="s">
        <v>1597</v>
      </c>
      <c r="C446" s="66" t="s">
        <v>225</v>
      </c>
      <c r="D446" s="66" t="s">
        <v>1585</v>
      </c>
      <c r="E446" s="66" t="s">
        <v>997</v>
      </c>
      <c r="F446" s="75">
        <v>46113</v>
      </c>
      <c r="G446" s="75" t="s">
        <v>1586</v>
      </c>
      <c r="H446" s="66" t="s">
        <v>999</v>
      </c>
      <c r="I446" s="66" t="s">
        <v>1598</v>
      </c>
      <c r="J446" s="66" t="s">
        <v>1598</v>
      </c>
      <c r="K446" s="75">
        <v>42899</v>
      </c>
      <c r="L446" s="66" t="s">
        <v>1001</v>
      </c>
      <c r="M446" s="66" t="s">
        <v>1010</v>
      </c>
      <c r="N446" s="66" t="s">
        <v>1574</v>
      </c>
      <c r="O446" s="66" t="s">
        <v>1599</v>
      </c>
    </row>
    <row r="447" spans="1:15" x14ac:dyDescent="0.35">
      <c r="A447" s="66" t="s">
        <v>1600</v>
      </c>
      <c r="B447" s="66" t="s">
        <v>1601</v>
      </c>
      <c r="C447" s="66" t="s">
        <v>225</v>
      </c>
      <c r="D447" s="66" t="s">
        <v>1585</v>
      </c>
      <c r="E447" s="66" t="s">
        <v>997</v>
      </c>
      <c r="F447" s="75">
        <v>46113</v>
      </c>
      <c r="G447" s="75" t="s">
        <v>1586</v>
      </c>
      <c r="H447" s="66" t="s">
        <v>999</v>
      </c>
      <c r="I447" s="66" t="s">
        <v>1008</v>
      </c>
      <c r="J447" s="66" t="s">
        <v>1008</v>
      </c>
      <c r="K447" s="75">
        <v>42963</v>
      </c>
      <c r="L447" s="66" t="s">
        <v>1001</v>
      </c>
      <c r="M447" s="66" t="s">
        <v>1010</v>
      </c>
      <c r="N447" s="66" t="s">
        <v>1574</v>
      </c>
      <c r="O447" s="66" t="s">
        <v>1575</v>
      </c>
    </row>
    <row r="448" spans="1:15" x14ac:dyDescent="0.35">
      <c r="A448" s="66" t="s">
        <v>1602</v>
      </c>
      <c r="B448" s="66" t="s">
        <v>1603</v>
      </c>
      <c r="C448" s="66" t="s">
        <v>367</v>
      </c>
      <c r="D448" s="66" t="s">
        <v>1604</v>
      </c>
      <c r="E448" s="66" t="s">
        <v>997</v>
      </c>
      <c r="F448" s="75">
        <v>46120</v>
      </c>
      <c r="G448" s="75" t="s">
        <v>1013</v>
      </c>
      <c r="H448" s="66" t="s">
        <v>1007</v>
      </c>
      <c r="I448" s="66" t="s">
        <v>1008</v>
      </c>
      <c r="J448" s="66" t="s">
        <v>1008</v>
      </c>
      <c r="K448" s="75">
        <v>43252</v>
      </c>
      <c r="L448" s="66" t="s">
        <v>1001</v>
      </c>
      <c r="M448" s="66" t="s">
        <v>1010</v>
      </c>
      <c r="N448" s="66" t="s">
        <v>1574</v>
      </c>
      <c r="O448" s="66" t="s">
        <v>1575</v>
      </c>
    </row>
    <row r="449" spans="1:15" x14ac:dyDescent="0.35">
      <c r="A449" s="66" t="s">
        <v>1605</v>
      </c>
      <c r="B449" s="66" t="s">
        <v>1606</v>
      </c>
      <c r="C449" s="66" t="s">
        <v>349</v>
      </c>
      <c r="D449" s="66" t="s">
        <v>912</v>
      </c>
      <c r="E449" s="66" t="s">
        <v>997</v>
      </c>
      <c r="F449" s="75">
        <v>46113</v>
      </c>
      <c r="G449" s="75" t="s">
        <v>1006</v>
      </c>
      <c r="H449" s="66" t="s">
        <v>1007</v>
      </c>
      <c r="I449" s="66" t="s">
        <v>1034</v>
      </c>
      <c r="J449" s="66" t="s">
        <v>1034</v>
      </c>
      <c r="K449" s="75">
        <v>45336</v>
      </c>
      <c r="L449" s="66" t="s">
        <v>1001</v>
      </c>
      <c r="M449" s="66" t="s">
        <v>1010</v>
      </c>
      <c r="N449" s="66" t="s">
        <v>1574</v>
      </c>
      <c r="O449" s="66" t="s">
        <v>1599</v>
      </c>
    </row>
    <row r="450" spans="1:15" x14ac:dyDescent="0.35">
      <c r="A450" s="66" t="s">
        <v>1607</v>
      </c>
      <c r="B450" s="66" t="s">
        <v>1608</v>
      </c>
      <c r="C450" s="66" t="s">
        <v>419</v>
      </c>
      <c r="D450" s="66" t="s">
        <v>695</v>
      </c>
      <c r="E450" s="66" t="s">
        <v>997</v>
      </c>
      <c r="F450" s="75">
        <v>46121</v>
      </c>
      <c r="G450" s="75" t="s">
        <v>1006</v>
      </c>
      <c r="H450" s="66" t="s">
        <v>1007</v>
      </c>
      <c r="I450" s="66" t="s">
        <v>1008</v>
      </c>
      <c r="J450" s="66" t="s">
        <v>1008</v>
      </c>
      <c r="K450" s="75">
        <v>46032</v>
      </c>
      <c r="L450" s="66" t="s">
        <v>1001</v>
      </c>
      <c r="M450" s="66" t="s">
        <v>1010</v>
      </c>
      <c r="N450" s="66" t="s">
        <v>1574</v>
      </c>
      <c r="O450" s="66" t="s">
        <v>1599</v>
      </c>
    </row>
    <row r="451" spans="1:15" x14ac:dyDescent="0.35">
      <c r="A451" s="66" t="s">
        <v>1609</v>
      </c>
      <c r="B451" s="66" t="s">
        <v>1610</v>
      </c>
      <c r="C451" s="66" t="s">
        <v>17</v>
      </c>
      <c r="D451" s="66" t="s">
        <v>906</v>
      </c>
      <c r="E451" s="66" t="s">
        <v>997</v>
      </c>
      <c r="F451" s="75">
        <v>46113</v>
      </c>
      <c r="G451" s="75" t="s">
        <v>1006</v>
      </c>
      <c r="H451" s="66" t="s">
        <v>1007</v>
      </c>
      <c r="I451" s="66" t="s">
        <v>1028</v>
      </c>
      <c r="J451" s="66" t="s">
        <v>1028</v>
      </c>
      <c r="K451" s="75">
        <v>43651</v>
      </c>
      <c r="L451" s="66" t="s">
        <v>1020</v>
      </c>
      <c r="M451" s="66" t="s">
        <v>1010</v>
      </c>
      <c r="N451" s="66" t="s">
        <v>1574</v>
      </c>
      <c r="O451" s="66" t="s">
        <v>1599</v>
      </c>
    </row>
    <row r="452" spans="1:15" x14ac:dyDescent="0.35">
      <c r="A452" s="66" t="s">
        <v>1611</v>
      </c>
      <c r="B452" s="66" t="s">
        <v>1612</v>
      </c>
      <c r="C452" s="66" t="s">
        <v>417</v>
      </c>
      <c r="D452" s="66" t="s">
        <v>418</v>
      </c>
      <c r="E452" s="66" t="s">
        <v>997</v>
      </c>
      <c r="F452" s="75">
        <v>46132</v>
      </c>
      <c r="G452" s="75" t="s">
        <v>1498</v>
      </c>
      <c r="H452" s="66" t="s">
        <v>1044</v>
      </c>
      <c r="I452" s="66" t="s">
        <v>1028</v>
      </c>
      <c r="J452" s="66" t="s">
        <v>1028</v>
      </c>
      <c r="K452" s="75">
        <v>45029</v>
      </c>
      <c r="L452" s="66" t="s">
        <v>1020</v>
      </c>
      <c r="M452" s="66" t="s">
        <v>1088</v>
      </c>
      <c r="N452" s="66" t="s">
        <v>1574</v>
      </c>
      <c r="O452" s="66" t="s">
        <v>1575</v>
      </c>
    </row>
    <row r="453" spans="1:15" x14ac:dyDescent="0.35">
      <c r="A453" s="66" t="s">
        <v>1613</v>
      </c>
      <c r="B453" s="66" t="s">
        <v>1614</v>
      </c>
      <c r="C453" s="66" t="s">
        <v>173</v>
      </c>
      <c r="D453" s="66" t="s">
        <v>901</v>
      </c>
      <c r="E453" s="66" t="s">
        <v>997</v>
      </c>
      <c r="F453" s="75">
        <v>46115</v>
      </c>
      <c r="G453" s="75" t="s">
        <v>1006</v>
      </c>
      <c r="H453" s="66" t="s">
        <v>1007</v>
      </c>
      <c r="I453" s="66" t="s">
        <v>1028</v>
      </c>
      <c r="J453" s="66" t="s">
        <v>1028</v>
      </c>
      <c r="K453" s="75">
        <v>45799</v>
      </c>
      <c r="L453" s="66" t="s">
        <v>1020</v>
      </c>
      <c r="M453" s="66" t="s">
        <v>1010</v>
      </c>
      <c r="N453" s="66" t="s">
        <v>1574</v>
      </c>
      <c r="O453" s="66" t="s">
        <v>1599</v>
      </c>
    </row>
    <row r="454" spans="1:15" x14ac:dyDescent="0.35">
      <c r="A454" s="66" t="s">
        <v>1615</v>
      </c>
      <c r="B454" s="66" t="s">
        <v>1616</v>
      </c>
      <c r="C454" s="66" t="s">
        <v>273</v>
      </c>
      <c r="D454" s="66" t="s">
        <v>1093</v>
      </c>
      <c r="E454" s="66" t="s">
        <v>997</v>
      </c>
      <c r="F454" s="75">
        <v>46114</v>
      </c>
      <c r="G454" s="75" t="s">
        <v>1617</v>
      </c>
      <c r="H454" s="66" t="s">
        <v>1044</v>
      </c>
      <c r="I454" s="66" t="s">
        <v>1000</v>
      </c>
      <c r="J454" s="66" t="s">
        <v>1000</v>
      </c>
      <c r="K454" s="75">
        <v>43802</v>
      </c>
      <c r="L454" s="66" t="s">
        <v>1001</v>
      </c>
      <c r="M454" s="66" t="s">
        <v>1002</v>
      </c>
      <c r="N454" s="66" t="s">
        <v>1574</v>
      </c>
      <c r="O454" s="66" t="s">
        <v>1599</v>
      </c>
    </row>
    <row r="455" spans="1:15" x14ac:dyDescent="0.35">
      <c r="A455" s="66" t="s">
        <v>1618</v>
      </c>
      <c r="B455" s="66" t="s">
        <v>1619</v>
      </c>
      <c r="C455" s="66" t="s">
        <v>225</v>
      </c>
      <c r="D455" s="66" t="s">
        <v>1585</v>
      </c>
      <c r="E455" s="66" t="s">
        <v>997</v>
      </c>
      <c r="F455" s="75">
        <v>46113</v>
      </c>
      <c r="G455" s="75" t="s">
        <v>1586</v>
      </c>
      <c r="H455" s="66" t="s">
        <v>999</v>
      </c>
      <c r="I455" s="66" t="s">
        <v>1008</v>
      </c>
      <c r="J455" s="66" t="s">
        <v>1008</v>
      </c>
      <c r="K455" s="75">
        <v>44005</v>
      </c>
      <c r="L455" s="66" t="s">
        <v>1001</v>
      </c>
      <c r="M455" s="66" t="s">
        <v>1010</v>
      </c>
      <c r="N455" s="66" t="s">
        <v>1574</v>
      </c>
      <c r="O455" s="66" t="s">
        <v>1575</v>
      </c>
    </row>
    <row r="456" spans="1:15" x14ac:dyDescent="0.35">
      <c r="A456" s="66" t="s">
        <v>1620</v>
      </c>
      <c r="B456" s="66" t="s">
        <v>1621</v>
      </c>
      <c r="C456" s="66" t="s">
        <v>18</v>
      </c>
      <c r="D456" s="66" t="s">
        <v>650</v>
      </c>
      <c r="E456" s="66" t="s">
        <v>997</v>
      </c>
      <c r="F456" s="75">
        <v>46130</v>
      </c>
      <c r="G456" s="75" t="s">
        <v>1013</v>
      </c>
      <c r="H456" s="66" t="s">
        <v>1007</v>
      </c>
      <c r="I456" s="66" t="s">
        <v>1008</v>
      </c>
      <c r="J456" s="66" t="s">
        <v>1008</v>
      </c>
      <c r="K456" s="75">
        <v>44348</v>
      </c>
      <c r="L456" s="66" t="s">
        <v>1001</v>
      </c>
      <c r="M456" s="66" t="s">
        <v>1010</v>
      </c>
      <c r="N456" s="66" t="s">
        <v>1574</v>
      </c>
      <c r="O456" s="66" t="s">
        <v>1575</v>
      </c>
    </row>
    <row r="457" spans="1:15" x14ac:dyDescent="0.35">
      <c r="A457" s="66" t="s">
        <v>1622</v>
      </c>
      <c r="B457" s="66" t="s">
        <v>1623</v>
      </c>
      <c r="C457" s="66" t="s">
        <v>34</v>
      </c>
      <c r="D457" s="66" t="s">
        <v>1066</v>
      </c>
      <c r="E457" s="66" t="s">
        <v>997</v>
      </c>
      <c r="F457" s="75">
        <v>46125</v>
      </c>
      <c r="G457" s="75" t="s">
        <v>1013</v>
      </c>
      <c r="H457" s="66" t="s">
        <v>1007</v>
      </c>
      <c r="I457" s="66" t="s">
        <v>1046</v>
      </c>
      <c r="J457" s="66" t="s">
        <v>1057</v>
      </c>
      <c r="K457" s="75">
        <v>44056</v>
      </c>
      <c r="L457" s="66" t="s">
        <v>1001</v>
      </c>
      <c r="M457" s="66" t="s">
        <v>1010</v>
      </c>
      <c r="N457" s="66" t="s">
        <v>1574</v>
      </c>
      <c r="O457" s="66" t="s">
        <v>1575</v>
      </c>
    </row>
    <row r="458" spans="1:15" x14ac:dyDescent="0.35">
      <c r="A458" s="66" t="s">
        <v>1624</v>
      </c>
      <c r="B458" s="66" t="s">
        <v>1625</v>
      </c>
      <c r="C458" s="66" t="s">
        <v>191</v>
      </c>
      <c r="D458" s="66" t="s">
        <v>1626</v>
      </c>
      <c r="E458" s="66" t="s">
        <v>997</v>
      </c>
      <c r="F458" s="75">
        <v>46117</v>
      </c>
      <c r="G458" s="75" t="s">
        <v>1006</v>
      </c>
      <c r="H458" s="66" t="s">
        <v>1007</v>
      </c>
      <c r="I458" s="66" t="s">
        <v>1084</v>
      </c>
      <c r="J458" s="66" t="s">
        <v>1084</v>
      </c>
      <c r="K458" s="75">
        <v>46058</v>
      </c>
      <c r="L458" s="66" t="s">
        <v>1001</v>
      </c>
      <c r="M458" s="66" t="s">
        <v>1010</v>
      </c>
      <c r="N458" s="66" t="s">
        <v>1574</v>
      </c>
      <c r="O458" s="66" t="s">
        <v>1599</v>
      </c>
    </row>
    <row r="459" spans="1:15" x14ac:dyDescent="0.35">
      <c r="A459" s="66" t="s">
        <v>1627</v>
      </c>
      <c r="B459" s="66" t="s">
        <v>1628</v>
      </c>
      <c r="C459" s="66" t="s">
        <v>225</v>
      </c>
      <c r="D459" s="66" t="s">
        <v>1585</v>
      </c>
      <c r="E459" s="66" t="s">
        <v>997</v>
      </c>
      <c r="F459" s="75">
        <v>46113</v>
      </c>
      <c r="G459" s="75" t="s">
        <v>1586</v>
      </c>
      <c r="H459" s="66" t="s">
        <v>999</v>
      </c>
      <c r="I459" s="66" t="s">
        <v>1046</v>
      </c>
      <c r="J459" s="66" t="s">
        <v>1046</v>
      </c>
      <c r="K459" s="75">
        <v>44363</v>
      </c>
      <c r="L459" s="66" t="s">
        <v>1001</v>
      </c>
      <c r="M459" s="66" t="s">
        <v>1010</v>
      </c>
      <c r="N459" s="66" t="s">
        <v>1574</v>
      </c>
      <c r="O459" s="66" t="s">
        <v>1575</v>
      </c>
    </row>
    <row r="460" spans="1:15" x14ac:dyDescent="0.35">
      <c r="A460" s="66" t="s">
        <v>1629</v>
      </c>
      <c r="B460" s="66" t="s">
        <v>1630</v>
      </c>
      <c r="C460" s="66" t="s">
        <v>23</v>
      </c>
      <c r="D460" s="66" t="s">
        <v>660</v>
      </c>
      <c r="E460" s="66" t="s">
        <v>997</v>
      </c>
      <c r="F460" s="75">
        <v>46130</v>
      </c>
      <c r="G460" s="75" t="s">
        <v>1025</v>
      </c>
      <c r="H460" s="66" t="s">
        <v>999</v>
      </c>
      <c r="I460" s="66" t="s">
        <v>1008</v>
      </c>
      <c r="J460" s="66" t="s">
        <v>1008</v>
      </c>
      <c r="K460" s="75">
        <v>44743</v>
      </c>
      <c r="L460" s="66" t="s">
        <v>1001</v>
      </c>
      <c r="M460" s="66" t="s">
        <v>1010</v>
      </c>
      <c r="N460" s="66" t="s">
        <v>1574</v>
      </c>
      <c r="O460" s="66" t="s">
        <v>1599</v>
      </c>
    </row>
    <row r="461" spans="1:15" x14ac:dyDescent="0.35">
      <c r="A461" s="66" t="s">
        <v>1631</v>
      </c>
      <c r="B461" s="66" t="s">
        <v>1632</v>
      </c>
      <c r="C461" s="66" t="s">
        <v>243</v>
      </c>
      <c r="D461" s="66" t="s">
        <v>1318</v>
      </c>
      <c r="E461" s="66" t="s">
        <v>997</v>
      </c>
      <c r="F461" s="75">
        <v>46113</v>
      </c>
      <c r="G461" s="75" t="s">
        <v>1013</v>
      </c>
      <c r="H461" s="66" t="s">
        <v>1007</v>
      </c>
      <c r="I461" s="66" t="s">
        <v>1008</v>
      </c>
      <c r="J461" s="66" t="s">
        <v>1008</v>
      </c>
      <c r="K461" s="75">
        <v>44713</v>
      </c>
      <c r="L461" s="66" t="s">
        <v>1001</v>
      </c>
      <c r="M461" s="66" t="s">
        <v>1010</v>
      </c>
      <c r="N461" s="66" t="s">
        <v>1574</v>
      </c>
      <c r="O461" s="66" t="s">
        <v>1575</v>
      </c>
    </row>
    <row r="462" spans="1:15" x14ac:dyDescent="0.35">
      <c r="A462" s="66" t="s">
        <v>1633</v>
      </c>
      <c r="B462" s="66" t="s">
        <v>1634</v>
      </c>
      <c r="C462" s="66" t="s">
        <v>260</v>
      </c>
      <c r="D462" s="66" t="s">
        <v>1109</v>
      </c>
      <c r="E462" s="66" t="s">
        <v>997</v>
      </c>
      <c r="F462" s="75">
        <v>46142</v>
      </c>
      <c r="G462" s="75" t="s">
        <v>1006</v>
      </c>
      <c r="H462" s="66" t="s">
        <v>1007</v>
      </c>
      <c r="I462" s="66" t="s">
        <v>1057</v>
      </c>
      <c r="J462" s="66" t="s">
        <v>1057</v>
      </c>
      <c r="K462" s="75">
        <v>45383</v>
      </c>
      <c r="L462" s="66" t="s">
        <v>1001</v>
      </c>
      <c r="M462" s="66" t="s">
        <v>1010</v>
      </c>
      <c r="N462" s="66" t="s">
        <v>1574</v>
      </c>
      <c r="O462" s="66" t="s">
        <v>1575</v>
      </c>
    </row>
    <row r="463" spans="1:15" x14ac:dyDescent="0.35">
      <c r="A463" s="66" t="s">
        <v>1635</v>
      </c>
      <c r="B463" s="66" t="s">
        <v>1636</v>
      </c>
      <c r="C463" s="66" t="s">
        <v>422</v>
      </c>
      <c r="D463" s="66" t="s">
        <v>423</v>
      </c>
      <c r="E463" s="66" t="s">
        <v>997</v>
      </c>
      <c r="F463" s="75">
        <v>46113</v>
      </c>
      <c r="G463" s="75" t="s">
        <v>998</v>
      </c>
      <c r="H463" s="66" t="s">
        <v>999</v>
      </c>
      <c r="I463" s="66" t="s">
        <v>1045</v>
      </c>
      <c r="J463" s="66" t="s">
        <v>1045</v>
      </c>
      <c r="K463" s="75">
        <v>44593</v>
      </c>
      <c r="L463" s="66" t="s">
        <v>1001</v>
      </c>
      <c r="M463" s="66" t="s">
        <v>1002</v>
      </c>
      <c r="N463" s="66" t="s">
        <v>1574</v>
      </c>
      <c r="O463" s="66" t="s">
        <v>1575</v>
      </c>
    </row>
    <row r="464" spans="1:15" x14ac:dyDescent="0.35">
      <c r="A464" s="66" t="s">
        <v>1637</v>
      </c>
      <c r="B464" s="66" t="s">
        <v>1638</v>
      </c>
      <c r="C464" s="66" t="s">
        <v>21</v>
      </c>
      <c r="D464" s="66" t="s">
        <v>22</v>
      </c>
      <c r="E464" s="66" t="s">
        <v>997</v>
      </c>
      <c r="F464" s="75">
        <v>46120</v>
      </c>
      <c r="G464" s="75" t="s">
        <v>1006</v>
      </c>
      <c r="H464" s="66" t="s">
        <v>1007</v>
      </c>
      <c r="I464" s="66" t="s">
        <v>1028</v>
      </c>
      <c r="J464" s="66" t="s">
        <v>1009</v>
      </c>
      <c r="K464" s="75">
        <v>46099</v>
      </c>
      <c r="L464" s="66" t="s">
        <v>1020</v>
      </c>
      <c r="M464" s="66" t="s">
        <v>1010</v>
      </c>
      <c r="N464" s="66" t="s">
        <v>1574</v>
      </c>
      <c r="O464" s="66" t="s">
        <v>1575</v>
      </c>
    </row>
    <row r="465" spans="1:15" x14ac:dyDescent="0.35">
      <c r="A465" s="66" t="s">
        <v>1639</v>
      </c>
      <c r="B465" s="66" t="s">
        <v>1640</v>
      </c>
      <c r="C465" s="66" t="s">
        <v>241</v>
      </c>
      <c r="D465" s="66" t="s">
        <v>1030</v>
      </c>
      <c r="E465" s="66" t="s">
        <v>997</v>
      </c>
      <c r="F465" s="75">
        <v>46118</v>
      </c>
      <c r="G465" s="75" t="s">
        <v>1006</v>
      </c>
      <c r="H465" s="66" t="s">
        <v>1007</v>
      </c>
      <c r="I465" s="66" t="s">
        <v>1008</v>
      </c>
      <c r="J465" s="66" t="s">
        <v>1008</v>
      </c>
      <c r="K465" s="75">
        <v>44674</v>
      </c>
      <c r="L465" s="66" t="s">
        <v>1001</v>
      </c>
      <c r="M465" s="66" t="s">
        <v>1010</v>
      </c>
      <c r="N465" s="66" t="s">
        <v>1574</v>
      </c>
      <c r="O465" s="66" t="s">
        <v>1599</v>
      </c>
    </row>
    <row r="466" spans="1:15" x14ac:dyDescent="0.35">
      <c r="A466" s="66" t="s">
        <v>1641</v>
      </c>
      <c r="B466" s="66" t="s">
        <v>1642</v>
      </c>
      <c r="C466" s="66" t="s">
        <v>228</v>
      </c>
      <c r="D466" s="66" t="s">
        <v>1643</v>
      </c>
      <c r="E466" s="66" t="s">
        <v>997</v>
      </c>
      <c r="F466" s="75">
        <v>46142</v>
      </c>
      <c r="G466" s="75" t="s">
        <v>1013</v>
      </c>
      <c r="H466" s="66" t="s">
        <v>1007</v>
      </c>
      <c r="I466" s="66" t="s">
        <v>1008</v>
      </c>
      <c r="J466" s="66" t="s">
        <v>1008</v>
      </c>
      <c r="K466" s="75">
        <v>44735</v>
      </c>
      <c r="L466" s="66" t="s">
        <v>1001</v>
      </c>
      <c r="M466" s="66" t="s">
        <v>1010</v>
      </c>
      <c r="N466" s="66" t="s">
        <v>1574</v>
      </c>
      <c r="O466" s="66" t="s">
        <v>1575</v>
      </c>
    </row>
    <row r="467" spans="1:15" x14ac:dyDescent="0.35">
      <c r="A467" s="66" t="s">
        <v>1644</v>
      </c>
      <c r="B467" s="66" t="s">
        <v>1645</v>
      </c>
      <c r="C467" s="66" t="s">
        <v>349</v>
      </c>
      <c r="D467" s="66" t="s">
        <v>912</v>
      </c>
      <c r="E467" s="66" t="s">
        <v>997</v>
      </c>
      <c r="F467" s="75">
        <v>46115</v>
      </c>
      <c r="G467" s="75" t="s">
        <v>1006</v>
      </c>
      <c r="H467" s="66" t="s">
        <v>1007</v>
      </c>
      <c r="I467" s="66" t="s">
        <v>1008</v>
      </c>
      <c r="J467" s="66" t="s">
        <v>1008</v>
      </c>
      <c r="K467" s="75">
        <v>45261</v>
      </c>
      <c r="L467" s="66" t="s">
        <v>1001</v>
      </c>
      <c r="M467" s="66" t="s">
        <v>1010</v>
      </c>
      <c r="N467" s="66" t="s">
        <v>1574</v>
      </c>
      <c r="O467" s="66" t="s">
        <v>1575</v>
      </c>
    </row>
    <row r="468" spans="1:15" x14ac:dyDescent="0.35">
      <c r="A468" s="66" t="s">
        <v>1646</v>
      </c>
      <c r="B468" s="66" t="s">
        <v>1647</v>
      </c>
      <c r="C468" s="66" t="s">
        <v>45</v>
      </c>
      <c r="D468" s="66" t="s">
        <v>1122</v>
      </c>
      <c r="E468" s="66" t="s">
        <v>997</v>
      </c>
      <c r="F468" s="75">
        <v>46117</v>
      </c>
      <c r="G468" s="75" t="s">
        <v>1006</v>
      </c>
      <c r="H468" s="66" t="s">
        <v>1007</v>
      </c>
      <c r="I468" s="66" t="s">
        <v>1008</v>
      </c>
      <c r="J468" s="66" t="s">
        <v>1009</v>
      </c>
      <c r="K468" s="75">
        <v>45521</v>
      </c>
      <c r="L468" s="66" t="s">
        <v>1001</v>
      </c>
      <c r="M468" s="66" t="s">
        <v>1010</v>
      </c>
      <c r="N468" s="66" t="s">
        <v>1574</v>
      </c>
      <c r="O468" s="66" t="s">
        <v>1575</v>
      </c>
    </row>
    <row r="469" spans="1:15" x14ac:dyDescent="0.35">
      <c r="A469" s="66" t="s">
        <v>1648</v>
      </c>
      <c r="B469" s="66" t="s">
        <v>1649</v>
      </c>
      <c r="C469" s="66" t="s">
        <v>58</v>
      </c>
      <c r="D469" s="66" t="s">
        <v>1650</v>
      </c>
      <c r="E469" s="66" t="s">
        <v>997</v>
      </c>
      <c r="F469" s="75">
        <v>46135</v>
      </c>
      <c r="G469" s="75" t="s">
        <v>1006</v>
      </c>
      <c r="H469" s="66" t="s">
        <v>1007</v>
      </c>
      <c r="I469" s="66" t="s">
        <v>1046</v>
      </c>
      <c r="J469" s="66" t="s">
        <v>1046</v>
      </c>
      <c r="K469" s="75">
        <v>45729</v>
      </c>
      <c r="L469" s="66" t="s">
        <v>1001</v>
      </c>
      <c r="M469" s="66" t="s">
        <v>1010</v>
      </c>
      <c r="N469" s="66" t="s">
        <v>1574</v>
      </c>
      <c r="O469" s="66" t="s">
        <v>1575</v>
      </c>
    </row>
    <row r="470" spans="1:15" x14ac:dyDescent="0.35">
      <c r="A470" s="66" t="s">
        <v>1651</v>
      </c>
      <c r="B470" s="66" t="s">
        <v>1652</v>
      </c>
      <c r="C470" s="66" t="s">
        <v>426</v>
      </c>
      <c r="D470" s="66" t="s">
        <v>1220</v>
      </c>
      <c r="E470" s="66" t="s">
        <v>997</v>
      </c>
      <c r="F470" s="75">
        <v>46120</v>
      </c>
      <c r="G470" s="75" t="s">
        <v>1006</v>
      </c>
      <c r="H470" s="66" t="s">
        <v>1007</v>
      </c>
      <c r="I470" s="66" t="s">
        <v>1008</v>
      </c>
      <c r="J470" s="66" t="s">
        <v>1008</v>
      </c>
      <c r="K470" s="75">
        <v>45881</v>
      </c>
      <c r="L470" s="66" t="s">
        <v>1001</v>
      </c>
      <c r="M470" s="66" t="s">
        <v>1010</v>
      </c>
      <c r="N470" s="66" t="s">
        <v>1574</v>
      </c>
      <c r="O470" s="66" t="s">
        <v>1575</v>
      </c>
    </row>
    <row r="471" spans="1:15" x14ac:dyDescent="0.35">
      <c r="A471" s="66" t="s">
        <v>1653</v>
      </c>
      <c r="B471" s="66" t="s">
        <v>1654</v>
      </c>
      <c r="C471" s="66" t="s">
        <v>375</v>
      </c>
      <c r="D471" s="66" t="s">
        <v>1270</v>
      </c>
      <c r="E471" s="66" t="s">
        <v>997</v>
      </c>
      <c r="F471" s="75">
        <v>46118</v>
      </c>
      <c r="G471" s="75" t="s">
        <v>1006</v>
      </c>
      <c r="H471" s="66" t="s">
        <v>1007</v>
      </c>
      <c r="I471" s="66" t="s">
        <v>1028</v>
      </c>
      <c r="J471" s="66" t="s">
        <v>1028</v>
      </c>
      <c r="K471" s="75">
        <v>45752</v>
      </c>
      <c r="L471" s="66" t="s">
        <v>1020</v>
      </c>
      <c r="M471" s="66" t="s">
        <v>1010</v>
      </c>
      <c r="N471" s="66" t="s">
        <v>1574</v>
      </c>
      <c r="O471" s="66" t="s">
        <v>1599</v>
      </c>
    </row>
    <row r="472" spans="1:15" x14ac:dyDescent="0.35">
      <c r="A472" s="66" t="s">
        <v>1655</v>
      </c>
      <c r="B472" s="66" t="s">
        <v>1656</v>
      </c>
      <c r="C472" s="66" t="s">
        <v>35</v>
      </c>
      <c r="D472" s="66" t="s">
        <v>1657</v>
      </c>
      <c r="E472" s="66" t="s">
        <v>997</v>
      </c>
      <c r="F472" s="75">
        <v>46113</v>
      </c>
      <c r="G472" s="75" t="s">
        <v>1013</v>
      </c>
      <c r="H472" s="66" t="s">
        <v>1007</v>
      </c>
      <c r="I472" s="66" t="s">
        <v>1008</v>
      </c>
      <c r="J472" s="66" t="s">
        <v>1008</v>
      </c>
      <c r="K472" s="75">
        <v>45140</v>
      </c>
      <c r="L472" s="66" t="s">
        <v>1001</v>
      </c>
      <c r="M472" s="66" t="s">
        <v>1010</v>
      </c>
      <c r="N472" s="66" t="s">
        <v>1574</v>
      </c>
      <c r="O472" s="66" t="s">
        <v>1575</v>
      </c>
    </row>
    <row r="473" spans="1:15" x14ac:dyDescent="0.35">
      <c r="A473" s="66" t="s">
        <v>1658</v>
      </c>
      <c r="B473" s="66" t="s">
        <v>1659</v>
      </c>
      <c r="C473" s="66" t="s">
        <v>222</v>
      </c>
      <c r="D473" s="66" t="s">
        <v>1660</v>
      </c>
      <c r="E473" s="66" t="s">
        <v>997</v>
      </c>
      <c r="F473" s="75">
        <v>46125</v>
      </c>
      <c r="G473" s="75" t="s">
        <v>1006</v>
      </c>
      <c r="H473" s="66" t="s">
        <v>1007</v>
      </c>
      <c r="I473" s="66" t="s">
        <v>1028</v>
      </c>
      <c r="J473" s="66" t="s">
        <v>1028</v>
      </c>
      <c r="K473" s="75">
        <v>44874</v>
      </c>
      <c r="L473" s="66" t="s">
        <v>1020</v>
      </c>
      <c r="M473" s="66" t="s">
        <v>1010</v>
      </c>
      <c r="N473" s="66" t="s">
        <v>1574</v>
      </c>
      <c r="O473" s="66" t="s">
        <v>1575</v>
      </c>
    </row>
    <row r="474" spans="1:15" x14ac:dyDescent="0.35">
      <c r="A474" s="66" t="s">
        <v>1661</v>
      </c>
      <c r="B474" s="66" t="s">
        <v>1662</v>
      </c>
      <c r="C474" s="66" t="s">
        <v>355</v>
      </c>
      <c r="D474" s="66" t="s">
        <v>1100</v>
      </c>
      <c r="E474" s="66" t="s">
        <v>997</v>
      </c>
      <c r="F474" s="75">
        <v>46128</v>
      </c>
      <c r="G474" s="75" t="s">
        <v>1006</v>
      </c>
      <c r="H474" s="66" t="s">
        <v>1007</v>
      </c>
      <c r="I474" s="66" t="s">
        <v>1084</v>
      </c>
      <c r="J474" s="66" t="s">
        <v>1084</v>
      </c>
      <c r="K474" s="75">
        <v>45318</v>
      </c>
      <c r="L474" s="66" t="s">
        <v>1001</v>
      </c>
      <c r="M474" s="66" t="s">
        <v>1010</v>
      </c>
      <c r="N474" s="66" t="s">
        <v>1574</v>
      </c>
      <c r="O474" s="66" t="s">
        <v>1599</v>
      </c>
    </row>
    <row r="475" spans="1:15" x14ac:dyDescent="0.35">
      <c r="A475" s="66" t="s">
        <v>1663</v>
      </c>
      <c r="B475" s="66" t="s">
        <v>1664</v>
      </c>
      <c r="C475" s="66" t="s">
        <v>16</v>
      </c>
      <c r="D475" s="66" t="s">
        <v>1211</v>
      </c>
      <c r="E475" s="66" t="s">
        <v>997</v>
      </c>
      <c r="F475" s="75">
        <v>46133</v>
      </c>
      <c r="G475" s="75" t="s">
        <v>1006</v>
      </c>
      <c r="H475" s="66" t="s">
        <v>1007</v>
      </c>
      <c r="I475" s="66" t="s">
        <v>1028</v>
      </c>
      <c r="J475" s="66" t="s">
        <v>1028</v>
      </c>
      <c r="K475" s="75">
        <v>46082</v>
      </c>
      <c r="L475" s="66" t="s">
        <v>1020</v>
      </c>
      <c r="M475" s="66" t="s">
        <v>1010</v>
      </c>
      <c r="N475" s="66" t="s">
        <v>1574</v>
      </c>
      <c r="O475" s="66" t="s">
        <v>1575</v>
      </c>
    </row>
    <row r="476" spans="1:15" x14ac:dyDescent="0.35">
      <c r="A476" s="66" t="s">
        <v>1665</v>
      </c>
      <c r="B476" s="66" t="s">
        <v>1666</v>
      </c>
      <c r="C476" s="66" t="s">
        <v>159</v>
      </c>
      <c r="D476" s="66" t="s">
        <v>1488</v>
      </c>
      <c r="E476" s="66" t="s">
        <v>997</v>
      </c>
      <c r="F476" s="75">
        <v>46133</v>
      </c>
      <c r="G476" s="75" t="s">
        <v>1025</v>
      </c>
      <c r="H476" s="66" t="s">
        <v>999</v>
      </c>
      <c r="I476" s="66" t="s">
        <v>1008</v>
      </c>
      <c r="J476" s="66" t="s">
        <v>1008</v>
      </c>
      <c r="K476" s="75">
        <v>45017</v>
      </c>
      <c r="L476" s="66" t="s">
        <v>1001</v>
      </c>
      <c r="M476" s="66" t="s">
        <v>1010</v>
      </c>
      <c r="N476" s="66" t="s">
        <v>1574</v>
      </c>
      <c r="O476" s="66" t="s">
        <v>1599</v>
      </c>
    </row>
    <row r="477" spans="1:15" x14ac:dyDescent="0.35">
      <c r="A477" s="66" t="s">
        <v>1667</v>
      </c>
      <c r="B477" s="66" t="s">
        <v>1668</v>
      </c>
      <c r="C477" s="66" t="s">
        <v>385</v>
      </c>
      <c r="D477" s="66" t="s">
        <v>1059</v>
      </c>
      <c r="E477" s="66" t="s">
        <v>997</v>
      </c>
      <c r="F477" s="75">
        <v>46142</v>
      </c>
      <c r="G477" s="75" t="s">
        <v>1006</v>
      </c>
      <c r="H477" s="66" t="s">
        <v>1007</v>
      </c>
      <c r="I477" s="66" t="s">
        <v>1028</v>
      </c>
      <c r="J477" s="66" t="s">
        <v>1009</v>
      </c>
      <c r="K477" s="75">
        <v>46133</v>
      </c>
      <c r="L477" s="66" t="s">
        <v>1020</v>
      </c>
      <c r="M477" s="66" t="s">
        <v>1010</v>
      </c>
      <c r="N477" s="66" t="s">
        <v>1574</v>
      </c>
      <c r="O477" s="66" t="s">
        <v>1575</v>
      </c>
    </row>
    <row r="478" spans="1:15" x14ac:dyDescent="0.35">
      <c r="A478" s="66" t="s">
        <v>1669</v>
      </c>
      <c r="B478" s="66" t="s">
        <v>1670</v>
      </c>
      <c r="C478" s="66" t="s">
        <v>429</v>
      </c>
      <c r="D478" s="66" t="s">
        <v>1240</v>
      </c>
      <c r="E478" s="66" t="s">
        <v>997</v>
      </c>
      <c r="F478" s="75">
        <v>46121</v>
      </c>
      <c r="G478" s="75" t="s">
        <v>1006</v>
      </c>
      <c r="H478" s="66" t="s">
        <v>1007</v>
      </c>
      <c r="I478" s="66" t="s">
        <v>1046</v>
      </c>
      <c r="J478" s="66" t="s">
        <v>1046</v>
      </c>
      <c r="K478" s="75">
        <v>45047</v>
      </c>
      <c r="L478" s="66" t="s">
        <v>1001</v>
      </c>
      <c r="M478" s="66" t="s">
        <v>1088</v>
      </c>
      <c r="N478" s="66" t="s">
        <v>1574</v>
      </c>
      <c r="O478" s="66" t="s">
        <v>1575</v>
      </c>
    </row>
    <row r="479" spans="1:15" x14ac:dyDescent="0.35">
      <c r="A479" s="66" t="s">
        <v>1671</v>
      </c>
      <c r="B479" s="66" t="s">
        <v>1672</v>
      </c>
      <c r="C479" s="66" t="s">
        <v>318</v>
      </c>
      <c r="D479" s="66" t="s">
        <v>1266</v>
      </c>
      <c r="E479" s="66" t="s">
        <v>997</v>
      </c>
      <c r="F479" s="75">
        <v>46113</v>
      </c>
      <c r="G479" s="75" t="s">
        <v>1006</v>
      </c>
      <c r="H479" s="66" t="s">
        <v>1007</v>
      </c>
      <c r="I479" s="66" t="s">
        <v>1019</v>
      </c>
      <c r="J479" s="66" t="s">
        <v>1019</v>
      </c>
      <c r="K479" s="75">
        <v>45906</v>
      </c>
      <c r="L479" s="66" t="s">
        <v>1020</v>
      </c>
      <c r="M479" s="66" t="s">
        <v>1010</v>
      </c>
      <c r="N479" s="66" t="s">
        <v>1574</v>
      </c>
      <c r="O479" s="66" t="s">
        <v>1575</v>
      </c>
    </row>
    <row r="480" spans="1:15" x14ac:dyDescent="0.35">
      <c r="A480" s="66" t="s">
        <v>1673</v>
      </c>
      <c r="B480" s="66" t="s">
        <v>1674</v>
      </c>
      <c r="C480" s="66" t="s">
        <v>286</v>
      </c>
      <c r="D480" s="66" t="s">
        <v>1675</v>
      </c>
      <c r="E480" s="66" t="s">
        <v>997</v>
      </c>
      <c r="F480" s="75">
        <v>46131</v>
      </c>
      <c r="G480" s="75" t="s">
        <v>1025</v>
      </c>
      <c r="H480" s="66" t="s">
        <v>999</v>
      </c>
      <c r="I480" s="66" t="s">
        <v>1008</v>
      </c>
      <c r="J480" s="66" t="s">
        <v>1008</v>
      </c>
      <c r="K480" s="75">
        <v>45078</v>
      </c>
      <c r="L480" s="66" t="s">
        <v>1001</v>
      </c>
      <c r="M480" s="66" t="s">
        <v>1010</v>
      </c>
      <c r="N480" s="66" t="s">
        <v>1574</v>
      </c>
      <c r="O480" s="66" t="s">
        <v>1599</v>
      </c>
    </row>
    <row r="481" spans="1:15" x14ac:dyDescent="0.35">
      <c r="A481" s="66" t="s">
        <v>1676</v>
      </c>
      <c r="B481" s="66" t="s">
        <v>1677</v>
      </c>
      <c r="C481" s="66" t="s">
        <v>245</v>
      </c>
      <c r="D481" s="66" t="s">
        <v>1365</v>
      </c>
      <c r="E481" s="66" t="s">
        <v>997</v>
      </c>
      <c r="F481" s="75">
        <v>46131</v>
      </c>
      <c r="G481" s="75" t="s">
        <v>1498</v>
      </c>
      <c r="H481" s="66" t="s">
        <v>1044</v>
      </c>
      <c r="I481" s="66" t="s">
        <v>1057</v>
      </c>
      <c r="J481" s="66" t="s">
        <v>1009</v>
      </c>
      <c r="K481" s="75">
        <v>45085</v>
      </c>
      <c r="L481" s="66" t="s">
        <v>1001</v>
      </c>
      <c r="M481" s="66" t="s">
        <v>1010</v>
      </c>
      <c r="N481" s="66" t="s">
        <v>1574</v>
      </c>
      <c r="O481" s="66" t="s">
        <v>1575</v>
      </c>
    </row>
    <row r="482" spans="1:15" x14ac:dyDescent="0.35">
      <c r="A482" s="66" t="s">
        <v>1678</v>
      </c>
      <c r="B482" s="66" t="s">
        <v>1679</v>
      </c>
      <c r="C482" s="66" t="s">
        <v>409</v>
      </c>
      <c r="D482" s="66" t="s">
        <v>874</v>
      </c>
      <c r="E482" s="66" t="s">
        <v>997</v>
      </c>
      <c r="F482" s="75">
        <v>46114</v>
      </c>
      <c r="G482" s="75" t="s">
        <v>1006</v>
      </c>
      <c r="H482" s="66" t="s">
        <v>1007</v>
      </c>
      <c r="I482" s="66" t="s">
        <v>1028</v>
      </c>
      <c r="J482" s="66" t="s">
        <v>1028</v>
      </c>
      <c r="K482" s="75">
        <v>45129</v>
      </c>
      <c r="L482" s="66" t="s">
        <v>1020</v>
      </c>
      <c r="M482" s="66" t="s">
        <v>1010</v>
      </c>
      <c r="N482" s="66" t="s">
        <v>1574</v>
      </c>
      <c r="O482" s="66" t="s">
        <v>1575</v>
      </c>
    </row>
    <row r="483" spans="1:15" x14ac:dyDescent="0.35">
      <c r="A483" s="66" t="s">
        <v>1680</v>
      </c>
      <c r="B483" s="66" t="s">
        <v>1681</v>
      </c>
      <c r="C483" s="66" t="s">
        <v>34</v>
      </c>
      <c r="D483" s="66" t="s">
        <v>1066</v>
      </c>
      <c r="E483" s="66" t="s">
        <v>997</v>
      </c>
      <c r="F483" s="75">
        <v>46142</v>
      </c>
      <c r="G483" s="75" t="s">
        <v>1006</v>
      </c>
      <c r="H483" s="66" t="s">
        <v>1007</v>
      </c>
      <c r="I483" s="66" t="s">
        <v>1028</v>
      </c>
      <c r="J483" s="66" t="s">
        <v>1009</v>
      </c>
      <c r="K483" s="75">
        <v>46086</v>
      </c>
      <c r="L483" s="66" t="s">
        <v>1020</v>
      </c>
      <c r="M483" s="66" t="s">
        <v>1010</v>
      </c>
      <c r="N483" s="66" t="s">
        <v>1574</v>
      </c>
      <c r="O483" s="66" t="s">
        <v>1599</v>
      </c>
    </row>
    <row r="484" spans="1:15" x14ac:dyDescent="0.35">
      <c r="A484" s="66" t="s">
        <v>1682</v>
      </c>
      <c r="B484" s="66" t="s">
        <v>1683</v>
      </c>
      <c r="C484" s="66" t="s">
        <v>55</v>
      </c>
      <c r="D484" s="66" t="s">
        <v>1684</v>
      </c>
      <c r="E484" s="66" t="s">
        <v>997</v>
      </c>
      <c r="F484" s="75">
        <v>46125</v>
      </c>
      <c r="G484" s="75" t="s">
        <v>1006</v>
      </c>
      <c r="H484" s="66" t="s">
        <v>1007</v>
      </c>
      <c r="I484" s="66" t="s">
        <v>1028</v>
      </c>
      <c r="J484" s="66" t="s">
        <v>1028</v>
      </c>
      <c r="K484" s="75">
        <v>45945</v>
      </c>
      <c r="L484" s="66" t="s">
        <v>1020</v>
      </c>
      <c r="M484" s="66" t="s">
        <v>1010</v>
      </c>
      <c r="N484" s="66" t="s">
        <v>1574</v>
      </c>
      <c r="O484" s="66" t="s">
        <v>1575</v>
      </c>
    </row>
    <row r="485" spans="1:15" x14ac:dyDescent="0.35">
      <c r="A485" s="66" t="s">
        <v>1685</v>
      </c>
      <c r="B485" s="66" t="s">
        <v>1686</v>
      </c>
      <c r="C485" s="66" t="s">
        <v>362</v>
      </c>
      <c r="D485" s="66" t="s">
        <v>1056</v>
      </c>
      <c r="E485" s="66" t="s">
        <v>997</v>
      </c>
      <c r="F485" s="75">
        <v>46139</v>
      </c>
      <c r="G485" s="75" t="s">
        <v>1006</v>
      </c>
      <c r="H485" s="66" t="s">
        <v>1007</v>
      </c>
      <c r="I485" s="66" t="s">
        <v>1019</v>
      </c>
      <c r="J485" s="66" t="s">
        <v>1009</v>
      </c>
      <c r="K485" s="75">
        <v>46106</v>
      </c>
      <c r="L485" s="66" t="s">
        <v>1020</v>
      </c>
      <c r="M485" s="66" t="s">
        <v>1010</v>
      </c>
      <c r="N485" s="66" t="s">
        <v>1574</v>
      </c>
      <c r="O485" s="66" t="s">
        <v>1575</v>
      </c>
    </row>
    <row r="486" spans="1:15" x14ac:dyDescent="0.35">
      <c r="A486" s="66" t="s">
        <v>1687</v>
      </c>
      <c r="B486" s="66" t="s">
        <v>1688</v>
      </c>
      <c r="C486" s="66" t="s">
        <v>426</v>
      </c>
      <c r="D486" s="66" t="s">
        <v>1220</v>
      </c>
      <c r="E486" s="66" t="s">
        <v>997</v>
      </c>
      <c r="F486" s="75">
        <v>46135</v>
      </c>
      <c r="G486" s="75" t="s">
        <v>1025</v>
      </c>
      <c r="H486" s="66" t="s">
        <v>999</v>
      </c>
      <c r="I486" s="66" t="s">
        <v>1034</v>
      </c>
      <c r="J486" s="66" t="s">
        <v>1035</v>
      </c>
      <c r="K486" s="75">
        <v>45177</v>
      </c>
      <c r="L486" s="66" t="s">
        <v>1001</v>
      </c>
      <c r="M486" s="66" t="s">
        <v>1010</v>
      </c>
      <c r="N486" s="66" t="s">
        <v>1574</v>
      </c>
      <c r="O486" s="66" t="s">
        <v>1599</v>
      </c>
    </row>
    <row r="487" spans="1:15" x14ac:dyDescent="0.35">
      <c r="A487" s="66" t="s">
        <v>1689</v>
      </c>
      <c r="B487" s="66" t="s">
        <v>1690</v>
      </c>
      <c r="C487" s="66" t="s">
        <v>149</v>
      </c>
      <c r="D487" s="66" t="s">
        <v>1548</v>
      </c>
      <c r="E487" s="66" t="s">
        <v>997</v>
      </c>
      <c r="F487" s="75">
        <v>46142</v>
      </c>
      <c r="G487" s="75" t="s">
        <v>1006</v>
      </c>
      <c r="H487" s="66" t="s">
        <v>1007</v>
      </c>
      <c r="I487" s="66" t="s">
        <v>1008</v>
      </c>
      <c r="J487" s="66" t="s">
        <v>1008</v>
      </c>
      <c r="K487" s="75">
        <v>45188</v>
      </c>
      <c r="L487" s="66" t="s">
        <v>1001</v>
      </c>
      <c r="M487" s="66" t="s">
        <v>1010</v>
      </c>
      <c r="N487" s="66" t="s">
        <v>1574</v>
      </c>
      <c r="O487" s="66" t="s">
        <v>1575</v>
      </c>
    </row>
    <row r="488" spans="1:15" x14ac:dyDescent="0.35">
      <c r="A488" s="66" t="s">
        <v>1691</v>
      </c>
      <c r="B488" s="66" t="s">
        <v>1692</v>
      </c>
      <c r="C488" s="66" t="s">
        <v>130</v>
      </c>
      <c r="D488" s="66" t="s">
        <v>1693</v>
      </c>
      <c r="E488" s="66" t="s">
        <v>997</v>
      </c>
      <c r="F488" s="75">
        <v>46121</v>
      </c>
      <c r="G488" s="75" t="s">
        <v>1006</v>
      </c>
      <c r="H488" s="66" t="s">
        <v>1007</v>
      </c>
      <c r="I488" s="66" t="s">
        <v>1028</v>
      </c>
      <c r="J488" s="66" t="s">
        <v>1028</v>
      </c>
      <c r="K488" s="75">
        <v>46060</v>
      </c>
      <c r="L488" s="66" t="s">
        <v>1020</v>
      </c>
      <c r="M488" s="66" t="s">
        <v>1010</v>
      </c>
      <c r="N488" s="66" t="s">
        <v>1574</v>
      </c>
      <c r="O488" s="66" t="s">
        <v>1599</v>
      </c>
    </row>
    <row r="489" spans="1:15" x14ac:dyDescent="0.35">
      <c r="A489" s="66" t="s">
        <v>1694</v>
      </c>
      <c r="B489" s="66" t="s">
        <v>1695</v>
      </c>
      <c r="C489" s="66" t="s">
        <v>118</v>
      </c>
      <c r="D489" s="66" t="s">
        <v>1360</v>
      </c>
      <c r="E489" s="66" t="s">
        <v>997</v>
      </c>
      <c r="F489" s="75">
        <v>46113</v>
      </c>
      <c r="G489" s="75" t="s">
        <v>1006</v>
      </c>
      <c r="H489" s="66" t="s">
        <v>1007</v>
      </c>
      <c r="I489" s="66" t="s">
        <v>1046</v>
      </c>
      <c r="J489" s="66" t="s">
        <v>1046</v>
      </c>
      <c r="K489" s="75">
        <v>45474</v>
      </c>
      <c r="L489" s="66" t="s">
        <v>1001</v>
      </c>
      <c r="M489" s="66" t="s">
        <v>1010</v>
      </c>
      <c r="N489" s="66" t="s">
        <v>1574</v>
      </c>
      <c r="O489" s="66" t="s">
        <v>1575</v>
      </c>
    </row>
    <row r="490" spans="1:15" x14ac:dyDescent="0.35">
      <c r="A490" s="66" t="s">
        <v>1696</v>
      </c>
      <c r="B490" s="66" t="s">
        <v>1209</v>
      </c>
      <c r="C490" s="66" t="s">
        <v>375</v>
      </c>
      <c r="D490" s="66" t="s">
        <v>1270</v>
      </c>
      <c r="E490" s="66" t="s">
        <v>997</v>
      </c>
      <c r="F490" s="75">
        <v>46118</v>
      </c>
      <c r="G490" s="75" t="s">
        <v>1006</v>
      </c>
      <c r="H490" s="66" t="s">
        <v>1007</v>
      </c>
      <c r="I490" s="66" t="s">
        <v>1008</v>
      </c>
      <c r="J490" s="66" t="s">
        <v>1008</v>
      </c>
      <c r="K490" s="75">
        <v>45200</v>
      </c>
      <c r="L490" s="66" t="s">
        <v>1001</v>
      </c>
      <c r="M490" s="66" t="s">
        <v>1010</v>
      </c>
      <c r="N490" s="66" t="s">
        <v>1574</v>
      </c>
      <c r="O490" s="66" t="s">
        <v>1575</v>
      </c>
    </row>
    <row r="491" spans="1:15" x14ac:dyDescent="0.35">
      <c r="A491" s="66" t="s">
        <v>1697</v>
      </c>
      <c r="B491" s="66" t="s">
        <v>1698</v>
      </c>
      <c r="C491" s="66" t="s">
        <v>413</v>
      </c>
      <c r="D491" s="66" t="s">
        <v>1699</v>
      </c>
      <c r="E491" s="66" t="s">
        <v>997</v>
      </c>
      <c r="F491" s="75">
        <v>46124</v>
      </c>
      <c r="G491" s="75" t="s">
        <v>1006</v>
      </c>
      <c r="H491" s="66" t="s">
        <v>1007</v>
      </c>
      <c r="I491" s="66" t="s">
        <v>1028</v>
      </c>
      <c r="J491" s="66" t="s">
        <v>1028</v>
      </c>
      <c r="K491" s="75">
        <v>45854</v>
      </c>
      <c r="L491" s="66" t="s">
        <v>1020</v>
      </c>
      <c r="M491" s="66" t="s">
        <v>1010</v>
      </c>
      <c r="N491" s="66" t="s">
        <v>1574</v>
      </c>
      <c r="O491" s="66" t="s">
        <v>1575</v>
      </c>
    </row>
    <row r="492" spans="1:15" x14ac:dyDescent="0.35">
      <c r="A492" s="66" t="s">
        <v>1700</v>
      </c>
      <c r="B492" s="66" t="s">
        <v>1701</v>
      </c>
      <c r="C492" s="66" t="s">
        <v>409</v>
      </c>
      <c r="D492" s="66" t="s">
        <v>874</v>
      </c>
      <c r="E492" s="66" t="s">
        <v>997</v>
      </c>
      <c r="F492" s="75">
        <v>46125</v>
      </c>
      <c r="G492" s="75" t="s">
        <v>1006</v>
      </c>
      <c r="H492" s="66" t="s">
        <v>1007</v>
      </c>
      <c r="I492" s="66" t="s">
        <v>1034</v>
      </c>
      <c r="J492" s="66" t="s">
        <v>1035</v>
      </c>
      <c r="K492" s="75">
        <v>45244</v>
      </c>
      <c r="L492" s="66" t="s">
        <v>1001</v>
      </c>
      <c r="M492" s="66" t="s">
        <v>1010</v>
      </c>
      <c r="N492" s="66" t="s">
        <v>1574</v>
      </c>
      <c r="O492" s="66" t="s">
        <v>1599</v>
      </c>
    </row>
    <row r="493" spans="1:15" x14ac:dyDescent="0.35">
      <c r="A493" s="66" t="s">
        <v>1702</v>
      </c>
      <c r="B493" s="66" t="s">
        <v>1703</v>
      </c>
      <c r="C493" s="66" t="s">
        <v>284</v>
      </c>
      <c r="D493" s="66" t="s">
        <v>1150</v>
      </c>
      <c r="E493" s="66" t="s">
        <v>997</v>
      </c>
      <c r="F493" s="75">
        <v>46138</v>
      </c>
      <c r="G493" s="75" t="s">
        <v>1006</v>
      </c>
      <c r="H493" s="66" t="s">
        <v>1007</v>
      </c>
      <c r="I493" s="66" t="s">
        <v>1028</v>
      </c>
      <c r="J493" s="66" t="s">
        <v>1028</v>
      </c>
      <c r="K493" s="75">
        <v>45244</v>
      </c>
      <c r="L493" s="66" t="s">
        <v>1020</v>
      </c>
      <c r="M493" s="66" t="s">
        <v>1010</v>
      </c>
      <c r="N493" s="66" t="s">
        <v>1574</v>
      </c>
      <c r="O493" s="66" t="s">
        <v>1575</v>
      </c>
    </row>
    <row r="494" spans="1:15" x14ac:dyDescent="0.35">
      <c r="A494" s="66" t="s">
        <v>1704</v>
      </c>
      <c r="B494" s="66" t="s">
        <v>1705</v>
      </c>
      <c r="C494" s="66" t="s">
        <v>42</v>
      </c>
      <c r="D494" s="66" t="s">
        <v>1262</v>
      </c>
      <c r="E494" s="66" t="s">
        <v>997</v>
      </c>
      <c r="F494" s="75">
        <v>46127</v>
      </c>
      <c r="G494" s="75" t="s">
        <v>1006</v>
      </c>
      <c r="H494" s="66" t="s">
        <v>1007</v>
      </c>
      <c r="I494" s="66" t="s">
        <v>1057</v>
      </c>
      <c r="J494" s="66" t="s">
        <v>1057</v>
      </c>
      <c r="K494" s="75">
        <v>46055</v>
      </c>
      <c r="L494" s="66" t="s">
        <v>1001</v>
      </c>
      <c r="M494" s="66" t="s">
        <v>1010</v>
      </c>
      <c r="N494" s="66" t="s">
        <v>1574</v>
      </c>
      <c r="O494" s="66" t="s">
        <v>1575</v>
      </c>
    </row>
    <row r="495" spans="1:15" x14ac:dyDescent="0.35">
      <c r="A495" s="66" t="s">
        <v>1706</v>
      </c>
      <c r="B495" s="66" t="s">
        <v>1707</v>
      </c>
      <c r="C495" s="66" t="s">
        <v>66</v>
      </c>
      <c r="D495" s="66" t="s">
        <v>1708</v>
      </c>
      <c r="E495" s="66" t="s">
        <v>997</v>
      </c>
      <c r="F495" s="75">
        <v>46136</v>
      </c>
      <c r="G495" s="75" t="s">
        <v>1006</v>
      </c>
      <c r="H495" s="66" t="s">
        <v>1007</v>
      </c>
      <c r="I495" s="66" t="s">
        <v>1084</v>
      </c>
      <c r="J495" s="66" t="s">
        <v>1009</v>
      </c>
      <c r="K495" s="75">
        <v>45266</v>
      </c>
      <c r="L495" s="66" t="s">
        <v>1020</v>
      </c>
      <c r="M495" s="66" t="s">
        <v>1010</v>
      </c>
      <c r="N495" s="66" t="s">
        <v>1574</v>
      </c>
      <c r="O495" s="66" t="s">
        <v>1575</v>
      </c>
    </row>
    <row r="496" spans="1:15" x14ac:dyDescent="0.35">
      <c r="A496" s="66" t="s">
        <v>1709</v>
      </c>
      <c r="B496" s="66" t="s">
        <v>1710</v>
      </c>
      <c r="C496" s="66" t="s">
        <v>349</v>
      </c>
      <c r="D496" s="66" t="s">
        <v>912</v>
      </c>
      <c r="E496" s="66" t="s">
        <v>997</v>
      </c>
      <c r="F496" s="75">
        <v>46142</v>
      </c>
      <c r="G496" s="75" t="s">
        <v>1006</v>
      </c>
      <c r="H496" s="66" t="s">
        <v>1007</v>
      </c>
      <c r="I496" s="66" t="s">
        <v>1008</v>
      </c>
      <c r="J496" s="66" t="s">
        <v>1008</v>
      </c>
      <c r="K496" s="75">
        <v>45292</v>
      </c>
      <c r="L496" s="66" t="s">
        <v>1001</v>
      </c>
      <c r="M496" s="66" t="s">
        <v>1010</v>
      </c>
      <c r="N496" s="66" t="s">
        <v>1574</v>
      </c>
      <c r="O496" s="66" t="s">
        <v>1575</v>
      </c>
    </row>
    <row r="497" spans="1:15" x14ac:dyDescent="0.35">
      <c r="A497" s="66" t="s">
        <v>1711</v>
      </c>
      <c r="B497" s="66" t="s">
        <v>1712</v>
      </c>
      <c r="C497" s="66" t="s">
        <v>208</v>
      </c>
      <c r="D497" s="66" t="s">
        <v>1444</v>
      </c>
      <c r="E497" s="66" t="s">
        <v>997</v>
      </c>
      <c r="F497" s="75">
        <v>46121</v>
      </c>
      <c r="G497" s="75" t="s">
        <v>1006</v>
      </c>
      <c r="H497" s="66" t="s">
        <v>1007</v>
      </c>
      <c r="I497" s="66" t="s">
        <v>1028</v>
      </c>
      <c r="J497" s="66" t="s">
        <v>1028</v>
      </c>
      <c r="K497" s="75">
        <v>45323</v>
      </c>
      <c r="L497" s="66" t="s">
        <v>1020</v>
      </c>
      <c r="M497" s="66" t="s">
        <v>1010</v>
      </c>
      <c r="N497" s="66" t="s">
        <v>1574</v>
      </c>
      <c r="O497" s="66" t="s">
        <v>1575</v>
      </c>
    </row>
    <row r="498" spans="1:15" x14ac:dyDescent="0.35">
      <c r="A498" s="66" t="s">
        <v>1713</v>
      </c>
      <c r="B498" s="66" t="s">
        <v>1714</v>
      </c>
      <c r="C498" s="66" t="s">
        <v>95</v>
      </c>
      <c r="D498" s="66" t="s">
        <v>1188</v>
      </c>
      <c r="E498" s="66" t="s">
        <v>997</v>
      </c>
      <c r="F498" s="75">
        <v>46124</v>
      </c>
      <c r="G498" s="75" t="s">
        <v>1006</v>
      </c>
      <c r="H498" s="66" t="s">
        <v>1007</v>
      </c>
      <c r="I498" s="66" t="s">
        <v>1019</v>
      </c>
      <c r="J498" s="66" t="s">
        <v>1019</v>
      </c>
      <c r="K498" s="75">
        <v>45337</v>
      </c>
      <c r="L498" s="66" t="s">
        <v>1020</v>
      </c>
      <c r="M498" s="66" t="s">
        <v>1010</v>
      </c>
      <c r="N498" s="66" t="s">
        <v>1574</v>
      </c>
      <c r="O498" s="66" t="s">
        <v>1575</v>
      </c>
    </row>
    <row r="499" spans="1:15" x14ac:dyDescent="0.35">
      <c r="A499" s="66" t="s">
        <v>1715</v>
      </c>
      <c r="B499" s="66" t="s">
        <v>1716</v>
      </c>
      <c r="C499" s="66" t="s">
        <v>60</v>
      </c>
      <c r="D499" s="66" t="s">
        <v>1119</v>
      </c>
      <c r="E499" s="66" t="s">
        <v>997</v>
      </c>
      <c r="F499" s="75">
        <v>46115</v>
      </c>
      <c r="G499" s="75" t="s">
        <v>1006</v>
      </c>
      <c r="H499" s="66" t="s">
        <v>1007</v>
      </c>
      <c r="I499" s="66" t="s">
        <v>1028</v>
      </c>
      <c r="J499" s="66" t="s">
        <v>1028</v>
      </c>
      <c r="K499" s="75">
        <v>45338</v>
      </c>
      <c r="L499" s="66" t="s">
        <v>1020</v>
      </c>
      <c r="M499" s="66" t="s">
        <v>1010</v>
      </c>
      <c r="N499" s="66" t="s">
        <v>1574</v>
      </c>
      <c r="O499" s="66" t="s">
        <v>1575</v>
      </c>
    </row>
    <row r="500" spans="1:15" x14ac:dyDescent="0.35">
      <c r="A500" s="66" t="s">
        <v>1717</v>
      </c>
      <c r="B500" s="66" t="s">
        <v>1718</v>
      </c>
      <c r="C500" s="66" t="s">
        <v>300</v>
      </c>
      <c r="D500" s="66" t="s">
        <v>1719</v>
      </c>
      <c r="E500" s="66" t="s">
        <v>997</v>
      </c>
      <c r="F500" s="75">
        <v>46142</v>
      </c>
      <c r="G500" s="75" t="s">
        <v>1221</v>
      </c>
      <c r="H500" s="66" t="s">
        <v>1044</v>
      </c>
      <c r="I500" s="66" t="s">
        <v>1019</v>
      </c>
      <c r="J500" s="66" t="s">
        <v>1019</v>
      </c>
      <c r="K500" s="75">
        <v>46018</v>
      </c>
      <c r="L500" s="66" t="s">
        <v>1020</v>
      </c>
      <c r="M500" s="66" t="s">
        <v>1010</v>
      </c>
      <c r="N500" s="66" t="s">
        <v>1574</v>
      </c>
      <c r="O500" s="66" t="s">
        <v>1575</v>
      </c>
    </row>
    <row r="501" spans="1:15" x14ac:dyDescent="0.35">
      <c r="A501" s="66" t="s">
        <v>1720</v>
      </c>
      <c r="B501" s="66" t="s">
        <v>1721</v>
      </c>
      <c r="C501" s="66" t="s">
        <v>199</v>
      </c>
      <c r="D501" s="66" t="s">
        <v>1496</v>
      </c>
      <c r="E501" s="66" t="s">
        <v>997</v>
      </c>
      <c r="F501" s="75">
        <v>46139</v>
      </c>
      <c r="G501" s="75" t="s">
        <v>1006</v>
      </c>
      <c r="H501" s="66" t="s">
        <v>1007</v>
      </c>
      <c r="I501" s="66" t="s">
        <v>1028</v>
      </c>
      <c r="J501" s="66" t="s">
        <v>1028</v>
      </c>
      <c r="K501" s="75">
        <v>45962</v>
      </c>
      <c r="L501" s="66" t="s">
        <v>1020</v>
      </c>
      <c r="M501" s="66" t="s">
        <v>1010</v>
      </c>
      <c r="N501" s="66" t="s">
        <v>1574</v>
      </c>
      <c r="O501" s="66" t="s">
        <v>1575</v>
      </c>
    </row>
    <row r="502" spans="1:15" x14ac:dyDescent="0.35">
      <c r="A502" s="66" t="s">
        <v>1722</v>
      </c>
      <c r="B502" s="66" t="s">
        <v>1723</v>
      </c>
      <c r="C502" s="66" t="s">
        <v>17</v>
      </c>
      <c r="D502" s="66" t="s">
        <v>906</v>
      </c>
      <c r="E502" s="66" t="s">
        <v>997</v>
      </c>
      <c r="F502" s="75">
        <v>46132</v>
      </c>
      <c r="G502" s="75" t="s">
        <v>1006</v>
      </c>
      <c r="H502" s="66" t="s">
        <v>1007</v>
      </c>
      <c r="I502" s="66" t="s">
        <v>1084</v>
      </c>
      <c r="J502" s="66" t="s">
        <v>1084</v>
      </c>
      <c r="K502" s="75">
        <v>45367</v>
      </c>
      <c r="L502" s="66" t="s">
        <v>1001</v>
      </c>
      <c r="M502" s="66" t="s">
        <v>1010</v>
      </c>
      <c r="N502" s="66" t="s">
        <v>1574</v>
      </c>
      <c r="O502" s="66" t="s">
        <v>1599</v>
      </c>
    </row>
    <row r="503" spans="1:15" x14ac:dyDescent="0.35">
      <c r="A503" s="66" t="s">
        <v>1724</v>
      </c>
      <c r="B503" s="66" t="s">
        <v>1725</v>
      </c>
      <c r="C503" s="66" t="s">
        <v>247</v>
      </c>
      <c r="D503" s="66" t="s">
        <v>1726</v>
      </c>
      <c r="E503" s="66" t="s">
        <v>997</v>
      </c>
      <c r="F503" s="75">
        <v>46128</v>
      </c>
      <c r="G503" s="75" t="s">
        <v>1006</v>
      </c>
      <c r="H503" s="66" t="s">
        <v>1007</v>
      </c>
      <c r="I503" s="66" t="s">
        <v>1028</v>
      </c>
      <c r="J503" s="66" t="s">
        <v>1028</v>
      </c>
      <c r="K503" s="75">
        <v>45377</v>
      </c>
      <c r="L503" s="66" t="s">
        <v>1020</v>
      </c>
      <c r="M503" s="66" t="s">
        <v>1010</v>
      </c>
      <c r="N503" s="66" t="s">
        <v>1574</v>
      </c>
      <c r="O503" s="66" t="s">
        <v>1575</v>
      </c>
    </row>
    <row r="504" spans="1:15" x14ac:dyDescent="0.35">
      <c r="A504" s="66" t="s">
        <v>1727</v>
      </c>
      <c r="B504" s="66" t="s">
        <v>1728</v>
      </c>
      <c r="C504" s="66" t="s">
        <v>243</v>
      </c>
      <c r="D504" s="66" t="s">
        <v>1318</v>
      </c>
      <c r="E504" s="66" t="s">
        <v>997</v>
      </c>
      <c r="F504" s="75">
        <v>46117</v>
      </c>
      <c r="G504" s="75" t="s">
        <v>1006</v>
      </c>
      <c r="H504" s="66" t="s">
        <v>1007</v>
      </c>
      <c r="I504" s="66" t="s">
        <v>1084</v>
      </c>
      <c r="J504" s="66" t="s">
        <v>1084</v>
      </c>
      <c r="K504" s="75">
        <v>45387</v>
      </c>
      <c r="L504" s="66" t="s">
        <v>1001</v>
      </c>
      <c r="M504" s="66" t="s">
        <v>1010</v>
      </c>
      <c r="N504" s="66" t="s">
        <v>1574</v>
      </c>
      <c r="O504" s="66" t="s">
        <v>1599</v>
      </c>
    </row>
    <row r="505" spans="1:15" x14ac:dyDescent="0.35">
      <c r="A505" s="66" t="s">
        <v>1729</v>
      </c>
      <c r="B505" s="66" t="s">
        <v>1730</v>
      </c>
      <c r="C505" s="66" t="s">
        <v>208</v>
      </c>
      <c r="D505" s="66" t="s">
        <v>1444</v>
      </c>
      <c r="E505" s="66" t="s">
        <v>997</v>
      </c>
      <c r="F505" s="75">
        <v>46118</v>
      </c>
      <c r="G505" s="75" t="s">
        <v>1006</v>
      </c>
      <c r="H505" s="66" t="s">
        <v>1007</v>
      </c>
      <c r="I505" s="66" t="s">
        <v>1019</v>
      </c>
      <c r="J505" s="66" t="s">
        <v>1019</v>
      </c>
      <c r="K505" s="75">
        <v>45387</v>
      </c>
      <c r="L505" s="66" t="s">
        <v>1020</v>
      </c>
      <c r="M505" s="66" t="s">
        <v>1010</v>
      </c>
      <c r="N505" s="66" t="s">
        <v>1574</v>
      </c>
      <c r="O505" s="66" t="s">
        <v>1575</v>
      </c>
    </row>
    <row r="506" spans="1:15" x14ac:dyDescent="0.35">
      <c r="A506" s="66" t="s">
        <v>1731</v>
      </c>
      <c r="B506" s="66" t="s">
        <v>1732</v>
      </c>
      <c r="C506" s="66" t="s">
        <v>245</v>
      </c>
      <c r="D506" s="66" t="s">
        <v>1365</v>
      </c>
      <c r="E506" s="66" t="s">
        <v>997</v>
      </c>
      <c r="F506" s="75">
        <v>46129</v>
      </c>
      <c r="G506" s="75" t="s">
        <v>1006</v>
      </c>
      <c r="H506" s="66" t="s">
        <v>1007</v>
      </c>
      <c r="I506" s="66" t="s">
        <v>1019</v>
      </c>
      <c r="J506" s="66" t="s">
        <v>1009</v>
      </c>
      <c r="K506" s="75">
        <v>46100</v>
      </c>
      <c r="L506" s="66" t="s">
        <v>1020</v>
      </c>
      <c r="M506" s="66" t="s">
        <v>1010</v>
      </c>
      <c r="N506" s="66" t="s">
        <v>1574</v>
      </c>
      <c r="O506" s="66" t="s">
        <v>1575</v>
      </c>
    </row>
    <row r="507" spans="1:15" x14ac:dyDescent="0.35">
      <c r="A507" s="66" t="s">
        <v>1733</v>
      </c>
      <c r="B507" s="66" t="s">
        <v>1734</v>
      </c>
      <c r="C507" s="66" t="s">
        <v>318</v>
      </c>
      <c r="D507" s="66" t="s">
        <v>1266</v>
      </c>
      <c r="E507" s="66" t="s">
        <v>997</v>
      </c>
      <c r="F507" s="75">
        <v>46124</v>
      </c>
      <c r="G507" s="75" t="s">
        <v>1006</v>
      </c>
      <c r="H507" s="66" t="s">
        <v>1007</v>
      </c>
      <c r="I507" s="66" t="s">
        <v>1008</v>
      </c>
      <c r="J507" s="66" t="s">
        <v>1009</v>
      </c>
      <c r="K507" s="75">
        <v>45470</v>
      </c>
      <c r="L507" s="66" t="s">
        <v>1001</v>
      </c>
      <c r="M507" s="66" t="s">
        <v>1010</v>
      </c>
      <c r="N507" s="66" t="s">
        <v>1574</v>
      </c>
      <c r="O507" s="66" t="s">
        <v>1599</v>
      </c>
    </row>
    <row r="508" spans="1:15" x14ac:dyDescent="0.35">
      <c r="A508" s="66" t="s">
        <v>1735</v>
      </c>
      <c r="B508" s="66" t="s">
        <v>1736</v>
      </c>
      <c r="C508" s="66" t="s">
        <v>284</v>
      </c>
      <c r="D508" s="66" t="s">
        <v>1150</v>
      </c>
      <c r="E508" s="66" t="s">
        <v>997</v>
      </c>
      <c r="F508" s="75">
        <v>46121</v>
      </c>
      <c r="G508" s="75" t="s">
        <v>1006</v>
      </c>
      <c r="H508" s="66" t="s">
        <v>1007</v>
      </c>
      <c r="I508" s="66" t="s">
        <v>1028</v>
      </c>
      <c r="J508" s="66" t="s">
        <v>1028</v>
      </c>
      <c r="K508" s="75">
        <v>45464</v>
      </c>
      <c r="L508" s="66" t="s">
        <v>1020</v>
      </c>
      <c r="M508" s="66" t="s">
        <v>1010</v>
      </c>
      <c r="N508" s="66" t="s">
        <v>1574</v>
      </c>
      <c r="O508" s="66" t="s">
        <v>1575</v>
      </c>
    </row>
    <row r="509" spans="1:15" x14ac:dyDescent="0.35">
      <c r="A509" s="66" t="s">
        <v>1737</v>
      </c>
      <c r="B509" s="66" t="s">
        <v>1738</v>
      </c>
      <c r="C509" s="66" t="s">
        <v>429</v>
      </c>
      <c r="D509" s="66" t="s">
        <v>1240</v>
      </c>
      <c r="E509" s="66" t="s">
        <v>997</v>
      </c>
      <c r="F509" s="75">
        <v>46142</v>
      </c>
      <c r="G509" s="75" t="s">
        <v>1006</v>
      </c>
      <c r="H509" s="66" t="s">
        <v>1007</v>
      </c>
      <c r="I509" s="66" t="s">
        <v>1008</v>
      </c>
      <c r="J509" s="66" t="s">
        <v>1008</v>
      </c>
      <c r="K509" s="75">
        <v>45455</v>
      </c>
      <c r="L509" s="66" t="s">
        <v>1001</v>
      </c>
      <c r="M509" s="66" t="s">
        <v>1010</v>
      </c>
      <c r="N509" s="66" t="s">
        <v>1574</v>
      </c>
      <c r="O509" s="66" t="s">
        <v>1575</v>
      </c>
    </row>
    <row r="510" spans="1:15" x14ac:dyDescent="0.35">
      <c r="A510" s="66" t="s">
        <v>1739</v>
      </c>
      <c r="B510" s="66" t="s">
        <v>1740</v>
      </c>
      <c r="C510" s="66" t="s">
        <v>45</v>
      </c>
      <c r="D510" s="66" t="s">
        <v>1122</v>
      </c>
      <c r="E510" s="66" t="s">
        <v>997</v>
      </c>
      <c r="F510" s="75">
        <v>46137</v>
      </c>
      <c r="G510" s="75" t="s">
        <v>1006</v>
      </c>
      <c r="H510" s="66" t="s">
        <v>1007</v>
      </c>
      <c r="I510" s="66" t="s">
        <v>1019</v>
      </c>
      <c r="J510" s="66" t="s">
        <v>1019</v>
      </c>
      <c r="K510" s="75">
        <v>45912</v>
      </c>
      <c r="L510" s="66" t="s">
        <v>1020</v>
      </c>
      <c r="M510" s="66" t="s">
        <v>1010</v>
      </c>
      <c r="N510" s="66" t="s">
        <v>1574</v>
      </c>
      <c r="O510" s="66" t="s">
        <v>1599</v>
      </c>
    </row>
    <row r="511" spans="1:15" x14ac:dyDescent="0.35">
      <c r="A511" s="66" t="s">
        <v>1741</v>
      </c>
      <c r="B511" s="66" t="s">
        <v>1742</v>
      </c>
      <c r="C511" s="66" t="s">
        <v>55</v>
      </c>
      <c r="D511" s="66" t="s">
        <v>1684</v>
      </c>
      <c r="E511" s="66" t="s">
        <v>997</v>
      </c>
      <c r="F511" s="75">
        <v>46137</v>
      </c>
      <c r="G511" s="75" t="s">
        <v>1006</v>
      </c>
      <c r="H511" s="66" t="s">
        <v>1007</v>
      </c>
      <c r="I511" s="66" t="s">
        <v>1034</v>
      </c>
      <c r="J511" s="66" t="s">
        <v>1035</v>
      </c>
      <c r="K511" s="75">
        <v>45703</v>
      </c>
      <c r="L511" s="66" t="s">
        <v>1001</v>
      </c>
      <c r="M511" s="66" t="s">
        <v>1010</v>
      </c>
      <c r="N511" s="66" t="s">
        <v>1574</v>
      </c>
      <c r="O511" s="66" t="s">
        <v>1575</v>
      </c>
    </row>
    <row r="512" spans="1:15" x14ac:dyDescent="0.35">
      <c r="A512" s="66" t="s">
        <v>1743</v>
      </c>
      <c r="B512" s="66" t="s">
        <v>1744</v>
      </c>
      <c r="C512" s="66" t="s">
        <v>278</v>
      </c>
      <c r="D512" s="66" t="s">
        <v>1131</v>
      </c>
      <c r="E512" s="66" t="s">
        <v>997</v>
      </c>
      <c r="F512" s="75">
        <v>46128</v>
      </c>
      <c r="G512" s="75" t="s">
        <v>1006</v>
      </c>
      <c r="H512" s="66" t="s">
        <v>1007</v>
      </c>
      <c r="I512" s="66" t="s">
        <v>1084</v>
      </c>
      <c r="J512" s="66" t="s">
        <v>1084</v>
      </c>
      <c r="K512" s="75">
        <v>45603</v>
      </c>
      <c r="L512" s="66" t="s">
        <v>1001</v>
      </c>
      <c r="M512" s="66" t="s">
        <v>1010</v>
      </c>
      <c r="N512" s="66" t="s">
        <v>1574</v>
      </c>
      <c r="O512" s="66" t="s">
        <v>1599</v>
      </c>
    </row>
    <row r="513" spans="1:15" x14ac:dyDescent="0.35">
      <c r="A513" s="66" t="s">
        <v>1745</v>
      </c>
      <c r="B513" s="66" t="s">
        <v>1746</v>
      </c>
      <c r="C513" s="66" t="s">
        <v>47</v>
      </c>
      <c r="D513" s="66" t="s">
        <v>1232</v>
      </c>
      <c r="E513" s="66" t="s">
        <v>997</v>
      </c>
      <c r="F513" s="75">
        <v>46123</v>
      </c>
      <c r="G513" s="75" t="s">
        <v>1006</v>
      </c>
      <c r="H513" s="66" t="s">
        <v>1007</v>
      </c>
      <c r="I513" s="66" t="s">
        <v>1084</v>
      </c>
      <c r="J513" s="66" t="s">
        <v>1084</v>
      </c>
      <c r="K513" s="75">
        <v>45946</v>
      </c>
      <c r="L513" s="66" t="s">
        <v>1020</v>
      </c>
      <c r="M513" s="66" t="s">
        <v>1010</v>
      </c>
      <c r="N513" s="66" t="s">
        <v>1574</v>
      </c>
      <c r="O513" s="66" t="s">
        <v>1575</v>
      </c>
    </row>
    <row r="514" spans="1:15" x14ac:dyDescent="0.35">
      <c r="A514" s="66" t="s">
        <v>1747</v>
      </c>
      <c r="B514" s="66" t="s">
        <v>1748</v>
      </c>
      <c r="C514" s="66" t="s">
        <v>159</v>
      </c>
      <c r="D514" s="66" t="s">
        <v>1488</v>
      </c>
      <c r="E514" s="66" t="s">
        <v>997</v>
      </c>
      <c r="F514" s="75">
        <v>46113</v>
      </c>
      <c r="G514" s="75" t="s">
        <v>1006</v>
      </c>
      <c r="H514" s="66" t="s">
        <v>1007</v>
      </c>
      <c r="I514" s="66" t="s">
        <v>1057</v>
      </c>
      <c r="J514" s="66" t="s">
        <v>1057</v>
      </c>
      <c r="K514" s="75">
        <v>45637</v>
      </c>
      <c r="L514" s="66" t="s">
        <v>1001</v>
      </c>
      <c r="M514" s="66" t="s">
        <v>1010</v>
      </c>
      <c r="N514" s="66" t="s">
        <v>1574</v>
      </c>
      <c r="O514" s="66" t="s">
        <v>1575</v>
      </c>
    </row>
    <row r="515" spans="1:15" x14ac:dyDescent="0.35">
      <c r="A515" s="66" t="s">
        <v>1749</v>
      </c>
      <c r="B515" s="66" t="s">
        <v>1750</v>
      </c>
      <c r="C515" s="66" t="s">
        <v>288</v>
      </c>
      <c r="D515" s="66" t="s">
        <v>1751</v>
      </c>
      <c r="E515" s="66" t="s">
        <v>997</v>
      </c>
      <c r="F515" s="75">
        <v>46115</v>
      </c>
      <c r="G515" s="75" t="s">
        <v>1498</v>
      </c>
      <c r="H515" s="66" t="s">
        <v>1044</v>
      </c>
      <c r="I515" s="66" t="s">
        <v>1028</v>
      </c>
      <c r="J515" s="66" t="s">
        <v>1028</v>
      </c>
      <c r="K515" s="75">
        <v>45525</v>
      </c>
      <c r="L515" s="66" t="s">
        <v>1020</v>
      </c>
      <c r="M515" s="66" t="s">
        <v>1010</v>
      </c>
      <c r="N515" s="66" t="s">
        <v>1574</v>
      </c>
      <c r="O515" s="66" t="s">
        <v>1575</v>
      </c>
    </row>
    <row r="516" spans="1:15" x14ac:dyDescent="0.35">
      <c r="A516" s="66" t="s">
        <v>1752</v>
      </c>
      <c r="B516" s="66" t="s">
        <v>1753</v>
      </c>
      <c r="C516" s="66" t="s">
        <v>284</v>
      </c>
      <c r="D516" s="66" t="s">
        <v>1150</v>
      </c>
      <c r="E516" s="66" t="s">
        <v>997</v>
      </c>
      <c r="F516" s="75">
        <v>46125</v>
      </c>
      <c r="G516" s="75" t="s">
        <v>1006</v>
      </c>
      <c r="H516" s="66" t="s">
        <v>1007</v>
      </c>
      <c r="I516" s="66" t="s">
        <v>1028</v>
      </c>
      <c r="J516" s="66" t="s">
        <v>1028</v>
      </c>
      <c r="K516" s="75">
        <v>45526</v>
      </c>
      <c r="L516" s="66" t="s">
        <v>1020</v>
      </c>
      <c r="M516" s="66" t="s">
        <v>1010</v>
      </c>
      <c r="N516" s="66" t="s">
        <v>1574</v>
      </c>
      <c r="O516" s="66" t="s">
        <v>1575</v>
      </c>
    </row>
    <row r="517" spans="1:15" x14ac:dyDescent="0.35">
      <c r="A517" s="66" t="s">
        <v>1754</v>
      </c>
      <c r="B517" s="66" t="s">
        <v>1755</v>
      </c>
      <c r="C517" s="66" t="s">
        <v>105</v>
      </c>
      <c r="D517" s="66" t="s">
        <v>1207</v>
      </c>
      <c r="E517" s="66" t="s">
        <v>997</v>
      </c>
      <c r="F517" s="75">
        <v>46142</v>
      </c>
      <c r="G517" s="75" t="s">
        <v>1006</v>
      </c>
      <c r="H517" s="66" t="s">
        <v>1007</v>
      </c>
      <c r="I517" s="66" t="s">
        <v>1028</v>
      </c>
      <c r="J517" s="66" t="s">
        <v>1028</v>
      </c>
      <c r="K517" s="75">
        <v>45526</v>
      </c>
      <c r="L517" s="66" t="s">
        <v>1020</v>
      </c>
      <c r="M517" s="66" t="s">
        <v>1010</v>
      </c>
      <c r="N517" s="66" t="s">
        <v>1574</v>
      </c>
      <c r="O517" s="66" t="s">
        <v>1575</v>
      </c>
    </row>
    <row r="518" spans="1:15" x14ac:dyDescent="0.35">
      <c r="A518" s="66" t="s">
        <v>1756</v>
      </c>
      <c r="B518" s="66" t="s">
        <v>1757</v>
      </c>
      <c r="C518" s="66" t="s">
        <v>118</v>
      </c>
      <c r="D518" s="66" t="s">
        <v>1360</v>
      </c>
      <c r="E518" s="66" t="s">
        <v>997</v>
      </c>
      <c r="F518" s="75">
        <v>46113</v>
      </c>
      <c r="G518" s="75" t="s">
        <v>1006</v>
      </c>
      <c r="H518" s="66" t="s">
        <v>1007</v>
      </c>
      <c r="I518" s="66" t="s">
        <v>1008</v>
      </c>
      <c r="J518" s="66" t="s">
        <v>1008</v>
      </c>
      <c r="K518" s="75">
        <v>45531</v>
      </c>
      <c r="L518" s="66" t="s">
        <v>1001</v>
      </c>
      <c r="M518" s="66" t="s">
        <v>1010</v>
      </c>
      <c r="N518" s="66" t="s">
        <v>1574</v>
      </c>
      <c r="O518" s="66" t="s">
        <v>1599</v>
      </c>
    </row>
    <row r="519" spans="1:15" x14ac:dyDescent="0.35">
      <c r="A519" s="66" t="s">
        <v>1758</v>
      </c>
      <c r="B519" s="66" t="s">
        <v>1759</v>
      </c>
      <c r="C519" s="66" t="s">
        <v>382</v>
      </c>
      <c r="D519" s="66" t="s">
        <v>384</v>
      </c>
      <c r="E519" s="66" t="s">
        <v>997</v>
      </c>
      <c r="F519" s="75">
        <v>46142</v>
      </c>
      <c r="G519" s="75" t="s">
        <v>1006</v>
      </c>
      <c r="H519" s="66" t="s">
        <v>1007</v>
      </c>
      <c r="I519" s="66" t="s">
        <v>1028</v>
      </c>
      <c r="J519" s="66" t="s">
        <v>1028</v>
      </c>
      <c r="K519" s="75">
        <v>45536</v>
      </c>
      <c r="L519" s="66" t="s">
        <v>1020</v>
      </c>
      <c r="M519" s="66" t="s">
        <v>1010</v>
      </c>
      <c r="N519" s="66" t="s">
        <v>1574</v>
      </c>
      <c r="O519" s="66" t="s">
        <v>1575</v>
      </c>
    </row>
    <row r="520" spans="1:15" x14ac:dyDescent="0.35">
      <c r="A520" s="66" t="s">
        <v>1760</v>
      </c>
      <c r="B520" s="66" t="s">
        <v>1761</v>
      </c>
      <c r="C520" s="66" t="s">
        <v>218</v>
      </c>
      <c r="D520" s="66" t="s">
        <v>1372</v>
      </c>
      <c r="E520" s="66" t="s">
        <v>997</v>
      </c>
      <c r="F520" s="75">
        <v>46139</v>
      </c>
      <c r="G520" s="75" t="s">
        <v>1006</v>
      </c>
      <c r="H520" s="66" t="s">
        <v>1007</v>
      </c>
      <c r="I520" s="66" t="s">
        <v>1019</v>
      </c>
      <c r="J520" s="66" t="s">
        <v>1019</v>
      </c>
      <c r="K520" s="75">
        <v>45536</v>
      </c>
      <c r="L520" s="66" t="s">
        <v>1020</v>
      </c>
      <c r="M520" s="66" t="s">
        <v>1010</v>
      </c>
      <c r="N520" s="66" t="s">
        <v>1574</v>
      </c>
      <c r="O520" s="66" t="s">
        <v>1575</v>
      </c>
    </row>
    <row r="521" spans="1:15" x14ac:dyDescent="0.35">
      <c r="A521" s="66" t="s">
        <v>1762</v>
      </c>
      <c r="B521" s="66" t="s">
        <v>1763</v>
      </c>
      <c r="C521" s="66" t="s">
        <v>124</v>
      </c>
      <c r="D521" s="66" t="s">
        <v>1398</v>
      </c>
      <c r="E521" s="66" t="s">
        <v>997</v>
      </c>
      <c r="F521" s="75">
        <v>46133</v>
      </c>
      <c r="G521" s="75" t="s">
        <v>1025</v>
      </c>
      <c r="H521" s="66" t="s">
        <v>999</v>
      </c>
      <c r="I521" s="66" t="s">
        <v>1008</v>
      </c>
      <c r="J521" s="66" t="s">
        <v>1009</v>
      </c>
      <c r="K521" s="75">
        <v>45545</v>
      </c>
      <c r="L521" s="66" t="s">
        <v>1001</v>
      </c>
      <c r="M521" s="66" t="s">
        <v>1010</v>
      </c>
      <c r="N521" s="66" t="s">
        <v>1574</v>
      </c>
      <c r="O521" s="66" t="s">
        <v>1599</v>
      </c>
    </row>
    <row r="522" spans="1:15" x14ac:dyDescent="0.35">
      <c r="A522" s="66" t="s">
        <v>1764</v>
      </c>
      <c r="B522" s="66" t="s">
        <v>1765</v>
      </c>
      <c r="C522" s="66" t="s">
        <v>118</v>
      </c>
      <c r="D522" s="66" t="s">
        <v>1360</v>
      </c>
      <c r="E522" s="66" t="s">
        <v>997</v>
      </c>
      <c r="F522" s="75">
        <v>46131</v>
      </c>
      <c r="G522" s="75" t="s">
        <v>1006</v>
      </c>
      <c r="H522" s="66" t="s">
        <v>1007</v>
      </c>
      <c r="I522" s="66" t="s">
        <v>1008</v>
      </c>
      <c r="J522" s="66" t="s">
        <v>1008</v>
      </c>
      <c r="K522" s="75">
        <v>45881</v>
      </c>
      <c r="L522" s="66" t="s">
        <v>1001</v>
      </c>
      <c r="M522" s="66" t="s">
        <v>1010</v>
      </c>
      <c r="N522" s="66" t="s">
        <v>1574</v>
      </c>
      <c r="O522" s="66" t="s">
        <v>1599</v>
      </c>
    </row>
    <row r="523" spans="1:15" x14ac:dyDescent="0.35">
      <c r="A523" s="66" t="s">
        <v>1766</v>
      </c>
      <c r="B523" s="66" t="s">
        <v>1767</v>
      </c>
      <c r="C523" s="66" t="s">
        <v>278</v>
      </c>
      <c r="D523" s="66" t="s">
        <v>1131</v>
      </c>
      <c r="E523" s="66" t="s">
        <v>997</v>
      </c>
      <c r="F523" s="75">
        <v>46140</v>
      </c>
      <c r="G523" s="75" t="s">
        <v>1006</v>
      </c>
      <c r="H523" s="66" t="s">
        <v>1007</v>
      </c>
      <c r="I523" s="66" t="s">
        <v>1084</v>
      </c>
      <c r="J523" s="66" t="s">
        <v>1084</v>
      </c>
      <c r="K523" s="75">
        <v>45559</v>
      </c>
      <c r="L523" s="66" t="s">
        <v>1020</v>
      </c>
      <c r="M523" s="66" t="s">
        <v>1010</v>
      </c>
      <c r="N523" s="66" t="s">
        <v>1574</v>
      </c>
      <c r="O523" s="66" t="s">
        <v>1575</v>
      </c>
    </row>
    <row r="524" spans="1:15" x14ac:dyDescent="0.35">
      <c r="A524" s="66" t="s">
        <v>1768</v>
      </c>
      <c r="B524" s="66" t="s">
        <v>1769</v>
      </c>
      <c r="C524" s="66" t="s">
        <v>341</v>
      </c>
      <c r="D524" s="66" t="s">
        <v>1264</v>
      </c>
      <c r="E524" s="66" t="s">
        <v>997</v>
      </c>
      <c r="F524" s="75">
        <v>46119</v>
      </c>
      <c r="G524" s="75" t="s">
        <v>1006</v>
      </c>
      <c r="H524" s="66" t="s">
        <v>1007</v>
      </c>
      <c r="I524" s="66" t="s">
        <v>1028</v>
      </c>
      <c r="J524" s="66" t="s">
        <v>1028</v>
      </c>
      <c r="K524" s="75">
        <v>46015</v>
      </c>
      <c r="L524" s="66" t="s">
        <v>1020</v>
      </c>
      <c r="M524" s="66" t="s">
        <v>1010</v>
      </c>
      <c r="N524" s="66" t="s">
        <v>1574</v>
      </c>
      <c r="O524" s="66" t="s">
        <v>1575</v>
      </c>
    </row>
    <row r="525" spans="1:15" x14ac:dyDescent="0.35">
      <c r="A525" s="66" t="s">
        <v>1770</v>
      </c>
      <c r="B525" s="66" t="s">
        <v>1771</v>
      </c>
      <c r="C525" s="66" t="s">
        <v>218</v>
      </c>
      <c r="D525" s="66" t="s">
        <v>1372</v>
      </c>
      <c r="E525" s="66" t="s">
        <v>997</v>
      </c>
      <c r="F525" s="75">
        <v>46141</v>
      </c>
      <c r="G525" s="75" t="s">
        <v>1006</v>
      </c>
      <c r="H525" s="66" t="s">
        <v>1007</v>
      </c>
      <c r="I525" s="66" t="s">
        <v>1028</v>
      </c>
      <c r="J525" s="66" t="s">
        <v>1028</v>
      </c>
      <c r="K525" s="75">
        <v>45567</v>
      </c>
      <c r="L525" s="66" t="s">
        <v>1020</v>
      </c>
      <c r="M525" s="66" t="s">
        <v>1010</v>
      </c>
      <c r="N525" s="66" t="s">
        <v>1574</v>
      </c>
      <c r="O525" s="66" t="s">
        <v>1575</v>
      </c>
    </row>
    <row r="526" spans="1:15" x14ac:dyDescent="0.35">
      <c r="A526" s="66" t="s">
        <v>1772</v>
      </c>
      <c r="B526" s="66" t="s">
        <v>1773</v>
      </c>
      <c r="C526" s="66" t="s">
        <v>42</v>
      </c>
      <c r="D526" s="66" t="s">
        <v>1262</v>
      </c>
      <c r="E526" s="66" t="s">
        <v>997</v>
      </c>
      <c r="F526" s="75">
        <v>46118</v>
      </c>
      <c r="G526" s="75" t="s">
        <v>1013</v>
      </c>
      <c r="H526" s="66" t="s">
        <v>1007</v>
      </c>
      <c r="I526" s="66" t="s">
        <v>1008</v>
      </c>
      <c r="J526" s="66" t="s">
        <v>1008</v>
      </c>
      <c r="K526" s="75">
        <v>45573</v>
      </c>
      <c r="L526" s="66" t="s">
        <v>1001</v>
      </c>
      <c r="M526" s="66" t="s">
        <v>1010</v>
      </c>
      <c r="N526" s="66" t="s">
        <v>1574</v>
      </c>
      <c r="O526" s="66" t="s">
        <v>1575</v>
      </c>
    </row>
    <row r="527" spans="1:15" x14ac:dyDescent="0.35">
      <c r="A527" s="66" t="s">
        <v>1774</v>
      </c>
      <c r="B527" s="66" t="s">
        <v>1775</v>
      </c>
      <c r="C527" s="66" t="s">
        <v>19</v>
      </c>
      <c r="D527" s="66" t="s">
        <v>1255</v>
      </c>
      <c r="E527" s="66" t="s">
        <v>997</v>
      </c>
      <c r="F527" s="75">
        <v>46131</v>
      </c>
      <c r="G527" s="75" t="s">
        <v>1006</v>
      </c>
      <c r="H527" s="66" t="s">
        <v>1007</v>
      </c>
      <c r="I527" s="66" t="s">
        <v>1057</v>
      </c>
      <c r="J527" s="66" t="s">
        <v>1057</v>
      </c>
      <c r="K527" s="75">
        <v>45581</v>
      </c>
      <c r="L527" s="66" t="s">
        <v>1001</v>
      </c>
      <c r="M527" s="66" t="s">
        <v>1010</v>
      </c>
      <c r="N527" s="66" t="s">
        <v>1574</v>
      </c>
      <c r="O527" s="66" t="s">
        <v>1575</v>
      </c>
    </row>
    <row r="528" spans="1:15" x14ac:dyDescent="0.35">
      <c r="A528" s="66" t="s">
        <v>1776</v>
      </c>
      <c r="B528" s="66" t="s">
        <v>1777</v>
      </c>
      <c r="C528" s="66" t="s">
        <v>197</v>
      </c>
      <c r="D528" s="66" t="s">
        <v>1297</v>
      </c>
      <c r="E528" s="66" t="s">
        <v>997</v>
      </c>
      <c r="F528" s="75">
        <v>46113</v>
      </c>
      <c r="G528" s="75" t="s">
        <v>1006</v>
      </c>
      <c r="H528" s="66" t="s">
        <v>1007</v>
      </c>
      <c r="I528" s="66" t="s">
        <v>1008</v>
      </c>
      <c r="J528" s="66" t="s">
        <v>1008</v>
      </c>
      <c r="K528" s="75">
        <v>45581</v>
      </c>
      <c r="L528" s="66" t="s">
        <v>1001</v>
      </c>
      <c r="M528" s="66" t="s">
        <v>1010</v>
      </c>
      <c r="N528" s="66" t="s">
        <v>1574</v>
      </c>
      <c r="O528" s="66" t="s">
        <v>1575</v>
      </c>
    </row>
    <row r="529" spans="1:15" x14ac:dyDescent="0.35">
      <c r="A529" s="66" t="s">
        <v>1778</v>
      </c>
      <c r="B529" s="66" t="s">
        <v>1779</v>
      </c>
      <c r="C529" s="66" t="s">
        <v>290</v>
      </c>
      <c r="D529" s="66" t="s">
        <v>1182</v>
      </c>
      <c r="E529" s="66" t="s">
        <v>997</v>
      </c>
      <c r="F529" s="75">
        <v>46122</v>
      </c>
      <c r="G529" s="75" t="s">
        <v>1006</v>
      </c>
      <c r="H529" s="66" t="s">
        <v>1007</v>
      </c>
      <c r="I529" s="66" t="s">
        <v>1028</v>
      </c>
      <c r="J529" s="66" t="s">
        <v>1028</v>
      </c>
      <c r="K529" s="75">
        <v>45597</v>
      </c>
      <c r="L529" s="66" t="s">
        <v>1020</v>
      </c>
      <c r="M529" s="66" t="s">
        <v>1010</v>
      </c>
      <c r="N529" s="66" t="s">
        <v>1574</v>
      </c>
      <c r="O529" s="66" t="s">
        <v>1599</v>
      </c>
    </row>
    <row r="530" spans="1:15" x14ac:dyDescent="0.35">
      <c r="A530" s="66" t="s">
        <v>1780</v>
      </c>
      <c r="B530" s="66" t="s">
        <v>1781</v>
      </c>
      <c r="C530" s="66" t="s">
        <v>8</v>
      </c>
      <c r="D530" s="66" t="s">
        <v>1176</v>
      </c>
      <c r="E530" s="66" t="s">
        <v>997</v>
      </c>
      <c r="F530" s="75">
        <v>46128</v>
      </c>
      <c r="G530" s="75" t="s">
        <v>1013</v>
      </c>
      <c r="H530" s="66" t="s">
        <v>1007</v>
      </c>
      <c r="I530" s="66" t="s">
        <v>1008</v>
      </c>
      <c r="J530" s="66" t="s">
        <v>1008</v>
      </c>
      <c r="K530" s="75">
        <v>45611</v>
      </c>
      <c r="L530" s="66" t="s">
        <v>1001</v>
      </c>
      <c r="M530" s="66" t="s">
        <v>1010</v>
      </c>
      <c r="N530" s="66" t="s">
        <v>1574</v>
      </c>
      <c r="O530" s="66" t="s">
        <v>1575</v>
      </c>
    </row>
    <row r="531" spans="1:15" x14ac:dyDescent="0.35">
      <c r="A531" s="66" t="s">
        <v>1782</v>
      </c>
      <c r="B531" s="66" t="s">
        <v>1783</v>
      </c>
      <c r="C531" s="66" t="s">
        <v>318</v>
      </c>
      <c r="D531" s="66" t="s">
        <v>1266</v>
      </c>
      <c r="E531" s="66" t="s">
        <v>997</v>
      </c>
      <c r="F531" s="75">
        <v>46134</v>
      </c>
      <c r="G531" s="75" t="s">
        <v>1006</v>
      </c>
      <c r="H531" s="66" t="s">
        <v>1007</v>
      </c>
      <c r="I531" s="66" t="s">
        <v>1028</v>
      </c>
      <c r="J531" s="66" t="s">
        <v>1028</v>
      </c>
      <c r="K531" s="75">
        <v>46082</v>
      </c>
      <c r="L531" s="66" t="s">
        <v>1020</v>
      </c>
      <c r="M531" s="66" t="s">
        <v>1010</v>
      </c>
      <c r="N531" s="66" t="s">
        <v>1574</v>
      </c>
      <c r="O531" s="66" t="s">
        <v>1575</v>
      </c>
    </row>
    <row r="532" spans="1:15" x14ac:dyDescent="0.35">
      <c r="A532" s="66" t="s">
        <v>1784</v>
      </c>
      <c r="B532" s="66" t="s">
        <v>1785</v>
      </c>
      <c r="C532" s="66" t="s">
        <v>415</v>
      </c>
      <c r="D532" s="66" t="s">
        <v>1199</v>
      </c>
      <c r="E532" s="66" t="s">
        <v>997</v>
      </c>
      <c r="F532" s="75">
        <v>46132</v>
      </c>
      <c r="G532" s="75" t="s">
        <v>1006</v>
      </c>
      <c r="H532" s="66" t="s">
        <v>1007</v>
      </c>
      <c r="I532" s="66" t="s">
        <v>1084</v>
      </c>
      <c r="J532" s="66" t="s">
        <v>1084</v>
      </c>
      <c r="K532" s="75">
        <v>45672</v>
      </c>
      <c r="L532" s="66" t="s">
        <v>1001</v>
      </c>
      <c r="M532" s="66" t="s">
        <v>1010</v>
      </c>
      <c r="N532" s="66" t="s">
        <v>1574</v>
      </c>
      <c r="O532" s="66" t="s">
        <v>1575</v>
      </c>
    </row>
    <row r="533" spans="1:15" x14ac:dyDescent="0.35">
      <c r="A533" s="66" t="s">
        <v>1786</v>
      </c>
      <c r="B533" s="66" t="s">
        <v>1787</v>
      </c>
      <c r="C533" s="66" t="s">
        <v>409</v>
      </c>
      <c r="D533" s="66" t="s">
        <v>874</v>
      </c>
      <c r="E533" s="66" t="s">
        <v>997</v>
      </c>
      <c r="F533" s="75">
        <v>46142</v>
      </c>
      <c r="G533" s="75" t="s">
        <v>1006</v>
      </c>
      <c r="H533" s="66" t="s">
        <v>1007</v>
      </c>
      <c r="I533" s="66" t="s">
        <v>1028</v>
      </c>
      <c r="J533" s="66" t="s">
        <v>1028</v>
      </c>
      <c r="K533" s="75">
        <v>45672</v>
      </c>
      <c r="L533" s="66" t="s">
        <v>1020</v>
      </c>
      <c r="M533" s="66" t="s">
        <v>1010</v>
      </c>
      <c r="N533" s="66" t="s">
        <v>1574</v>
      </c>
      <c r="O533" s="66" t="s">
        <v>1575</v>
      </c>
    </row>
    <row r="534" spans="1:15" x14ac:dyDescent="0.35">
      <c r="A534" s="66" t="s">
        <v>1788</v>
      </c>
      <c r="B534" s="66" t="s">
        <v>1789</v>
      </c>
      <c r="C534" s="66" t="s">
        <v>239</v>
      </c>
      <c r="D534" s="66" t="s">
        <v>798</v>
      </c>
      <c r="E534" s="66" t="s">
        <v>997</v>
      </c>
      <c r="F534" s="75">
        <v>46140</v>
      </c>
      <c r="G534" s="75" t="s">
        <v>1006</v>
      </c>
      <c r="H534" s="66" t="s">
        <v>1007</v>
      </c>
      <c r="I534" s="66" t="s">
        <v>1028</v>
      </c>
      <c r="J534" s="66" t="s">
        <v>1009</v>
      </c>
      <c r="K534" s="75">
        <v>46095</v>
      </c>
      <c r="L534" s="66" t="s">
        <v>1020</v>
      </c>
      <c r="M534" s="66" t="s">
        <v>1010</v>
      </c>
      <c r="N534" s="66" t="s">
        <v>1574</v>
      </c>
      <c r="O534" s="66" t="s">
        <v>1575</v>
      </c>
    </row>
    <row r="535" spans="1:15" x14ac:dyDescent="0.35">
      <c r="A535" s="66" t="s">
        <v>1790</v>
      </c>
      <c r="B535" s="66" t="s">
        <v>1791</v>
      </c>
      <c r="C535" s="66" t="s">
        <v>411</v>
      </c>
      <c r="D535" s="66" t="s">
        <v>1225</v>
      </c>
      <c r="E535" s="66" t="s">
        <v>997</v>
      </c>
      <c r="F535" s="75">
        <v>46118</v>
      </c>
      <c r="G535" s="75" t="s">
        <v>1006</v>
      </c>
      <c r="H535" s="66" t="s">
        <v>1007</v>
      </c>
      <c r="I535" s="66" t="s">
        <v>1057</v>
      </c>
      <c r="J535" s="66" t="s">
        <v>1009</v>
      </c>
      <c r="K535" s="75">
        <v>45741</v>
      </c>
      <c r="L535" s="66" t="s">
        <v>1001</v>
      </c>
      <c r="M535" s="66" t="s">
        <v>1010</v>
      </c>
      <c r="N535" s="66" t="s">
        <v>1574</v>
      </c>
      <c r="O535" s="66" t="s">
        <v>1575</v>
      </c>
    </row>
    <row r="536" spans="1:15" x14ac:dyDescent="0.35">
      <c r="A536" s="66" t="s">
        <v>1792</v>
      </c>
      <c r="B536" s="66" t="s">
        <v>1793</v>
      </c>
      <c r="C536" s="66" t="s">
        <v>293</v>
      </c>
      <c r="D536" s="66" t="s">
        <v>1794</v>
      </c>
      <c r="E536" s="66" t="s">
        <v>997</v>
      </c>
      <c r="F536" s="75">
        <v>46129</v>
      </c>
      <c r="G536" s="75" t="s">
        <v>1006</v>
      </c>
      <c r="H536" s="66" t="s">
        <v>1007</v>
      </c>
      <c r="I536" s="66" t="s">
        <v>1028</v>
      </c>
      <c r="J536" s="66" t="s">
        <v>1028</v>
      </c>
      <c r="K536" s="75">
        <v>45756</v>
      </c>
      <c r="L536" s="66" t="s">
        <v>1020</v>
      </c>
      <c r="M536" s="66" t="s">
        <v>1010</v>
      </c>
      <c r="N536" s="66" t="s">
        <v>1574</v>
      </c>
      <c r="O536" s="66" t="s">
        <v>1575</v>
      </c>
    </row>
    <row r="537" spans="1:15" x14ac:dyDescent="0.35">
      <c r="A537" s="66" t="s">
        <v>1795</v>
      </c>
      <c r="B537" s="66" t="s">
        <v>1796</v>
      </c>
      <c r="C537" s="66" t="s">
        <v>318</v>
      </c>
      <c r="D537" s="66" t="s">
        <v>1266</v>
      </c>
      <c r="E537" s="66" t="s">
        <v>997</v>
      </c>
      <c r="F537" s="75">
        <v>46124</v>
      </c>
      <c r="G537" s="75" t="s">
        <v>1006</v>
      </c>
      <c r="H537" s="66" t="s">
        <v>1007</v>
      </c>
      <c r="I537" s="66" t="s">
        <v>1008</v>
      </c>
      <c r="J537" s="66" t="s">
        <v>1008</v>
      </c>
      <c r="K537" s="75">
        <v>45757</v>
      </c>
      <c r="L537" s="66" t="s">
        <v>1001</v>
      </c>
      <c r="M537" s="66" t="s">
        <v>1010</v>
      </c>
      <c r="N537" s="66" t="s">
        <v>1574</v>
      </c>
      <c r="O537" s="66" t="s">
        <v>1575</v>
      </c>
    </row>
    <row r="538" spans="1:15" x14ac:dyDescent="0.35">
      <c r="A538" s="66" t="s">
        <v>1797</v>
      </c>
      <c r="B538" s="66" t="s">
        <v>1798</v>
      </c>
      <c r="C538" s="66" t="s">
        <v>422</v>
      </c>
      <c r="D538" s="66" t="s">
        <v>423</v>
      </c>
      <c r="E538" s="66" t="s">
        <v>997</v>
      </c>
      <c r="F538" s="75">
        <v>46119</v>
      </c>
      <c r="G538" s="75" t="s">
        <v>1582</v>
      </c>
      <c r="H538" s="66" t="s">
        <v>1044</v>
      </c>
      <c r="I538" s="66" t="s">
        <v>1000</v>
      </c>
      <c r="J538" s="66" t="s">
        <v>1000</v>
      </c>
      <c r="K538" s="75">
        <v>45770</v>
      </c>
      <c r="L538" s="66" t="s">
        <v>1001</v>
      </c>
      <c r="M538" s="66" t="s">
        <v>1002</v>
      </c>
      <c r="N538" s="66" t="s">
        <v>1574</v>
      </c>
      <c r="O538" s="66" t="s">
        <v>1599</v>
      </c>
    </row>
    <row r="539" spans="1:15" x14ac:dyDescent="0.35">
      <c r="A539" s="66" t="s">
        <v>1799</v>
      </c>
      <c r="B539" s="66" t="s">
        <v>1800</v>
      </c>
      <c r="C539" s="66" t="s">
        <v>256</v>
      </c>
      <c r="D539" s="66" t="s">
        <v>1005</v>
      </c>
      <c r="E539" s="66" t="s">
        <v>997</v>
      </c>
      <c r="F539" s="75">
        <v>46124</v>
      </c>
      <c r="G539" s="75" t="s">
        <v>1006</v>
      </c>
      <c r="H539" s="66" t="s">
        <v>1007</v>
      </c>
      <c r="I539" s="66" t="s">
        <v>1028</v>
      </c>
      <c r="J539" s="66" t="s">
        <v>1028</v>
      </c>
      <c r="K539" s="75">
        <v>45967</v>
      </c>
      <c r="L539" s="66" t="s">
        <v>1020</v>
      </c>
      <c r="M539" s="66" t="s">
        <v>1010</v>
      </c>
      <c r="N539" s="66" t="s">
        <v>1574</v>
      </c>
      <c r="O539" s="66" t="s">
        <v>1599</v>
      </c>
    </row>
    <row r="540" spans="1:15" x14ac:dyDescent="0.35">
      <c r="A540" s="66" t="s">
        <v>1801</v>
      </c>
      <c r="B540" s="66" t="s">
        <v>1802</v>
      </c>
      <c r="C540" s="66" t="s">
        <v>159</v>
      </c>
      <c r="D540" s="66" t="s">
        <v>1488</v>
      </c>
      <c r="E540" s="66" t="s">
        <v>997</v>
      </c>
      <c r="F540" s="75">
        <v>46140</v>
      </c>
      <c r="G540" s="75" t="s">
        <v>1006</v>
      </c>
      <c r="H540" s="66" t="s">
        <v>1007</v>
      </c>
      <c r="I540" s="66" t="s">
        <v>1008</v>
      </c>
      <c r="J540" s="66" t="s">
        <v>1008</v>
      </c>
      <c r="K540" s="75">
        <v>45804</v>
      </c>
      <c r="L540" s="66" t="s">
        <v>1001</v>
      </c>
      <c r="M540" s="66" t="s">
        <v>1088</v>
      </c>
      <c r="N540" s="66" t="s">
        <v>1574</v>
      </c>
      <c r="O540" s="66" t="s">
        <v>1575</v>
      </c>
    </row>
    <row r="541" spans="1:15" x14ac:dyDescent="0.35">
      <c r="A541" s="66" t="s">
        <v>1803</v>
      </c>
      <c r="B541" s="66" t="s">
        <v>1804</v>
      </c>
      <c r="C541" s="66" t="s">
        <v>237</v>
      </c>
      <c r="D541" s="66" t="s">
        <v>1070</v>
      </c>
      <c r="E541" s="66" t="s">
        <v>997</v>
      </c>
      <c r="F541" s="75">
        <v>46129</v>
      </c>
      <c r="G541" s="75" t="s">
        <v>1006</v>
      </c>
      <c r="H541" s="66" t="s">
        <v>1007</v>
      </c>
      <c r="I541" s="66" t="s">
        <v>1158</v>
      </c>
      <c r="J541" s="66" t="s">
        <v>1158</v>
      </c>
      <c r="K541" s="75">
        <v>45811</v>
      </c>
      <c r="L541" s="66" t="s">
        <v>1001</v>
      </c>
      <c r="M541" s="66" t="s">
        <v>1010</v>
      </c>
      <c r="N541" s="66" t="s">
        <v>1574</v>
      </c>
      <c r="O541" s="66" t="s">
        <v>1575</v>
      </c>
    </row>
    <row r="542" spans="1:15" x14ac:dyDescent="0.35">
      <c r="A542" s="66" t="s">
        <v>1805</v>
      </c>
      <c r="B542" s="66" t="s">
        <v>1806</v>
      </c>
      <c r="C542" s="66" t="s">
        <v>151</v>
      </c>
      <c r="D542" s="66" t="s">
        <v>1557</v>
      </c>
      <c r="E542" s="66" t="s">
        <v>997</v>
      </c>
      <c r="F542" s="75">
        <v>46113</v>
      </c>
      <c r="G542" s="75" t="s">
        <v>1006</v>
      </c>
      <c r="H542" s="66" t="s">
        <v>1007</v>
      </c>
      <c r="I542" s="66" t="s">
        <v>1028</v>
      </c>
      <c r="J542" s="66" t="s">
        <v>1028</v>
      </c>
      <c r="K542" s="75">
        <v>45813</v>
      </c>
      <c r="L542" s="66" t="s">
        <v>1020</v>
      </c>
      <c r="M542" s="66" t="s">
        <v>1010</v>
      </c>
      <c r="N542" s="66" t="s">
        <v>1574</v>
      </c>
      <c r="O542" s="66" t="s">
        <v>1575</v>
      </c>
    </row>
    <row r="543" spans="1:15" x14ac:dyDescent="0.35">
      <c r="A543" s="66" t="s">
        <v>1807</v>
      </c>
      <c r="B543" s="66" t="s">
        <v>1808</v>
      </c>
      <c r="C543" s="66" t="s">
        <v>225</v>
      </c>
      <c r="D543" s="66" t="s">
        <v>1585</v>
      </c>
      <c r="E543" s="66" t="s">
        <v>997</v>
      </c>
      <c r="F543" s="75">
        <v>46118</v>
      </c>
      <c r="G543" s="75" t="s">
        <v>1006</v>
      </c>
      <c r="H543" s="66" t="s">
        <v>1007</v>
      </c>
      <c r="I543" s="66" t="s">
        <v>1028</v>
      </c>
      <c r="J543" s="66" t="s">
        <v>1028</v>
      </c>
      <c r="K543" s="75">
        <v>45857</v>
      </c>
      <c r="L543" s="66" t="s">
        <v>1020</v>
      </c>
      <c r="M543" s="66" t="s">
        <v>1010</v>
      </c>
      <c r="N543" s="66" t="s">
        <v>1574</v>
      </c>
      <c r="O543" s="66" t="s">
        <v>1575</v>
      </c>
    </row>
    <row r="544" spans="1:15" x14ac:dyDescent="0.35">
      <c r="A544" s="66" t="s">
        <v>1809</v>
      </c>
      <c r="B544" s="66" t="s">
        <v>1810</v>
      </c>
      <c r="C544" s="66" t="s">
        <v>411</v>
      </c>
      <c r="D544" s="66" t="s">
        <v>1225</v>
      </c>
      <c r="E544" s="66" t="s">
        <v>997</v>
      </c>
      <c r="F544" s="75">
        <v>46125</v>
      </c>
      <c r="G544" s="75" t="s">
        <v>1006</v>
      </c>
      <c r="H544" s="66" t="s">
        <v>1007</v>
      </c>
      <c r="I544" s="66" t="s">
        <v>1028</v>
      </c>
      <c r="J544" s="66" t="s">
        <v>1028</v>
      </c>
      <c r="K544" s="75">
        <v>45808</v>
      </c>
      <c r="L544" s="66" t="s">
        <v>1020</v>
      </c>
      <c r="M544" s="66" t="s">
        <v>1010</v>
      </c>
      <c r="N544" s="66" t="s">
        <v>1574</v>
      </c>
      <c r="O544" s="66" t="s">
        <v>1575</v>
      </c>
    </row>
    <row r="545" spans="1:15" x14ac:dyDescent="0.35">
      <c r="A545" s="66" t="s">
        <v>1811</v>
      </c>
      <c r="B545" s="66" t="s">
        <v>1812</v>
      </c>
      <c r="C545" s="66" t="s">
        <v>228</v>
      </c>
      <c r="D545" s="66" t="s">
        <v>1643</v>
      </c>
      <c r="E545" s="66" t="s">
        <v>997</v>
      </c>
      <c r="F545" s="75">
        <v>46141</v>
      </c>
      <c r="G545" s="75" t="s">
        <v>1006</v>
      </c>
      <c r="H545" s="66" t="s">
        <v>1007</v>
      </c>
      <c r="I545" s="66" t="s">
        <v>1028</v>
      </c>
      <c r="J545" s="66" t="s">
        <v>1028</v>
      </c>
      <c r="K545" s="75">
        <v>45811</v>
      </c>
      <c r="L545" s="66" t="s">
        <v>1020</v>
      </c>
      <c r="M545" s="66" t="s">
        <v>1010</v>
      </c>
      <c r="N545" s="66" t="s">
        <v>1574</v>
      </c>
      <c r="O545" s="66" t="s">
        <v>1575</v>
      </c>
    </row>
    <row r="546" spans="1:15" x14ac:dyDescent="0.35">
      <c r="A546" s="66" t="s">
        <v>1813</v>
      </c>
      <c r="B546" s="66" t="s">
        <v>1814</v>
      </c>
      <c r="C546" s="66" t="s">
        <v>278</v>
      </c>
      <c r="D546" s="66" t="s">
        <v>1131</v>
      </c>
      <c r="E546" s="66" t="s">
        <v>997</v>
      </c>
      <c r="F546" s="75">
        <v>46127</v>
      </c>
      <c r="G546" s="75" t="s">
        <v>1006</v>
      </c>
      <c r="H546" s="66" t="s">
        <v>1007</v>
      </c>
      <c r="I546" s="66" t="s">
        <v>1028</v>
      </c>
      <c r="J546" s="66" t="s">
        <v>1028</v>
      </c>
      <c r="K546" s="75">
        <v>45827</v>
      </c>
      <c r="L546" s="66" t="s">
        <v>1020</v>
      </c>
      <c r="M546" s="66" t="s">
        <v>1010</v>
      </c>
      <c r="N546" s="66" t="s">
        <v>1574</v>
      </c>
      <c r="O546" s="66" t="s">
        <v>1599</v>
      </c>
    </row>
    <row r="547" spans="1:15" x14ac:dyDescent="0.35">
      <c r="A547" s="66" t="s">
        <v>1815</v>
      </c>
      <c r="B547" s="66" t="s">
        <v>1816</v>
      </c>
      <c r="C547" s="66" t="s">
        <v>147</v>
      </c>
      <c r="D547" s="66" t="s">
        <v>1396</v>
      </c>
      <c r="E547" s="66" t="s">
        <v>997</v>
      </c>
      <c r="F547" s="75">
        <v>46142</v>
      </c>
      <c r="G547" s="75" t="s">
        <v>1006</v>
      </c>
      <c r="H547" s="66" t="s">
        <v>1007</v>
      </c>
      <c r="I547" s="66" t="s">
        <v>1028</v>
      </c>
      <c r="J547" s="66" t="s">
        <v>1028</v>
      </c>
      <c r="K547" s="75">
        <v>45828</v>
      </c>
      <c r="L547" s="66" t="s">
        <v>1020</v>
      </c>
      <c r="M547" s="66" t="s">
        <v>1010</v>
      </c>
      <c r="N547" s="66" t="s">
        <v>1574</v>
      </c>
      <c r="O547" s="66" t="s">
        <v>1575</v>
      </c>
    </row>
    <row r="548" spans="1:15" x14ac:dyDescent="0.35">
      <c r="A548" s="66" t="s">
        <v>1817</v>
      </c>
      <c r="B548" s="66" t="s">
        <v>1818</v>
      </c>
      <c r="C548" s="66" t="s">
        <v>37</v>
      </c>
      <c r="D548" s="66" t="s">
        <v>1480</v>
      </c>
      <c r="E548" s="66" t="s">
        <v>997</v>
      </c>
      <c r="F548" s="75">
        <v>46132</v>
      </c>
      <c r="G548" s="75" t="s">
        <v>1006</v>
      </c>
      <c r="H548" s="66" t="s">
        <v>1007</v>
      </c>
      <c r="I548" s="66" t="s">
        <v>1008</v>
      </c>
      <c r="J548" s="66" t="s">
        <v>1008</v>
      </c>
      <c r="K548" s="75">
        <v>45835</v>
      </c>
      <c r="L548" s="66" t="s">
        <v>1001</v>
      </c>
      <c r="M548" s="66" t="s">
        <v>1010</v>
      </c>
      <c r="N548" s="66" t="s">
        <v>1574</v>
      </c>
      <c r="O548" s="66" t="s">
        <v>1575</v>
      </c>
    </row>
    <row r="549" spans="1:15" x14ac:dyDescent="0.35">
      <c r="A549" s="66" t="s">
        <v>1819</v>
      </c>
      <c r="B549" s="66" t="s">
        <v>1820</v>
      </c>
      <c r="C549" s="66" t="s">
        <v>58</v>
      </c>
      <c r="D549" s="66" t="s">
        <v>1650</v>
      </c>
      <c r="E549" s="66" t="s">
        <v>997</v>
      </c>
      <c r="F549" s="75">
        <v>46114</v>
      </c>
      <c r="G549" s="75" t="s">
        <v>1006</v>
      </c>
      <c r="H549" s="66" t="s">
        <v>1007</v>
      </c>
      <c r="I549" s="66" t="s">
        <v>1028</v>
      </c>
      <c r="J549" s="66" t="s">
        <v>1028</v>
      </c>
      <c r="K549" s="75">
        <v>45833</v>
      </c>
      <c r="L549" s="66" t="s">
        <v>1020</v>
      </c>
      <c r="M549" s="66" t="s">
        <v>1010</v>
      </c>
      <c r="N549" s="66" t="s">
        <v>1574</v>
      </c>
      <c r="O549" s="66" t="s">
        <v>1575</v>
      </c>
    </row>
    <row r="550" spans="1:15" x14ac:dyDescent="0.35">
      <c r="A550" s="66" t="s">
        <v>1821</v>
      </c>
      <c r="B550" s="66" t="s">
        <v>1822</v>
      </c>
      <c r="C550" s="66" t="s">
        <v>105</v>
      </c>
      <c r="D550" s="66" t="s">
        <v>1207</v>
      </c>
      <c r="E550" s="66" t="s">
        <v>997</v>
      </c>
      <c r="F550" s="75">
        <v>46133</v>
      </c>
      <c r="G550" s="75" t="s">
        <v>1025</v>
      </c>
      <c r="H550" s="66" t="s">
        <v>999</v>
      </c>
      <c r="I550" s="66" t="s">
        <v>1008</v>
      </c>
      <c r="J550" s="66" t="s">
        <v>1008</v>
      </c>
      <c r="K550" s="75">
        <v>45840</v>
      </c>
      <c r="L550" s="66" t="s">
        <v>1001</v>
      </c>
      <c r="M550" s="66" t="s">
        <v>1010</v>
      </c>
      <c r="N550" s="66" t="s">
        <v>1574</v>
      </c>
      <c r="O550" s="66" t="s">
        <v>1599</v>
      </c>
    </row>
    <row r="551" spans="1:15" x14ac:dyDescent="0.35">
      <c r="A551" s="66" t="s">
        <v>1823</v>
      </c>
      <c r="B551" s="66" t="s">
        <v>1824</v>
      </c>
      <c r="C551" s="66" t="s">
        <v>282</v>
      </c>
      <c r="D551" s="66" t="s">
        <v>1417</v>
      </c>
      <c r="E551" s="66" t="s">
        <v>997</v>
      </c>
      <c r="F551" s="75">
        <v>46113</v>
      </c>
      <c r="G551" s="75" t="s">
        <v>1006</v>
      </c>
      <c r="H551" s="66" t="s">
        <v>1007</v>
      </c>
      <c r="I551" s="66" t="s">
        <v>1028</v>
      </c>
      <c r="J551" s="66" t="s">
        <v>1009</v>
      </c>
      <c r="K551" s="75">
        <v>45847</v>
      </c>
      <c r="L551" s="66" t="s">
        <v>1020</v>
      </c>
      <c r="M551" s="66" t="s">
        <v>1010</v>
      </c>
      <c r="N551" s="66" t="s">
        <v>1574</v>
      </c>
      <c r="O551" s="66" t="s">
        <v>1575</v>
      </c>
    </row>
    <row r="552" spans="1:15" x14ac:dyDescent="0.35">
      <c r="A552" s="66" t="s">
        <v>1825</v>
      </c>
      <c r="B552" s="66" t="s">
        <v>1826</v>
      </c>
      <c r="C552" s="66" t="s">
        <v>197</v>
      </c>
      <c r="D552" s="66" t="s">
        <v>1297</v>
      </c>
      <c r="E552" s="66" t="s">
        <v>997</v>
      </c>
      <c r="F552" s="75">
        <v>46136</v>
      </c>
      <c r="G552" s="75" t="s">
        <v>1006</v>
      </c>
      <c r="H552" s="66" t="s">
        <v>1007</v>
      </c>
      <c r="I552" s="66" t="s">
        <v>1028</v>
      </c>
      <c r="J552" s="66" t="s">
        <v>1009</v>
      </c>
      <c r="K552" s="75">
        <v>46100</v>
      </c>
      <c r="L552" s="66" t="s">
        <v>1020</v>
      </c>
      <c r="M552" s="66" t="s">
        <v>1010</v>
      </c>
      <c r="N552" s="66" t="s">
        <v>1574</v>
      </c>
      <c r="O552" s="66" t="s">
        <v>1575</v>
      </c>
    </row>
    <row r="553" spans="1:15" x14ac:dyDescent="0.35">
      <c r="A553" s="66" t="s">
        <v>1827</v>
      </c>
      <c r="B553" s="66" t="s">
        <v>1828</v>
      </c>
      <c r="C553" s="66" t="s">
        <v>155</v>
      </c>
      <c r="D553" s="66" t="s">
        <v>896</v>
      </c>
      <c r="E553" s="66" t="s">
        <v>997</v>
      </c>
      <c r="F553" s="75">
        <v>46121</v>
      </c>
      <c r="G553" s="75" t="s">
        <v>1006</v>
      </c>
      <c r="H553" s="66" t="s">
        <v>1007</v>
      </c>
      <c r="I553" s="66" t="s">
        <v>1028</v>
      </c>
      <c r="J553" s="66" t="s">
        <v>1028</v>
      </c>
      <c r="K553" s="75">
        <v>45856</v>
      </c>
      <c r="L553" s="66" t="s">
        <v>1020</v>
      </c>
      <c r="M553" s="66" t="s">
        <v>1010</v>
      </c>
      <c r="N553" s="66" t="s">
        <v>1574</v>
      </c>
      <c r="O553" s="66" t="s">
        <v>1575</v>
      </c>
    </row>
    <row r="554" spans="1:15" x14ac:dyDescent="0.35">
      <c r="A554" s="66" t="s">
        <v>1829</v>
      </c>
      <c r="B554" s="66" t="s">
        <v>1830</v>
      </c>
      <c r="C554" s="66" t="s">
        <v>225</v>
      </c>
      <c r="D554" s="66" t="s">
        <v>1585</v>
      </c>
      <c r="E554" s="66" t="s">
        <v>997</v>
      </c>
      <c r="F554" s="75">
        <v>46118</v>
      </c>
      <c r="G554" s="75" t="s">
        <v>1006</v>
      </c>
      <c r="H554" s="66" t="s">
        <v>1007</v>
      </c>
      <c r="I554" s="66" t="s">
        <v>1057</v>
      </c>
      <c r="J554" s="66" t="s">
        <v>1057</v>
      </c>
      <c r="K554" s="75">
        <v>45871</v>
      </c>
      <c r="L554" s="66" t="s">
        <v>1001</v>
      </c>
      <c r="M554" s="66" t="s">
        <v>1010</v>
      </c>
      <c r="N554" s="66" t="s">
        <v>1574</v>
      </c>
      <c r="O554" s="66" t="s">
        <v>1575</v>
      </c>
    </row>
    <row r="555" spans="1:15" x14ac:dyDescent="0.35">
      <c r="A555" s="66" t="s">
        <v>1831</v>
      </c>
      <c r="B555" s="66" t="s">
        <v>1832</v>
      </c>
      <c r="C555" s="66" t="s">
        <v>280</v>
      </c>
      <c r="D555" s="66" t="s">
        <v>1223</v>
      </c>
      <c r="E555" s="66" t="s">
        <v>997</v>
      </c>
      <c r="F555" s="75">
        <v>46126</v>
      </c>
      <c r="G555" s="75" t="s">
        <v>1006</v>
      </c>
      <c r="H555" s="66" t="s">
        <v>1007</v>
      </c>
      <c r="I555" s="66" t="s">
        <v>1028</v>
      </c>
      <c r="J555" s="66" t="s">
        <v>1028</v>
      </c>
      <c r="K555" s="75">
        <v>45877</v>
      </c>
      <c r="L555" s="66" t="s">
        <v>1020</v>
      </c>
      <c r="M555" s="66" t="s">
        <v>1010</v>
      </c>
      <c r="N555" s="66" t="s">
        <v>1574</v>
      </c>
      <c r="O555" s="66" t="s">
        <v>1575</v>
      </c>
    </row>
    <row r="556" spans="1:15" x14ac:dyDescent="0.35">
      <c r="A556" s="66" t="s">
        <v>1833</v>
      </c>
      <c r="B556" s="66" t="s">
        <v>1834</v>
      </c>
      <c r="C556" s="66" t="s">
        <v>201</v>
      </c>
      <c r="D556" s="66" t="s">
        <v>1061</v>
      </c>
      <c r="E556" s="66" t="s">
        <v>997</v>
      </c>
      <c r="F556" s="75">
        <v>46113</v>
      </c>
      <c r="G556" s="75" t="s">
        <v>1006</v>
      </c>
      <c r="H556" s="66" t="s">
        <v>1007</v>
      </c>
      <c r="I556" s="66" t="s">
        <v>1028</v>
      </c>
      <c r="J556" s="66" t="s">
        <v>1028</v>
      </c>
      <c r="K556" s="75">
        <v>45878</v>
      </c>
      <c r="L556" s="66" t="s">
        <v>1020</v>
      </c>
      <c r="M556" s="66" t="s">
        <v>1010</v>
      </c>
      <c r="N556" s="66" t="s">
        <v>1574</v>
      </c>
      <c r="O556" s="66" t="s">
        <v>1575</v>
      </c>
    </row>
    <row r="557" spans="1:15" x14ac:dyDescent="0.35">
      <c r="A557" s="66" t="s">
        <v>1835</v>
      </c>
      <c r="B557" s="66" t="s">
        <v>1836</v>
      </c>
      <c r="C557" s="66" t="s">
        <v>422</v>
      </c>
      <c r="D557" s="66" t="s">
        <v>423</v>
      </c>
      <c r="E557" s="66" t="s">
        <v>997</v>
      </c>
      <c r="F557" s="75">
        <v>46113</v>
      </c>
      <c r="G557" s="75" t="s">
        <v>1006</v>
      </c>
      <c r="H557" s="66" t="s">
        <v>1007</v>
      </c>
      <c r="I557" s="66" t="s">
        <v>1084</v>
      </c>
      <c r="J557" s="66" t="s">
        <v>1084</v>
      </c>
      <c r="K557" s="75">
        <v>45881</v>
      </c>
      <c r="L557" s="66" t="s">
        <v>1001</v>
      </c>
      <c r="M557" s="66" t="s">
        <v>1010</v>
      </c>
      <c r="N557" s="66" t="s">
        <v>1574</v>
      </c>
      <c r="O557" s="66" t="s">
        <v>1599</v>
      </c>
    </row>
    <row r="558" spans="1:15" x14ac:dyDescent="0.35">
      <c r="A558" s="66" t="s">
        <v>1837</v>
      </c>
      <c r="B558" s="66" t="s">
        <v>1838</v>
      </c>
      <c r="C558" s="66" t="s">
        <v>328</v>
      </c>
      <c r="D558" s="66" t="s">
        <v>838</v>
      </c>
      <c r="E558" s="66" t="s">
        <v>997</v>
      </c>
      <c r="F558" s="75">
        <v>46114</v>
      </c>
      <c r="G558" s="75" t="s">
        <v>1006</v>
      </c>
      <c r="H558" s="66" t="s">
        <v>1007</v>
      </c>
      <c r="I558" s="66" t="s">
        <v>1028</v>
      </c>
      <c r="J558" s="66" t="s">
        <v>1028</v>
      </c>
      <c r="K558" s="75">
        <v>45882</v>
      </c>
      <c r="L558" s="66" t="s">
        <v>1020</v>
      </c>
      <c r="M558" s="66" t="s">
        <v>1010</v>
      </c>
      <c r="N558" s="66" t="s">
        <v>1574</v>
      </c>
      <c r="O558" s="66" t="s">
        <v>1599</v>
      </c>
    </row>
    <row r="559" spans="1:15" x14ac:dyDescent="0.35">
      <c r="A559" s="66" t="s">
        <v>1839</v>
      </c>
      <c r="B559" s="66" t="s">
        <v>1840</v>
      </c>
      <c r="C559" s="66" t="s">
        <v>37</v>
      </c>
      <c r="D559" s="66" t="s">
        <v>1480</v>
      </c>
      <c r="E559" s="66" t="s">
        <v>997</v>
      </c>
      <c r="F559" s="75">
        <v>46134</v>
      </c>
      <c r="G559" s="75" t="s">
        <v>1006</v>
      </c>
      <c r="H559" s="66" t="s">
        <v>1007</v>
      </c>
      <c r="I559" s="66" t="s">
        <v>1019</v>
      </c>
      <c r="J559" s="66" t="s">
        <v>1019</v>
      </c>
      <c r="K559" s="75">
        <v>45885</v>
      </c>
      <c r="L559" s="66" t="s">
        <v>1020</v>
      </c>
      <c r="M559" s="66" t="s">
        <v>1010</v>
      </c>
      <c r="N559" s="66" t="s">
        <v>1574</v>
      </c>
      <c r="O559" s="66" t="s">
        <v>1575</v>
      </c>
    </row>
    <row r="560" spans="1:15" x14ac:dyDescent="0.35">
      <c r="A560" s="66" t="s">
        <v>1841</v>
      </c>
      <c r="B560" s="66" t="s">
        <v>1842</v>
      </c>
      <c r="C560" s="66" t="s">
        <v>335</v>
      </c>
      <c r="D560" s="66" t="s">
        <v>841</v>
      </c>
      <c r="E560" s="66" t="s">
        <v>997</v>
      </c>
      <c r="F560" s="75">
        <v>46114</v>
      </c>
      <c r="G560" s="75" t="s">
        <v>1006</v>
      </c>
      <c r="H560" s="66" t="s">
        <v>1007</v>
      </c>
      <c r="I560" s="66" t="s">
        <v>1028</v>
      </c>
      <c r="J560" s="66" t="s">
        <v>1028</v>
      </c>
      <c r="K560" s="75">
        <v>45890</v>
      </c>
      <c r="L560" s="66" t="s">
        <v>1020</v>
      </c>
      <c r="M560" s="66" t="s">
        <v>1010</v>
      </c>
      <c r="N560" s="66" t="s">
        <v>1574</v>
      </c>
      <c r="O560" s="66" t="s">
        <v>1575</v>
      </c>
    </row>
    <row r="561" spans="1:15" x14ac:dyDescent="0.35">
      <c r="A561" s="66" t="s">
        <v>1843</v>
      </c>
      <c r="B561" s="66" t="s">
        <v>1844</v>
      </c>
      <c r="C561" s="66" t="s">
        <v>51</v>
      </c>
      <c r="D561" s="66" t="s">
        <v>921</v>
      </c>
      <c r="E561" s="66" t="s">
        <v>997</v>
      </c>
      <c r="F561" s="75">
        <v>46116</v>
      </c>
      <c r="G561" s="75" t="s">
        <v>1006</v>
      </c>
      <c r="H561" s="66" t="s">
        <v>1007</v>
      </c>
      <c r="I561" s="66" t="s">
        <v>1028</v>
      </c>
      <c r="J561" s="66" t="s">
        <v>1028</v>
      </c>
      <c r="K561" s="75">
        <v>45895</v>
      </c>
      <c r="L561" s="66" t="s">
        <v>1020</v>
      </c>
      <c r="M561" s="66" t="s">
        <v>1010</v>
      </c>
      <c r="N561" s="66" t="s">
        <v>1574</v>
      </c>
      <c r="O561" s="66" t="s">
        <v>1575</v>
      </c>
    </row>
    <row r="562" spans="1:15" x14ac:dyDescent="0.35">
      <c r="A562" s="66" t="s">
        <v>1845</v>
      </c>
      <c r="B562" s="66" t="s">
        <v>1846</v>
      </c>
      <c r="C562" s="66" t="s">
        <v>377</v>
      </c>
      <c r="D562" s="66" t="s">
        <v>862</v>
      </c>
      <c r="E562" s="66" t="s">
        <v>997</v>
      </c>
      <c r="F562" s="75">
        <v>46117</v>
      </c>
      <c r="G562" s="75" t="s">
        <v>1006</v>
      </c>
      <c r="H562" s="66" t="s">
        <v>1007</v>
      </c>
      <c r="I562" s="66" t="s">
        <v>1084</v>
      </c>
      <c r="J562" s="66" t="s">
        <v>1084</v>
      </c>
      <c r="K562" s="75">
        <v>45896</v>
      </c>
      <c r="L562" s="66" t="s">
        <v>1020</v>
      </c>
      <c r="M562" s="66" t="s">
        <v>1010</v>
      </c>
      <c r="N562" s="66" t="s">
        <v>1574</v>
      </c>
      <c r="O562" s="66" t="s">
        <v>1575</v>
      </c>
    </row>
    <row r="563" spans="1:15" x14ac:dyDescent="0.35">
      <c r="A563" s="66" t="s">
        <v>1847</v>
      </c>
      <c r="B563" s="66" t="s">
        <v>1848</v>
      </c>
      <c r="C563" s="66" t="s">
        <v>195</v>
      </c>
      <c r="D563" s="66" t="s">
        <v>908</v>
      </c>
      <c r="E563" s="66" t="s">
        <v>997</v>
      </c>
      <c r="F563" s="75">
        <v>46127</v>
      </c>
      <c r="G563" s="75" t="s">
        <v>1006</v>
      </c>
      <c r="H563" s="66" t="s">
        <v>1007</v>
      </c>
      <c r="I563" s="66" t="s">
        <v>1008</v>
      </c>
      <c r="J563" s="66" t="s">
        <v>1009</v>
      </c>
      <c r="K563" s="75">
        <v>45896</v>
      </c>
      <c r="L563" s="66" t="s">
        <v>1001</v>
      </c>
      <c r="M563" s="66" t="s">
        <v>1010</v>
      </c>
      <c r="N563" s="66" t="s">
        <v>1574</v>
      </c>
      <c r="O563" s="66" t="s">
        <v>1575</v>
      </c>
    </row>
    <row r="564" spans="1:15" x14ac:dyDescent="0.35">
      <c r="A564" s="66" t="s">
        <v>1849</v>
      </c>
      <c r="B564" s="66" t="s">
        <v>1850</v>
      </c>
      <c r="C564" s="66" t="s">
        <v>409</v>
      </c>
      <c r="D564" s="66" t="s">
        <v>874</v>
      </c>
      <c r="E564" s="66" t="s">
        <v>997</v>
      </c>
      <c r="F564" s="75">
        <v>46142</v>
      </c>
      <c r="G564" s="75" t="s">
        <v>1006</v>
      </c>
      <c r="H564" s="66" t="s">
        <v>1007</v>
      </c>
      <c r="I564" s="66" t="s">
        <v>1019</v>
      </c>
      <c r="J564" s="66" t="s">
        <v>1019</v>
      </c>
      <c r="K564" s="75">
        <v>45896</v>
      </c>
      <c r="L564" s="66" t="s">
        <v>1020</v>
      </c>
      <c r="M564" s="66" t="s">
        <v>1010</v>
      </c>
      <c r="N564" s="66" t="s">
        <v>1574</v>
      </c>
      <c r="O564" s="66" t="s">
        <v>1575</v>
      </c>
    </row>
    <row r="565" spans="1:15" x14ac:dyDescent="0.35">
      <c r="A565" s="66" t="s">
        <v>1851</v>
      </c>
      <c r="B565" s="66" t="s">
        <v>1852</v>
      </c>
      <c r="C565" s="66" t="s">
        <v>181</v>
      </c>
      <c r="D565" s="66" t="s">
        <v>1374</v>
      </c>
      <c r="E565" s="66" t="s">
        <v>997</v>
      </c>
      <c r="F565" s="75">
        <v>46122</v>
      </c>
      <c r="G565" s="75" t="s">
        <v>1006</v>
      </c>
      <c r="H565" s="66" t="s">
        <v>1007</v>
      </c>
      <c r="I565" s="66" t="s">
        <v>1019</v>
      </c>
      <c r="J565" s="66" t="s">
        <v>1019</v>
      </c>
      <c r="K565" s="75">
        <v>45902</v>
      </c>
      <c r="L565" s="66" t="s">
        <v>1020</v>
      </c>
      <c r="M565" s="66" t="s">
        <v>1010</v>
      </c>
      <c r="N565" s="66" t="s">
        <v>1574</v>
      </c>
      <c r="O565" s="66" t="s">
        <v>1575</v>
      </c>
    </row>
    <row r="566" spans="1:15" x14ac:dyDescent="0.35">
      <c r="A566" s="66" t="s">
        <v>1853</v>
      </c>
      <c r="B566" s="66" t="s">
        <v>1854</v>
      </c>
      <c r="C566" s="66" t="s">
        <v>601</v>
      </c>
      <c r="D566" s="66" t="s">
        <v>1136</v>
      </c>
      <c r="E566" s="66" t="s">
        <v>997</v>
      </c>
      <c r="F566" s="75">
        <v>46131</v>
      </c>
      <c r="G566" s="75" t="s">
        <v>1006</v>
      </c>
      <c r="H566" s="66" t="s">
        <v>1007</v>
      </c>
      <c r="I566" s="66" t="s">
        <v>1028</v>
      </c>
      <c r="J566" s="66" t="s">
        <v>1028</v>
      </c>
      <c r="K566" s="75">
        <v>45903</v>
      </c>
      <c r="L566" s="66" t="s">
        <v>1020</v>
      </c>
      <c r="M566" s="66" t="s">
        <v>1010</v>
      </c>
      <c r="N566" s="66" t="s">
        <v>1574</v>
      </c>
      <c r="O566" s="66" t="s">
        <v>1575</v>
      </c>
    </row>
    <row r="567" spans="1:15" x14ac:dyDescent="0.35">
      <c r="A567" s="66" t="s">
        <v>1855</v>
      </c>
      <c r="B567" s="66" t="s">
        <v>1856</v>
      </c>
      <c r="C567" s="66" t="s">
        <v>186</v>
      </c>
      <c r="D567" s="66" t="s">
        <v>1164</v>
      </c>
      <c r="E567" s="66" t="s">
        <v>997</v>
      </c>
      <c r="F567" s="75">
        <v>46138</v>
      </c>
      <c r="G567" s="75" t="s">
        <v>1006</v>
      </c>
      <c r="H567" s="66" t="s">
        <v>1007</v>
      </c>
      <c r="I567" s="66" t="s">
        <v>1019</v>
      </c>
      <c r="J567" s="66" t="s">
        <v>1019</v>
      </c>
      <c r="K567" s="75">
        <v>45909</v>
      </c>
      <c r="L567" s="66" t="s">
        <v>1020</v>
      </c>
      <c r="M567" s="66" t="s">
        <v>1010</v>
      </c>
      <c r="N567" s="66" t="s">
        <v>1574</v>
      </c>
      <c r="O567" s="66" t="s">
        <v>1575</v>
      </c>
    </row>
    <row r="568" spans="1:15" x14ac:dyDescent="0.35">
      <c r="A568" s="66" t="s">
        <v>1857</v>
      </c>
      <c r="B568" s="66" t="s">
        <v>1858</v>
      </c>
      <c r="C568" s="66" t="s">
        <v>147</v>
      </c>
      <c r="D568" s="66" t="s">
        <v>1396</v>
      </c>
      <c r="E568" s="66" t="s">
        <v>997</v>
      </c>
      <c r="F568" s="75">
        <v>46124</v>
      </c>
      <c r="G568" s="75" t="s">
        <v>1006</v>
      </c>
      <c r="H568" s="66" t="s">
        <v>1007</v>
      </c>
      <c r="I568" s="66" t="s">
        <v>1028</v>
      </c>
      <c r="J568" s="66" t="s">
        <v>1028</v>
      </c>
      <c r="K568" s="75">
        <v>45910</v>
      </c>
      <c r="L568" s="66" t="s">
        <v>1020</v>
      </c>
      <c r="M568" s="66" t="s">
        <v>1010</v>
      </c>
      <c r="N568" s="66" t="s">
        <v>1574</v>
      </c>
      <c r="O568" s="66" t="s">
        <v>1599</v>
      </c>
    </row>
    <row r="569" spans="1:15" x14ac:dyDescent="0.35">
      <c r="A569" s="66" t="s">
        <v>1859</v>
      </c>
      <c r="B569" s="66" t="s">
        <v>1860</v>
      </c>
      <c r="C569" s="66" t="s">
        <v>14</v>
      </c>
      <c r="D569" s="66" t="s">
        <v>15</v>
      </c>
      <c r="E569" s="66" t="s">
        <v>997</v>
      </c>
      <c r="F569" s="75">
        <v>46138</v>
      </c>
      <c r="G569" s="75" t="s">
        <v>1013</v>
      </c>
      <c r="H569" s="66" t="s">
        <v>1007</v>
      </c>
      <c r="I569" s="66" t="s">
        <v>1028</v>
      </c>
      <c r="J569" s="66" t="s">
        <v>1009</v>
      </c>
      <c r="K569" s="75">
        <v>45910</v>
      </c>
      <c r="L569" s="66" t="s">
        <v>1020</v>
      </c>
      <c r="M569" s="66" t="s">
        <v>1010</v>
      </c>
      <c r="N569" s="66" t="s">
        <v>1574</v>
      </c>
      <c r="O569" s="66" t="s">
        <v>1575</v>
      </c>
    </row>
    <row r="570" spans="1:15" x14ac:dyDescent="0.35">
      <c r="A570" s="66" t="s">
        <v>1861</v>
      </c>
      <c r="B570" s="66" t="s">
        <v>1862</v>
      </c>
      <c r="C570" s="66" t="s">
        <v>58</v>
      </c>
      <c r="D570" s="66" t="s">
        <v>1650</v>
      </c>
      <c r="E570" s="66" t="s">
        <v>997</v>
      </c>
      <c r="F570" s="75">
        <v>46117</v>
      </c>
      <c r="G570" s="75" t="s">
        <v>1006</v>
      </c>
      <c r="H570" s="66" t="s">
        <v>1007</v>
      </c>
      <c r="I570" s="66" t="s">
        <v>1028</v>
      </c>
      <c r="J570" s="66" t="s">
        <v>1028</v>
      </c>
      <c r="K570" s="75">
        <v>45911</v>
      </c>
      <c r="L570" s="66" t="s">
        <v>1020</v>
      </c>
      <c r="M570" s="66" t="s">
        <v>1010</v>
      </c>
      <c r="N570" s="66" t="s">
        <v>1574</v>
      </c>
      <c r="O570" s="66" t="s">
        <v>1575</v>
      </c>
    </row>
    <row r="571" spans="1:15" x14ac:dyDescent="0.35">
      <c r="A571" s="66" t="s">
        <v>1863</v>
      </c>
      <c r="B571" s="66" t="s">
        <v>1864</v>
      </c>
      <c r="C571" s="66" t="s">
        <v>237</v>
      </c>
      <c r="D571" s="66" t="s">
        <v>1070</v>
      </c>
      <c r="E571" s="66" t="s">
        <v>997</v>
      </c>
      <c r="F571" s="75">
        <v>46132</v>
      </c>
      <c r="G571" s="75" t="s">
        <v>1006</v>
      </c>
      <c r="H571" s="66" t="s">
        <v>1007</v>
      </c>
      <c r="I571" s="66" t="s">
        <v>1028</v>
      </c>
      <c r="J571" s="66" t="s">
        <v>1028</v>
      </c>
      <c r="K571" s="75">
        <v>45912</v>
      </c>
      <c r="L571" s="66" t="s">
        <v>1020</v>
      </c>
      <c r="M571" s="66" t="s">
        <v>1010</v>
      </c>
      <c r="N571" s="66" t="s">
        <v>1574</v>
      </c>
      <c r="O571" s="66" t="s">
        <v>1599</v>
      </c>
    </row>
    <row r="572" spans="1:15" x14ac:dyDescent="0.35">
      <c r="A572" s="66" t="s">
        <v>1865</v>
      </c>
      <c r="B572" s="66" t="s">
        <v>1866</v>
      </c>
      <c r="C572" s="66" t="s">
        <v>42</v>
      </c>
      <c r="D572" s="66" t="s">
        <v>1262</v>
      </c>
      <c r="E572" s="66" t="s">
        <v>997</v>
      </c>
      <c r="F572" s="75">
        <v>46142</v>
      </c>
      <c r="G572" s="75" t="s">
        <v>1006</v>
      </c>
      <c r="H572" s="66" t="s">
        <v>1007</v>
      </c>
      <c r="I572" s="66" t="s">
        <v>1019</v>
      </c>
      <c r="J572" s="66" t="s">
        <v>1019</v>
      </c>
      <c r="K572" s="75">
        <v>45912</v>
      </c>
      <c r="L572" s="66" t="s">
        <v>1020</v>
      </c>
      <c r="M572" s="66" t="s">
        <v>1010</v>
      </c>
      <c r="N572" s="66" t="s">
        <v>1574</v>
      </c>
      <c r="O572" s="66" t="s">
        <v>1575</v>
      </c>
    </row>
    <row r="573" spans="1:15" x14ac:dyDescent="0.35">
      <c r="A573" s="66" t="s">
        <v>1867</v>
      </c>
      <c r="B573" s="66" t="s">
        <v>1868</v>
      </c>
      <c r="C573" s="66" t="s">
        <v>118</v>
      </c>
      <c r="D573" s="66" t="s">
        <v>1360</v>
      </c>
      <c r="E573" s="66" t="s">
        <v>997</v>
      </c>
      <c r="F573" s="75">
        <v>46113</v>
      </c>
      <c r="G573" s="75" t="s">
        <v>1006</v>
      </c>
      <c r="H573" s="66" t="s">
        <v>1007</v>
      </c>
      <c r="I573" s="66" t="s">
        <v>1028</v>
      </c>
      <c r="J573" s="66" t="s">
        <v>1028</v>
      </c>
      <c r="K573" s="75">
        <v>45917</v>
      </c>
      <c r="L573" s="66" t="s">
        <v>1020</v>
      </c>
      <c r="M573" s="66" t="s">
        <v>1010</v>
      </c>
      <c r="N573" s="66" t="s">
        <v>1574</v>
      </c>
      <c r="O573" s="66" t="s">
        <v>1599</v>
      </c>
    </row>
    <row r="574" spans="1:15" x14ac:dyDescent="0.35">
      <c r="A574" s="66" t="s">
        <v>1869</v>
      </c>
      <c r="B574" s="66" t="s">
        <v>1870</v>
      </c>
      <c r="C574" s="66" t="s">
        <v>113</v>
      </c>
      <c r="D574" s="66" t="s">
        <v>1871</v>
      </c>
      <c r="E574" s="66" t="s">
        <v>997</v>
      </c>
      <c r="F574" s="75">
        <v>46117</v>
      </c>
      <c r="G574" s="75" t="s">
        <v>1006</v>
      </c>
      <c r="H574" s="66" t="s">
        <v>1007</v>
      </c>
      <c r="I574" s="66" t="s">
        <v>1028</v>
      </c>
      <c r="J574" s="66" t="s">
        <v>1028</v>
      </c>
      <c r="K574" s="75">
        <v>45918</v>
      </c>
      <c r="L574" s="66" t="s">
        <v>1020</v>
      </c>
      <c r="M574" s="66" t="s">
        <v>1010</v>
      </c>
      <c r="N574" s="66" t="s">
        <v>1574</v>
      </c>
      <c r="O574" s="66" t="s">
        <v>1575</v>
      </c>
    </row>
    <row r="575" spans="1:15" x14ac:dyDescent="0.35">
      <c r="A575" s="66" t="s">
        <v>1872</v>
      </c>
      <c r="B575" s="66" t="s">
        <v>1873</v>
      </c>
      <c r="C575" s="66" t="s">
        <v>341</v>
      </c>
      <c r="D575" s="66" t="s">
        <v>1264</v>
      </c>
      <c r="E575" s="66" t="s">
        <v>997</v>
      </c>
      <c r="F575" s="75">
        <v>46118</v>
      </c>
      <c r="G575" s="75" t="s">
        <v>1006</v>
      </c>
      <c r="H575" s="66" t="s">
        <v>1007</v>
      </c>
      <c r="I575" s="66" t="s">
        <v>1008</v>
      </c>
      <c r="J575" s="66" t="s">
        <v>1008</v>
      </c>
      <c r="K575" s="75">
        <v>45923</v>
      </c>
      <c r="L575" s="66" t="s">
        <v>1001</v>
      </c>
      <c r="M575" s="66" t="s">
        <v>1010</v>
      </c>
      <c r="N575" s="66" t="s">
        <v>1574</v>
      </c>
      <c r="O575" s="66" t="s">
        <v>1575</v>
      </c>
    </row>
    <row r="576" spans="1:15" x14ac:dyDescent="0.35">
      <c r="A576" s="66" t="s">
        <v>1874</v>
      </c>
      <c r="B576" s="66" t="s">
        <v>1875</v>
      </c>
      <c r="C576" s="66" t="s">
        <v>149</v>
      </c>
      <c r="D576" s="66" t="s">
        <v>1548</v>
      </c>
      <c r="E576" s="66" t="s">
        <v>997</v>
      </c>
      <c r="F576" s="75">
        <v>46142</v>
      </c>
      <c r="G576" s="75" t="s">
        <v>1006</v>
      </c>
      <c r="H576" s="66" t="s">
        <v>1007</v>
      </c>
      <c r="I576" s="66" t="s">
        <v>1028</v>
      </c>
      <c r="J576" s="66" t="s">
        <v>1028</v>
      </c>
      <c r="K576" s="75">
        <v>45924</v>
      </c>
      <c r="L576" s="66" t="s">
        <v>1020</v>
      </c>
      <c r="M576" s="66" t="s">
        <v>1010</v>
      </c>
      <c r="N576" s="66" t="s">
        <v>1574</v>
      </c>
      <c r="O576" s="66" t="s">
        <v>1575</v>
      </c>
    </row>
    <row r="577" spans="1:15" x14ac:dyDescent="0.35">
      <c r="A577" s="66" t="s">
        <v>1876</v>
      </c>
      <c r="B577" s="66" t="s">
        <v>1877</v>
      </c>
      <c r="C577" s="66" t="s">
        <v>330</v>
      </c>
      <c r="D577" s="66" t="s">
        <v>332</v>
      </c>
      <c r="E577" s="66" t="s">
        <v>997</v>
      </c>
      <c r="F577" s="75">
        <v>46141</v>
      </c>
      <c r="G577" s="75" t="s">
        <v>1006</v>
      </c>
      <c r="H577" s="66" t="s">
        <v>1007</v>
      </c>
      <c r="I577" s="66" t="s">
        <v>1028</v>
      </c>
      <c r="J577" s="66" t="s">
        <v>1028</v>
      </c>
      <c r="K577" s="75">
        <v>45924</v>
      </c>
      <c r="L577" s="66" t="s">
        <v>1020</v>
      </c>
      <c r="M577" s="66" t="s">
        <v>1010</v>
      </c>
      <c r="N577" s="66" t="s">
        <v>1574</v>
      </c>
      <c r="O577" s="66" t="s">
        <v>1599</v>
      </c>
    </row>
    <row r="578" spans="1:15" x14ac:dyDescent="0.35">
      <c r="A578" s="66" t="s">
        <v>1878</v>
      </c>
      <c r="B578" s="66" t="s">
        <v>1879</v>
      </c>
      <c r="C578" s="66" t="s">
        <v>349</v>
      </c>
      <c r="D578" s="66" t="s">
        <v>912</v>
      </c>
      <c r="E578" s="66" t="s">
        <v>997</v>
      </c>
      <c r="F578" s="75">
        <v>46119</v>
      </c>
      <c r="G578" s="75" t="s">
        <v>1006</v>
      </c>
      <c r="H578" s="66" t="s">
        <v>1007</v>
      </c>
      <c r="I578" s="66" t="s">
        <v>1019</v>
      </c>
      <c r="J578" s="66" t="s">
        <v>1019</v>
      </c>
      <c r="K578" s="75">
        <v>45931</v>
      </c>
      <c r="L578" s="66" t="s">
        <v>1020</v>
      </c>
      <c r="M578" s="66" t="s">
        <v>1010</v>
      </c>
      <c r="N578" s="66" t="s">
        <v>1574</v>
      </c>
      <c r="O578" s="66" t="s">
        <v>1575</v>
      </c>
    </row>
    <row r="579" spans="1:15" x14ac:dyDescent="0.35">
      <c r="A579" s="66" t="s">
        <v>1880</v>
      </c>
      <c r="B579" s="66" t="s">
        <v>1881</v>
      </c>
      <c r="C579" s="66" t="s">
        <v>421</v>
      </c>
      <c r="D579" s="66" t="s">
        <v>698</v>
      </c>
      <c r="E579" s="66" t="s">
        <v>997</v>
      </c>
      <c r="F579" s="75">
        <v>46142</v>
      </c>
      <c r="G579" s="75" t="s">
        <v>1006</v>
      </c>
      <c r="H579" s="66" t="s">
        <v>1007</v>
      </c>
      <c r="I579" s="66" t="s">
        <v>1057</v>
      </c>
      <c r="J579" s="66" t="s">
        <v>1057</v>
      </c>
      <c r="K579" s="75">
        <v>45932</v>
      </c>
      <c r="L579" s="66" t="s">
        <v>1001</v>
      </c>
      <c r="M579" s="66" t="s">
        <v>1010</v>
      </c>
      <c r="N579" s="66" t="s">
        <v>1574</v>
      </c>
      <c r="O579" s="66" t="s">
        <v>1575</v>
      </c>
    </row>
    <row r="580" spans="1:15" x14ac:dyDescent="0.35">
      <c r="A580" s="66" t="s">
        <v>1882</v>
      </c>
      <c r="B580" s="66" t="s">
        <v>1883</v>
      </c>
      <c r="C580" s="66" t="s">
        <v>23</v>
      </c>
      <c r="D580" s="66" t="s">
        <v>660</v>
      </c>
      <c r="E580" s="66" t="s">
        <v>997</v>
      </c>
      <c r="F580" s="75">
        <v>46142</v>
      </c>
      <c r="G580" s="75" t="s">
        <v>1006</v>
      </c>
      <c r="H580" s="66" t="s">
        <v>1007</v>
      </c>
      <c r="I580" s="66" t="s">
        <v>1028</v>
      </c>
      <c r="J580" s="66" t="s">
        <v>1028</v>
      </c>
      <c r="K580" s="75">
        <v>45932</v>
      </c>
      <c r="L580" s="66" t="s">
        <v>1020</v>
      </c>
      <c r="M580" s="66" t="s">
        <v>1010</v>
      </c>
      <c r="N580" s="66" t="s">
        <v>1574</v>
      </c>
      <c r="O580" s="66" t="s">
        <v>1599</v>
      </c>
    </row>
    <row r="581" spans="1:15" x14ac:dyDescent="0.35">
      <c r="A581" s="66" t="s">
        <v>1884</v>
      </c>
      <c r="B581" s="66" t="s">
        <v>1885</v>
      </c>
      <c r="C581" s="66" t="s">
        <v>16</v>
      </c>
      <c r="D581" s="66" t="s">
        <v>1211</v>
      </c>
      <c r="E581" s="66" t="s">
        <v>997</v>
      </c>
      <c r="F581" s="75">
        <v>46142</v>
      </c>
      <c r="G581" s="75" t="s">
        <v>1006</v>
      </c>
      <c r="H581" s="66" t="s">
        <v>1007</v>
      </c>
      <c r="I581" s="66" t="s">
        <v>1019</v>
      </c>
      <c r="J581" s="66" t="s">
        <v>1019</v>
      </c>
      <c r="K581" s="75">
        <v>45932</v>
      </c>
      <c r="L581" s="66" t="s">
        <v>1020</v>
      </c>
      <c r="M581" s="66" t="s">
        <v>1010</v>
      </c>
      <c r="N581" s="66" t="s">
        <v>1574</v>
      </c>
      <c r="O581" s="66" t="s">
        <v>1575</v>
      </c>
    </row>
    <row r="582" spans="1:15" x14ac:dyDescent="0.35">
      <c r="A582" s="66" t="s">
        <v>1886</v>
      </c>
      <c r="B582" s="66" t="s">
        <v>1887</v>
      </c>
      <c r="C582" s="66" t="s">
        <v>432</v>
      </c>
      <c r="D582" s="66" t="s">
        <v>1037</v>
      </c>
      <c r="E582" s="66" t="s">
        <v>997</v>
      </c>
      <c r="F582" s="75">
        <v>46115</v>
      </c>
      <c r="G582" s="75" t="s">
        <v>1006</v>
      </c>
      <c r="H582" s="66" t="s">
        <v>1007</v>
      </c>
      <c r="I582" s="66" t="s">
        <v>1028</v>
      </c>
      <c r="J582" s="66" t="s">
        <v>1028</v>
      </c>
      <c r="K582" s="75">
        <v>45934</v>
      </c>
      <c r="L582" s="66" t="s">
        <v>1020</v>
      </c>
      <c r="M582" s="66" t="s">
        <v>1010</v>
      </c>
      <c r="N582" s="66" t="s">
        <v>1574</v>
      </c>
      <c r="O582" s="66" t="s">
        <v>1599</v>
      </c>
    </row>
    <row r="583" spans="1:15" x14ac:dyDescent="0.35">
      <c r="A583" s="66" t="s">
        <v>1888</v>
      </c>
      <c r="B583" s="66" t="s">
        <v>1889</v>
      </c>
      <c r="C583" s="66" t="s">
        <v>333</v>
      </c>
      <c r="D583" s="66" t="s">
        <v>1333</v>
      </c>
      <c r="E583" s="66" t="s">
        <v>997</v>
      </c>
      <c r="F583" s="75">
        <v>46130</v>
      </c>
      <c r="G583" s="75" t="s">
        <v>1006</v>
      </c>
      <c r="H583" s="66" t="s">
        <v>1007</v>
      </c>
      <c r="I583" s="66" t="s">
        <v>1028</v>
      </c>
      <c r="J583" s="66" t="s">
        <v>1028</v>
      </c>
      <c r="K583" s="75">
        <v>45937</v>
      </c>
      <c r="L583" s="66" t="s">
        <v>1020</v>
      </c>
      <c r="M583" s="66" t="s">
        <v>1010</v>
      </c>
      <c r="N583" s="66" t="s">
        <v>1574</v>
      </c>
      <c r="O583" s="66" t="s">
        <v>1575</v>
      </c>
    </row>
    <row r="584" spans="1:15" x14ac:dyDescent="0.35">
      <c r="A584" s="66" t="s">
        <v>1890</v>
      </c>
      <c r="B584" s="66" t="s">
        <v>1891</v>
      </c>
      <c r="C584" s="66" t="s">
        <v>126</v>
      </c>
      <c r="D584" s="66" t="s">
        <v>1152</v>
      </c>
      <c r="E584" s="66" t="s">
        <v>997</v>
      </c>
      <c r="F584" s="75">
        <v>46122</v>
      </c>
      <c r="G584" s="75" t="s">
        <v>1006</v>
      </c>
      <c r="H584" s="66" t="s">
        <v>1007</v>
      </c>
      <c r="I584" s="66" t="s">
        <v>1028</v>
      </c>
      <c r="J584" s="66" t="s">
        <v>1028</v>
      </c>
      <c r="K584" s="75">
        <v>45937</v>
      </c>
      <c r="L584" s="66" t="s">
        <v>1020</v>
      </c>
      <c r="M584" s="66" t="s">
        <v>1010</v>
      </c>
      <c r="N584" s="66" t="s">
        <v>1574</v>
      </c>
      <c r="O584" s="66" t="s">
        <v>1575</v>
      </c>
    </row>
    <row r="585" spans="1:15" x14ac:dyDescent="0.35">
      <c r="A585" s="66" t="s">
        <v>1892</v>
      </c>
      <c r="B585" s="66" t="s">
        <v>1893</v>
      </c>
      <c r="C585" s="66" t="s">
        <v>23</v>
      </c>
      <c r="D585" s="66" t="s">
        <v>660</v>
      </c>
      <c r="E585" s="66" t="s">
        <v>997</v>
      </c>
      <c r="F585" s="75">
        <v>46136</v>
      </c>
      <c r="G585" s="75" t="s">
        <v>1006</v>
      </c>
      <c r="H585" s="66" t="s">
        <v>1007</v>
      </c>
      <c r="I585" s="66" t="s">
        <v>1008</v>
      </c>
      <c r="J585" s="66" t="s">
        <v>1008</v>
      </c>
      <c r="K585" s="75">
        <v>45940</v>
      </c>
      <c r="L585" s="66" t="s">
        <v>1001</v>
      </c>
      <c r="M585" s="66" t="s">
        <v>1010</v>
      </c>
      <c r="N585" s="66" t="s">
        <v>1574</v>
      </c>
      <c r="O585" s="66" t="s">
        <v>1575</v>
      </c>
    </row>
    <row r="586" spans="1:15" x14ac:dyDescent="0.35">
      <c r="A586" s="66" t="s">
        <v>1894</v>
      </c>
      <c r="B586" s="66" t="s">
        <v>1895</v>
      </c>
      <c r="C586" s="66" t="s">
        <v>339</v>
      </c>
      <c r="D586" s="66" t="s">
        <v>1024</v>
      </c>
      <c r="E586" s="66" t="s">
        <v>997</v>
      </c>
      <c r="F586" s="75">
        <v>46132</v>
      </c>
      <c r="G586" s="75" t="s">
        <v>1006</v>
      </c>
      <c r="H586" s="66" t="s">
        <v>1007</v>
      </c>
      <c r="I586" s="66" t="s">
        <v>1019</v>
      </c>
      <c r="J586" s="66" t="s">
        <v>1019</v>
      </c>
      <c r="K586" s="75">
        <v>45940</v>
      </c>
      <c r="L586" s="66" t="s">
        <v>1020</v>
      </c>
      <c r="M586" s="66" t="s">
        <v>1010</v>
      </c>
      <c r="N586" s="66" t="s">
        <v>1574</v>
      </c>
      <c r="O586" s="66" t="s">
        <v>1575</v>
      </c>
    </row>
    <row r="587" spans="1:15" x14ac:dyDescent="0.35">
      <c r="A587" s="66" t="s">
        <v>1896</v>
      </c>
      <c r="B587" s="66" t="s">
        <v>1897</v>
      </c>
      <c r="C587" s="66" t="s">
        <v>278</v>
      </c>
      <c r="D587" s="66" t="s">
        <v>1131</v>
      </c>
      <c r="E587" s="66" t="s">
        <v>997</v>
      </c>
      <c r="F587" s="75">
        <v>46140</v>
      </c>
      <c r="G587" s="75" t="s">
        <v>1006</v>
      </c>
      <c r="H587" s="66" t="s">
        <v>1007</v>
      </c>
      <c r="I587" s="66" t="s">
        <v>1028</v>
      </c>
      <c r="J587" s="66" t="s">
        <v>1028</v>
      </c>
      <c r="K587" s="75">
        <v>45941</v>
      </c>
      <c r="L587" s="66" t="s">
        <v>1020</v>
      </c>
      <c r="M587" s="66" t="s">
        <v>1010</v>
      </c>
      <c r="N587" s="66" t="s">
        <v>1574</v>
      </c>
      <c r="O587" s="66" t="s">
        <v>1575</v>
      </c>
    </row>
    <row r="588" spans="1:15" x14ac:dyDescent="0.35">
      <c r="A588" s="66" t="s">
        <v>1898</v>
      </c>
      <c r="B588" s="66" t="s">
        <v>1899</v>
      </c>
      <c r="C588" s="66" t="s">
        <v>126</v>
      </c>
      <c r="D588" s="66" t="s">
        <v>1152</v>
      </c>
      <c r="E588" s="66" t="s">
        <v>997</v>
      </c>
      <c r="F588" s="75">
        <v>46142</v>
      </c>
      <c r="G588" s="75" t="s">
        <v>1006</v>
      </c>
      <c r="H588" s="66" t="s">
        <v>1007</v>
      </c>
      <c r="I588" s="66" t="s">
        <v>1028</v>
      </c>
      <c r="J588" s="66" t="s">
        <v>1028</v>
      </c>
      <c r="K588" s="75">
        <v>45939</v>
      </c>
      <c r="L588" s="66" t="s">
        <v>1020</v>
      </c>
      <c r="M588" s="66" t="s">
        <v>1010</v>
      </c>
      <c r="N588" s="66" t="s">
        <v>1574</v>
      </c>
      <c r="O588" s="66" t="s">
        <v>1575</v>
      </c>
    </row>
    <row r="589" spans="1:15" x14ac:dyDescent="0.35">
      <c r="A589" s="66" t="s">
        <v>1900</v>
      </c>
      <c r="B589" s="66" t="s">
        <v>1901</v>
      </c>
      <c r="C589" s="66" t="s">
        <v>126</v>
      </c>
      <c r="D589" s="66" t="s">
        <v>1152</v>
      </c>
      <c r="E589" s="66" t="s">
        <v>997</v>
      </c>
      <c r="F589" s="75">
        <v>46113</v>
      </c>
      <c r="G589" s="75" t="s">
        <v>1006</v>
      </c>
      <c r="H589" s="66" t="s">
        <v>1007</v>
      </c>
      <c r="I589" s="66" t="s">
        <v>1028</v>
      </c>
      <c r="J589" s="66" t="s">
        <v>1028</v>
      </c>
      <c r="K589" s="75">
        <v>45939</v>
      </c>
      <c r="L589" s="66" t="s">
        <v>1020</v>
      </c>
      <c r="M589" s="66" t="s">
        <v>1010</v>
      </c>
      <c r="N589" s="66" t="s">
        <v>1574</v>
      </c>
      <c r="O589" s="66" t="s">
        <v>1575</v>
      </c>
    </row>
    <row r="590" spans="1:15" x14ac:dyDescent="0.35">
      <c r="A590" s="66" t="s">
        <v>1902</v>
      </c>
      <c r="B590" s="66" t="s">
        <v>1903</v>
      </c>
      <c r="C590" s="66" t="s">
        <v>422</v>
      </c>
      <c r="D590" s="66" t="s">
        <v>423</v>
      </c>
      <c r="E590" s="66" t="s">
        <v>997</v>
      </c>
      <c r="F590" s="75">
        <v>46115</v>
      </c>
      <c r="G590" s="75" t="s">
        <v>1006</v>
      </c>
      <c r="H590" s="66" t="s">
        <v>1007</v>
      </c>
      <c r="I590" s="66" t="s">
        <v>1028</v>
      </c>
      <c r="J590" s="66" t="s">
        <v>1028</v>
      </c>
      <c r="K590" s="75">
        <v>45944</v>
      </c>
      <c r="L590" s="66" t="s">
        <v>1020</v>
      </c>
      <c r="M590" s="66" t="s">
        <v>1010</v>
      </c>
      <c r="N590" s="66" t="s">
        <v>1574</v>
      </c>
      <c r="O590" s="66" t="s">
        <v>1599</v>
      </c>
    </row>
    <row r="591" spans="1:15" x14ac:dyDescent="0.35">
      <c r="A591" s="66" t="s">
        <v>1904</v>
      </c>
      <c r="B591" s="66" t="s">
        <v>1905</v>
      </c>
      <c r="C591" s="66" t="s">
        <v>126</v>
      </c>
      <c r="D591" s="66" t="s">
        <v>1152</v>
      </c>
      <c r="E591" s="66" t="s">
        <v>997</v>
      </c>
      <c r="F591" s="75">
        <v>46129</v>
      </c>
      <c r="G591" s="75" t="s">
        <v>1006</v>
      </c>
      <c r="H591" s="66" t="s">
        <v>1007</v>
      </c>
      <c r="I591" s="66" t="s">
        <v>1028</v>
      </c>
      <c r="J591" s="66" t="s">
        <v>1009</v>
      </c>
      <c r="K591" s="75">
        <v>45940</v>
      </c>
      <c r="L591" s="66" t="s">
        <v>1020</v>
      </c>
      <c r="M591" s="66" t="s">
        <v>1010</v>
      </c>
      <c r="N591" s="66" t="s">
        <v>1574</v>
      </c>
      <c r="O591" s="66" t="s">
        <v>1575</v>
      </c>
    </row>
    <row r="592" spans="1:15" x14ac:dyDescent="0.35">
      <c r="A592" s="66" t="s">
        <v>1906</v>
      </c>
      <c r="B592" s="66" t="s">
        <v>1907</v>
      </c>
      <c r="C592" s="66" t="s">
        <v>181</v>
      </c>
      <c r="D592" s="66" t="s">
        <v>1374</v>
      </c>
      <c r="E592" s="66" t="s">
        <v>997</v>
      </c>
      <c r="F592" s="75">
        <v>46142</v>
      </c>
      <c r="G592" s="75" t="s">
        <v>1006</v>
      </c>
      <c r="H592" s="66" t="s">
        <v>1007</v>
      </c>
      <c r="I592" s="66" t="s">
        <v>1028</v>
      </c>
      <c r="J592" s="66" t="s">
        <v>1028</v>
      </c>
      <c r="K592" s="75">
        <v>45952</v>
      </c>
      <c r="L592" s="66" t="s">
        <v>1020</v>
      </c>
      <c r="M592" s="66" t="s">
        <v>1010</v>
      </c>
      <c r="N592" s="66" t="s">
        <v>1574</v>
      </c>
      <c r="O592" s="66" t="s">
        <v>1575</v>
      </c>
    </row>
    <row r="593" spans="1:15" x14ac:dyDescent="0.35">
      <c r="A593" s="66" t="s">
        <v>1908</v>
      </c>
      <c r="B593" s="66" t="s">
        <v>1846</v>
      </c>
      <c r="C593" s="66" t="s">
        <v>27</v>
      </c>
      <c r="D593" s="66" t="s">
        <v>1250</v>
      </c>
      <c r="E593" s="66" t="s">
        <v>997</v>
      </c>
      <c r="F593" s="75">
        <v>46142</v>
      </c>
      <c r="G593" s="75" t="s">
        <v>1006</v>
      </c>
      <c r="H593" s="66" t="s">
        <v>1007</v>
      </c>
      <c r="I593" s="66" t="s">
        <v>1008</v>
      </c>
      <c r="J593" s="66" t="s">
        <v>1008</v>
      </c>
      <c r="K593" s="75">
        <v>45955</v>
      </c>
      <c r="L593" s="66" t="s">
        <v>1001</v>
      </c>
      <c r="M593" s="66" t="s">
        <v>1010</v>
      </c>
      <c r="N593" s="66" t="s">
        <v>1574</v>
      </c>
      <c r="O593" s="66" t="s">
        <v>1575</v>
      </c>
    </row>
    <row r="594" spans="1:15" x14ac:dyDescent="0.35">
      <c r="A594" s="66" t="s">
        <v>1909</v>
      </c>
      <c r="B594" s="66" t="s">
        <v>1910</v>
      </c>
      <c r="C594" s="66" t="s">
        <v>422</v>
      </c>
      <c r="D594" s="66" t="s">
        <v>423</v>
      </c>
      <c r="E594" s="66" t="s">
        <v>997</v>
      </c>
      <c r="F594" s="75">
        <v>46118</v>
      </c>
      <c r="G594" s="75" t="s">
        <v>1006</v>
      </c>
      <c r="H594" s="66" t="s">
        <v>1007</v>
      </c>
      <c r="I594" s="66" t="s">
        <v>1028</v>
      </c>
      <c r="J594" s="66" t="s">
        <v>1028</v>
      </c>
      <c r="K594" s="75">
        <v>45959</v>
      </c>
      <c r="L594" s="66" t="s">
        <v>1020</v>
      </c>
      <c r="M594" s="66" t="s">
        <v>1010</v>
      </c>
      <c r="N594" s="66" t="s">
        <v>1574</v>
      </c>
      <c r="O594" s="66" t="s">
        <v>1575</v>
      </c>
    </row>
    <row r="595" spans="1:15" x14ac:dyDescent="0.35">
      <c r="A595" s="66" t="s">
        <v>1911</v>
      </c>
      <c r="B595" s="66" t="s">
        <v>1912</v>
      </c>
      <c r="C595" s="66" t="s">
        <v>362</v>
      </c>
      <c r="D595" s="66" t="s">
        <v>1056</v>
      </c>
      <c r="E595" s="66" t="s">
        <v>997</v>
      </c>
      <c r="F595" s="75">
        <v>46139</v>
      </c>
      <c r="G595" s="75" t="s">
        <v>1006</v>
      </c>
      <c r="H595" s="66" t="s">
        <v>1007</v>
      </c>
      <c r="I595" s="66" t="s">
        <v>1028</v>
      </c>
      <c r="J595" s="66" t="s">
        <v>1028</v>
      </c>
      <c r="K595" s="75">
        <v>45962</v>
      </c>
      <c r="L595" s="66" t="s">
        <v>1020</v>
      </c>
      <c r="M595" s="66" t="s">
        <v>1010</v>
      </c>
      <c r="N595" s="66" t="s">
        <v>1574</v>
      </c>
      <c r="O595" s="66" t="s">
        <v>1575</v>
      </c>
    </row>
    <row r="596" spans="1:15" x14ac:dyDescent="0.35">
      <c r="A596" s="66" t="s">
        <v>1913</v>
      </c>
      <c r="B596" s="66" t="s">
        <v>1914</v>
      </c>
      <c r="C596" s="66" t="s">
        <v>186</v>
      </c>
      <c r="D596" s="66" t="s">
        <v>1164</v>
      </c>
      <c r="E596" s="66" t="s">
        <v>997</v>
      </c>
      <c r="F596" s="75">
        <v>46118</v>
      </c>
      <c r="G596" s="75" t="s">
        <v>1006</v>
      </c>
      <c r="H596" s="66" t="s">
        <v>1007</v>
      </c>
      <c r="I596" s="66" t="s">
        <v>1028</v>
      </c>
      <c r="J596" s="66" t="s">
        <v>1028</v>
      </c>
      <c r="K596" s="75">
        <v>45962</v>
      </c>
      <c r="L596" s="66" t="s">
        <v>1020</v>
      </c>
      <c r="M596" s="66" t="s">
        <v>1010</v>
      </c>
      <c r="N596" s="66" t="s">
        <v>1574</v>
      </c>
      <c r="O596" s="66" t="s">
        <v>1599</v>
      </c>
    </row>
    <row r="597" spans="1:15" x14ac:dyDescent="0.35">
      <c r="A597" s="66" t="s">
        <v>1915</v>
      </c>
      <c r="B597" s="66" t="s">
        <v>1916</v>
      </c>
      <c r="C597" s="66" t="s">
        <v>199</v>
      </c>
      <c r="D597" s="66" t="s">
        <v>1496</v>
      </c>
      <c r="E597" s="66" t="s">
        <v>997</v>
      </c>
      <c r="F597" s="75">
        <v>46125</v>
      </c>
      <c r="G597" s="75" t="s">
        <v>1006</v>
      </c>
      <c r="H597" s="66" t="s">
        <v>1007</v>
      </c>
      <c r="I597" s="66" t="s">
        <v>1028</v>
      </c>
      <c r="J597" s="66" t="s">
        <v>1028</v>
      </c>
      <c r="K597" s="75">
        <v>45962</v>
      </c>
      <c r="L597" s="66" t="s">
        <v>1020</v>
      </c>
      <c r="M597" s="66" t="s">
        <v>1010</v>
      </c>
      <c r="N597" s="66" t="s">
        <v>1574</v>
      </c>
      <c r="O597" s="66" t="s">
        <v>1575</v>
      </c>
    </row>
    <row r="598" spans="1:15" x14ac:dyDescent="0.35">
      <c r="A598" s="66" t="s">
        <v>1917</v>
      </c>
      <c r="B598" s="66" t="s">
        <v>1918</v>
      </c>
      <c r="C598" s="66" t="s">
        <v>60</v>
      </c>
      <c r="D598" s="66" t="s">
        <v>1119</v>
      </c>
      <c r="E598" s="66" t="s">
        <v>997</v>
      </c>
      <c r="F598" s="75">
        <v>46139</v>
      </c>
      <c r="G598" s="75" t="s">
        <v>1006</v>
      </c>
      <c r="H598" s="66" t="s">
        <v>1007</v>
      </c>
      <c r="I598" s="66" t="s">
        <v>1019</v>
      </c>
      <c r="J598" s="66" t="s">
        <v>1019</v>
      </c>
      <c r="K598" s="75">
        <v>45965</v>
      </c>
      <c r="L598" s="66" t="s">
        <v>1020</v>
      </c>
      <c r="M598" s="66" t="s">
        <v>1010</v>
      </c>
      <c r="N598" s="66" t="s">
        <v>1574</v>
      </c>
      <c r="O598" s="66" t="s">
        <v>1599</v>
      </c>
    </row>
    <row r="599" spans="1:15" x14ac:dyDescent="0.35">
      <c r="A599" s="66" t="s">
        <v>1919</v>
      </c>
      <c r="B599" s="66" t="s">
        <v>1920</v>
      </c>
      <c r="C599" s="66" t="s">
        <v>379</v>
      </c>
      <c r="D599" s="66" t="s">
        <v>381</v>
      </c>
      <c r="E599" s="66" t="s">
        <v>997</v>
      </c>
      <c r="F599" s="75">
        <v>46113</v>
      </c>
      <c r="G599" s="75" t="s">
        <v>1006</v>
      </c>
      <c r="H599" s="66" t="s">
        <v>1007</v>
      </c>
      <c r="I599" s="66" t="s">
        <v>1028</v>
      </c>
      <c r="J599" s="66" t="s">
        <v>1028</v>
      </c>
      <c r="K599" s="75">
        <v>45966</v>
      </c>
      <c r="L599" s="66" t="s">
        <v>1020</v>
      </c>
      <c r="M599" s="66" t="s">
        <v>1010</v>
      </c>
      <c r="N599" s="66" t="s">
        <v>1574</v>
      </c>
      <c r="O599" s="66" t="s">
        <v>1575</v>
      </c>
    </row>
    <row r="600" spans="1:15" x14ac:dyDescent="0.35">
      <c r="A600" s="66" t="s">
        <v>1921</v>
      </c>
      <c r="B600" s="66" t="s">
        <v>1922</v>
      </c>
      <c r="C600" s="66" t="s">
        <v>387</v>
      </c>
      <c r="D600" s="66" t="s">
        <v>1142</v>
      </c>
      <c r="E600" s="66" t="s">
        <v>997</v>
      </c>
      <c r="F600" s="75">
        <v>46138</v>
      </c>
      <c r="G600" s="75" t="s">
        <v>1006</v>
      </c>
      <c r="H600" s="66" t="s">
        <v>1007</v>
      </c>
      <c r="I600" s="66" t="s">
        <v>1028</v>
      </c>
      <c r="J600" s="66" t="s">
        <v>1028</v>
      </c>
      <c r="K600" s="75">
        <v>45969</v>
      </c>
      <c r="L600" s="66" t="s">
        <v>1020</v>
      </c>
      <c r="M600" s="66" t="s">
        <v>1010</v>
      </c>
      <c r="N600" s="66" t="s">
        <v>1574</v>
      </c>
      <c r="O600" s="66" t="s">
        <v>1575</v>
      </c>
    </row>
    <row r="601" spans="1:15" x14ac:dyDescent="0.35">
      <c r="A601" s="66" t="s">
        <v>1923</v>
      </c>
      <c r="B601" s="66" t="s">
        <v>1924</v>
      </c>
      <c r="C601" s="66" t="s">
        <v>311</v>
      </c>
      <c r="D601" s="66" t="s">
        <v>1140</v>
      </c>
      <c r="E601" s="66" t="s">
        <v>997</v>
      </c>
      <c r="F601" s="75">
        <v>46137</v>
      </c>
      <c r="G601" s="75" t="s">
        <v>1006</v>
      </c>
      <c r="H601" s="66" t="s">
        <v>1007</v>
      </c>
      <c r="I601" s="66" t="s">
        <v>1028</v>
      </c>
      <c r="J601" s="66" t="s">
        <v>1028</v>
      </c>
      <c r="K601" s="75">
        <v>45976</v>
      </c>
      <c r="L601" s="66" t="s">
        <v>1020</v>
      </c>
      <c r="M601" s="66" t="s">
        <v>1010</v>
      </c>
      <c r="N601" s="66" t="s">
        <v>1574</v>
      </c>
      <c r="O601" s="66" t="s">
        <v>1575</v>
      </c>
    </row>
    <row r="602" spans="1:15" x14ac:dyDescent="0.35">
      <c r="A602" s="66" t="s">
        <v>1925</v>
      </c>
      <c r="B602" s="66" t="s">
        <v>1926</v>
      </c>
      <c r="C602" s="66" t="s">
        <v>385</v>
      </c>
      <c r="D602" s="66" t="s">
        <v>1059</v>
      </c>
      <c r="E602" s="66" t="s">
        <v>997</v>
      </c>
      <c r="F602" s="75">
        <v>46116</v>
      </c>
      <c r="G602" s="75" t="s">
        <v>1006</v>
      </c>
      <c r="H602" s="66" t="s">
        <v>1007</v>
      </c>
      <c r="I602" s="66" t="s">
        <v>1028</v>
      </c>
      <c r="J602" s="66" t="s">
        <v>1028</v>
      </c>
      <c r="K602" s="75">
        <v>45976</v>
      </c>
      <c r="L602" s="66" t="s">
        <v>1020</v>
      </c>
      <c r="M602" s="66" t="s">
        <v>1010</v>
      </c>
      <c r="N602" s="66" t="s">
        <v>1574</v>
      </c>
      <c r="O602" s="66" t="s">
        <v>1575</v>
      </c>
    </row>
    <row r="603" spans="1:15" x14ac:dyDescent="0.35">
      <c r="A603" s="66" t="s">
        <v>1927</v>
      </c>
      <c r="B603" s="66" t="s">
        <v>1928</v>
      </c>
      <c r="C603" s="66" t="s">
        <v>413</v>
      </c>
      <c r="D603" s="66" t="s">
        <v>1699</v>
      </c>
      <c r="E603" s="66" t="s">
        <v>997</v>
      </c>
      <c r="F603" s="75">
        <v>46137</v>
      </c>
      <c r="G603" s="75" t="s">
        <v>1006</v>
      </c>
      <c r="H603" s="66" t="s">
        <v>1007</v>
      </c>
      <c r="I603" s="66" t="s">
        <v>1019</v>
      </c>
      <c r="J603" s="66" t="s">
        <v>1019</v>
      </c>
      <c r="K603" s="75">
        <v>45976</v>
      </c>
      <c r="L603" s="66" t="s">
        <v>1020</v>
      </c>
      <c r="M603" s="66" t="s">
        <v>1010</v>
      </c>
      <c r="N603" s="66" t="s">
        <v>1574</v>
      </c>
      <c r="O603" s="66" t="s">
        <v>1575</v>
      </c>
    </row>
    <row r="604" spans="1:15" x14ac:dyDescent="0.35">
      <c r="A604" s="66" t="s">
        <v>1929</v>
      </c>
      <c r="B604" s="66" t="s">
        <v>1930</v>
      </c>
      <c r="C604" s="66" t="s">
        <v>102</v>
      </c>
      <c r="D604" s="66" t="s">
        <v>1306</v>
      </c>
      <c r="E604" s="66" t="s">
        <v>997</v>
      </c>
      <c r="F604" s="75">
        <v>46138</v>
      </c>
      <c r="G604" s="75" t="s">
        <v>1006</v>
      </c>
      <c r="H604" s="66" t="s">
        <v>1007</v>
      </c>
      <c r="I604" s="66" t="s">
        <v>1008</v>
      </c>
      <c r="J604" s="66" t="s">
        <v>1008</v>
      </c>
      <c r="K604" s="75">
        <v>45976</v>
      </c>
      <c r="L604" s="66" t="s">
        <v>1001</v>
      </c>
      <c r="M604" s="66" t="s">
        <v>1010</v>
      </c>
      <c r="N604" s="66" t="s">
        <v>1574</v>
      </c>
      <c r="O604" s="66" t="s">
        <v>1575</v>
      </c>
    </row>
    <row r="605" spans="1:15" x14ac:dyDescent="0.35">
      <c r="A605" s="66" t="s">
        <v>1931</v>
      </c>
      <c r="B605" s="66" t="s">
        <v>1932</v>
      </c>
      <c r="C605" s="66" t="s">
        <v>322</v>
      </c>
      <c r="D605" s="66" t="s">
        <v>834</v>
      </c>
      <c r="E605" s="66" t="s">
        <v>997</v>
      </c>
      <c r="F605" s="75">
        <v>46128</v>
      </c>
      <c r="G605" s="75" t="s">
        <v>1006</v>
      </c>
      <c r="H605" s="66" t="s">
        <v>1007</v>
      </c>
      <c r="I605" s="66" t="s">
        <v>1008</v>
      </c>
      <c r="J605" s="66" t="s">
        <v>1009</v>
      </c>
      <c r="K605" s="75">
        <v>45979</v>
      </c>
      <c r="L605" s="66" t="s">
        <v>1001</v>
      </c>
      <c r="M605" s="66" t="s">
        <v>1010</v>
      </c>
      <c r="N605" s="66" t="s">
        <v>1574</v>
      </c>
      <c r="O605" s="66" t="s">
        <v>1575</v>
      </c>
    </row>
    <row r="606" spans="1:15" x14ac:dyDescent="0.35">
      <c r="A606" s="66" t="s">
        <v>1933</v>
      </c>
      <c r="B606" s="66" t="s">
        <v>1934</v>
      </c>
      <c r="C606" s="66" t="s">
        <v>280</v>
      </c>
      <c r="D606" s="66" t="s">
        <v>1223</v>
      </c>
      <c r="E606" s="66" t="s">
        <v>997</v>
      </c>
      <c r="F606" s="75">
        <v>46124</v>
      </c>
      <c r="G606" s="75" t="s">
        <v>1006</v>
      </c>
      <c r="H606" s="66" t="s">
        <v>1007</v>
      </c>
      <c r="I606" s="66" t="s">
        <v>1028</v>
      </c>
      <c r="J606" s="66" t="s">
        <v>1028</v>
      </c>
      <c r="K606" s="75">
        <v>45982</v>
      </c>
      <c r="L606" s="66" t="s">
        <v>1020</v>
      </c>
      <c r="M606" s="66" t="s">
        <v>1010</v>
      </c>
      <c r="N606" s="66" t="s">
        <v>1574</v>
      </c>
      <c r="O606" s="66" t="s">
        <v>1599</v>
      </c>
    </row>
    <row r="607" spans="1:15" x14ac:dyDescent="0.35">
      <c r="A607" s="66" t="s">
        <v>1935</v>
      </c>
      <c r="B607" s="66" t="s">
        <v>1936</v>
      </c>
      <c r="C607" s="66" t="s">
        <v>413</v>
      </c>
      <c r="D607" s="66" t="s">
        <v>1699</v>
      </c>
      <c r="E607" s="66" t="s">
        <v>997</v>
      </c>
      <c r="F607" s="75">
        <v>46123</v>
      </c>
      <c r="G607" s="75" t="s">
        <v>1006</v>
      </c>
      <c r="H607" s="66" t="s">
        <v>1007</v>
      </c>
      <c r="I607" s="66" t="s">
        <v>1028</v>
      </c>
      <c r="J607" s="66" t="s">
        <v>1028</v>
      </c>
      <c r="K607" s="75">
        <v>45986</v>
      </c>
      <c r="L607" s="66" t="s">
        <v>1020</v>
      </c>
      <c r="M607" s="66" t="s">
        <v>1010</v>
      </c>
      <c r="N607" s="66" t="s">
        <v>1574</v>
      </c>
      <c r="O607" s="66" t="s">
        <v>1575</v>
      </c>
    </row>
    <row r="608" spans="1:15" x14ac:dyDescent="0.35">
      <c r="A608" s="66" t="s">
        <v>1937</v>
      </c>
      <c r="B608" s="66" t="s">
        <v>1938</v>
      </c>
      <c r="C608" s="66" t="s">
        <v>420</v>
      </c>
      <c r="D608" s="66" t="s">
        <v>686</v>
      </c>
      <c r="E608" s="66" t="s">
        <v>997</v>
      </c>
      <c r="F608" s="75">
        <v>46117</v>
      </c>
      <c r="G608" s="75" t="s">
        <v>1006</v>
      </c>
      <c r="H608" s="66" t="s">
        <v>1007</v>
      </c>
      <c r="I608" s="66" t="s">
        <v>1028</v>
      </c>
      <c r="J608" s="66" t="s">
        <v>1028</v>
      </c>
      <c r="K608" s="75">
        <v>45988</v>
      </c>
      <c r="L608" s="66" t="s">
        <v>1020</v>
      </c>
      <c r="M608" s="66" t="s">
        <v>1010</v>
      </c>
      <c r="N608" s="66" t="s">
        <v>1574</v>
      </c>
      <c r="O608" s="66" t="s">
        <v>1599</v>
      </c>
    </row>
    <row r="609" spans="1:15" x14ac:dyDescent="0.35">
      <c r="A609" s="66" t="s">
        <v>1939</v>
      </c>
      <c r="B609" s="66" t="s">
        <v>1940</v>
      </c>
      <c r="C609" s="66" t="s">
        <v>355</v>
      </c>
      <c r="D609" s="66" t="s">
        <v>1100</v>
      </c>
      <c r="E609" s="66" t="s">
        <v>997</v>
      </c>
      <c r="F609" s="75">
        <v>46114</v>
      </c>
      <c r="G609" s="75" t="s">
        <v>1006</v>
      </c>
      <c r="H609" s="66" t="s">
        <v>1007</v>
      </c>
      <c r="I609" s="66" t="s">
        <v>1019</v>
      </c>
      <c r="J609" s="66" t="s">
        <v>1019</v>
      </c>
      <c r="K609" s="75">
        <v>45989</v>
      </c>
      <c r="L609" s="66" t="s">
        <v>1020</v>
      </c>
      <c r="M609" s="66" t="s">
        <v>1010</v>
      </c>
      <c r="N609" s="66" t="s">
        <v>1574</v>
      </c>
      <c r="O609" s="66" t="s">
        <v>1575</v>
      </c>
    </row>
    <row r="610" spans="1:15" x14ac:dyDescent="0.35">
      <c r="A610" s="66" t="s">
        <v>1941</v>
      </c>
      <c r="B610" s="66" t="s">
        <v>1942</v>
      </c>
      <c r="C610" s="66" t="s">
        <v>382</v>
      </c>
      <c r="D610" s="66" t="s">
        <v>384</v>
      </c>
      <c r="E610" s="66" t="s">
        <v>997</v>
      </c>
      <c r="F610" s="75">
        <v>46142</v>
      </c>
      <c r="G610" s="75" t="s">
        <v>1006</v>
      </c>
      <c r="H610" s="66" t="s">
        <v>1007</v>
      </c>
      <c r="I610" s="66" t="s">
        <v>1028</v>
      </c>
      <c r="J610" s="66" t="s">
        <v>1028</v>
      </c>
      <c r="K610" s="75">
        <v>45993</v>
      </c>
      <c r="L610" s="66" t="s">
        <v>1020</v>
      </c>
      <c r="M610" s="66" t="s">
        <v>1010</v>
      </c>
      <c r="N610" s="66" t="s">
        <v>1574</v>
      </c>
      <c r="O610" s="66" t="s">
        <v>1575</v>
      </c>
    </row>
    <row r="611" spans="1:15" x14ac:dyDescent="0.35">
      <c r="A611" s="66" t="s">
        <v>1943</v>
      </c>
      <c r="B611" s="66" t="s">
        <v>1944</v>
      </c>
      <c r="C611" s="66" t="s">
        <v>362</v>
      </c>
      <c r="D611" s="66" t="s">
        <v>1056</v>
      </c>
      <c r="E611" s="66" t="s">
        <v>997</v>
      </c>
      <c r="F611" s="75">
        <v>46129</v>
      </c>
      <c r="G611" s="75" t="s">
        <v>1006</v>
      </c>
      <c r="H611" s="66" t="s">
        <v>1007</v>
      </c>
      <c r="I611" s="66" t="s">
        <v>1028</v>
      </c>
      <c r="J611" s="66" t="s">
        <v>1028</v>
      </c>
      <c r="K611" s="75">
        <v>45994</v>
      </c>
      <c r="L611" s="66" t="s">
        <v>1020</v>
      </c>
      <c r="M611" s="66" t="s">
        <v>1010</v>
      </c>
      <c r="N611" s="66" t="s">
        <v>1574</v>
      </c>
      <c r="O611" s="66" t="s">
        <v>1575</v>
      </c>
    </row>
    <row r="612" spans="1:15" x14ac:dyDescent="0.35">
      <c r="A612" s="66" t="s">
        <v>1945</v>
      </c>
      <c r="B612" s="66" t="s">
        <v>1946</v>
      </c>
      <c r="C612" s="66" t="s">
        <v>403</v>
      </c>
      <c r="D612" s="66" t="s">
        <v>870</v>
      </c>
      <c r="E612" s="66" t="s">
        <v>997</v>
      </c>
      <c r="F612" s="75">
        <v>46117</v>
      </c>
      <c r="G612" s="75" t="s">
        <v>1006</v>
      </c>
      <c r="H612" s="66" t="s">
        <v>1007</v>
      </c>
      <c r="I612" s="66" t="s">
        <v>1028</v>
      </c>
      <c r="J612" s="66" t="s">
        <v>1009</v>
      </c>
      <c r="K612" s="75">
        <v>45996</v>
      </c>
      <c r="L612" s="66" t="s">
        <v>1020</v>
      </c>
      <c r="M612" s="66" t="s">
        <v>1010</v>
      </c>
      <c r="N612" s="66" t="s">
        <v>1574</v>
      </c>
      <c r="O612" s="66" t="s">
        <v>1575</v>
      </c>
    </row>
    <row r="613" spans="1:15" x14ac:dyDescent="0.35">
      <c r="A613" s="66" t="s">
        <v>1947</v>
      </c>
      <c r="B613" s="66" t="s">
        <v>1948</v>
      </c>
      <c r="C613" s="66" t="s">
        <v>403</v>
      </c>
      <c r="D613" s="66" t="s">
        <v>870</v>
      </c>
      <c r="E613" s="66" t="s">
        <v>997</v>
      </c>
      <c r="F613" s="75">
        <v>46117</v>
      </c>
      <c r="G613" s="75" t="s">
        <v>1006</v>
      </c>
      <c r="H613" s="66" t="s">
        <v>1007</v>
      </c>
      <c r="I613" s="66" t="s">
        <v>1028</v>
      </c>
      <c r="J613" s="66" t="s">
        <v>1009</v>
      </c>
      <c r="K613" s="75">
        <v>45996</v>
      </c>
      <c r="L613" s="66" t="s">
        <v>1020</v>
      </c>
      <c r="M613" s="66" t="s">
        <v>1010</v>
      </c>
      <c r="N613" s="66" t="s">
        <v>1574</v>
      </c>
      <c r="O613" s="66" t="s">
        <v>1575</v>
      </c>
    </row>
    <row r="614" spans="1:15" x14ac:dyDescent="0.35">
      <c r="A614" s="66" t="s">
        <v>1949</v>
      </c>
      <c r="B614" s="66" t="s">
        <v>1950</v>
      </c>
      <c r="C614" s="66" t="s">
        <v>353</v>
      </c>
      <c r="D614" s="66" t="s">
        <v>850</v>
      </c>
      <c r="E614" s="66" t="s">
        <v>997</v>
      </c>
      <c r="F614" s="75">
        <v>46132</v>
      </c>
      <c r="G614" s="75" t="s">
        <v>1006</v>
      </c>
      <c r="H614" s="66" t="s">
        <v>1007</v>
      </c>
      <c r="I614" s="66" t="s">
        <v>1028</v>
      </c>
      <c r="J614" s="66" t="s">
        <v>1028</v>
      </c>
      <c r="K614" s="75">
        <v>45997</v>
      </c>
      <c r="L614" s="66" t="s">
        <v>1020</v>
      </c>
      <c r="M614" s="66" t="s">
        <v>1010</v>
      </c>
      <c r="N614" s="66" t="s">
        <v>1574</v>
      </c>
      <c r="O614" s="66" t="s">
        <v>1575</v>
      </c>
    </row>
    <row r="615" spans="1:15" x14ac:dyDescent="0.35">
      <c r="A615" s="66" t="s">
        <v>1951</v>
      </c>
      <c r="B615" s="66" t="s">
        <v>1952</v>
      </c>
      <c r="C615" s="66" t="s">
        <v>145</v>
      </c>
      <c r="D615" s="66" t="s">
        <v>1015</v>
      </c>
      <c r="E615" s="66" t="s">
        <v>997</v>
      </c>
      <c r="F615" s="75">
        <v>46141</v>
      </c>
      <c r="G615" s="75" t="s">
        <v>1006</v>
      </c>
      <c r="H615" s="66" t="s">
        <v>1007</v>
      </c>
      <c r="I615" s="66" t="s">
        <v>1028</v>
      </c>
      <c r="J615" s="66" t="s">
        <v>1028</v>
      </c>
      <c r="K615" s="75">
        <v>45997</v>
      </c>
      <c r="L615" s="66" t="s">
        <v>1020</v>
      </c>
      <c r="M615" s="66" t="s">
        <v>1010</v>
      </c>
      <c r="N615" s="66" t="s">
        <v>1574</v>
      </c>
      <c r="O615" s="66" t="s">
        <v>1599</v>
      </c>
    </row>
    <row r="616" spans="1:15" x14ac:dyDescent="0.35">
      <c r="A616" s="66" t="s">
        <v>1953</v>
      </c>
      <c r="B616" s="66" t="s">
        <v>1954</v>
      </c>
      <c r="C616" s="66" t="s">
        <v>8</v>
      </c>
      <c r="D616" s="66" t="s">
        <v>1176</v>
      </c>
      <c r="E616" s="66" t="s">
        <v>997</v>
      </c>
      <c r="F616" s="75">
        <v>46138</v>
      </c>
      <c r="G616" s="75" t="s">
        <v>1006</v>
      </c>
      <c r="H616" s="66" t="s">
        <v>1007</v>
      </c>
      <c r="I616" s="66" t="s">
        <v>1008</v>
      </c>
      <c r="J616" s="66" t="s">
        <v>1008</v>
      </c>
      <c r="K616" s="75">
        <v>45999</v>
      </c>
      <c r="L616" s="66" t="s">
        <v>1001</v>
      </c>
      <c r="M616" s="66" t="s">
        <v>1111</v>
      </c>
      <c r="N616" s="66" t="s">
        <v>1574</v>
      </c>
      <c r="O616" s="66" t="s">
        <v>1575</v>
      </c>
    </row>
    <row r="617" spans="1:15" x14ac:dyDescent="0.35">
      <c r="A617" s="66" t="s">
        <v>1955</v>
      </c>
      <c r="B617" s="66" t="s">
        <v>1956</v>
      </c>
      <c r="C617" s="66" t="s">
        <v>145</v>
      </c>
      <c r="D617" s="66" t="s">
        <v>1015</v>
      </c>
      <c r="E617" s="66" t="s">
        <v>997</v>
      </c>
      <c r="F617" s="75">
        <v>46120</v>
      </c>
      <c r="G617" s="75" t="s">
        <v>1006</v>
      </c>
      <c r="H617" s="66" t="s">
        <v>1007</v>
      </c>
      <c r="I617" s="66" t="s">
        <v>1028</v>
      </c>
      <c r="J617" s="66" t="s">
        <v>1028</v>
      </c>
      <c r="K617" s="75">
        <v>46003</v>
      </c>
      <c r="L617" s="66" t="s">
        <v>1020</v>
      </c>
      <c r="M617" s="66" t="s">
        <v>1010</v>
      </c>
      <c r="N617" s="66" t="s">
        <v>1574</v>
      </c>
      <c r="O617" s="66" t="s">
        <v>1599</v>
      </c>
    </row>
    <row r="618" spans="1:15" x14ac:dyDescent="0.35">
      <c r="A618" s="66" t="s">
        <v>1957</v>
      </c>
      <c r="B618" s="66" t="s">
        <v>1958</v>
      </c>
      <c r="C618" s="66" t="s">
        <v>318</v>
      </c>
      <c r="D618" s="66" t="s">
        <v>1266</v>
      </c>
      <c r="E618" s="66" t="s">
        <v>997</v>
      </c>
      <c r="F618" s="75">
        <v>46136</v>
      </c>
      <c r="G618" s="75" t="s">
        <v>1006</v>
      </c>
      <c r="H618" s="66" t="s">
        <v>1007</v>
      </c>
      <c r="I618" s="66" t="s">
        <v>1028</v>
      </c>
      <c r="J618" s="66" t="s">
        <v>1028</v>
      </c>
      <c r="K618" s="75">
        <v>46004</v>
      </c>
      <c r="L618" s="66" t="s">
        <v>1020</v>
      </c>
      <c r="M618" s="66" t="s">
        <v>1010</v>
      </c>
      <c r="N618" s="66" t="s">
        <v>1574</v>
      </c>
      <c r="O618" s="66" t="s">
        <v>1575</v>
      </c>
    </row>
    <row r="619" spans="1:15" x14ac:dyDescent="0.35">
      <c r="A619" s="66" t="s">
        <v>1959</v>
      </c>
      <c r="B619" s="66" t="s">
        <v>1960</v>
      </c>
      <c r="C619" s="66" t="s">
        <v>425</v>
      </c>
      <c r="D619" s="66" t="s">
        <v>1330</v>
      </c>
      <c r="E619" s="66" t="s">
        <v>997</v>
      </c>
      <c r="F619" s="75">
        <v>46114</v>
      </c>
      <c r="G619" s="75" t="s">
        <v>1006</v>
      </c>
      <c r="H619" s="66" t="s">
        <v>1007</v>
      </c>
      <c r="I619" s="66" t="s">
        <v>1038</v>
      </c>
      <c r="J619" s="66" t="s">
        <v>1038</v>
      </c>
      <c r="K619" s="75">
        <v>46004</v>
      </c>
      <c r="L619" s="66" t="s">
        <v>1020</v>
      </c>
      <c r="M619" s="66" t="s">
        <v>1010</v>
      </c>
      <c r="N619" s="66" t="s">
        <v>1574</v>
      </c>
      <c r="O619" s="66" t="s">
        <v>1575</v>
      </c>
    </row>
    <row r="620" spans="1:15" x14ac:dyDescent="0.35">
      <c r="A620" s="66" t="s">
        <v>1961</v>
      </c>
      <c r="B620" s="66" t="s">
        <v>1962</v>
      </c>
      <c r="C620" s="66" t="s">
        <v>45</v>
      </c>
      <c r="D620" s="66" t="s">
        <v>1122</v>
      </c>
      <c r="E620" s="66" t="s">
        <v>997</v>
      </c>
      <c r="F620" s="75">
        <v>46113</v>
      </c>
      <c r="G620" s="75" t="s">
        <v>1006</v>
      </c>
      <c r="H620" s="66" t="s">
        <v>1007</v>
      </c>
      <c r="I620" s="66" t="s">
        <v>1028</v>
      </c>
      <c r="J620" s="66" t="s">
        <v>1028</v>
      </c>
      <c r="K620" s="75">
        <v>46006</v>
      </c>
      <c r="L620" s="66" t="s">
        <v>1020</v>
      </c>
      <c r="M620" s="66" t="s">
        <v>1010</v>
      </c>
      <c r="N620" s="66" t="s">
        <v>1574</v>
      </c>
      <c r="O620" s="66" t="s">
        <v>1599</v>
      </c>
    </row>
    <row r="621" spans="1:15" x14ac:dyDescent="0.35">
      <c r="A621" s="66" t="s">
        <v>1963</v>
      </c>
      <c r="B621" s="66" t="s">
        <v>1964</v>
      </c>
      <c r="C621" s="66" t="s">
        <v>147</v>
      </c>
      <c r="D621" s="66" t="s">
        <v>1396</v>
      </c>
      <c r="E621" s="66" t="s">
        <v>997</v>
      </c>
      <c r="F621" s="75">
        <v>46116</v>
      </c>
      <c r="G621" s="75" t="s">
        <v>1006</v>
      </c>
      <c r="H621" s="66" t="s">
        <v>1007</v>
      </c>
      <c r="I621" s="66" t="s">
        <v>1028</v>
      </c>
      <c r="J621" s="66" t="s">
        <v>1028</v>
      </c>
      <c r="K621" s="75">
        <v>46007</v>
      </c>
      <c r="L621" s="66" t="s">
        <v>1020</v>
      </c>
      <c r="M621" s="66" t="s">
        <v>1010</v>
      </c>
      <c r="N621" s="66" t="s">
        <v>1574</v>
      </c>
      <c r="O621" s="66" t="s">
        <v>1575</v>
      </c>
    </row>
    <row r="622" spans="1:15" x14ac:dyDescent="0.35">
      <c r="A622" s="66" t="s">
        <v>1965</v>
      </c>
      <c r="B622" s="66" t="s">
        <v>1966</v>
      </c>
      <c r="C622" s="66" t="s">
        <v>429</v>
      </c>
      <c r="D622" s="66" t="s">
        <v>1240</v>
      </c>
      <c r="E622" s="66" t="s">
        <v>997</v>
      </c>
      <c r="F622" s="75">
        <v>46140</v>
      </c>
      <c r="G622" s="75" t="s">
        <v>1006</v>
      </c>
      <c r="H622" s="66" t="s">
        <v>1007</v>
      </c>
      <c r="I622" s="66" t="s">
        <v>1028</v>
      </c>
      <c r="J622" s="66" t="s">
        <v>1028</v>
      </c>
      <c r="K622" s="75">
        <v>46008</v>
      </c>
      <c r="L622" s="66" t="s">
        <v>1020</v>
      </c>
      <c r="M622" s="66" t="s">
        <v>1010</v>
      </c>
      <c r="N622" s="66" t="s">
        <v>1574</v>
      </c>
      <c r="O622" s="66" t="s">
        <v>1575</v>
      </c>
    </row>
    <row r="623" spans="1:15" x14ac:dyDescent="0.35">
      <c r="A623" s="66" t="s">
        <v>1967</v>
      </c>
      <c r="B623" s="66" t="s">
        <v>1968</v>
      </c>
      <c r="C623" s="66" t="s">
        <v>377</v>
      </c>
      <c r="D623" s="66" t="s">
        <v>862</v>
      </c>
      <c r="E623" s="66" t="s">
        <v>997</v>
      </c>
      <c r="F623" s="75">
        <v>46127</v>
      </c>
      <c r="G623" s="75" t="s">
        <v>1006</v>
      </c>
      <c r="H623" s="66" t="s">
        <v>1007</v>
      </c>
      <c r="I623" s="66" t="s">
        <v>1028</v>
      </c>
      <c r="J623" s="66" t="s">
        <v>1028</v>
      </c>
      <c r="K623" s="75">
        <v>46009</v>
      </c>
      <c r="L623" s="66" t="s">
        <v>1020</v>
      </c>
      <c r="M623" s="66" t="s">
        <v>1010</v>
      </c>
      <c r="N623" s="66" t="s">
        <v>1574</v>
      </c>
      <c r="O623" s="66" t="s">
        <v>1575</v>
      </c>
    </row>
    <row r="624" spans="1:15" x14ac:dyDescent="0.35">
      <c r="A624" s="66" t="s">
        <v>1969</v>
      </c>
      <c r="B624" s="66" t="s">
        <v>1970</v>
      </c>
      <c r="C624" s="66" t="s">
        <v>45</v>
      </c>
      <c r="D624" s="66" t="s">
        <v>1122</v>
      </c>
      <c r="E624" s="66" t="s">
        <v>997</v>
      </c>
      <c r="F624" s="75">
        <v>46113</v>
      </c>
      <c r="G624" s="75" t="s">
        <v>1006</v>
      </c>
      <c r="H624" s="66" t="s">
        <v>1007</v>
      </c>
      <c r="I624" s="66" t="s">
        <v>1028</v>
      </c>
      <c r="J624" s="66" t="s">
        <v>1028</v>
      </c>
      <c r="K624" s="75">
        <v>46011</v>
      </c>
      <c r="L624" s="66" t="s">
        <v>1020</v>
      </c>
      <c r="M624" s="66" t="s">
        <v>1010</v>
      </c>
      <c r="N624" s="66" t="s">
        <v>1574</v>
      </c>
      <c r="O624" s="66" t="s">
        <v>1575</v>
      </c>
    </row>
    <row r="625" spans="1:15" x14ac:dyDescent="0.35">
      <c r="A625" s="66" t="s">
        <v>1971</v>
      </c>
      <c r="B625" s="66" t="s">
        <v>1972</v>
      </c>
      <c r="C625" s="66" t="s">
        <v>41</v>
      </c>
      <c r="D625" s="66" t="s">
        <v>1157</v>
      </c>
      <c r="E625" s="66" t="s">
        <v>997</v>
      </c>
      <c r="F625" s="75">
        <v>46133</v>
      </c>
      <c r="G625" s="75" t="s">
        <v>1006</v>
      </c>
      <c r="H625" s="66" t="s">
        <v>1007</v>
      </c>
      <c r="I625" s="66" t="s">
        <v>1008</v>
      </c>
      <c r="J625" s="66" t="s">
        <v>1008</v>
      </c>
      <c r="K625" s="75">
        <v>46011</v>
      </c>
      <c r="L625" s="66" t="s">
        <v>1001</v>
      </c>
      <c r="M625" s="66" t="s">
        <v>1010</v>
      </c>
      <c r="N625" s="66" t="s">
        <v>1574</v>
      </c>
      <c r="O625" s="66" t="s">
        <v>1575</v>
      </c>
    </row>
    <row r="626" spans="1:15" x14ac:dyDescent="0.35">
      <c r="A626" s="66" t="s">
        <v>1973</v>
      </c>
      <c r="B626" s="66" t="s">
        <v>1974</v>
      </c>
      <c r="C626" s="66" t="s">
        <v>27</v>
      </c>
      <c r="D626" s="66" t="s">
        <v>1250</v>
      </c>
      <c r="E626" s="66" t="s">
        <v>997</v>
      </c>
      <c r="F626" s="75">
        <v>46132</v>
      </c>
      <c r="G626" s="75" t="s">
        <v>1006</v>
      </c>
      <c r="H626" s="66" t="s">
        <v>1007</v>
      </c>
      <c r="I626" s="66" t="s">
        <v>1019</v>
      </c>
      <c r="J626" s="66" t="s">
        <v>1019</v>
      </c>
      <c r="K626" s="75">
        <v>46010</v>
      </c>
      <c r="L626" s="66" t="s">
        <v>1020</v>
      </c>
      <c r="M626" s="66" t="s">
        <v>1010</v>
      </c>
      <c r="N626" s="66" t="s">
        <v>1574</v>
      </c>
      <c r="O626" s="66" t="s">
        <v>1575</v>
      </c>
    </row>
    <row r="627" spans="1:15" x14ac:dyDescent="0.35">
      <c r="A627" s="66" t="s">
        <v>1975</v>
      </c>
      <c r="B627" s="66" t="s">
        <v>1976</v>
      </c>
      <c r="C627" s="66" t="s">
        <v>347</v>
      </c>
      <c r="D627" s="66" t="s">
        <v>910</v>
      </c>
      <c r="E627" s="66" t="s">
        <v>997</v>
      </c>
      <c r="F627" s="75">
        <v>46113</v>
      </c>
      <c r="G627" s="75" t="s">
        <v>1006</v>
      </c>
      <c r="H627" s="66" t="s">
        <v>1007</v>
      </c>
      <c r="I627" s="66" t="s">
        <v>1057</v>
      </c>
      <c r="J627" s="66" t="s">
        <v>1057</v>
      </c>
      <c r="K627" s="75">
        <v>46015</v>
      </c>
      <c r="L627" s="66" t="s">
        <v>1001</v>
      </c>
      <c r="M627" s="66" t="s">
        <v>1010</v>
      </c>
      <c r="N627" s="66" t="s">
        <v>1574</v>
      </c>
      <c r="O627" s="66" t="s">
        <v>1575</v>
      </c>
    </row>
    <row r="628" spans="1:15" x14ac:dyDescent="0.35">
      <c r="A628" s="66" t="s">
        <v>1977</v>
      </c>
      <c r="B628" s="66" t="s">
        <v>1978</v>
      </c>
      <c r="C628" s="66" t="s">
        <v>424</v>
      </c>
      <c r="D628" s="66" t="s">
        <v>699</v>
      </c>
      <c r="E628" s="66" t="s">
        <v>997</v>
      </c>
      <c r="F628" s="75">
        <v>46117</v>
      </c>
      <c r="G628" s="75" t="s">
        <v>1006</v>
      </c>
      <c r="H628" s="66" t="s">
        <v>1007</v>
      </c>
      <c r="I628" s="66" t="s">
        <v>1019</v>
      </c>
      <c r="J628" s="66" t="s">
        <v>1019</v>
      </c>
      <c r="K628" s="75">
        <v>46016</v>
      </c>
      <c r="L628" s="66" t="s">
        <v>1020</v>
      </c>
      <c r="M628" s="66" t="s">
        <v>1010</v>
      </c>
      <c r="N628" s="66" t="s">
        <v>1574</v>
      </c>
      <c r="O628" s="66" t="s">
        <v>1599</v>
      </c>
    </row>
    <row r="629" spans="1:15" x14ac:dyDescent="0.35">
      <c r="A629" s="66" t="s">
        <v>1979</v>
      </c>
      <c r="B629" s="66" t="s">
        <v>1980</v>
      </c>
      <c r="C629" s="66" t="s">
        <v>252</v>
      </c>
      <c r="D629" s="66" t="s">
        <v>914</v>
      </c>
      <c r="E629" s="66" t="s">
        <v>997</v>
      </c>
      <c r="F629" s="75">
        <v>46114</v>
      </c>
      <c r="G629" s="75" t="s">
        <v>1006</v>
      </c>
      <c r="H629" s="66" t="s">
        <v>1007</v>
      </c>
      <c r="I629" s="66" t="s">
        <v>1019</v>
      </c>
      <c r="J629" s="66" t="s">
        <v>1019</v>
      </c>
      <c r="K629" s="75">
        <v>46018</v>
      </c>
      <c r="L629" s="66" t="s">
        <v>1020</v>
      </c>
      <c r="M629" s="66" t="s">
        <v>1010</v>
      </c>
      <c r="N629" s="66" t="s">
        <v>1574</v>
      </c>
      <c r="O629" s="66" t="s">
        <v>1599</v>
      </c>
    </row>
    <row r="630" spans="1:15" x14ac:dyDescent="0.35">
      <c r="A630" s="66" t="s">
        <v>1981</v>
      </c>
      <c r="B630" s="66" t="s">
        <v>1982</v>
      </c>
      <c r="C630" s="66" t="s">
        <v>315</v>
      </c>
      <c r="D630" s="66" t="s">
        <v>1322</v>
      </c>
      <c r="E630" s="66" t="s">
        <v>997</v>
      </c>
      <c r="F630" s="75">
        <v>46121</v>
      </c>
      <c r="G630" s="75" t="s">
        <v>1006</v>
      </c>
      <c r="H630" s="66" t="s">
        <v>1007</v>
      </c>
      <c r="I630" s="66" t="s">
        <v>1008</v>
      </c>
      <c r="J630" s="66" t="s">
        <v>1009</v>
      </c>
      <c r="K630" s="75">
        <v>46023</v>
      </c>
      <c r="L630" s="66" t="s">
        <v>1001</v>
      </c>
      <c r="M630" s="66" t="s">
        <v>1010</v>
      </c>
      <c r="N630" s="66" t="s">
        <v>1574</v>
      </c>
      <c r="O630" s="66" t="s">
        <v>1575</v>
      </c>
    </row>
    <row r="631" spans="1:15" x14ac:dyDescent="0.35">
      <c r="A631" s="66" t="s">
        <v>1983</v>
      </c>
      <c r="B631" s="66" t="s">
        <v>1984</v>
      </c>
      <c r="C631" s="66" t="s">
        <v>13</v>
      </c>
      <c r="D631" s="66" t="s">
        <v>1467</v>
      </c>
      <c r="E631" s="66" t="s">
        <v>997</v>
      </c>
      <c r="F631" s="75">
        <v>46129</v>
      </c>
      <c r="G631" s="75" t="s">
        <v>1006</v>
      </c>
      <c r="H631" s="66" t="s">
        <v>1007</v>
      </c>
      <c r="I631" s="66" t="s">
        <v>1019</v>
      </c>
      <c r="J631" s="66" t="s">
        <v>1009</v>
      </c>
      <c r="K631" s="75">
        <v>46023</v>
      </c>
      <c r="L631" s="66" t="s">
        <v>1020</v>
      </c>
      <c r="M631" s="66" t="s">
        <v>1010</v>
      </c>
      <c r="N631" s="66" t="s">
        <v>1574</v>
      </c>
      <c r="O631" s="66" t="s">
        <v>1575</v>
      </c>
    </row>
    <row r="632" spans="1:15" x14ac:dyDescent="0.35">
      <c r="A632" s="66" t="s">
        <v>1985</v>
      </c>
      <c r="B632" s="66" t="s">
        <v>1986</v>
      </c>
      <c r="C632" s="66" t="s">
        <v>600</v>
      </c>
      <c r="D632" s="66" t="s">
        <v>1201</v>
      </c>
      <c r="E632" s="66" t="s">
        <v>997</v>
      </c>
      <c r="F632" s="75">
        <v>46117</v>
      </c>
      <c r="G632" s="75" t="s">
        <v>1006</v>
      </c>
      <c r="H632" s="66" t="s">
        <v>1007</v>
      </c>
      <c r="I632" s="66" t="s">
        <v>1045</v>
      </c>
      <c r="J632" s="66" t="s">
        <v>1045</v>
      </c>
      <c r="K632" s="75">
        <v>46023</v>
      </c>
      <c r="L632" s="66" t="s">
        <v>1001</v>
      </c>
      <c r="M632" s="66" t="s">
        <v>1002</v>
      </c>
      <c r="N632" s="66" t="s">
        <v>1574</v>
      </c>
      <c r="O632" s="66" t="s">
        <v>1599</v>
      </c>
    </row>
    <row r="633" spans="1:15" x14ac:dyDescent="0.35">
      <c r="A633" s="66" t="s">
        <v>1987</v>
      </c>
      <c r="B633" s="66" t="s">
        <v>1988</v>
      </c>
      <c r="C633" s="66" t="s">
        <v>19</v>
      </c>
      <c r="D633" s="66" t="s">
        <v>1255</v>
      </c>
      <c r="E633" s="66" t="s">
        <v>997</v>
      </c>
      <c r="F633" s="75">
        <v>46130</v>
      </c>
      <c r="G633" s="75" t="s">
        <v>1006</v>
      </c>
      <c r="H633" s="66" t="s">
        <v>1007</v>
      </c>
      <c r="I633" s="66" t="s">
        <v>1028</v>
      </c>
      <c r="J633" s="66" t="s">
        <v>1028</v>
      </c>
      <c r="K633" s="75">
        <v>46025</v>
      </c>
      <c r="L633" s="66" t="s">
        <v>1020</v>
      </c>
      <c r="M633" s="66" t="s">
        <v>1010</v>
      </c>
      <c r="N633" s="66" t="s">
        <v>1574</v>
      </c>
      <c r="O633" s="66" t="s">
        <v>1575</v>
      </c>
    </row>
    <row r="634" spans="1:15" x14ac:dyDescent="0.35">
      <c r="A634" s="66" t="s">
        <v>1989</v>
      </c>
      <c r="B634" s="66" t="s">
        <v>1990</v>
      </c>
      <c r="C634" s="66" t="s">
        <v>405</v>
      </c>
      <c r="D634" s="66" t="s">
        <v>594</v>
      </c>
      <c r="E634" s="66" t="s">
        <v>997</v>
      </c>
      <c r="F634" s="75">
        <v>46128</v>
      </c>
      <c r="G634" s="75" t="s">
        <v>1006</v>
      </c>
      <c r="H634" s="66" t="s">
        <v>1007</v>
      </c>
      <c r="I634" s="66" t="s">
        <v>1008</v>
      </c>
      <c r="J634" s="66" t="s">
        <v>1009</v>
      </c>
      <c r="K634" s="75">
        <v>46025</v>
      </c>
      <c r="L634" s="66" t="s">
        <v>1001</v>
      </c>
      <c r="M634" s="66" t="s">
        <v>1010</v>
      </c>
      <c r="N634" s="66" t="s">
        <v>1574</v>
      </c>
      <c r="O634" s="66" t="s">
        <v>1575</v>
      </c>
    </row>
    <row r="635" spans="1:15" x14ac:dyDescent="0.35">
      <c r="A635" s="66" t="s">
        <v>1991</v>
      </c>
      <c r="B635" s="66" t="s">
        <v>1992</v>
      </c>
      <c r="C635" s="66" t="s">
        <v>199</v>
      </c>
      <c r="D635" s="66" t="s">
        <v>1496</v>
      </c>
      <c r="E635" s="66" t="s">
        <v>997</v>
      </c>
      <c r="F635" s="75">
        <v>46142</v>
      </c>
      <c r="G635" s="75" t="s">
        <v>1006</v>
      </c>
      <c r="H635" s="66" t="s">
        <v>1007</v>
      </c>
      <c r="I635" s="66" t="s">
        <v>1028</v>
      </c>
      <c r="J635" s="66" t="s">
        <v>1028</v>
      </c>
      <c r="K635" s="75">
        <v>46028</v>
      </c>
      <c r="L635" s="66" t="s">
        <v>1020</v>
      </c>
      <c r="M635" s="66" t="s">
        <v>1010</v>
      </c>
      <c r="N635" s="66" t="s">
        <v>1574</v>
      </c>
      <c r="O635" s="66" t="s">
        <v>1599</v>
      </c>
    </row>
    <row r="636" spans="1:15" x14ac:dyDescent="0.35">
      <c r="A636" s="66" t="s">
        <v>1993</v>
      </c>
      <c r="B636" s="66" t="s">
        <v>1994</v>
      </c>
      <c r="C636" s="66" t="s">
        <v>199</v>
      </c>
      <c r="D636" s="66" t="s">
        <v>1496</v>
      </c>
      <c r="E636" s="66" t="s">
        <v>997</v>
      </c>
      <c r="F636" s="75">
        <v>46141</v>
      </c>
      <c r="G636" s="75" t="s">
        <v>1006</v>
      </c>
      <c r="H636" s="66" t="s">
        <v>1007</v>
      </c>
      <c r="I636" s="66" t="s">
        <v>1028</v>
      </c>
      <c r="J636" s="66" t="s">
        <v>1028</v>
      </c>
      <c r="K636" s="75">
        <v>46028</v>
      </c>
      <c r="L636" s="66" t="s">
        <v>1020</v>
      </c>
      <c r="M636" s="66" t="s">
        <v>1010</v>
      </c>
      <c r="N636" s="66" t="s">
        <v>1574</v>
      </c>
      <c r="O636" s="66" t="s">
        <v>1575</v>
      </c>
    </row>
    <row r="637" spans="1:15" x14ac:dyDescent="0.35">
      <c r="A637" s="66" t="s">
        <v>1995</v>
      </c>
      <c r="B637" s="66" t="s">
        <v>1996</v>
      </c>
      <c r="C637" s="66" t="s">
        <v>13</v>
      </c>
      <c r="D637" s="66" t="s">
        <v>1467</v>
      </c>
      <c r="E637" s="66" t="s">
        <v>997</v>
      </c>
      <c r="F637" s="75">
        <v>46138</v>
      </c>
      <c r="G637" s="75" t="s">
        <v>1006</v>
      </c>
      <c r="H637" s="66" t="s">
        <v>1007</v>
      </c>
      <c r="I637" s="66" t="s">
        <v>1028</v>
      </c>
      <c r="J637" s="66" t="s">
        <v>1028</v>
      </c>
      <c r="K637" s="75">
        <v>46028</v>
      </c>
      <c r="L637" s="66" t="s">
        <v>1020</v>
      </c>
      <c r="M637" s="66" t="s">
        <v>1010</v>
      </c>
      <c r="N637" s="66" t="s">
        <v>1574</v>
      </c>
      <c r="O637" s="66" t="s">
        <v>1575</v>
      </c>
    </row>
    <row r="638" spans="1:15" x14ac:dyDescent="0.35">
      <c r="A638" s="66" t="s">
        <v>1997</v>
      </c>
      <c r="B638" s="66" t="s">
        <v>1998</v>
      </c>
      <c r="C638" s="66" t="s">
        <v>428</v>
      </c>
      <c r="D638" s="66" t="s">
        <v>1063</v>
      </c>
      <c r="E638" s="66" t="s">
        <v>997</v>
      </c>
      <c r="F638" s="75">
        <v>46124</v>
      </c>
      <c r="G638" s="75" t="s">
        <v>1006</v>
      </c>
      <c r="H638" s="66" t="s">
        <v>1007</v>
      </c>
      <c r="I638" s="66" t="s">
        <v>1028</v>
      </c>
      <c r="J638" s="66" t="s">
        <v>1028</v>
      </c>
      <c r="K638" s="75">
        <v>46028</v>
      </c>
      <c r="L638" s="66" t="s">
        <v>1020</v>
      </c>
      <c r="M638" s="66" t="s">
        <v>1010</v>
      </c>
      <c r="N638" s="66" t="s">
        <v>1574</v>
      </c>
      <c r="O638" s="66" t="s">
        <v>1575</v>
      </c>
    </row>
    <row r="639" spans="1:15" x14ac:dyDescent="0.35">
      <c r="A639" s="66" t="s">
        <v>1999</v>
      </c>
      <c r="B639" s="66" t="s">
        <v>2000</v>
      </c>
      <c r="C639" s="66" t="s">
        <v>38</v>
      </c>
      <c r="D639" s="66" t="s">
        <v>711</v>
      </c>
      <c r="E639" s="66" t="s">
        <v>997</v>
      </c>
      <c r="F639" s="75">
        <v>46136</v>
      </c>
      <c r="G639" s="75" t="s">
        <v>1006</v>
      </c>
      <c r="H639" s="66" t="s">
        <v>1007</v>
      </c>
      <c r="I639" s="66" t="s">
        <v>1028</v>
      </c>
      <c r="J639" s="66" t="s">
        <v>1028</v>
      </c>
      <c r="K639" s="75">
        <v>46029</v>
      </c>
      <c r="L639" s="66" t="s">
        <v>1020</v>
      </c>
      <c r="M639" s="66" t="s">
        <v>1010</v>
      </c>
      <c r="N639" s="66" t="s">
        <v>1574</v>
      </c>
      <c r="O639" s="66" t="s">
        <v>1575</v>
      </c>
    </row>
    <row r="640" spans="1:15" x14ac:dyDescent="0.35">
      <c r="A640" s="66" t="s">
        <v>2001</v>
      </c>
      <c r="B640" s="66" t="s">
        <v>2002</v>
      </c>
      <c r="C640" s="66" t="s">
        <v>409</v>
      </c>
      <c r="D640" s="66" t="s">
        <v>874</v>
      </c>
      <c r="E640" s="66" t="s">
        <v>997</v>
      </c>
      <c r="F640" s="75">
        <v>46113</v>
      </c>
      <c r="G640" s="75" t="s">
        <v>1006</v>
      </c>
      <c r="H640" s="66" t="s">
        <v>1007</v>
      </c>
      <c r="I640" s="66" t="s">
        <v>1057</v>
      </c>
      <c r="J640" s="66" t="s">
        <v>1057</v>
      </c>
      <c r="K640" s="75">
        <v>46028</v>
      </c>
      <c r="L640" s="66" t="s">
        <v>1001</v>
      </c>
      <c r="M640" s="66" t="s">
        <v>1010</v>
      </c>
      <c r="N640" s="66" t="s">
        <v>1574</v>
      </c>
      <c r="O640" s="66" t="s">
        <v>1575</v>
      </c>
    </row>
    <row r="641" spans="1:15" x14ac:dyDescent="0.35">
      <c r="A641" s="66" t="s">
        <v>2003</v>
      </c>
      <c r="B641" s="66" t="s">
        <v>2004</v>
      </c>
      <c r="C641" s="66" t="s">
        <v>159</v>
      </c>
      <c r="D641" s="66" t="s">
        <v>1488</v>
      </c>
      <c r="E641" s="66" t="s">
        <v>997</v>
      </c>
      <c r="F641" s="75">
        <v>46118</v>
      </c>
      <c r="G641" s="75" t="s">
        <v>1006</v>
      </c>
      <c r="H641" s="66" t="s">
        <v>1007</v>
      </c>
      <c r="I641" s="66" t="s">
        <v>1008</v>
      </c>
      <c r="J641" s="66" t="s">
        <v>1008</v>
      </c>
      <c r="K641" s="75">
        <v>46029</v>
      </c>
      <c r="L641" s="66" t="s">
        <v>1001</v>
      </c>
      <c r="M641" s="66" t="s">
        <v>1010</v>
      </c>
      <c r="N641" s="66" t="s">
        <v>1574</v>
      </c>
      <c r="O641" s="66" t="s">
        <v>1575</v>
      </c>
    </row>
    <row r="642" spans="1:15" x14ac:dyDescent="0.35">
      <c r="A642" s="66" t="s">
        <v>2005</v>
      </c>
      <c r="B642" s="66" t="s">
        <v>2006</v>
      </c>
      <c r="C642" s="66" t="s">
        <v>38</v>
      </c>
      <c r="D642" s="66" t="s">
        <v>711</v>
      </c>
      <c r="E642" s="66" t="s">
        <v>997</v>
      </c>
      <c r="F642" s="75">
        <v>46133</v>
      </c>
      <c r="G642" s="75" t="s">
        <v>1006</v>
      </c>
      <c r="H642" s="66" t="s">
        <v>1007</v>
      </c>
      <c r="I642" s="66" t="s">
        <v>1084</v>
      </c>
      <c r="J642" s="66" t="s">
        <v>1084</v>
      </c>
      <c r="K642" s="75">
        <v>46030</v>
      </c>
      <c r="L642" s="66" t="s">
        <v>1020</v>
      </c>
      <c r="M642" s="66" t="s">
        <v>1010</v>
      </c>
      <c r="N642" s="66" t="s">
        <v>1574</v>
      </c>
      <c r="O642" s="66" t="s">
        <v>1599</v>
      </c>
    </row>
    <row r="643" spans="1:15" x14ac:dyDescent="0.35">
      <c r="A643" s="66" t="s">
        <v>2007</v>
      </c>
      <c r="B643" s="66" t="s">
        <v>2008</v>
      </c>
      <c r="C643" s="66" t="s">
        <v>167</v>
      </c>
      <c r="D643" s="66" t="s">
        <v>2009</v>
      </c>
      <c r="E643" s="66" t="s">
        <v>997</v>
      </c>
      <c r="F643" s="75">
        <v>46117</v>
      </c>
      <c r="G643" s="75" t="s">
        <v>1006</v>
      </c>
      <c r="H643" s="66" t="s">
        <v>1007</v>
      </c>
      <c r="I643" s="66" t="s">
        <v>1008</v>
      </c>
      <c r="J643" s="66" t="s">
        <v>1008</v>
      </c>
      <c r="K643" s="75">
        <v>46031</v>
      </c>
      <c r="L643" s="66" t="s">
        <v>1001</v>
      </c>
      <c r="M643" s="66" t="s">
        <v>1010</v>
      </c>
      <c r="N643" s="66" t="s">
        <v>1574</v>
      </c>
      <c r="O643" s="66" t="s">
        <v>1575</v>
      </c>
    </row>
    <row r="644" spans="1:15" x14ac:dyDescent="0.35">
      <c r="A644" s="66" t="s">
        <v>2010</v>
      </c>
      <c r="B644" s="66" t="s">
        <v>2011</v>
      </c>
      <c r="C644" s="66" t="s">
        <v>430</v>
      </c>
      <c r="D644" s="66" t="s">
        <v>1105</v>
      </c>
      <c r="E644" s="66" t="s">
        <v>997</v>
      </c>
      <c r="F644" s="75">
        <v>46115</v>
      </c>
      <c r="G644" s="75" t="s">
        <v>1006</v>
      </c>
      <c r="H644" s="66" t="s">
        <v>1007</v>
      </c>
      <c r="I644" s="66" t="s">
        <v>1028</v>
      </c>
      <c r="J644" s="66" t="s">
        <v>1028</v>
      </c>
      <c r="K644" s="75">
        <v>46031</v>
      </c>
      <c r="L644" s="66" t="s">
        <v>1020</v>
      </c>
      <c r="M644" s="66" t="s">
        <v>1010</v>
      </c>
      <c r="N644" s="66" t="s">
        <v>1574</v>
      </c>
      <c r="O644" s="66" t="s">
        <v>1575</v>
      </c>
    </row>
    <row r="645" spans="1:15" x14ac:dyDescent="0.35">
      <c r="A645" s="66" t="s">
        <v>2012</v>
      </c>
      <c r="B645" s="66" t="s">
        <v>2013</v>
      </c>
      <c r="C645" s="66" t="s">
        <v>42</v>
      </c>
      <c r="D645" s="66" t="s">
        <v>1262</v>
      </c>
      <c r="E645" s="66" t="s">
        <v>997</v>
      </c>
      <c r="F645" s="75">
        <v>46125</v>
      </c>
      <c r="G645" s="75" t="s">
        <v>1006</v>
      </c>
      <c r="H645" s="66" t="s">
        <v>1007</v>
      </c>
      <c r="I645" s="66" t="s">
        <v>1019</v>
      </c>
      <c r="J645" s="66" t="s">
        <v>1019</v>
      </c>
      <c r="K645" s="75">
        <v>46031</v>
      </c>
      <c r="L645" s="66" t="s">
        <v>1020</v>
      </c>
      <c r="M645" s="66" t="s">
        <v>1010</v>
      </c>
      <c r="N645" s="66" t="s">
        <v>1574</v>
      </c>
      <c r="O645" s="66" t="s">
        <v>1575</v>
      </c>
    </row>
    <row r="646" spans="1:15" x14ac:dyDescent="0.35">
      <c r="A646" s="66" t="s">
        <v>2014</v>
      </c>
      <c r="B646" s="66" t="s">
        <v>2015</v>
      </c>
      <c r="C646" s="66" t="s">
        <v>429</v>
      </c>
      <c r="D646" s="66" t="s">
        <v>1240</v>
      </c>
      <c r="E646" s="66" t="s">
        <v>997</v>
      </c>
      <c r="F646" s="75">
        <v>46116</v>
      </c>
      <c r="G646" s="75" t="s">
        <v>1006</v>
      </c>
      <c r="H646" s="66" t="s">
        <v>1007</v>
      </c>
      <c r="I646" s="66" t="s">
        <v>1028</v>
      </c>
      <c r="J646" s="66" t="s">
        <v>1028</v>
      </c>
      <c r="K646" s="75">
        <v>46037</v>
      </c>
      <c r="L646" s="66" t="s">
        <v>1020</v>
      </c>
      <c r="M646" s="66" t="s">
        <v>1010</v>
      </c>
      <c r="N646" s="66" t="s">
        <v>1574</v>
      </c>
      <c r="O646" s="66" t="s">
        <v>1575</v>
      </c>
    </row>
    <row r="647" spans="1:15" x14ac:dyDescent="0.35">
      <c r="A647" s="66" t="s">
        <v>2016</v>
      </c>
      <c r="B647" s="66" t="s">
        <v>2017</v>
      </c>
      <c r="C647" s="66" t="s">
        <v>19</v>
      </c>
      <c r="D647" s="66" t="s">
        <v>1255</v>
      </c>
      <c r="E647" s="66" t="s">
        <v>997</v>
      </c>
      <c r="F647" s="75">
        <v>46136</v>
      </c>
      <c r="G647" s="75" t="s">
        <v>1006</v>
      </c>
      <c r="H647" s="66" t="s">
        <v>1007</v>
      </c>
      <c r="I647" s="66" t="s">
        <v>1028</v>
      </c>
      <c r="J647" s="66" t="s">
        <v>1028</v>
      </c>
      <c r="K647" s="75">
        <v>46037</v>
      </c>
      <c r="L647" s="66" t="s">
        <v>1020</v>
      </c>
      <c r="M647" s="66" t="s">
        <v>1010</v>
      </c>
      <c r="N647" s="66" t="s">
        <v>1574</v>
      </c>
      <c r="O647" s="66" t="s">
        <v>1575</v>
      </c>
    </row>
    <row r="648" spans="1:15" x14ac:dyDescent="0.35">
      <c r="A648" s="66" t="s">
        <v>2018</v>
      </c>
      <c r="B648" s="66" t="s">
        <v>2019</v>
      </c>
      <c r="C648" s="66" t="s">
        <v>95</v>
      </c>
      <c r="D648" s="66" t="s">
        <v>1188</v>
      </c>
      <c r="E648" s="66" t="s">
        <v>997</v>
      </c>
      <c r="F648" s="75">
        <v>46142</v>
      </c>
      <c r="G648" s="75" t="s">
        <v>1006</v>
      </c>
      <c r="H648" s="66" t="s">
        <v>1007</v>
      </c>
      <c r="I648" s="66" t="s">
        <v>1028</v>
      </c>
      <c r="J648" s="66" t="s">
        <v>1028</v>
      </c>
      <c r="K648" s="75">
        <v>46042</v>
      </c>
      <c r="L648" s="66" t="s">
        <v>1020</v>
      </c>
      <c r="M648" s="66" t="s">
        <v>1010</v>
      </c>
      <c r="N648" s="66" t="s">
        <v>1574</v>
      </c>
      <c r="O648" s="66" t="s">
        <v>1575</v>
      </c>
    </row>
    <row r="649" spans="1:15" x14ac:dyDescent="0.35">
      <c r="A649" s="66" t="s">
        <v>2020</v>
      </c>
      <c r="B649" s="66" t="s">
        <v>2021</v>
      </c>
      <c r="C649" s="66" t="s">
        <v>80</v>
      </c>
      <c r="D649" s="66" t="s">
        <v>1022</v>
      </c>
      <c r="E649" s="66" t="s">
        <v>997</v>
      </c>
      <c r="F649" s="75">
        <v>46121</v>
      </c>
      <c r="G649" s="75" t="s">
        <v>1006</v>
      </c>
      <c r="H649" s="66" t="s">
        <v>1007</v>
      </c>
      <c r="I649" s="66" t="s">
        <v>1028</v>
      </c>
      <c r="J649" s="66" t="s">
        <v>1028</v>
      </c>
      <c r="K649" s="75">
        <v>46043</v>
      </c>
      <c r="L649" s="66" t="s">
        <v>1020</v>
      </c>
      <c r="M649" s="66" t="s">
        <v>1010</v>
      </c>
      <c r="N649" s="66" t="s">
        <v>1574</v>
      </c>
      <c r="O649" s="66" t="s">
        <v>1599</v>
      </c>
    </row>
    <row r="650" spans="1:15" x14ac:dyDescent="0.35">
      <c r="A650" s="66" t="s">
        <v>2022</v>
      </c>
      <c r="B650" s="66" t="s">
        <v>2023</v>
      </c>
      <c r="C650" s="66" t="s">
        <v>147</v>
      </c>
      <c r="D650" s="66" t="s">
        <v>1396</v>
      </c>
      <c r="E650" s="66" t="s">
        <v>997</v>
      </c>
      <c r="F650" s="75">
        <v>46118</v>
      </c>
      <c r="G650" s="75" t="s">
        <v>1006</v>
      </c>
      <c r="H650" s="66" t="s">
        <v>1007</v>
      </c>
      <c r="I650" s="66" t="s">
        <v>1028</v>
      </c>
      <c r="J650" s="66" t="s">
        <v>1009</v>
      </c>
      <c r="K650" s="75">
        <v>46045</v>
      </c>
      <c r="L650" s="66" t="s">
        <v>1020</v>
      </c>
      <c r="M650" s="66" t="s">
        <v>1010</v>
      </c>
      <c r="N650" s="66" t="s">
        <v>1574</v>
      </c>
      <c r="O650" s="66" t="s">
        <v>1599</v>
      </c>
    </row>
    <row r="651" spans="1:15" x14ac:dyDescent="0.35">
      <c r="A651" s="66" t="s">
        <v>2024</v>
      </c>
      <c r="B651" s="66" t="s">
        <v>2025</v>
      </c>
      <c r="C651" s="66" t="s">
        <v>26</v>
      </c>
      <c r="D651" s="66" t="s">
        <v>1124</v>
      </c>
      <c r="E651" s="66" t="s">
        <v>997</v>
      </c>
      <c r="F651" s="75">
        <v>46131</v>
      </c>
      <c r="G651" s="75" t="s">
        <v>1006</v>
      </c>
      <c r="H651" s="66" t="s">
        <v>1007</v>
      </c>
      <c r="I651" s="66" t="s">
        <v>1019</v>
      </c>
      <c r="J651" s="66" t="s">
        <v>1019</v>
      </c>
      <c r="K651" s="75">
        <v>46049</v>
      </c>
      <c r="L651" s="66" t="s">
        <v>1020</v>
      </c>
      <c r="M651" s="66" t="s">
        <v>1010</v>
      </c>
      <c r="N651" s="66" t="s">
        <v>1574</v>
      </c>
      <c r="O651" s="66" t="s">
        <v>1575</v>
      </c>
    </row>
    <row r="652" spans="1:15" x14ac:dyDescent="0.35">
      <c r="A652" s="66" t="s">
        <v>2026</v>
      </c>
      <c r="B652" s="66" t="s">
        <v>2027</v>
      </c>
      <c r="C652" s="66" t="s">
        <v>8</v>
      </c>
      <c r="D652" s="66" t="s">
        <v>1176</v>
      </c>
      <c r="E652" s="66" t="s">
        <v>997</v>
      </c>
      <c r="F652" s="75">
        <v>46119</v>
      </c>
      <c r="G652" s="75" t="s">
        <v>1006</v>
      </c>
      <c r="H652" s="66" t="s">
        <v>1007</v>
      </c>
      <c r="I652" s="66" t="s">
        <v>1028</v>
      </c>
      <c r="J652" s="66" t="s">
        <v>1028</v>
      </c>
      <c r="K652" s="75">
        <v>46049</v>
      </c>
      <c r="L652" s="66" t="s">
        <v>1020</v>
      </c>
      <c r="M652" s="66" t="s">
        <v>1010</v>
      </c>
      <c r="N652" s="66" t="s">
        <v>1574</v>
      </c>
      <c r="O652" s="66" t="s">
        <v>1599</v>
      </c>
    </row>
    <row r="653" spans="1:15" x14ac:dyDescent="0.35">
      <c r="A653" s="66" t="s">
        <v>2028</v>
      </c>
      <c r="B653" s="66" t="s">
        <v>2029</v>
      </c>
      <c r="C653" s="66" t="s">
        <v>189</v>
      </c>
      <c r="D653" s="66" t="s">
        <v>1369</v>
      </c>
      <c r="E653" s="66" t="s">
        <v>997</v>
      </c>
      <c r="F653" s="75">
        <v>46131</v>
      </c>
      <c r="G653" s="75" t="s">
        <v>1006</v>
      </c>
      <c r="H653" s="66" t="s">
        <v>1007</v>
      </c>
      <c r="I653" s="66" t="s">
        <v>1008</v>
      </c>
      <c r="J653" s="66" t="s">
        <v>1009</v>
      </c>
      <c r="K653" s="75">
        <v>46049</v>
      </c>
      <c r="L653" s="66" t="s">
        <v>1001</v>
      </c>
      <c r="M653" s="66" t="s">
        <v>1010</v>
      </c>
      <c r="N653" s="66" t="s">
        <v>1574</v>
      </c>
      <c r="O653" s="66" t="s">
        <v>1575</v>
      </c>
    </row>
    <row r="654" spans="1:15" x14ac:dyDescent="0.35">
      <c r="A654" s="66" t="s">
        <v>2030</v>
      </c>
      <c r="B654" s="66" t="s">
        <v>2031</v>
      </c>
      <c r="C654" s="66" t="s">
        <v>11</v>
      </c>
      <c r="D654" s="66" t="s">
        <v>627</v>
      </c>
      <c r="E654" s="66" t="s">
        <v>997</v>
      </c>
      <c r="F654" s="75">
        <v>46115</v>
      </c>
      <c r="G654" s="75" t="s">
        <v>1006</v>
      </c>
      <c r="H654" s="66" t="s">
        <v>1007</v>
      </c>
      <c r="I654" s="66" t="s">
        <v>1028</v>
      </c>
      <c r="J654" s="66" t="s">
        <v>1028</v>
      </c>
      <c r="K654" s="75">
        <v>46052</v>
      </c>
      <c r="L654" s="66" t="s">
        <v>1020</v>
      </c>
      <c r="M654" s="66" t="s">
        <v>1010</v>
      </c>
      <c r="N654" s="66" t="s">
        <v>1574</v>
      </c>
      <c r="O654" s="66" t="s">
        <v>1575</v>
      </c>
    </row>
    <row r="655" spans="1:15" x14ac:dyDescent="0.35">
      <c r="A655" s="66" t="s">
        <v>2032</v>
      </c>
      <c r="B655" s="66" t="s">
        <v>2033</v>
      </c>
      <c r="C655" s="66" t="s">
        <v>30</v>
      </c>
      <c r="D655" s="66" t="s">
        <v>672</v>
      </c>
      <c r="E655" s="66" t="s">
        <v>997</v>
      </c>
      <c r="F655" s="75">
        <v>46115</v>
      </c>
      <c r="G655" s="75" t="s">
        <v>1006</v>
      </c>
      <c r="H655" s="66" t="s">
        <v>1007</v>
      </c>
      <c r="I655" s="66" t="s">
        <v>1028</v>
      </c>
      <c r="J655" s="66" t="s">
        <v>1028</v>
      </c>
      <c r="K655" s="75">
        <v>46054</v>
      </c>
      <c r="L655" s="66" t="s">
        <v>1020</v>
      </c>
      <c r="M655" s="66" t="s">
        <v>1010</v>
      </c>
      <c r="N655" s="66" t="s">
        <v>1574</v>
      </c>
      <c r="O655" s="66" t="s">
        <v>1575</v>
      </c>
    </row>
    <row r="656" spans="1:15" x14ac:dyDescent="0.35">
      <c r="A656" s="66" t="s">
        <v>2034</v>
      </c>
      <c r="B656" s="66" t="s">
        <v>2035</v>
      </c>
      <c r="C656" s="66" t="s">
        <v>45</v>
      </c>
      <c r="D656" s="66" t="s">
        <v>1122</v>
      </c>
      <c r="E656" s="66" t="s">
        <v>997</v>
      </c>
      <c r="F656" s="75">
        <v>46113</v>
      </c>
      <c r="G656" s="75" t="s">
        <v>1006</v>
      </c>
      <c r="H656" s="66" t="s">
        <v>1007</v>
      </c>
      <c r="I656" s="66" t="s">
        <v>1028</v>
      </c>
      <c r="J656" s="66" t="s">
        <v>1028</v>
      </c>
      <c r="K656" s="75">
        <v>46055</v>
      </c>
      <c r="L656" s="66" t="s">
        <v>1020</v>
      </c>
      <c r="M656" s="66" t="s">
        <v>1010</v>
      </c>
      <c r="N656" s="66" t="s">
        <v>1574</v>
      </c>
      <c r="O656" s="66" t="s">
        <v>1575</v>
      </c>
    </row>
    <row r="657" spans="1:15" x14ac:dyDescent="0.35">
      <c r="A657" s="66" t="s">
        <v>2036</v>
      </c>
      <c r="B657" s="66" t="s">
        <v>2037</v>
      </c>
      <c r="C657" s="66" t="s">
        <v>42</v>
      </c>
      <c r="D657" s="66" t="s">
        <v>1262</v>
      </c>
      <c r="E657" s="66" t="s">
        <v>997</v>
      </c>
      <c r="F657" s="75">
        <v>46142</v>
      </c>
      <c r="G657" s="75" t="s">
        <v>1006</v>
      </c>
      <c r="H657" s="66" t="s">
        <v>1007</v>
      </c>
      <c r="I657" s="66" t="s">
        <v>1028</v>
      </c>
      <c r="J657" s="66" t="s">
        <v>1028</v>
      </c>
      <c r="K657" s="75">
        <v>46055</v>
      </c>
      <c r="L657" s="66" t="s">
        <v>1020</v>
      </c>
      <c r="M657" s="66" t="s">
        <v>1010</v>
      </c>
      <c r="N657" s="66" t="s">
        <v>1574</v>
      </c>
      <c r="O657" s="66" t="s">
        <v>1575</v>
      </c>
    </row>
    <row r="658" spans="1:15" x14ac:dyDescent="0.35">
      <c r="A658" s="66" t="s">
        <v>2038</v>
      </c>
      <c r="B658" s="66" t="s">
        <v>2039</v>
      </c>
      <c r="C658" s="66" t="s">
        <v>419</v>
      </c>
      <c r="D658" s="66" t="s">
        <v>695</v>
      </c>
      <c r="E658" s="66" t="s">
        <v>997</v>
      </c>
      <c r="F658" s="75">
        <v>46130</v>
      </c>
      <c r="G658" s="75" t="s">
        <v>1006</v>
      </c>
      <c r="H658" s="66" t="s">
        <v>1007</v>
      </c>
      <c r="I658" s="66" t="s">
        <v>1019</v>
      </c>
      <c r="J658" s="66" t="s">
        <v>1019</v>
      </c>
      <c r="K658" s="75">
        <v>46056</v>
      </c>
      <c r="L658" s="66" t="s">
        <v>1020</v>
      </c>
      <c r="M658" s="66" t="s">
        <v>1010</v>
      </c>
      <c r="N658" s="66" t="s">
        <v>1574</v>
      </c>
      <c r="O658" s="66" t="s">
        <v>1575</v>
      </c>
    </row>
    <row r="659" spans="1:15" x14ac:dyDescent="0.35">
      <c r="A659" s="66" t="s">
        <v>2040</v>
      </c>
      <c r="B659" s="66" t="s">
        <v>2041</v>
      </c>
      <c r="C659" s="66" t="s">
        <v>311</v>
      </c>
      <c r="D659" s="66" t="s">
        <v>1140</v>
      </c>
      <c r="E659" s="66" t="s">
        <v>997</v>
      </c>
      <c r="F659" s="75">
        <v>46116</v>
      </c>
      <c r="G659" s="75" t="s">
        <v>1006</v>
      </c>
      <c r="H659" s="66" t="s">
        <v>1007</v>
      </c>
      <c r="I659" s="66" t="s">
        <v>1028</v>
      </c>
      <c r="J659" s="66" t="s">
        <v>1028</v>
      </c>
      <c r="K659" s="75">
        <v>46056</v>
      </c>
      <c r="L659" s="66" t="s">
        <v>1020</v>
      </c>
      <c r="M659" s="66" t="s">
        <v>1010</v>
      </c>
      <c r="N659" s="66" t="s">
        <v>1574</v>
      </c>
      <c r="O659" s="66" t="s">
        <v>1575</v>
      </c>
    </row>
    <row r="660" spans="1:15" x14ac:dyDescent="0.35">
      <c r="A660" s="66" t="s">
        <v>2042</v>
      </c>
      <c r="B660" s="66" t="s">
        <v>2043</v>
      </c>
      <c r="C660" s="66" t="s">
        <v>147</v>
      </c>
      <c r="D660" s="66" t="s">
        <v>1396</v>
      </c>
      <c r="E660" s="66" t="s">
        <v>997</v>
      </c>
      <c r="F660" s="75">
        <v>46123</v>
      </c>
      <c r="G660" s="75" t="s">
        <v>1006</v>
      </c>
      <c r="H660" s="66" t="s">
        <v>1007</v>
      </c>
      <c r="I660" s="66" t="s">
        <v>1019</v>
      </c>
      <c r="J660" s="66" t="s">
        <v>1019</v>
      </c>
      <c r="K660" s="75">
        <v>46057</v>
      </c>
      <c r="L660" s="66" t="s">
        <v>1020</v>
      </c>
      <c r="M660" s="66" t="s">
        <v>1010</v>
      </c>
      <c r="N660" s="66" t="s">
        <v>1574</v>
      </c>
      <c r="O660" s="66" t="s">
        <v>1575</v>
      </c>
    </row>
    <row r="661" spans="1:15" x14ac:dyDescent="0.35">
      <c r="A661" s="66" t="s">
        <v>2044</v>
      </c>
      <c r="B661" s="66" t="s">
        <v>2045</v>
      </c>
      <c r="C661" s="66" t="s">
        <v>273</v>
      </c>
      <c r="D661" s="66" t="s">
        <v>1093</v>
      </c>
      <c r="E661" s="66" t="s">
        <v>997</v>
      </c>
      <c r="F661" s="75">
        <v>46128</v>
      </c>
      <c r="G661" s="75" t="s">
        <v>1006</v>
      </c>
      <c r="H661" s="66" t="s">
        <v>1007</v>
      </c>
      <c r="I661" s="66" t="s">
        <v>1008</v>
      </c>
      <c r="J661" s="66" t="s">
        <v>1008</v>
      </c>
      <c r="K661" s="75">
        <v>46057</v>
      </c>
      <c r="L661" s="66" t="s">
        <v>1001</v>
      </c>
      <c r="M661" s="66" t="s">
        <v>1010</v>
      </c>
      <c r="N661" s="66" t="s">
        <v>1574</v>
      </c>
      <c r="O661" s="66" t="s">
        <v>1599</v>
      </c>
    </row>
    <row r="662" spans="1:15" x14ac:dyDescent="0.35">
      <c r="A662" s="66" t="s">
        <v>2046</v>
      </c>
      <c r="B662" s="66" t="s">
        <v>2047</v>
      </c>
      <c r="C662" s="66" t="s">
        <v>282</v>
      </c>
      <c r="D662" s="66" t="s">
        <v>1417</v>
      </c>
      <c r="E662" s="66" t="s">
        <v>997</v>
      </c>
      <c r="F662" s="75">
        <v>46131</v>
      </c>
      <c r="G662" s="75" t="s">
        <v>1006</v>
      </c>
      <c r="H662" s="66" t="s">
        <v>1007</v>
      </c>
      <c r="I662" s="66" t="s">
        <v>1028</v>
      </c>
      <c r="J662" s="66" t="s">
        <v>1028</v>
      </c>
      <c r="K662" s="75">
        <v>46058</v>
      </c>
      <c r="L662" s="66" t="s">
        <v>1020</v>
      </c>
      <c r="M662" s="66" t="s">
        <v>1010</v>
      </c>
      <c r="N662" s="66" t="s">
        <v>1574</v>
      </c>
      <c r="O662" s="66" t="s">
        <v>1575</v>
      </c>
    </row>
    <row r="663" spans="1:15" x14ac:dyDescent="0.35">
      <c r="A663" s="66" t="s">
        <v>2048</v>
      </c>
      <c r="B663" s="66" t="s">
        <v>2049</v>
      </c>
      <c r="C663" s="66" t="s">
        <v>23</v>
      </c>
      <c r="D663" s="66" t="s">
        <v>660</v>
      </c>
      <c r="E663" s="66" t="s">
        <v>997</v>
      </c>
      <c r="F663" s="75">
        <v>46142</v>
      </c>
      <c r="G663" s="75" t="s">
        <v>1006</v>
      </c>
      <c r="H663" s="66" t="s">
        <v>1007</v>
      </c>
      <c r="I663" s="66" t="s">
        <v>1028</v>
      </c>
      <c r="J663" s="66" t="s">
        <v>1028</v>
      </c>
      <c r="K663" s="75">
        <v>46058</v>
      </c>
      <c r="L663" s="66" t="s">
        <v>1020</v>
      </c>
      <c r="M663" s="66" t="s">
        <v>1010</v>
      </c>
      <c r="N663" s="66" t="s">
        <v>1574</v>
      </c>
      <c r="O663" s="66" t="s">
        <v>1599</v>
      </c>
    </row>
    <row r="664" spans="1:15" x14ac:dyDescent="0.35">
      <c r="A664" s="66" t="s">
        <v>2050</v>
      </c>
      <c r="B664" s="66" t="s">
        <v>2051</v>
      </c>
      <c r="C664" s="66" t="s">
        <v>45</v>
      </c>
      <c r="D664" s="66" t="s">
        <v>1122</v>
      </c>
      <c r="E664" s="66" t="s">
        <v>997</v>
      </c>
      <c r="F664" s="75">
        <v>46128</v>
      </c>
      <c r="G664" s="75" t="s">
        <v>1006</v>
      </c>
      <c r="H664" s="66" t="s">
        <v>1007</v>
      </c>
      <c r="I664" s="66" t="s">
        <v>1028</v>
      </c>
      <c r="J664" s="66" t="s">
        <v>1028</v>
      </c>
      <c r="K664" s="75">
        <v>46059</v>
      </c>
      <c r="L664" s="66" t="s">
        <v>1020</v>
      </c>
      <c r="M664" s="66" t="s">
        <v>1010</v>
      </c>
      <c r="N664" s="66" t="s">
        <v>1574</v>
      </c>
      <c r="O664" s="66" t="s">
        <v>1599</v>
      </c>
    </row>
    <row r="665" spans="1:15" x14ac:dyDescent="0.35">
      <c r="A665" s="66" t="s">
        <v>2052</v>
      </c>
      <c r="B665" s="66" t="s">
        <v>2053</v>
      </c>
      <c r="C665" s="66" t="s">
        <v>73</v>
      </c>
      <c r="D665" s="66" t="s">
        <v>1178</v>
      </c>
      <c r="E665" s="66" t="s">
        <v>997</v>
      </c>
      <c r="F665" s="75">
        <v>46125</v>
      </c>
      <c r="G665" s="75" t="s">
        <v>1006</v>
      </c>
      <c r="H665" s="66" t="s">
        <v>1007</v>
      </c>
      <c r="I665" s="66" t="s">
        <v>1028</v>
      </c>
      <c r="J665" s="66" t="s">
        <v>1028</v>
      </c>
      <c r="K665" s="75">
        <v>46060</v>
      </c>
      <c r="L665" s="66" t="s">
        <v>1020</v>
      </c>
      <c r="M665" s="66" t="s">
        <v>1010</v>
      </c>
      <c r="N665" s="66" t="s">
        <v>1574</v>
      </c>
      <c r="O665" s="66" t="s">
        <v>1599</v>
      </c>
    </row>
    <row r="666" spans="1:15" x14ac:dyDescent="0.35">
      <c r="A666" s="66" t="s">
        <v>2054</v>
      </c>
      <c r="B666" s="66" t="s">
        <v>2055</v>
      </c>
      <c r="C666" s="66" t="s">
        <v>13</v>
      </c>
      <c r="D666" s="66" t="s">
        <v>1467</v>
      </c>
      <c r="E666" s="66" t="s">
        <v>997</v>
      </c>
      <c r="F666" s="75">
        <v>46125</v>
      </c>
      <c r="G666" s="75" t="s">
        <v>1006</v>
      </c>
      <c r="H666" s="66" t="s">
        <v>1007</v>
      </c>
      <c r="I666" s="66" t="s">
        <v>1028</v>
      </c>
      <c r="J666" s="66" t="s">
        <v>1028</v>
      </c>
      <c r="K666" s="75">
        <v>46063</v>
      </c>
      <c r="L666" s="66" t="s">
        <v>1020</v>
      </c>
      <c r="M666" s="66" t="s">
        <v>1010</v>
      </c>
      <c r="N666" s="66" t="s">
        <v>1574</v>
      </c>
      <c r="O666" s="66" t="s">
        <v>1575</v>
      </c>
    </row>
    <row r="667" spans="1:15" x14ac:dyDescent="0.35">
      <c r="A667" s="66" t="s">
        <v>2056</v>
      </c>
      <c r="B667" s="66" t="s">
        <v>2057</v>
      </c>
      <c r="C667" s="66" t="s">
        <v>181</v>
      </c>
      <c r="D667" s="66" t="s">
        <v>1374</v>
      </c>
      <c r="E667" s="66" t="s">
        <v>997</v>
      </c>
      <c r="F667" s="75">
        <v>46131</v>
      </c>
      <c r="G667" s="75" t="s">
        <v>1006</v>
      </c>
      <c r="H667" s="66" t="s">
        <v>1007</v>
      </c>
      <c r="I667" s="66" t="s">
        <v>1019</v>
      </c>
      <c r="J667" s="66" t="s">
        <v>1019</v>
      </c>
      <c r="K667" s="75">
        <v>46064</v>
      </c>
      <c r="L667" s="66" t="s">
        <v>1020</v>
      </c>
      <c r="M667" s="66" t="s">
        <v>1010</v>
      </c>
      <c r="N667" s="66" t="s">
        <v>1574</v>
      </c>
      <c r="O667" s="66" t="s">
        <v>1575</v>
      </c>
    </row>
    <row r="668" spans="1:15" x14ac:dyDescent="0.35">
      <c r="A668" s="66" t="s">
        <v>2058</v>
      </c>
      <c r="B668" s="66" t="s">
        <v>2059</v>
      </c>
      <c r="C668" s="66" t="s">
        <v>60</v>
      </c>
      <c r="D668" s="66" t="s">
        <v>1119</v>
      </c>
      <c r="E668" s="66" t="s">
        <v>997</v>
      </c>
      <c r="F668" s="75">
        <v>46116</v>
      </c>
      <c r="G668" s="75" t="s">
        <v>1006</v>
      </c>
      <c r="H668" s="66" t="s">
        <v>1007</v>
      </c>
      <c r="I668" s="66" t="s">
        <v>1028</v>
      </c>
      <c r="J668" s="66" t="s">
        <v>1009</v>
      </c>
      <c r="K668" s="75">
        <v>46065</v>
      </c>
      <c r="L668" s="66" t="s">
        <v>1020</v>
      </c>
      <c r="M668" s="66" t="s">
        <v>1010</v>
      </c>
      <c r="N668" s="66" t="s">
        <v>1574</v>
      </c>
      <c r="O668" s="66" t="s">
        <v>1599</v>
      </c>
    </row>
    <row r="669" spans="1:15" x14ac:dyDescent="0.35">
      <c r="A669" s="66" t="s">
        <v>2060</v>
      </c>
      <c r="B669" s="66" t="s">
        <v>2061</v>
      </c>
      <c r="C669" s="66" t="s">
        <v>147</v>
      </c>
      <c r="D669" s="66" t="s">
        <v>1396</v>
      </c>
      <c r="E669" s="66" t="s">
        <v>997</v>
      </c>
      <c r="F669" s="75">
        <v>46141</v>
      </c>
      <c r="G669" s="75" t="s">
        <v>1006</v>
      </c>
      <c r="H669" s="66" t="s">
        <v>1007</v>
      </c>
      <c r="I669" s="66" t="s">
        <v>1028</v>
      </c>
      <c r="J669" s="66" t="s">
        <v>1028</v>
      </c>
      <c r="K669" s="75">
        <v>46065</v>
      </c>
      <c r="L669" s="66" t="s">
        <v>1020</v>
      </c>
      <c r="M669" s="66" t="s">
        <v>1010</v>
      </c>
      <c r="N669" s="66" t="s">
        <v>1574</v>
      </c>
      <c r="O669" s="66" t="s">
        <v>1599</v>
      </c>
    </row>
    <row r="670" spans="1:15" x14ac:dyDescent="0.35">
      <c r="A670" s="66" t="s">
        <v>2062</v>
      </c>
      <c r="B670" s="66" t="s">
        <v>2063</v>
      </c>
      <c r="C670" s="66" t="s">
        <v>278</v>
      </c>
      <c r="D670" s="66" t="s">
        <v>1131</v>
      </c>
      <c r="E670" s="66" t="s">
        <v>997</v>
      </c>
      <c r="F670" s="75">
        <v>46116</v>
      </c>
      <c r="G670" s="75" t="s">
        <v>1006</v>
      </c>
      <c r="H670" s="66" t="s">
        <v>1007</v>
      </c>
      <c r="I670" s="66" t="s">
        <v>1028</v>
      </c>
      <c r="J670" s="66" t="s">
        <v>1028</v>
      </c>
      <c r="K670" s="75">
        <v>46065</v>
      </c>
      <c r="L670" s="66" t="s">
        <v>1020</v>
      </c>
      <c r="M670" s="66" t="s">
        <v>1010</v>
      </c>
      <c r="N670" s="66" t="s">
        <v>1574</v>
      </c>
      <c r="O670" s="66" t="s">
        <v>1575</v>
      </c>
    </row>
    <row r="671" spans="1:15" x14ac:dyDescent="0.35">
      <c r="A671" s="66" t="s">
        <v>2064</v>
      </c>
      <c r="B671" s="66" t="s">
        <v>2065</v>
      </c>
      <c r="C671" s="66" t="s">
        <v>313</v>
      </c>
      <c r="D671" s="66" t="s">
        <v>1401</v>
      </c>
      <c r="E671" s="66" t="s">
        <v>997</v>
      </c>
      <c r="F671" s="75">
        <v>46114</v>
      </c>
      <c r="G671" s="75" t="s">
        <v>1006</v>
      </c>
      <c r="H671" s="66" t="s">
        <v>1007</v>
      </c>
      <c r="I671" s="66" t="s">
        <v>1028</v>
      </c>
      <c r="J671" s="66" t="s">
        <v>1028</v>
      </c>
      <c r="K671" s="75">
        <v>46065</v>
      </c>
      <c r="L671" s="66" t="s">
        <v>1020</v>
      </c>
      <c r="M671" s="66" t="s">
        <v>1010</v>
      </c>
      <c r="N671" s="66" t="s">
        <v>1574</v>
      </c>
      <c r="O671" s="66" t="s">
        <v>1575</v>
      </c>
    </row>
    <row r="672" spans="1:15" x14ac:dyDescent="0.35">
      <c r="A672" s="66" t="s">
        <v>2066</v>
      </c>
      <c r="B672" s="66" t="s">
        <v>2067</v>
      </c>
      <c r="C672" s="66" t="s">
        <v>373</v>
      </c>
      <c r="D672" s="66" t="s">
        <v>1033</v>
      </c>
      <c r="E672" s="66" t="s">
        <v>997</v>
      </c>
      <c r="F672" s="75">
        <v>46129</v>
      </c>
      <c r="G672" s="75" t="s">
        <v>1006</v>
      </c>
      <c r="H672" s="66" t="s">
        <v>1007</v>
      </c>
      <c r="I672" s="66" t="s">
        <v>1028</v>
      </c>
      <c r="J672" s="66" t="s">
        <v>1028</v>
      </c>
      <c r="K672" s="75">
        <v>46066</v>
      </c>
      <c r="L672" s="66" t="s">
        <v>1020</v>
      </c>
      <c r="M672" s="66" t="s">
        <v>1010</v>
      </c>
      <c r="N672" s="66" t="s">
        <v>1574</v>
      </c>
      <c r="O672" s="66" t="s">
        <v>1575</v>
      </c>
    </row>
    <row r="673" spans="1:15" x14ac:dyDescent="0.35">
      <c r="A673" s="66" t="s">
        <v>2068</v>
      </c>
      <c r="B673" s="66" t="s">
        <v>2069</v>
      </c>
      <c r="C673" s="66" t="s">
        <v>266</v>
      </c>
      <c r="D673" s="66" t="s">
        <v>2070</v>
      </c>
      <c r="E673" s="66" t="s">
        <v>997</v>
      </c>
      <c r="F673" s="75">
        <v>46140</v>
      </c>
      <c r="G673" s="75" t="s">
        <v>1006</v>
      </c>
      <c r="H673" s="66" t="s">
        <v>1007</v>
      </c>
      <c r="I673" s="66" t="s">
        <v>1028</v>
      </c>
      <c r="J673" s="66" t="s">
        <v>1009</v>
      </c>
      <c r="K673" s="75">
        <v>46067</v>
      </c>
      <c r="L673" s="66" t="s">
        <v>1020</v>
      </c>
      <c r="M673" s="66" t="s">
        <v>1010</v>
      </c>
      <c r="N673" s="66" t="s">
        <v>1574</v>
      </c>
      <c r="O673" s="66" t="s">
        <v>1575</v>
      </c>
    </row>
    <row r="674" spans="1:15" x14ac:dyDescent="0.35">
      <c r="A674" s="66" t="s">
        <v>2071</v>
      </c>
      <c r="B674" s="66" t="s">
        <v>2072</v>
      </c>
      <c r="C674" s="66" t="s">
        <v>600</v>
      </c>
      <c r="D674" s="66" t="s">
        <v>1201</v>
      </c>
      <c r="E674" s="66" t="s">
        <v>997</v>
      </c>
      <c r="F674" s="75">
        <v>46138</v>
      </c>
      <c r="G674" s="75" t="s">
        <v>1006</v>
      </c>
      <c r="H674" s="66" t="s">
        <v>1007</v>
      </c>
      <c r="I674" s="66" t="s">
        <v>1028</v>
      </c>
      <c r="J674" s="66" t="s">
        <v>1028</v>
      </c>
      <c r="K674" s="75">
        <v>46070</v>
      </c>
      <c r="L674" s="66" t="s">
        <v>1020</v>
      </c>
      <c r="M674" s="66" t="s">
        <v>1010</v>
      </c>
      <c r="N674" s="66" t="s">
        <v>1574</v>
      </c>
      <c r="O674" s="66" t="s">
        <v>1575</v>
      </c>
    </row>
    <row r="675" spans="1:15" x14ac:dyDescent="0.35">
      <c r="A675" s="66" t="s">
        <v>2073</v>
      </c>
      <c r="B675" s="66" t="s">
        <v>2074</v>
      </c>
      <c r="C675" s="66" t="s">
        <v>302</v>
      </c>
      <c r="D675" s="66" t="s">
        <v>1053</v>
      </c>
      <c r="E675" s="66" t="s">
        <v>997</v>
      </c>
      <c r="F675" s="75">
        <v>46131</v>
      </c>
      <c r="G675" s="75" t="s">
        <v>1006</v>
      </c>
      <c r="H675" s="66" t="s">
        <v>1007</v>
      </c>
      <c r="I675" s="66" t="s">
        <v>1028</v>
      </c>
      <c r="J675" s="66" t="s">
        <v>1028</v>
      </c>
      <c r="K675" s="75">
        <v>46072</v>
      </c>
      <c r="L675" s="66" t="s">
        <v>1020</v>
      </c>
      <c r="M675" s="66" t="s">
        <v>1010</v>
      </c>
      <c r="N675" s="66" t="s">
        <v>1574</v>
      </c>
      <c r="O675" s="66" t="s">
        <v>1575</v>
      </c>
    </row>
    <row r="676" spans="1:15" x14ac:dyDescent="0.35">
      <c r="A676" s="66" t="s">
        <v>2075</v>
      </c>
      <c r="B676" s="66" t="s">
        <v>2076</v>
      </c>
      <c r="C676" s="66" t="s">
        <v>318</v>
      </c>
      <c r="D676" s="66" t="s">
        <v>1266</v>
      </c>
      <c r="E676" s="66" t="s">
        <v>997</v>
      </c>
      <c r="F676" s="75">
        <v>46131</v>
      </c>
      <c r="G676" s="75" t="s">
        <v>1006</v>
      </c>
      <c r="H676" s="66" t="s">
        <v>1007</v>
      </c>
      <c r="I676" s="66" t="s">
        <v>1019</v>
      </c>
      <c r="J676" s="66" t="s">
        <v>1019</v>
      </c>
      <c r="K676" s="75">
        <v>46073</v>
      </c>
      <c r="L676" s="66" t="s">
        <v>1020</v>
      </c>
      <c r="M676" s="66" t="s">
        <v>1010</v>
      </c>
      <c r="N676" s="66" t="s">
        <v>1574</v>
      </c>
      <c r="O676" s="66" t="s">
        <v>1575</v>
      </c>
    </row>
    <row r="677" spans="1:15" x14ac:dyDescent="0.35">
      <c r="A677" s="66" t="s">
        <v>2077</v>
      </c>
      <c r="B677" s="66" t="s">
        <v>2078</v>
      </c>
      <c r="C677" s="66" t="s">
        <v>278</v>
      </c>
      <c r="D677" s="66" t="s">
        <v>1131</v>
      </c>
      <c r="E677" s="66" t="s">
        <v>997</v>
      </c>
      <c r="F677" s="75">
        <v>46135</v>
      </c>
      <c r="G677" s="75" t="s">
        <v>1498</v>
      </c>
      <c r="H677" s="66" t="s">
        <v>1044</v>
      </c>
      <c r="I677" s="66" t="s">
        <v>1028</v>
      </c>
      <c r="J677" s="66" t="s">
        <v>1028</v>
      </c>
      <c r="K677" s="75">
        <v>46073</v>
      </c>
      <c r="L677" s="66" t="s">
        <v>1020</v>
      </c>
      <c r="M677" s="66" t="s">
        <v>1010</v>
      </c>
      <c r="N677" s="66" t="s">
        <v>1574</v>
      </c>
      <c r="O677" s="66" t="s">
        <v>1575</v>
      </c>
    </row>
    <row r="678" spans="1:15" x14ac:dyDescent="0.35">
      <c r="A678" s="66" t="s">
        <v>2079</v>
      </c>
      <c r="B678" s="66" t="s">
        <v>2080</v>
      </c>
      <c r="C678" s="66" t="s">
        <v>401</v>
      </c>
      <c r="D678" s="66" t="s">
        <v>1314</v>
      </c>
      <c r="E678" s="66" t="s">
        <v>997</v>
      </c>
      <c r="F678" s="75">
        <v>46123</v>
      </c>
      <c r="G678" s="75" t="s">
        <v>1006</v>
      </c>
      <c r="H678" s="66" t="s">
        <v>1007</v>
      </c>
      <c r="I678" s="66" t="s">
        <v>1028</v>
      </c>
      <c r="J678" s="66" t="s">
        <v>1028</v>
      </c>
      <c r="K678" s="75">
        <v>46077</v>
      </c>
      <c r="L678" s="66" t="s">
        <v>1020</v>
      </c>
      <c r="M678" s="66" t="s">
        <v>1010</v>
      </c>
      <c r="N678" s="66" t="s">
        <v>1574</v>
      </c>
      <c r="O678" s="66" t="s">
        <v>1575</v>
      </c>
    </row>
    <row r="679" spans="1:15" x14ac:dyDescent="0.35">
      <c r="A679" s="66" t="s">
        <v>2081</v>
      </c>
      <c r="B679" s="66" t="s">
        <v>2082</v>
      </c>
      <c r="C679" s="66" t="s">
        <v>375</v>
      </c>
      <c r="D679" s="66" t="s">
        <v>1270</v>
      </c>
      <c r="E679" s="66" t="s">
        <v>997</v>
      </c>
      <c r="F679" s="75">
        <v>46140</v>
      </c>
      <c r="G679" s="75" t="s">
        <v>1006</v>
      </c>
      <c r="H679" s="66" t="s">
        <v>1007</v>
      </c>
      <c r="I679" s="66" t="s">
        <v>1008</v>
      </c>
      <c r="J679" s="66" t="s">
        <v>1009</v>
      </c>
      <c r="K679" s="75">
        <v>46077</v>
      </c>
      <c r="L679" s="66" t="s">
        <v>1001</v>
      </c>
      <c r="M679" s="66" t="s">
        <v>1010</v>
      </c>
      <c r="N679" s="66" t="s">
        <v>1574</v>
      </c>
      <c r="O679" s="66" t="s">
        <v>1599</v>
      </c>
    </row>
    <row r="680" spans="1:15" x14ac:dyDescent="0.35">
      <c r="A680" s="66" t="s">
        <v>2083</v>
      </c>
      <c r="B680" s="66" t="s">
        <v>2084</v>
      </c>
      <c r="C680" s="66" t="s">
        <v>341</v>
      </c>
      <c r="D680" s="66" t="s">
        <v>1264</v>
      </c>
      <c r="E680" s="66" t="s">
        <v>997</v>
      </c>
      <c r="F680" s="75">
        <v>46140</v>
      </c>
      <c r="G680" s="75" t="s">
        <v>1006</v>
      </c>
      <c r="H680" s="66" t="s">
        <v>1007</v>
      </c>
      <c r="I680" s="66" t="s">
        <v>1008</v>
      </c>
      <c r="J680" s="66" t="s">
        <v>1008</v>
      </c>
      <c r="K680" s="75">
        <v>46077</v>
      </c>
      <c r="L680" s="66" t="s">
        <v>1001</v>
      </c>
      <c r="M680" s="66" t="s">
        <v>1010</v>
      </c>
      <c r="N680" s="66" t="s">
        <v>1574</v>
      </c>
      <c r="O680" s="66" t="s">
        <v>1599</v>
      </c>
    </row>
    <row r="681" spans="1:15" x14ac:dyDescent="0.35">
      <c r="A681" s="66" t="s">
        <v>2085</v>
      </c>
      <c r="B681" s="66" t="s">
        <v>2086</v>
      </c>
      <c r="C681" s="66" t="s">
        <v>426</v>
      </c>
      <c r="D681" s="66" t="s">
        <v>1220</v>
      </c>
      <c r="E681" s="66" t="s">
        <v>997</v>
      </c>
      <c r="F681" s="75">
        <v>46116</v>
      </c>
      <c r="G681" s="75" t="s">
        <v>1006</v>
      </c>
      <c r="H681" s="66" t="s">
        <v>1007</v>
      </c>
      <c r="I681" s="66" t="s">
        <v>1028</v>
      </c>
      <c r="J681" s="66" t="s">
        <v>1028</v>
      </c>
      <c r="K681" s="75">
        <v>46078</v>
      </c>
      <c r="L681" s="66" t="s">
        <v>1020</v>
      </c>
      <c r="M681" s="66" t="s">
        <v>1010</v>
      </c>
      <c r="N681" s="66" t="s">
        <v>1574</v>
      </c>
      <c r="O681" s="66" t="s">
        <v>1575</v>
      </c>
    </row>
    <row r="682" spans="1:15" x14ac:dyDescent="0.35">
      <c r="A682" s="66" t="s">
        <v>2087</v>
      </c>
      <c r="B682" s="66" t="s">
        <v>2088</v>
      </c>
      <c r="C682" s="66" t="s">
        <v>38</v>
      </c>
      <c r="D682" s="66" t="s">
        <v>711</v>
      </c>
      <c r="E682" s="66" t="s">
        <v>997</v>
      </c>
      <c r="F682" s="75">
        <v>46142</v>
      </c>
      <c r="G682" s="75" t="s">
        <v>1006</v>
      </c>
      <c r="H682" s="66" t="s">
        <v>1007</v>
      </c>
      <c r="I682" s="66" t="s">
        <v>1028</v>
      </c>
      <c r="J682" s="66" t="s">
        <v>1028</v>
      </c>
      <c r="K682" s="75">
        <v>46082</v>
      </c>
      <c r="L682" s="66" t="s">
        <v>1020</v>
      </c>
      <c r="M682" s="66" t="s">
        <v>1010</v>
      </c>
      <c r="N682" s="66" t="s">
        <v>1574</v>
      </c>
      <c r="O682" s="66" t="s">
        <v>1575</v>
      </c>
    </row>
    <row r="683" spans="1:15" x14ac:dyDescent="0.35">
      <c r="A683" s="66" t="s">
        <v>2089</v>
      </c>
      <c r="B683" s="66" t="s">
        <v>2090</v>
      </c>
      <c r="C683" s="66" t="s">
        <v>318</v>
      </c>
      <c r="D683" s="66" t="s">
        <v>1266</v>
      </c>
      <c r="E683" s="66" t="s">
        <v>997</v>
      </c>
      <c r="F683" s="75">
        <v>46121</v>
      </c>
      <c r="G683" s="75" t="s">
        <v>1006</v>
      </c>
      <c r="H683" s="66" t="s">
        <v>1007</v>
      </c>
      <c r="I683" s="66" t="s">
        <v>1028</v>
      </c>
      <c r="J683" s="66" t="s">
        <v>1028</v>
      </c>
      <c r="K683" s="75">
        <v>46082</v>
      </c>
      <c r="L683" s="66" t="s">
        <v>1020</v>
      </c>
      <c r="M683" s="66" t="s">
        <v>1010</v>
      </c>
      <c r="N683" s="66" t="s">
        <v>1574</v>
      </c>
      <c r="O683" s="66" t="s">
        <v>1575</v>
      </c>
    </row>
    <row r="684" spans="1:15" x14ac:dyDescent="0.35">
      <c r="A684" s="66" t="s">
        <v>2091</v>
      </c>
      <c r="B684" s="66" t="s">
        <v>2092</v>
      </c>
      <c r="C684" s="66" t="s">
        <v>426</v>
      </c>
      <c r="D684" s="66" t="s">
        <v>1220</v>
      </c>
      <c r="E684" s="66" t="s">
        <v>997</v>
      </c>
      <c r="F684" s="75">
        <v>46142</v>
      </c>
      <c r="G684" s="75" t="s">
        <v>1006</v>
      </c>
      <c r="H684" s="66" t="s">
        <v>1007</v>
      </c>
      <c r="I684" s="66" t="s">
        <v>1028</v>
      </c>
      <c r="J684" s="66" t="s">
        <v>1028</v>
      </c>
      <c r="K684" s="75">
        <v>46082</v>
      </c>
      <c r="L684" s="66" t="s">
        <v>1020</v>
      </c>
      <c r="M684" s="66" t="s">
        <v>1010</v>
      </c>
      <c r="N684" s="66" t="s">
        <v>1574</v>
      </c>
      <c r="O684" s="66" t="s">
        <v>1575</v>
      </c>
    </row>
    <row r="685" spans="1:15" x14ac:dyDescent="0.35">
      <c r="A685" s="66" t="s">
        <v>2093</v>
      </c>
      <c r="B685" s="66" t="s">
        <v>2094</v>
      </c>
      <c r="C685" s="66" t="s">
        <v>426</v>
      </c>
      <c r="D685" s="66" t="s">
        <v>1220</v>
      </c>
      <c r="E685" s="66" t="s">
        <v>997</v>
      </c>
      <c r="F685" s="75">
        <v>46142</v>
      </c>
      <c r="G685" s="75" t="s">
        <v>1006</v>
      </c>
      <c r="H685" s="66" t="s">
        <v>1007</v>
      </c>
      <c r="I685" s="66" t="s">
        <v>1028</v>
      </c>
      <c r="J685" s="66" t="s">
        <v>1028</v>
      </c>
      <c r="K685" s="75">
        <v>46082</v>
      </c>
      <c r="L685" s="66" t="s">
        <v>1020</v>
      </c>
      <c r="M685" s="66" t="s">
        <v>1010</v>
      </c>
      <c r="N685" s="66" t="s">
        <v>1574</v>
      </c>
      <c r="O685" s="66" t="s">
        <v>1599</v>
      </c>
    </row>
    <row r="686" spans="1:15" x14ac:dyDescent="0.35">
      <c r="A686" s="66" t="s">
        <v>2095</v>
      </c>
      <c r="B686" s="66" t="s">
        <v>2096</v>
      </c>
      <c r="C686" s="66" t="s">
        <v>24</v>
      </c>
      <c r="D686" s="66" t="s">
        <v>2097</v>
      </c>
      <c r="E686" s="66" t="s">
        <v>997</v>
      </c>
      <c r="F686" s="75">
        <v>46115</v>
      </c>
      <c r="G686" s="75" t="s">
        <v>1006</v>
      </c>
      <c r="H686" s="66" t="s">
        <v>1007</v>
      </c>
      <c r="I686" s="66" t="s">
        <v>1028</v>
      </c>
      <c r="J686" s="66" t="s">
        <v>1028</v>
      </c>
      <c r="K686" s="75">
        <v>46082</v>
      </c>
      <c r="L686" s="66" t="s">
        <v>1020</v>
      </c>
      <c r="M686" s="66" t="s">
        <v>1010</v>
      </c>
      <c r="N686" s="66" t="s">
        <v>1574</v>
      </c>
      <c r="O686" s="66" t="s">
        <v>1599</v>
      </c>
    </row>
    <row r="687" spans="1:15" x14ac:dyDescent="0.35">
      <c r="A687" s="66" t="s">
        <v>2098</v>
      </c>
      <c r="B687" s="66" t="s">
        <v>2099</v>
      </c>
      <c r="C687" s="66" t="s">
        <v>49</v>
      </c>
      <c r="D687" s="66" t="s">
        <v>1213</v>
      </c>
      <c r="E687" s="66" t="s">
        <v>997</v>
      </c>
      <c r="F687" s="75">
        <v>46137</v>
      </c>
      <c r="G687" s="75" t="s">
        <v>1006</v>
      </c>
      <c r="H687" s="66" t="s">
        <v>1007</v>
      </c>
      <c r="I687" s="66" t="s">
        <v>1008</v>
      </c>
      <c r="J687" s="66" t="s">
        <v>1008</v>
      </c>
      <c r="K687" s="75">
        <v>46084</v>
      </c>
      <c r="L687" s="66" t="s">
        <v>1001</v>
      </c>
      <c r="M687" s="66" t="s">
        <v>1010</v>
      </c>
      <c r="N687" s="66" t="s">
        <v>1574</v>
      </c>
      <c r="O687" s="66" t="s">
        <v>1575</v>
      </c>
    </row>
    <row r="688" spans="1:15" x14ac:dyDescent="0.35">
      <c r="A688" s="66" t="s">
        <v>2100</v>
      </c>
      <c r="B688" s="66" t="s">
        <v>2101</v>
      </c>
      <c r="C688" s="66" t="s">
        <v>318</v>
      </c>
      <c r="D688" s="66" t="s">
        <v>1266</v>
      </c>
      <c r="E688" s="66" t="s">
        <v>997</v>
      </c>
      <c r="F688" s="75">
        <v>46142</v>
      </c>
      <c r="G688" s="75" t="s">
        <v>1006</v>
      </c>
      <c r="H688" s="66" t="s">
        <v>1007</v>
      </c>
      <c r="I688" s="66" t="s">
        <v>1028</v>
      </c>
      <c r="J688" s="66" t="s">
        <v>1028</v>
      </c>
      <c r="K688" s="75">
        <v>46085</v>
      </c>
      <c r="L688" s="66" t="s">
        <v>1020</v>
      </c>
      <c r="M688" s="66" t="s">
        <v>1010</v>
      </c>
      <c r="N688" s="66" t="s">
        <v>1574</v>
      </c>
      <c r="O688" s="66" t="s">
        <v>1575</v>
      </c>
    </row>
    <row r="689" spans="1:15" x14ac:dyDescent="0.35">
      <c r="A689" s="66" t="s">
        <v>2102</v>
      </c>
      <c r="B689" s="66" t="s">
        <v>2103</v>
      </c>
      <c r="C689" s="66" t="s">
        <v>318</v>
      </c>
      <c r="D689" s="66" t="s">
        <v>1266</v>
      </c>
      <c r="E689" s="66" t="s">
        <v>997</v>
      </c>
      <c r="F689" s="75">
        <v>46142</v>
      </c>
      <c r="G689" s="75" t="s">
        <v>1006</v>
      </c>
      <c r="H689" s="66" t="s">
        <v>1007</v>
      </c>
      <c r="I689" s="66" t="s">
        <v>1019</v>
      </c>
      <c r="J689" s="66" t="s">
        <v>1019</v>
      </c>
      <c r="K689" s="75">
        <v>46085</v>
      </c>
      <c r="L689" s="66" t="s">
        <v>1020</v>
      </c>
      <c r="M689" s="66" t="s">
        <v>1010</v>
      </c>
      <c r="N689" s="66" t="s">
        <v>1574</v>
      </c>
      <c r="O689" s="66" t="s">
        <v>1575</v>
      </c>
    </row>
    <row r="690" spans="1:15" x14ac:dyDescent="0.35">
      <c r="A690" s="66" t="s">
        <v>2104</v>
      </c>
      <c r="B690" s="66" t="s">
        <v>2105</v>
      </c>
      <c r="C690" s="66" t="s">
        <v>13</v>
      </c>
      <c r="D690" s="66" t="s">
        <v>1467</v>
      </c>
      <c r="E690" s="66" t="s">
        <v>997</v>
      </c>
      <c r="F690" s="75">
        <v>46128</v>
      </c>
      <c r="G690" s="75" t="s">
        <v>1006</v>
      </c>
      <c r="H690" s="66" t="s">
        <v>1007</v>
      </c>
      <c r="I690" s="66" t="s">
        <v>1028</v>
      </c>
      <c r="J690" s="66" t="s">
        <v>1028</v>
      </c>
      <c r="K690" s="75">
        <v>46085</v>
      </c>
      <c r="L690" s="66" t="s">
        <v>1020</v>
      </c>
      <c r="M690" s="66" t="s">
        <v>1010</v>
      </c>
      <c r="N690" s="66" t="s">
        <v>1574</v>
      </c>
      <c r="O690" s="66" t="s">
        <v>1575</v>
      </c>
    </row>
    <row r="691" spans="1:15" x14ac:dyDescent="0.35">
      <c r="A691" s="66" t="s">
        <v>2106</v>
      </c>
      <c r="B691" s="66" t="s">
        <v>2107</v>
      </c>
      <c r="C691" s="66" t="s">
        <v>235</v>
      </c>
      <c r="D691" s="66" t="s">
        <v>1457</v>
      </c>
      <c r="E691" s="66" t="s">
        <v>997</v>
      </c>
      <c r="F691" s="75">
        <v>46135</v>
      </c>
      <c r="G691" s="75" t="s">
        <v>1006</v>
      </c>
      <c r="H691" s="66" t="s">
        <v>1007</v>
      </c>
      <c r="I691" s="66" t="s">
        <v>1028</v>
      </c>
      <c r="J691" s="66" t="s">
        <v>1028</v>
      </c>
      <c r="K691" s="75">
        <v>46085</v>
      </c>
      <c r="L691" s="66" t="s">
        <v>1020</v>
      </c>
      <c r="M691" s="66" t="s">
        <v>1010</v>
      </c>
      <c r="N691" s="66" t="s">
        <v>1574</v>
      </c>
      <c r="O691" s="66" t="s">
        <v>1575</v>
      </c>
    </row>
    <row r="692" spans="1:15" x14ac:dyDescent="0.35">
      <c r="A692" s="66" t="s">
        <v>2108</v>
      </c>
      <c r="B692" s="66" t="s">
        <v>2109</v>
      </c>
      <c r="C692" s="66" t="s">
        <v>430</v>
      </c>
      <c r="D692" s="66" t="s">
        <v>1105</v>
      </c>
      <c r="E692" s="66" t="s">
        <v>997</v>
      </c>
      <c r="F692" s="75">
        <v>46118</v>
      </c>
      <c r="G692" s="75" t="s">
        <v>1006</v>
      </c>
      <c r="H692" s="66" t="s">
        <v>1007</v>
      </c>
      <c r="I692" s="66" t="s">
        <v>1028</v>
      </c>
      <c r="J692" s="66" t="s">
        <v>1028</v>
      </c>
      <c r="K692" s="75">
        <v>46086</v>
      </c>
      <c r="L692" s="66" t="s">
        <v>1020</v>
      </c>
      <c r="M692" s="66" t="s">
        <v>1010</v>
      </c>
      <c r="N692" s="66" t="s">
        <v>1574</v>
      </c>
      <c r="O692" s="66" t="s">
        <v>1575</v>
      </c>
    </row>
    <row r="693" spans="1:15" x14ac:dyDescent="0.35">
      <c r="A693" s="66" t="s">
        <v>2110</v>
      </c>
      <c r="B693" s="66" t="s">
        <v>2111</v>
      </c>
      <c r="C693" s="66" t="s">
        <v>230</v>
      </c>
      <c r="D693" s="66" t="s">
        <v>2112</v>
      </c>
      <c r="E693" s="66" t="s">
        <v>997</v>
      </c>
      <c r="F693" s="75">
        <v>46141</v>
      </c>
      <c r="G693" s="75" t="s">
        <v>1394</v>
      </c>
      <c r="H693" s="66" t="s">
        <v>1044</v>
      </c>
      <c r="I693" s="66" t="s">
        <v>1008</v>
      </c>
      <c r="J693" s="66" t="s">
        <v>1009</v>
      </c>
      <c r="K693" s="75">
        <v>46086</v>
      </c>
      <c r="L693" s="66" t="s">
        <v>1001</v>
      </c>
      <c r="M693" s="66" t="s">
        <v>1010</v>
      </c>
      <c r="N693" s="66" t="s">
        <v>1574</v>
      </c>
      <c r="O693" s="66" t="s">
        <v>1575</v>
      </c>
    </row>
    <row r="694" spans="1:15" x14ac:dyDescent="0.35">
      <c r="A694" s="66" t="s">
        <v>2113</v>
      </c>
      <c r="B694" s="66" t="s">
        <v>2114</v>
      </c>
      <c r="C694" s="66" t="s">
        <v>51</v>
      </c>
      <c r="D694" s="66" t="s">
        <v>921</v>
      </c>
      <c r="E694" s="66" t="s">
        <v>997</v>
      </c>
      <c r="F694" s="75">
        <v>46131</v>
      </c>
      <c r="G694" s="75" t="s">
        <v>1006</v>
      </c>
      <c r="H694" s="66" t="s">
        <v>1007</v>
      </c>
      <c r="I694" s="66" t="s">
        <v>1028</v>
      </c>
      <c r="J694" s="66" t="s">
        <v>1009</v>
      </c>
      <c r="K694" s="75">
        <v>46086</v>
      </c>
      <c r="L694" s="66" t="s">
        <v>1020</v>
      </c>
      <c r="M694" s="66" t="s">
        <v>1010</v>
      </c>
      <c r="N694" s="66" t="s">
        <v>1574</v>
      </c>
      <c r="O694" s="66" t="s">
        <v>1599</v>
      </c>
    </row>
    <row r="695" spans="1:15" x14ac:dyDescent="0.35">
      <c r="A695" s="66" t="s">
        <v>2115</v>
      </c>
      <c r="B695" s="66" t="s">
        <v>2116</v>
      </c>
      <c r="C695" s="66" t="s">
        <v>204</v>
      </c>
      <c r="D695" s="66" t="s">
        <v>1090</v>
      </c>
      <c r="E695" s="66" t="s">
        <v>997</v>
      </c>
      <c r="F695" s="75">
        <v>46117</v>
      </c>
      <c r="G695" s="75" t="s">
        <v>1221</v>
      </c>
      <c r="H695" s="66" t="s">
        <v>1044</v>
      </c>
      <c r="I695" s="66" t="s">
        <v>1019</v>
      </c>
      <c r="J695" s="66" t="s">
        <v>1009</v>
      </c>
      <c r="K695" s="75">
        <v>46086</v>
      </c>
      <c r="L695" s="66" t="s">
        <v>1020</v>
      </c>
      <c r="M695" s="66" t="s">
        <v>1010</v>
      </c>
      <c r="N695" s="66" t="s">
        <v>1574</v>
      </c>
      <c r="O695" s="66" t="s">
        <v>1575</v>
      </c>
    </row>
    <row r="696" spans="1:15" x14ac:dyDescent="0.35">
      <c r="A696" s="66" t="s">
        <v>2117</v>
      </c>
      <c r="B696" s="66" t="s">
        <v>2118</v>
      </c>
      <c r="C696" s="66" t="s">
        <v>328</v>
      </c>
      <c r="D696" s="66" t="s">
        <v>838</v>
      </c>
      <c r="E696" s="66" t="s">
        <v>997</v>
      </c>
      <c r="F696" s="75">
        <v>46126</v>
      </c>
      <c r="G696" s="75" t="s">
        <v>1394</v>
      </c>
      <c r="H696" s="66" t="s">
        <v>1044</v>
      </c>
      <c r="I696" s="66" t="s">
        <v>1008</v>
      </c>
      <c r="J696" s="66" t="s">
        <v>1009</v>
      </c>
      <c r="K696" s="75">
        <v>46087</v>
      </c>
      <c r="L696" s="66" t="s">
        <v>1001</v>
      </c>
      <c r="M696" s="66" t="s">
        <v>1010</v>
      </c>
      <c r="N696" s="66" t="s">
        <v>1574</v>
      </c>
      <c r="O696" s="66" t="s">
        <v>1599</v>
      </c>
    </row>
    <row r="697" spans="1:15" x14ac:dyDescent="0.35">
      <c r="A697" s="66" t="s">
        <v>2119</v>
      </c>
      <c r="B697" s="66" t="s">
        <v>2120</v>
      </c>
      <c r="C697" s="66" t="s">
        <v>47</v>
      </c>
      <c r="D697" s="66" t="s">
        <v>1232</v>
      </c>
      <c r="E697" s="66" t="s">
        <v>997</v>
      </c>
      <c r="F697" s="75">
        <v>46130</v>
      </c>
      <c r="G697" s="75" t="s">
        <v>1006</v>
      </c>
      <c r="H697" s="66" t="s">
        <v>1007</v>
      </c>
      <c r="I697" s="66" t="s">
        <v>1057</v>
      </c>
      <c r="J697" s="66" t="s">
        <v>1009</v>
      </c>
      <c r="K697" s="75">
        <v>46087</v>
      </c>
      <c r="L697" s="66" t="s">
        <v>1001</v>
      </c>
      <c r="M697" s="66" t="s">
        <v>1010</v>
      </c>
      <c r="N697" s="66" t="s">
        <v>1574</v>
      </c>
      <c r="O697" s="66" t="s">
        <v>1575</v>
      </c>
    </row>
    <row r="698" spans="1:15" x14ac:dyDescent="0.35">
      <c r="A698" s="66" t="s">
        <v>2121</v>
      </c>
      <c r="B698" s="66" t="s">
        <v>2122</v>
      </c>
      <c r="C698" s="66" t="s">
        <v>218</v>
      </c>
      <c r="D698" s="66" t="s">
        <v>1372</v>
      </c>
      <c r="E698" s="66" t="s">
        <v>997</v>
      </c>
      <c r="F698" s="75">
        <v>46124</v>
      </c>
      <c r="G698" s="75" t="s">
        <v>1006</v>
      </c>
      <c r="H698" s="66" t="s">
        <v>1007</v>
      </c>
      <c r="I698" s="66" t="s">
        <v>1028</v>
      </c>
      <c r="J698" s="66" t="s">
        <v>1009</v>
      </c>
      <c r="K698" s="75">
        <v>46087</v>
      </c>
      <c r="L698" s="66" t="s">
        <v>1020</v>
      </c>
      <c r="M698" s="66" t="s">
        <v>1010</v>
      </c>
      <c r="N698" s="66" t="s">
        <v>1574</v>
      </c>
      <c r="O698" s="66" t="s">
        <v>1575</v>
      </c>
    </row>
    <row r="699" spans="1:15" x14ac:dyDescent="0.35">
      <c r="A699" s="66" t="s">
        <v>2123</v>
      </c>
      <c r="B699" s="66" t="s">
        <v>2124</v>
      </c>
      <c r="C699" s="66" t="s">
        <v>115</v>
      </c>
      <c r="D699" s="66" t="s">
        <v>1383</v>
      </c>
      <c r="E699" s="66" t="s">
        <v>997</v>
      </c>
      <c r="F699" s="75">
        <v>46114</v>
      </c>
      <c r="G699" s="75" t="s">
        <v>1006</v>
      </c>
      <c r="H699" s="66" t="s">
        <v>1007</v>
      </c>
      <c r="I699" s="66" t="s">
        <v>1028</v>
      </c>
      <c r="J699" s="66" t="s">
        <v>1009</v>
      </c>
      <c r="K699" s="75">
        <v>46088</v>
      </c>
      <c r="L699" s="66" t="s">
        <v>1020</v>
      </c>
      <c r="M699" s="66" t="s">
        <v>1010</v>
      </c>
      <c r="N699" s="66" t="s">
        <v>1574</v>
      </c>
      <c r="O699" s="66" t="s">
        <v>1575</v>
      </c>
    </row>
    <row r="700" spans="1:15" x14ac:dyDescent="0.35">
      <c r="A700" s="66" t="s">
        <v>2125</v>
      </c>
      <c r="B700" s="66" t="s">
        <v>2126</v>
      </c>
      <c r="C700" s="66" t="s">
        <v>113</v>
      </c>
      <c r="D700" s="66" t="s">
        <v>1871</v>
      </c>
      <c r="E700" s="66" t="s">
        <v>997</v>
      </c>
      <c r="F700" s="75">
        <v>46121</v>
      </c>
      <c r="G700" s="75" t="s">
        <v>1006</v>
      </c>
      <c r="H700" s="66" t="s">
        <v>1007</v>
      </c>
      <c r="I700" s="66" t="s">
        <v>1028</v>
      </c>
      <c r="J700" s="66" t="s">
        <v>1009</v>
      </c>
      <c r="K700" s="75">
        <v>46088</v>
      </c>
      <c r="L700" s="66" t="s">
        <v>1020</v>
      </c>
      <c r="M700" s="66" t="s">
        <v>1010</v>
      </c>
      <c r="N700" s="66" t="s">
        <v>1574</v>
      </c>
      <c r="O700" s="66" t="s">
        <v>1599</v>
      </c>
    </row>
    <row r="701" spans="1:15" x14ac:dyDescent="0.35">
      <c r="A701" s="66" t="s">
        <v>2127</v>
      </c>
      <c r="B701" s="66" t="s">
        <v>2128</v>
      </c>
      <c r="C701" s="66" t="s">
        <v>218</v>
      </c>
      <c r="D701" s="66" t="s">
        <v>1372</v>
      </c>
      <c r="E701" s="66" t="s">
        <v>997</v>
      </c>
      <c r="F701" s="75">
        <v>46113</v>
      </c>
      <c r="G701" s="75" t="s">
        <v>1006</v>
      </c>
      <c r="H701" s="66" t="s">
        <v>1007</v>
      </c>
      <c r="I701" s="66" t="s">
        <v>1028</v>
      </c>
      <c r="J701" s="66" t="s">
        <v>1009</v>
      </c>
      <c r="K701" s="75">
        <v>46088</v>
      </c>
      <c r="L701" s="66" t="s">
        <v>1020</v>
      </c>
      <c r="M701" s="66" t="s">
        <v>1010</v>
      </c>
      <c r="N701" s="66" t="s">
        <v>1574</v>
      </c>
      <c r="O701" s="66" t="s">
        <v>1575</v>
      </c>
    </row>
    <row r="702" spans="1:15" x14ac:dyDescent="0.35">
      <c r="A702" s="66" t="s">
        <v>2129</v>
      </c>
      <c r="B702" s="66" t="s">
        <v>2130</v>
      </c>
      <c r="C702" s="66" t="s">
        <v>324</v>
      </c>
      <c r="D702" s="66" t="s">
        <v>1284</v>
      </c>
      <c r="E702" s="66" t="s">
        <v>997</v>
      </c>
      <c r="F702" s="75">
        <v>46135</v>
      </c>
      <c r="G702" s="75" t="s">
        <v>1498</v>
      </c>
      <c r="H702" s="66" t="s">
        <v>1044</v>
      </c>
      <c r="I702" s="66" t="s">
        <v>1008</v>
      </c>
      <c r="J702" s="66" t="s">
        <v>1009</v>
      </c>
      <c r="K702" s="75">
        <v>46088</v>
      </c>
      <c r="L702" s="66" t="s">
        <v>1001</v>
      </c>
      <c r="M702" s="66" t="s">
        <v>1010</v>
      </c>
      <c r="N702" s="66" t="s">
        <v>1574</v>
      </c>
      <c r="O702" s="66" t="s">
        <v>1575</v>
      </c>
    </row>
    <row r="703" spans="1:15" x14ac:dyDescent="0.35">
      <c r="A703" s="66" t="s">
        <v>2131</v>
      </c>
      <c r="B703" s="66" t="s">
        <v>2132</v>
      </c>
      <c r="C703" s="66" t="s">
        <v>118</v>
      </c>
      <c r="D703" s="66" t="s">
        <v>1360</v>
      </c>
      <c r="E703" s="66" t="s">
        <v>997</v>
      </c>
      <c r="F703" s="75">
        <v>46131</v>
      </c>
      <c r="G703" s="75" t="s">
        <v>1006</v>
      </c>
      <c r="H703" s="66" t="s">
        <v>1007</v>
      </c>
      <c r="I703" s="66" t="s">
        <v>1028</v>
      </c>
      <c r="J703" s="66" t="s">
        <v>1009</v>
      </c>
      <c r="K703" s="75">
        <v>46088</v>
      </c>
      <c r="L703" s="66" t="s">
        <v>1020</v>
      </c>
      <c r="M703" s="66" t="s">
        <v>1010</v>
      </c>
      <c r="N703" s="66" t="s">
        <v>1574</v>
      </c>
      <c r="O703" s="66" t="s">
        <v>1575</v>
      </c>
    </row>
    <row r="704" spans="1:15" x14ac:dyDescent="0.35">
      <c r="A704" s="66" t="s">
        <v>2133</v>
      </c>
      <c r="B704" s="66" t="s">
        <v>2134</v>
      </c>
      <c r="C704" s="66" t="s">
        <v>80</v>
      </c>
      <c r="D704" s="66" t="s">
        <v>1022</v>
      </c>
      <c r="E704" s="66" t="s">
        <v>997</v>
      </c>
      <c r="F704" s="75">
        <v>46125</v>
      </c>
      <c r="G704" s="75" t="s">
        <v>1006</v>
      </c>
      <c r="H704" s="66" t="s">
        <v>1007</v>
      </c>
      <c r="I704" s="66" t="s">
        <v>1008</v>
      </c>
      <c r="J704" s="66" t="s">
        <v>1009</v>
      </c>
      <c r="K704" s="75">
        <v>46091</v>
      </c>
      <c r="L704" s="66" t="s">
        <v>1001</v>
      </c>
      <c r="M704" s="66" t="s">
        <v>1010</v>
      </c>
      <c r="N704" s="66" t="s">
        <v>1574</v>
      </c>
      <c r="O704" s="66" t="s">
        <v>1575</v>
      </c>
    </row>
    <row r="705" spans="1:15" x14ac:dyDescent="0.35">
      <c r="A705" s="66" t="s">
        <v>2135</v>
      </c>
      <c r="B705" s="66" t="s">
        <v>2136</v>
      </c>
      <c r="C705" s="66" t="s">
        <v>201</v>
      </c>
      <c r="D705" s="66" t="s">
        <v>1061</v>
      </c>
      <c r="E705" s="66" t="s">
        <v>997</v>
      </c>
      <c r="F705" s="75">
        <v>46122</v>
      </c>
      <c r="G705" s="75" t="s">
        <v>1006</v>
      </c>
      <c r="H705" s="66" t="s">
        <v>1007</v>
      </c>
      <c r="I705" s="66" t="s">
        <v>1028</v>
      </c>
      <c r="J705" s="66" t="s">
        <v>1009</v>
      </c>
      <c r="K705" s="75">
        <v>46091</v>
      </c>
      <c r="L705" s="66" t="s">
        <v>1020</v>
      </c>
      <c r="M705" s="66" t="s">
        <v>1010</v>
      </c>
      <c r="N705" s="66" t="s">
        <v>1574</v>
      </c>
      <c r="O705" s="66" t="s">
        <v>1599</v>
      </c>
    </row>
    <row r="706" spans="1:15" x14ac:dyDescent="0.35">
      <c r="A706" s="66" t="s">
        <v>2137</v>
      </c>
      <c r="B706" s="66" t="s">
        <v>2138</v>
      </c>
      <c r="C706" s="66" t="s">
        <v>126</v>
      </c>
      <c r="D706" s="66" t="s">
        <v>1152</v>
      </c>
      <c r="E706" s="66" t="s">
        <v>997</v>
      </c>
      <c r="F706" s="75">
        <v>46142</v>
      </c>
      <c r="G706" s="75" t="s">
        <v>1006</v>
      </c>
      <c r="H706" s="66" t="s">
        <v>1007</v>
      </c>
      <c r="I706" s="66" t="s">
        <v>1028</v>
      </c>
      <c r="J706" s="66" t="s">
        <v>1009</v>
      </c>
      <c r="K706" s="75">
        <v>46092</v>
      </c>
      <c r="L706" s="66" t="s">
        <v>1020</v>
      </c>
      <c r="M706" s="66" t="s">
        <v>1010</v>
      </c>
      <c r="N706" s="66" t="s">
        <v>1574</v>
      </c>
      <c r="O706" s="66" t="s">
        <v>1575</v>
      </c>
    </row>
    <row r="707" spans="1:15" x14ac:dyDescent="0.35">
      <c r="A707" s="66" t="s">
        <v>2139</v>
      </c>
      <c r="B707" s="66" t="s">
        <v>2140</v>
      </c>
      <c r="C707" s="66" t="s">
        <v>311</v>
      </c>
      <c r="D707" s="66" t="s">
        <v>1140</v>
      </c>
      <c r="E707" s="66" t="s">
        <v>997</v>
      </c>
      <c r="F707" s="75">
        <v>46119</v>
      </c>
      <c r="G707" s="75" t="s">
        <v>1006</v>
      </c>
      <c r="H707" s="66" t="s">
        <v>1007</v>
      </c>
      <c r="I707" s="66" t="s">
        <v>1028</v>
      </c>
      <c r="J707" s="66" t="s">
        <v>1009</v>
      </c>
      <c r="K707" s="75">
        <v>46092</v>
      </c>
      <c r="L707" s="66" t="s">
        <v>1020</v>
      </c>
      <c r="M707" s="66" t="s">
        <v>1010</v>
      </c>
      <c r="N707" s="66" t="s">
        <v>1574</v>
      </c>
      <c r="O707" s="66" t="s">
        <v>1575</v>
      </c>
    </row>
    <row r="708" spans="1:15" x14ac:dyDescent="0.35">
      <c r="A708" s="66" t="s">
        <v>2141</v>
      </c>
      <c r="B708" s="66" t="s">
        <v>2142</v>
      </c>
      <c r="C708" s="66" t="s">
        <v>600</v>
      </c>
      <c r="D708" s="66" t="s">
        <v>1201</v>
      </c>
      <c r="E708" s="66" t="s">
        <v>997</v>
      </c>
      <c r="F708" s="75">
        <v>46142</v>
      </c>
      <c r="G708" s="75" t="s">
        <v>1498</v>
      </c>
      <c r="H708" s="66" t="s">
        <v>1044</v>
      </c>
      <c r="I708" s="66" t="s">
        <v>1028</v>
      </c>
      <c r="J708" s="66" t="s">
        <v>1009</v>
      </c>
      <c r="K708" s="75">
        <v>46092</v>
      </c>
      <c r="L708" s="66" t="s">
        <v>1020</v>
      </c>
      <c r="M708" s="66" t="s">
        <v>1010</v>
      </c>
      <c r="N708" s="66" t="s">
        <v>1574</v>
      </c>
      <c r="O708" s="66" t="s">
        <v>1575</v>
      </c>
    </row>
    <row r="709" spans="1:15" x14ac:dyDescent="0.35">
      <c r="A709" s="66" t="s">
        <v>2143</v>
      </c>
      <c r="B709" s="66" t="s">
        <v>2144</v>
      </c>
      <c r="C709" s="66" t="s">
        <v>181</v>
      </c>
      <c r="D709" s="66" t="s">
        <v>1374</v>
      </c>
      <c r="E709" s="66" t="s">
        <v>997</v>
      </c>
      <c r="F709" s="75">
        <v>46124</v>
      </c>
      <c r="G709" s="75" t="s">
        <v>1006</v>
      </c>
      <c r="H709" s="66" t="s">
        <v>1007</v>
      </c>
      <c r="I709" s="66" t="s">
        <v>1028</v>
      </c>
      <c r="J709" s="66" t="s">
        <v>1009</v>
      </c>
      <c r="K709" s="75">
        <v>46093</v>
      </c>
      <c r="L709" s="66" t="s">
        <v>1020</v>
      </c>
      <c r="M709" s="66" t="s">
        <v>1010</v>
      </c>
      <c r="N709" s="66" t="s">
        <v>1574</v>
      </c>
      <c r="O709" s="66" t="s">
        <v>1575</v>
      </c>
    </row>
    <row r="710" spans="1:15" x14ac:dyDescent="0.35">
      <c r="A710" s="66" t="s">
        <v>2145</v>
      </c>
      <c r="B710" s="66" t="s">
        <v>2146</v>
      </c>
      <c r="C710" s="66" t="s">
        <v>320</v>
      </c>
      <c r="D710" s="66" t="s">
        <v>1205</v>
      </c>
      <c r="E710" s="66" t="s">
        <v>997</v>
      </c>
      <c r="F710" s="75">
        <v>46118</v>
      </c>
      <c r="G710" s="75" t="s">
        <v>1394</v>
      </c>
      <c r="H710" s="66" t="s">
        <v>1044</v>
      </c>
      <c r="I710" s="66" t="s">
        <v>1028</v>
      </c>
      <c r="J710" s="66" t="s">
        <v>1009</v>
      </c>
      <c r="K710" s="75">
        <v>46092</v>
      </c>
      <c r="L710" s="66" t="s">
        <v>1020</v>
      </c>
      <c r="M710" s="66" t="s">
        <v>1010</v>
      </c>
      <c r="N710" s="66" t="s">
        <v>1574</v>
      </c>
      <c r="O710" s="66" t="s">
        <v>1575</v>
      </c>
    </row>
    <row r="711" spans="1:15" x14ac:dyDescent="0.35">
      <c r="A711" s="66" t="s">
        <v>2147</v>
      </c>
      <c r="B711" s="66" t="s">
        <v>2148</v>
      </c>
      <c r="C711" s="66" t="s">
        <v>208</v>
      </c>
      <c r="D711" s="66" t="s">
        <v>1444</v>
      </c>
      <c r="E711" s="66" t="s">
        <v>997</v>
      </c>
      <c r="F711" s="75">
        <v>46131</v>
      </c>
      <c r="G711" s="75" t="s">
        <v>1006</v>
      </c>
      <c r="H711" s="66" t="s">
        <v>1007</v>
      </c>
      <c r="I711" s="66" t="s">
        <v>1028</v>
      </c>
      <c r="J711" s="66" t="s">
        <v>1009</v>
      </c>
      <c r="K711" s="75">
        <v>46093</v>
      </c>
      <c r="L711" s="66" t="s">
        <v>1020</v>
      </c>
      <c r="M711" s="66" t="s">
        <v>1010</v>
      </c>
      <c r="N711" s="66" t="s">
        <v>1574</v>
      </c>
      <c r="O711" s="66" t="s">
        <v>1575</v>
      </c>
    </row>
    <row r="712" spans="1:15" x14ac:dyDescent="0.35">
      <c r="A712" s="66" t="s">
        <v>2149</v>
      </c>
      <c r="B712" s="66" t="s">
        <v>2150</v>
      </c>
      <c r="C712" s="66" t="s">
        <v>211</v>
      </c>
      <c r="D712" s="66" t="s">
        <v>1049</v>
      </c>
      <c r="E712" s="66" t="s">
        <v>997</v>
      </c>
      <c r="F712" s="75">
        <v>46120</v>
      </c>
      <c r="G712" s="75" t="s">
        <v>1394</v>
      </c>
      <c r="H712" s="66" t="s">
        <v>1044</v>
      </c>
      <c r="I712" s="66" t="s">
        <v>1028</v>
      </c>
      <c r="J712" s="66" t="s">
        <v>1009</v>
      </c>
      <c r="K712" s="75">
        <v>46092</v>
      </c>
      <c r="L712" s="66" t="s">
        <v>1020</v>
      </c>
      <c r="M712" s="66" t="s">
        <v>1010</v>
      </c>
      <c r="N712" s="66" t="s">
        <v>1574</v>
      </c>
      <c r="O712" s="66" t="s">
        <v>1575</v>
      </c>
    </row>
    <row r="713" spans="1:15" x14ac:dyDescent="0.35">
      <c r="A713" s="66" t="s">
        <v>2151</v>
      </c>
      <c r="B713" s="66" t="s">
        <v>2152</v>
      </c>
      <c r="C713" s="66" t="s">
        <v>307</v>
      </c>
      <c r="D713" s="66" t="s">
        <v>1524</v>
      </c>
      <c r="E713" s="66" t="s">
        <v>997</v>
      </c>
      <c r="F713" s="75">
        <v>46131</v>
      </c>
      <c r="G713" s="75" t="s">
        <v>1006</v>
      </c>
      <c r="H713" s="66" t="s">
        <v>1007</v>
      </c>
      <c r="I713" s="66" t="s">
        <v>1028</v>
      </c>
      <c r="J713" s="66" t="s">
        <v>1009</v>
      </c>
      <c r="K713" s="75">
        <v>46093</v>
      </c>
      <c r="L713" s="66" t="s">
        <v>1020</v>
      </c>
      <c r="M713" s="66" t="s">
        <v>1010</v>
      </c>
      <c r="N713" s="66" t="s">
        <v>1574</v>
      </c>
      <c r="O713" s="66" t="s">
        <v>1575</v>
      </c>
    </row>
    <row r="714" spans="1:15" x14ac:dyDescent="0.35">
      <c r="A714" s="66" t="s">
        <v>2153</v>
      </c>
      <c r="B714" s="66" t="s">
        <v>2154</v>
      </c>
      <c r="C714" s="66" t="s">
        <v>11</v>
      </c>
      <c r="D714" s="66" t="s">
        <v>627</v>
      </c>
      <c r="E714" s="66" t="s">
        <v>997</v>
      </c>
      <c r="F714" s="75">
        <v>46127</v>
      </c>
      <c r="G714" s="75" t="s">
        <v>1006</v>
      </c>
      <c r="H714" s="66" t="s">
        <v>1007</v>
      </c>
      <c r="I714" s="66" t="s">
        <v>1028</v>
      </c>
      <c r="J714" s="66" t="s">
        <v>1009</v>
      </c>
      <c r="K714" s="75">
        <v>46094</v>
      </c>
      <c r="L714" s="66" t="s">
        <v>1020</v>
      </c>
      <c r="M714" s="66" t="s">
        <v>1010</v>
      </c>
      <c r="N714" s="66" t="s">
        <v>1574</v>
      </c>
      <c r="O714" s="66" t="s">
        <v>1575</v>
      </c>
    </row>
    <row r="715" spans="1:15" x14ac:dyDescent="0.35">
      <c r="A715" s="66" t="s">
        <v>2155</v>
      </c>
      <c r="B715" s="66" t="s">
        <v>2156</v>
      </c>
      <c r="C715" s="66" t="s">
        <v>53</v>
      </c>
      <c r="D715" s="66" t="s">
        <v>1308</v>
      </c>
      <c r="E715" s="66" t="s">
        <v>997</v>
      </c>
      <c r="F715" s="75">
        <v>46121</v>
      </c>
      <c r="G715" s="75" t="s">
        <v>1006</v>
      </c>
      <c r="H715" s="66" t="s">
        <v>1007</v>
      </c>
      <c r="I715" s="66" t="s">
        <v>1019</v>
      </c>
      <c r="J715" s="66" t="s">
        <v>1009</v>
      </c>
      <c r="K715" s="75">
        <v>46094</v>
      </c>
      <c r="L715" s="66" t="s">
        <v>1020</v>
      </c>
      <c r="M715" s="66" t="s">
        <v>1010</v>
      </c>
      <c r="N715" s="66" t="s">
        <v>1574</v>
      </c>
      <c r="O715" s="66" t="s">
        <v>1575</v>
      </c>
    </row>
    <row r="716" spans="1:15" x14ac:dyDescent="0.35">
      <c r="A716" s="66" t="s">
        <v>2157</v>
      </c>
      <c r="B716" s="66" t="s">
        <v>2158</v>
      </c>
      <c r="C716" s="66" t="s">
        <v>278</v>
      </c>
      <c r="D716" s="66" t="s">
        <v>1131</v>
      </c>
      <c r="E716" s="66" t="s">
        <v>997</v>
      </c>
      <c r="F716" s="75">
        <v>46142</v>
      </c>
      <c r="G716" s="75" t="s">
        <v>1394</v>
      </c>
      <c r="H716" s="66" t="s">
        <v>1044</v>
      </c>
      <c r="I716" s="66" t="s">
        <v>1028</v>
      </c>
      <c r="J716" s="66" t="s">
        <v>1009</v>
      </c>
      <c r="K716" s="75">
        <v>46094</v>
      </c>
      <c r="L716" s="66" t="s">
        <v>1020</v>
      </c>
      <c r="M716" s="66" t="s">
        <v>1010</v>
      </c>
      <c r="N716" s="66" t="s">
        <v>604</v>
      </c>
      <c r="O716" s="66" t="s">
        <v>1599</v>
      </c>
    </row>
    <row r="717" spans="1:15" x14ac:dyDescent="0.35">
      <c r="A717" s="66" t="s">
        <v>2159</v>
      </c>
      <c r="B717" s="66" t="s">
        <v>2160</v>
      </c>
      <c r="C717" s="66" t="s">
        <v>268</v>
      </c>
      <c r="D717" s="66" t="s">
        <v>2161</v>
      </c>
      <c r="E717" s="66" t="s">
        <v>997</v>
      </c>
      <c r="F717" s="75">
        <v>46118</v>
      </c>
      <c r="G717" s="75" t="s">
        <v>1394</v>
      </c>
      <c r="H717" s="66" t="s">
        <v>1044</v>
      </c>
      <c r="I717" s="66" t="s">
        <v>1028</v>
      </c>
      <c r="J717" s="66" t="s">
        <v>1009</v>
      </c>
      <c r="K717" s="75">
        <v>46094</v>
      </c>
      <c r="L717" s="66" t="s">
        <v>1020</v>
      </c>
      <c r="M717" s="66" t="s">
        <v>1010</v>
      </c>
      <c r="N717" s="66" t="s">
        <v>1574</v>
      </c>
      <c r="O717" s="66" t="s">
        <v>1599</v>
      </c>
    </row>
    <row r="718" spans="1:15" x14ac:dyDescent="0.35">
      <c r="A718" s="66" t="s">
        <v>2162</v>
      </c>
      <c r="B718" s="66" t="s">
        <v>2163</v>
      </c>
      <c r="C718" s="66" t="s">
        <v>256</v>
      </c>
      <c r="D718" s="66" t="s">
        <v>1005</v>
      </c>
      <c r="E718" s="66" t="s">
        <v>997</v>
      </c>
      <c r="F718" s="75">
        <v>46139</v>
      </c>
      <c r="G718" s="75" t="s">
        <v>1006</v>
      </c>
      <c r="H718" s="66" t="s">
        <v>1007</v>
      </c>
      <c r="I718" s="66" t="s">
        <v>1028</v>
      </c>
      <c r="J718" s="66" t="s">
        <v>1009</v>
      </c>
      <c r="K718" s="75">
        <v>46095</v>
      </c>
      <c r="L718" s="66" t="s">
        <v>1020</v>
      </c>
      <c r="M718" s="66" t="s">
        <v>1010</v>
      </c>
      <c r="N718" s="66" t="s">
        <v>1574</v>
      </c>
      <c r="O718" s="66" t="s">
        <v>1599</v>
      </c>
    </row>
    <row r="719" spans="1:15" x14ac:dyDescent="0.35">
      <c r="A719" s="66" t="s">
        <v>2164</v>
      </c>
      <c r="B719" s="66" t="s">
        <v>2165</v>
      </c>
      <c r="C719" s="66" t="s">
        <v>169</v>
      </c>
      <c r="D719" s="66" t="s">
        <v>1274</v>
      </c>
      <c r="E719" s="66" t="s">
        <v>997</v>
      </c>
      <c r="F719" s="75">
        <v>46129</v>
      </c>
      <c r="G719" s="75" t="s">
        <v>1006</v>
      </c>
      <c r="H719" s="66" t="s">
        <v>1007</v>
      </c>
      <c r="I719" s="66" t="s">
        <v>1028</v>
      </c>
      <c r="J719" s="66" t="s">
        <v>1009</v>
      </c>
      <c r="K719" s="75">
        <v>46095</v>
      </c>
      <c r="L719" s="66" t="s">
        <v>1020</v>
      </c>
      <c r="M719" s="66" t="s">
        <v>1010</v>
      </c>
      <c r="N719" s="66" t="s">
        <v>1574</v>
      </c>
      <c r="O719" s="66" t="s">
        <v>1575</v>
      </c>
    </row>
    <row r="720" spans="1:15" x14ac:dyDescent="0.35">
      <c r="A720" s="66" t="s">
        <v>2166</v>
      </c>
      <c r="B720" s="66" t="s">
        <v>2167</v>
      </c>
      <c r="C720" s="66" t="s">
        <v>102</v>
      </c>
      <c r="D720" s="66" t="s">
        <v>1306</v>
      </c>
      <c r="E720" s="66" t="s">
        <v>997</v>
      </c>
      <c r="F720" s="75">
        <v>46130</v>
      </c>
      <c r="G720" s="75" t="s">
        <v>1006</v>
      </c>
      <c r="H720" s="66" t="s">
        <v>1007</v>
      </c>
      <c r="I720" s="66" t="s">
        <v>1028</v>
      </c>
      <c r="J720" s="66" t="s">
        <v>1009</v>
      </c>
      <c r="K720" s="75">
        <v>46095</v>
      </c>
      <c r="L720" s="66" t="s">
        <v>1020</v>
      </c>
      <c r="M720" s="66" t="s">
        <v>1010</v>
      </c>
      <c r="N720" s="66" t="s">
        <v>1574</v>
      </c>
      <c r="O720" s="66" t="s">
        <v>1575</v>
      </c>
    </row>
    <row r="721" spans="1:15" x14ac:dyDescent="0.35">
      <c r="A721" s="66" t="s">
        <v>2168</v>
      </c>
      <c r="B721" s="66" t="s">
        <v>2169</v>
      </c>
      <c r="C721" s="66" t="s">
        <v>165</v>
      </c>
      <c r="D721" s="66" t="s">
        <v>1238</v>
      </c>
      <c r="E721" s="66" t="s">
        <v>997</v>
      </c>
      <c r="F721" s="75">
        <v>46132</v>
      </c>
      <c r="G721" s="75" t="s">
        <v>1006</v>
      </c>
      <c r="H721" s="66" t="s">
        <v>1007</v>
      </c>
      <c r="I721" s="66" t="s">
        <v>1028</v>
      </c>
      <c r="J721" s="66" t="s">
        <v>1009</v>
      </c>
      <c r="K721" s="75">
        <v>46095</v>
      </c>
      <c r="L721" s="66" t="s">
        <v>1020</v>
      </c>
      <c r="M721" s="66" t="s">
        <v>1010</v>
      </c>
      <c r="N721" s="66" t="s">
        <v>1574</v>
      </c>
      <c r="O721" s="66" t="s">
        <v>1575</v>
      </c>
    </row>
    <row r="722" spans="1:15" x14ac:dyDescent="0.35">
      <c r="A722" s="66" t="s">
        <v>2170</v>
      </c>
      <c r="B722" s="66" t="s">
        <v>2171</v>
      </c>
      <c r="C722" s="66" t="s">
        <v>252</v>
      </c>
      <c r="D722" s="66" t="s">
        <v>914</v>
      </c>
      <c r="E722" s="66" t="s">
        <v>997</v>
      </c>
      <c r="F722" s="75">
        <v>46115</v>
      </c>
      <c r="G722" s="75" t="s">
        <v>1006</v>
      </c>
      <c r="H722" s="66" t="s">
        <v>1007</v>
      </c>
      <c r="I722" s="66" t="s">
        <v>1028</v>
      </c>
      <c r="J722" s="66" t="s">
        <v>1009</v>
      </c>
      <c r="K722" s="75">
        <v>46096</v>
      </c>
      <c r="L722" s="66" t="s">
        <v>1020</v>
      </c>
      <c r="M722" s="66" t="s">
        <v>1010</v>
      </c>
      <c r="N722" s="66" t="s">
        <v>1574</v>
      </c>
      <c r="O722" s="66" t="s">
        <v>1575</v>
      </c>
    </row>
    <row r="723" spans="1:15" x14ac:dyDescent="0.35">
      <c r="A723" s="66" t="s">
        <v>2172</v>
      </c>
      <c r="B723" s="66" t="s">
        <v>2173</v>
      </c>
      <c r="C723" s="66" t="s">
        <v>318</v>
      </c>
      <c r="D723" s="66" t="s">
        <v>1266</v>
      </c>
      <c r="E723" s="66" t="s">
        <v>997</v>
      </c>
      <c r="F723" s="75">
        <v>46128</v>
      </c>
      <c r="G723" s="75" t="s">
        <v>1006</v>
      </c>
      <c r="H723" s="66" t="s">
        <v>1007</v>
      </c>
      <c r="I723" s="66" t="s">
        <v>1028</v>
      </c>
      <c r="J723" s="66" t="s">
        <v>1009</v>
      </c>
      <c r="K723" s="75">
        <v>46098</v>
      </c>
      <c r="L723" s="66" t="s">
        <v>1020</v>
      </c>
      <c r="M723" s="66" t="s">
        <v>1010</v>
      </c>
      <c r="N723" s="66" t="s">
        <v>1574</v>
      </c>
      <c r="O723" s="66" t="s">
        <v>1575</v>
      </c>
    </row>
    <row r="724" spans="1:15" x14ac:dyDescent="0.35">
      <c r="A724" s="66" t="s">
        <v>2174</v>
      </c>
      <c r="B724" s="66" t="s">
        <v>2175</v>
      </c>
      <c r="C724" s="66" t="s">
        <v>405</v>
      </c>
      <c r="D724" s="66" t="s">
        <v>594</v>
      </c>
      <c r="E724" s="66" t="s">
        <v>997</v>
      </c>
      <c r="F724" s="75">
        <v>46125</v>
      </c>
      <c r="G724" s="75" t="s">
        <v>1006</v>
      </c>
      <c r="H724" s="66" t="s">
        <v>1007</v>
      </c>
      <c r="I724" s="66" t="s">
        <v>1028</v>
      </c>
      <c r="J724" s="66" t="s">
        <v>1009</v>
      </c>
      <c r="K724" s="75">
        <v>46098</v>
      </c>
      <c r="L724" s="66" t="s">
        <v>1020</v>
      </c>
      <c r="M724" s="66" t="s">
        <v>1010</v>
      </c>
      <c r="N724" s="66" t="s">
        <v>1574</v>
      </c>
      <c r="O724" s="66" t="s">
        <v>1575</v>
      </c>
    </row>
    <row r="725" spans="1:15" x14ac:dyDescent="0.35">
      <c r="A725" s="66" t="s">
        <v>2176</v>
      </c>
      <c r="B725" s="66" t="s">
        <v>2177</v>
      </c>
      <c r="C725" s="66" t="s">
        <v>432</v>
      </c>
      <c r="D725" s="66" t="s">
        <v>1037</v>
      </c>
      <c r="E725" s="66" t="s">
        <v>997</v>
      </c>
      <c r="F725" s="75">
        <v>46132</v>
      </c>
      <c r="G725" s="75" t="s">
        <v>1006</v>
      </c>
      <c r="H725" s="66" t="s">
        <v>1007</v>
      </c>
      <c r="I725" s="66" t="s">
        <v>1028</v>
      </c>
      <c r="J725" s="66" t="s">
        <v>1009</v>
      </c>
      <c r="K725" s="75">
        <v>46113</v>
      </c>
      <c r="L725" s="66" t="s">
        <v>1020</v>
      </c>
      <c r="M725" s="66" t="s">
        <v>1010</v>
      </c>
      <c r="N725" s="66" t="s">
        <v>1574</v>
      </c>
      <c r="O725" s="66" t="s">
        <v>1575</v>
      </c>
    </row>
    <row r="726" spans="1:15" x14ac:dyDescent="0.35">
      <c r="A726" s="66" t="s">
        <v>2178</v>
      </c>
      <c r="B726" s="66" t="s">
        <v>2179</v>
      </c>
      <c r="C726" s="66" t="s">
        <v>235</v>
      </c>
      <c r="D726" s="66" t="s">
        <v>1457</v>
      </c>
      <c r="E726" s="66" t="s">
        <v>997</v>
      </c>
      <c r="F726" s="75">
        <v>46133</v>
      </c>
      <c r="G726" s="75" t="s">
        <v>1006</v>
      </c>
      <c r="H726" s="66" t="s">
        <v>1007</v>
      </c>
      <c r="I726" s="66" t="s">
        <v>1028</v>
      </c>
      <c r="J726" s="66" t="s">
        <v>1009</v>
      </c>
      <c r="K726" s="75">
        <v>46097</v>
      </c>
      <c r="L726" s="66" t="s">
        <v>1020</v>
      </c>
      <c r="M726" s="66" t="s">
        <v>1010</v>
      </c>
      <c r="N726" s="66" t="s">
        <v>1574</v>
      </c>
      <c r="O726" s="66" t="s">
        <v>1575</v>
      </c>
    </row>
    <row r="727" spans="1:15" x14ac:dyDescent="0.35">
      <c r="A727" s="66" t="s">
        <v>2180</v>
      </c>
      <c r="B727" s="66" t="s">
        <v>2181</v>
      </c>
      <c r="C727" s="66" t="s">
        <v>161</v>
      </c>
      <c r="D727" s="66" t="s">
        <v>1027</v>
      </c>
      <c r="E727" s="66" t="s">
        <v>997</v>
      </c>
      <c r="F727" s="75">
        <v>46113</v>
      </c>
      <c r="G727" s="75" t="s">
        <v>1617</v>
      </c>
      <c r="H727" s="66" t="s">
        <v>1044</v>
      </c>
      <c r="I727" s="66" t="s">
        <v>1028</v>
      </c>
      <c r="J727" s="66" t="s">
        <v>1009</v>
      </c>
      <c r="K727" s="75">
        <v>46098</v>
      </c>
      <c r="L727" s="66" t="s">
        <v>1020</v>
      </c>
      <c r="M727" s="66" t="s">
        <v>1010</v>
      </c>
      <c r="N727" s="66" t="s">
        <v>1574</v>
      </c>
      <c r="O727" s="66" t="s">
        <v>1575</v>
      </c>
    </row>
    <row r="728" spans="1:15" x14ac:dyDescent="0.35">
      <c r="A728" s="66" t="s">
        <v>2182</v>
      </c>
      <c r="B728" s="66" t="s">
        <v>2183</v>
      </c>
      <c r="C728" s="66" t="s">
        <v>273</v>
      </c>
      <c r="D728" s="66" t="s">
        <v>1093</v>
      </c>
      <c r="E728" s="66" t="s">
        <v>997</v>
      </c>
      <c r="F728" s="75">
        <v>46124</v>
      </c>
      <c r="G728" s="75" t="s">
        <v>1498</v>
      </c>
      <c r="H728" s="66" t="s">
        <v>1044</v>
      </c>
      <c r="I728" s="66" t="s">
        <v>1008</v>
      </c>
      <c r="J728" s="66" t="s">
        <v>1009</v>
      </c>
      <c r="K728" s="75">
        <v>46098</v>
      </c>
      <c r="L728" s="66" t="s">
        <v>1001</v>
      </c>
      <c r="M728" s="66" t="s">
        <v>1010</v>
      </c>
      <c r="N728" s="66" t="s">
        <v>1574</v>
      </c>
      <c r="O728" s="66" t="s">
        <v>1575</v>
      </c>
    </row>
    <row r="729" spans="1:15" x14ac:dyDescent="0.35">
      <c r="A729" s="66" t="s">
        <v>2184</v>
      </c>
      <c r="B729" s="66" t="s">
        <v>2185</v>
      </c>
      <c r="C729" s="66" t="s">
        <v>382</v>
      </c>
      <c r="D729" s="66" t="s">
        <v>384</v>
      </c>
      <c r="E729" s="66" t="s">
        <v>997</v>
      </c>
      <c r="F729" s="75">
        <v>46124</v>
      </c>
      <c r="G729" s="75" t="s">
        <v>1006</v>
      </c>
      <c r="H729" s="66" t="s">
        <v>1007</v>
      </c>
      <c r="I729" s="66" t="s">
        <v>1028</v>
      </c>
      <c r="J729" s="66" t="s">
        <v>1009</v>
      </c>
      <c r="K729" s="75">
        <v>46099</v>
      </c>
      <c r="L729" s="66" t="s">
        <v>1020</v>
      </c>
      <c r="M729" s="66" t="s">
        <v>1010</v>
      </c>
      <c r="N729" s="66" t="s">
        <v>1574</v>
      </c>
      <c r="O729" s="66" t="s">
        <v>1599</v>
      </c>
    </row>
    <row r="730" spans="1:15" x14ac:dyDescent="0.35">
      <c r="A730" s="66" t="s">
        <v>2186</v>
      </c>
      <c r="B730" s="66" t="s">
        <v>2187</v>
      </c>
      <c r="C730" s="66" t="s">
        <v>80</v>
      </c>
      <c r="D730" s="66" t="s">
        <v>1022</v>
      </c>
      <c r="E730" s="66" t="s">
        <v>997</v>
      </c>
      <c r="F730" s="75">
        <v>46123</v>
      </c>
      <c r="G730" s="75" t="s">
        <v>1006</v>
      </c>
      <c r="H730" s="66" t="s">
        <v>1007</v>
      </c>
      <c r="I730" s="66" t="s">
        <v>1028</v>
      </c>
      <c r="J730" s="66" t="s">
        <v>1009</v>
      </c>
      <c r="K730" s="75">
        <v>46100</v>
      </c>
      <c r="L730" s="66" t="s">
        <v>1020</v>
      </c>
      <c r="M730" s="66" t="s">
        <v>1010</v>
      </c>
      <c r="N730" s="66" t="s">
        <v>1574</v>
      </c>
      <c r="O730" s="66" t="s">
        <v>1575</v>
      </c>
    </row>
    <row r="731" spans="1:15" x14ac:dyDescent="0.35">
      <c r="A731" s="66" t="s">
        <v>2188</v>
      </c>
      <c r="B731" s="66" t="s">
        <v>2189</v>
      </c>
      <c r="C731" s="66" t="s">
        <v>409</v>
      </c>
      <c r="D731" s="66" t="s">
        <v>874</v>
      </c>
      <c r="E731" s="66" t="s">
        <v>997</v>
      </c>
      <c r="F731" s="75">
        <v>46113</v>
      </c>
      <c r="G731" s="75" t="s">
        <v>1006</v>
      </c>
      <c r="H731" s="66" t="s">
        <v>1007</v>
      </c>
      <c r="I731" s="66" t="s">
        <v>1028</v>
      </c>
      <c r="J731" s="66" t="s">
        <v>1009</v>
      </c>
      <c r="K731" s="75">
        <v>46100</v>
      </c>
      <c r="L731" s="66" t="s">
        <v>1020</v>
      </c>
      <c r="M731" s="66" t="s">
        <v>1010</v>
      </c>
      <c r="N731" s="66" t="s">
        <v>1574</v>
      </c>
      <c r="O731" s="66" t="s">
        <v>1599</v>
      </c>
    </row>
    <row r="732" spans="1:15" x14ac:dyDescent="0.35">
      <c r="A732" s="66" t="s">
        <v>2190</v>
      </c>
      <c r="B732" s="66" t="s">
        <v>2191</v>
      </c>
      <c r="C732" s="66" t="s">
        <v>87</v>
      </c>
      <c r="D732" s="66" t="s">
        <v>1324</v>
      </c>
      <c r="E732" s="66" t="s">
        <v>997</v>
      </c>
      <c r="F732" s="75">
        <v>46125</v>
      </c>
      <c r="G732" s="75" t="s">
        <v>1006</v>
      </c>
      <c r="H732" s="66" t="s">
        <v>1007</v>
      </c>
      <c r="I732" s="66" t="s">
        <v>1028</v>
      </c>
      <c r="J732" s="66" t="s">
        <v>1009</v>
      </c>
      <c r="K732" s="75">
        <v>46100</v>
      </c>
      <c r="L732" s="66" t="s">
        <v>1020</v>
      </c>
      <c r="M732" s="66" t="s">
        <v>1010</v>
      </c>
      <c r="N732" s="66" t="s">
        <v>1574</v>
      </c>
      <c r="O732" s="66" t="s">
        <v>1575</v>
      </c>
    </row>
    <row r="733" spans="1:15" x14ac:dyDescent="0.35">
      <c r="A733" s="66" t="s">
        <v>2192</v>
      </c>
      <c r="B733" s="66" t="s">
        <v>2193</v>
      </c>
      <c r="C733" s="66" t="s">
        <v>27</v>
      </c>
      <c r="D733" s="66" t="s">
        <v>1250</v>
      </c>
      <c r="E733" s="66" t="s">
        <v>997</v>
      </c>
      <c r="F733" s="75">
        <v>46135</v>
      </c>
      <c r="G733" s="75" t="s">
        <v>1006</v>
      </c>
      <c r="H733" s="66" t="s">
        <v>1007</v>
      </c>
      <c r="I733" s="66" t="s">
        <v>1028</v>
      </c>
      <c r="J733" s="66" t="s">
        <v>1009</v>
      </c>
      <c r="K733" s="75">
        <v>46105</v>
      </c>
      <c r="L733" s="66" t="s">
        <v>1020</v>
      </c>
      <c r="M733" s="66" t="s">
        <v>1010</v>
      </c>
      <c r="N733" s="66" t="s">
        <v>1574</v>
      </c>
      <c r="O733" s="66" t="s">
        <v>1575</v>
      </c>
    </row>
    <row r="734" spans="1:15" x14ac:dyDescent="0.35">
      <c r="A734" s="66" t="s">
        <v>2194</v>
      </c>
      <c r="B734" s="66" t="s">
        <v>2195</v>
      </c>
      <c r="C734" s="66" t="s">
        <v>186</v>
      </c>
      <c r="D734" s="66" t="s">
        <v>1164</v>
      </c>
      <c r="E734" s="66" t="s">
        <v>997</v>
      </c>
      <c r="F734" s="75">
        <v>46116</v>
      </c>
      <c r="G734" s="75" t="s">
        <v>1006</v>
      </c>
      <c r="H734" s="66" t="s">
        <v>1007</v>
      </c>
      <c r="I734" s="66" t="s">
        <v>1028</v>
      </c>
      <c r="J734" s="66" t="s">
        <v>1009</v>
      </c>
      <c r="K734" s="75">
        <v>46106</v>
      </c>
      <c r="L734" s="66" t="s">
        <v>1020</v>
      </c>
      <c r="M734" s="66" t="s">
        <v>1010</v>
      </c>
      <c r="N734" s="66" t="s">
        <v>1574</v>
      </c>
      <c r="O734" s="66" t="s">
        <v>1575</v>
      </c>
    </row>
    <row r="735" spans="1:15" x14ac:dyDescent="0.35">
      <c r="A735" s="66" t="s">
        <v>2196</v>
      </c>
      <c r="B735" s="66" t="s">
        <v>2197</v>
      </c>
      <c r="C735" s="66" t="s">
        <v>256</v>
      </c>
      <c r="D735" s="66" t="s">
        <v>1005</v>
      </c>
      <c r="E735" s="66" t="s">
        <v>997</v>
      </c>
      <c r="F735" s="75">
        <v>46139</v>
      </c>
      <c r="G735" s="75" t="s">
        <v>1006</v>
      </c>
      <c r="H735" s="66" t="s">
        <v>1007</v>
      </c>
      <c r="I735" s="66" t="s">
        <v>1028</v>
      </c>
      <c r="J735" s="66" t="s">
        <v>1009</v>
      </c>
      <c r="K735" s="75">
        <v>46113</v>
      </c>
      <c r="L735" s="66" t="s">
        <v>1020</v>
      </c>
      <c r="M735" s="66" t="s">
        <v>1010</v>
      </c>
      <c r="N735" s="66" t="s">
        <v>1574</v>
      </c>
      <c r="O735" s="66" t="s">
        <v>1599</v>
      </c>
    </row>
    <row r="736" spans="1:15" x14ac:dyDescent="0.35">
      <c r="A736" s="66" t="s">
        <v>2198</v>
      </c>
      <c r="B736" s="66" t="s">
        <v>2199</v>
      </c>
      <c r="C736" s="66" t="s">
        <v>430</v>
      </c>
      <c r="D736" s="66" t="s">
        <v>1105</v>
      </c>
      <c r="E736" s="66" t="s">
        <v>997</v>
      </c>
      <c r="F736" s="75">
        <v>46116</v>
      </c>
      <c r="G736" s="75" t="s">
        <v>1006</v>
      </c>
      <c r="H736" s="66" t="s">
        <v>1007</v>
      </c>
      <c r="I736" s="66" t="s">
        <v>1028</v>
      </c>
      <c r="J736" s="66" t="s">
        <v>1009</v>
      </c>
      <c r="K736" s="75">
        <v>46113</v>
      </c>
      <c r="L736" s="66" t="s">
        <v>1020</v>
      </c>
      <c r="M736" s="66" t="s">
        <v>1010</v>
      </c>
      <c r="N736" s="66" t="s">
        <v>1574</v>
      </c>
      <c r="O736" s="66" t="s">
        <v>1599</v>
      </c>
    </row>
    <row r="737" spans="1:15" x14ac:dyDescent="0.35">
      <c r="A737" s="66" t="s">
        <v>2200</v>
      </c>
      <c r="B737" s="66" t="s">
        <v>2201</v>
      </c>
      <c r="C737" s="66" t="s">
        <v>140</v>
      </c>
      <c r="D737" s="66" t="s">
        <v>1138</v>
      </c>
      <c r="E737" s="66" t="s">
        <v>997</v>
      </c>
      <c r="F737" s="75">
        <v>46126</v>
      </c>
      <c r="G737" s="75" t="s">
        <v>1394</v>
      </c>
      <c r="H737" s="66" t="s">
        <v>1044</v>
      </c>
      <c r="I737" s="66" t="s">
        <v>1008</v>
      </c>
      <c r="J737" s="66" t="s">
        <v>1009</v>
      </c>
      <c r="K737" s="75">
        <v>46113</v>
      </c>
      <c r="L737" s="66" t="s">
        <v>1001</v>
      </c>
      <c r="M737" s="66" t="s">
        <v>1010</v>
      </c>
      <c r="N737" s="66" t="s">
        <v>1574</v>
      </c>
      <c r="O737" s="66" t="s">
        <v>1599</v>
      </c>
    </row>
    <row r="738" spans="1:15" x14ac:dyDescent="0.35">
      <c r="A738" s="66" t="s">
        <v>2202</v>
      </c>
      <c r="B738" s="66" t="s">
        <v>2203</v>
      </c>
      <c r="C738" s="66" t="s">
        <v>80</v>
      </c>
      <c r="D738" s="66" t="s">
        <v>1022</v>
      </c>
      <c r="E738" s="66" t="s">
        <v>997</v>
      </c>
      <c r="F738" s="75">
        <v>46137</v>
      </c>
      <c r="G738" s="75" t="s">
        <v>1006</v>
      </c>
      <c r="H738" s="66" t="s">
        <v>1007</v>
      </c>
      <c r="I738" s="66" t="s">
        <v>1057</v>
      </c>
      <c r="J738" s="66" t="s">
        <v>1009</v>
      </c>
      <c r="K738" s="75">
        <v>46113</v>
      </c>
      <c r="L738" s="66" t="s">
        <v>1001</v>
      </c>
      <c r="M738" s="66" t="s">
        <v>1010</v>
      </c>
      <c r="N738" s="66" t="s">
        <v>1574</v>
      </c>
      <c r="O738" s="66" t="s">
        <v>1575</v>
      </c>
    </row>
    <row r="739" spans="1:15" x14ac:dyDescent="0.35">
      <c r="A739" s="66" t="s">
        <v>2204</v>
      </c>
      <c r="B739" s="66" t="s">
        <v>2205</v>
      </c>
      <c r="C739" s="66" t="s">
        <v>147</v>
      </c>
      <c r="D739" s="66" t="s">
        <v>1396</v>
      </c>
      <c r="E739" s="66" t="s">
        <v>997</v>
      </c>
      <c r="F739" s="75">
        <v>46119</v>
      </c>
      <c r="G739" s="75" t="s">
        <v>1006</v>
      </c>
      <c r="H739" s="66" t="s">
        <v>1007</v>
      </c>
      <c r="I739" s="66" t="s">
        <v>1028</v>
      </c>
      <c r="J739" s="66" t="s">
        <v>1009</v>
      </c>
      <c r="K739" s="75">
        <v>46113</v>
      </c>
      <c r="L739" s="66" t="s">
        <v>1020</v>
      </c>
      <c r="M739" s="66" t="s">
        <v>1010</v>
      </c>
      <c r="N739" s="66" t="s">
        <v>1574</v>
      </c>
      <c r="O739" s="66" t="s">
        <v>1575</v>
      </c>
    </row>
    <row r="740" spans="1:15" x14ac:dyDescent="0.35">
      <c r="A740" s="66" t="s">
        <v>2206</v>
      </c>
      <c r="B740" s="66" t="s">
        <v>2207</v>
      </c>
      <c r="C740" s="66" t="s">
        <v>147</v>
      </c>
      <c r="D740" s="66" t="s">
        <v>1396</v>
      </c>
      <c r="E740" s="66" t="s">
        <v>997</v>
      </c>
      <c r="F740" s="75">
        <v>46141</v>
      </c>
      <c r="G740" s="75" t="s">
        <v>1006</v>
      </c>
      <c r="H740" s="66" t="s">
        <v>1007</v>
      </c>
      <c r="I740" s="66" t="s">
        <v>1028</v>
      </c>
      <c r="J740" s="66" t="s">
        <v>1009</v>
      </c>
      <c r="K740" s="75">
        <v>46113</v>
      </c>
      <c r="L740" s="66" t="s">
        <v>1020</v>
      </c>
      <c r="M740" s="66" t="s">
        <v>1010</v>
      </c>
      <c r="N740" s="66" t="s">
        <v>1574</v>
      </c>
      <c r="O740" s="66" t="s">
        <v>1575</v>
      </c>
    </row>
    <row r="741" spans="1:15" x14ac:dyDescent="0.35">
      <c r="A741" s="66" t="s">
        <v>2208</v>
      </c>
      <c r="B741" s="66" t="s">
        <v>2209</v>
      </c>
      <c r="C741" s="66" t="s">
        <v>432</v>
      </c>
      <c r="D741" s="66" t="s">
        <v>1037</v>
      </c>
      <c r="E741" s="66" t="s">
        <v>997</v>
      </c>
      <c r="F741" s="75">
        <v>46141</v>
      </c>
      <c r="G741" s="75" t="s">
        <v>1006</v>
      </c>
      <c r="H741" s="66" t="s">
        <v>1007</v>
      </c>
      <c r="I741" s="66" t="s">
        <v>1084</v>
      </c>
      <c r="J741" s="66" t="s">
        <v>1009</v>
      </c>
      <c r="K741" s="75">
        <v>46113</v>
      </c>
      <c r="L741" s="66" t="s">
        <v>1001</v>
      </c>
      <c r="M741" s="66" t="s">
        <v>1010</v>
      </c>
      <c r="N741" s="66" t="s">
        <v>1574</v>
      </c>
      <c r="O741" s="66" t="s">
        <v>1575</v>
      </c>
    </row>
    <row r="742" spans="1:15" x14ac:dyDescent="0.35">
      <c r="A742" s="66" t="s">
        <v>2210</v>
      </c>
      <c r="B742" s="66" t="s">
        <v>2211</v>
      </c>
      <c r="C742" s="66" t="s">
        <v>126</v>
      </c>
      <c r="D742" s="66" t="s">
        <v>1152</v>
      </c>
      <c r="E742" s="66" t="s">
        <v>997</v>
      </c>
      <c r="F742" s="75">
        <v>46140</v>
      </c>
      <c r="G742" s="75" t="s">
        <v>1006</v>
      </c>
      <c r="H742" s="66" t="s">
        <v>1007</v>
      </c>
      <c r="I742" s="66" t="s">
        <v>1028</v>
      </c>
      <c r="J742" s="66" t="s">
        <v>1009</v>
      </c>
      <c r="K742" s="75">
        <v>46113</v>
      </c>
      <c r="L742" s="66" t="s">
        <v>1020</v>
      </c>
      <c r="M742" s="66" t="s">
        <v>1010</v>
      </c>
      <c r="N742" s="66" t="s">
        <v>1574</v>
      </c>
      <c r="O742" s="66" t="s">
        <v>1575</v>
      </c>
    </row>
    <row r="743" spans="1:15" x14ac:dyDescent="0.35">
      <c r="A743" s="66" t="s">
        <v>2212</v>
      </c>
      <c r="B743" s="66" t="s">
        <v>2213</v>
      </c>
      <c r="C743" s="66" t="s">
        <v>324</v>
      </c>
      <c r="D743" s="66" t="s">
        <v>1284</v>
      </c>
      <c r="E743" s="66" t="s">
        <v>997</v>
      </c>
      <c r="F743" s="75">
        <v>46122</v>
      </c>
      <c r="G743" s="75" t="s">
        <v>1006</v>
      </c>
      <c r="H743" s="66" t="s">
        <v>1007</v>
      </c>
      <c r="I743" s="66" t="s">
        <v>1028</v>
      </c>
      <c r="J743" s="66" t="s">
        <v>1009</v>
      </c>
      <c r="K743" s="75">
        <v>46113</v>
      </c>
      <c r="L743" s="66" t="s">
        <v>1020</v>
      </c>
      <c r="M743" s="66" t="s">
        <v>1010</v>
      </c>
      <c r="N743" s="66" t="s">
        <v>1574</v>
      </c>
      <c r="O743" s="66" t="s">
        <v>1599</v>
      </c>
    </row>
    <row r="744" spans="1:15" x14ac:dyDescent="0.35">
      <c r="A744" s="66" t="s">
        <v>2214</v>
      </c>
      <c r="B744" s="66" t="s">
        <v>2215</v>
      </c>
      <c r="C744" s="66" t="s">
        <v>385</v>
      </c>
      <c r="D744" s="66" t="s">
        <v>1059</v>
      </c>
      <c r="E744" s="66" t="s">
        <v>997</v>
      </c>
      <c r="F744" s="75">
        <v>46121</v>
      </c>
      <c r="G744" s="75" t="s">
        <v>1006</v>
      </c>
      <c r="H744" s="66" t="s">
        <v>1007</v>
      </c>
      <c r="I744" s="66" t="s">
        <v>1028</v>
      </c>
      <c r="J744" s="66" t="s">
        <v>1009</v>
      </c>
      <c r="K744" s="75">
        <v>46113</v>
      </c>
      <c r="L744" s="66" t="s">
        <v>1020</v>
      </c>
      <c r="M744" s="66" t="s">
        <v>1010</v>
      </c>
      <c r="N744" s="66" t="s">
        <v>1574</v>
      </c>
      <c r="O744" s="66" t="s">
        <v>1575</v>
      </c>
    </row>
    <row r="745" spans="1:15" x14ac:dyDescent="0.35">
      <c r="A745" s="66" t="s">
        <v>2216</v>
      </c>
      <c r="B745" s="66" t="s">
        <v>2217</v>
      </c>
      <c r="C745" s="66" t="s">
        <v>405</v>
      </c>
      <c r="D745" s="66" t="s">
        <v>594</v>
      </c>
      <c r="E745" s="66" t="s">
        <v>997</v>
      </c>
      <c r="F745" s="75">
        <v>46139</v>
      </c>
      <c r="G745" s="75" t="s">
        <v>1006</v>
      </c>
      <c r="H745" s="66" t="s">
        <v>1007</v>
      </c>
      <c r="I745" s="66" t="s">
        <v>1057</v>
      </c>
      <c r="J745" s="66" t="s">
        <v>1009</v>
      </c>
      <c r="K745" s="75">
        <v>46107</v>
      </c>
      <c r="L745" s="66" t="s">
        <v>1001</v>
      </c>
      <c r="M745" s="66" t="s">
        <v>1010</v>
      </c>
      <c r="N745" s="66" t="s">
        <v>1574</v>
      </c>
      <c r="O745" s="66" t="s">
        <v>1575</v>
      </c>
    </row>
    <row r="746" spans="1:15" x14ac:dyDescent="0.35">
      <c r="A746" s="66" t="s">
        <v>2218</v>
      </c>
      <c r="B746" s="66" t="s">
        <v>2219</v>
      </c>
      <c r="C746" s="66" t="s">
        <v>199</v>
      </c>
      <c r="D746" s="66" t="s">
        <v>1496</v>
      </c>
      <c r="E746" s="66" t="s">
        <v>997</v>
      </c>
      <c r="F746" s="75">
        <v>46115</v>
      </c>
      <c r="G746" s="75" t="s">
        <v>1006</v>
      </c>
      <c r="H746" s="66" t="s">
        <v>1007</v>
      </c>
      <c r="I746" s="66" t="s">
        <v>1008</v>
      </c>
      <c r="J746" s="66" t="s">
        <v>1009</v>
      </c>
      <c r="K746" s="75">
        <v>46114</v>
      </c>
      <c r="L746" s="66" t="s">
        <v>1001</v>
      </c>
      <c r="M746" s="66" t="s">
        <v>1010</v>
      </c>
      <c r="N746" s="66" t="s">
        <v>1574</v>
      </c>
      <c r="O746" s="66" t="s">
        <v>1575</v>
      </c>
    </row>
    <row r="747" spans="1:15" x14ac:dyDescent="0.35">
      <c r="A747" s="66" t="s">
        <v>2220</v>
      </c>
      <c r="B747" s="66" t="s">
        <v>2221</v>
      </c>
      <c r="C747" s="66" t="s">
        <v>371</v>
      </c>
      <c r="D747" s="66" t="s">
        <v>2222</v>
      </c>
      <c r="E747" s="66" t="s">
        <v>997</v>
      </c>
      <c r="F747" s="75">
        <v>46128</v>
      </c>
      <c r="G747" s="75" t="s">
        <v>1006</v>
      </c>
      <c r="H747" s="66" t="s">
        <v>1007</v>
      </c>
      <c r="I747" s="66" t="s">
        <v>1008</v>
      </c>
      <c r="J747" s="66" t="s">
        <v>1009</v>
      </c>
      <c r="K747" s="75">
        <v>46114</v>
      </c>
      <c r="L747" s="66" t="s">
        <v>1001</v>
      </c>
      <c r="M747" s="66" t="s">
        <v>1010</v>
      </c>
      <c r="N747" s="66" t="s">
        <v>1574</v>
      </c>
      <c r="O747" s="66" t="s">
        <v>1575</v>
      </c>
    </row>
    <row r="748" spans="1:15" x14ac:dyDescent="0.35">
      <c r="A748" s="66" t="s">
        <v>2223</v>
      </c>
      <c r="B748" s="66" t="s">
        <v>2224</v>
      </c>
      <c r="C748" s="66" t="s">
        <v>256</v>
      </c>
      <c r="D748" s="66" t="s">
        <v>1005</v>
      </c>
      <c r="E748" s="66" t="s">
        <v>997</v>
      </c>
      <c r="F748" s="75">
        <v>46123</v>
      </c>
      <c r="G748" s="75" t="s">
        <v>1006</v>
      </c>
      <c r="H748" s="66" t="s">
        <v>1007</v>
      </c>
      <c r="I748" s="66" t="s">
        <v>1028</v>
      </c>
      <c r="J748" s="66" t="s">
        <v>1009</v>
      </c>
      <c r="K748" s="75">
        <v>46114</v>
      </c>
      <c r="L748" s="66" t="s">
        <v>1020</v>
      </c>
      <c r="M748" s="66" t="s">
        <v>1010</v>
      </c>
      <c r="N748" s="66" t="s">
        <v>1574</v>
      </c>
      <c r="O748" s="66" t="s">
        <v>1575</v>
      </c>
    </row>
    <row r="749" spans="1:15" x14ac:dyDescent="0.35">
      <c r="A749" s="66" t="s">
        <v>2225</v>
      </c>
      <c r="B749" s="66" t="s">
        <v>2226</v>
      </c>
      <c r="C749" s="66" t="s">
        <v>76</v>
      </c>
      <c r="D749" s="66" t="s">
        <v>899</v>
      </c>
      <c r="E749" s="66" t="s">
        <v>997</v>
      </c>
      <c r="F749" s="75">
        <v>46141</v>
      </c>
      <c r="G749" s="75" t="s">
        <v>1006</v>
      </c>
      <c r="H749" s="66" t="s">
        <v>1007</v>
      </c>
      <c r="I749" s="66" t="s">
        <v>1028</v>
      </c>
      <c r="J749" s="66" t="s">
        <v>1009</v>
      </c>
      <c r="K749" s="75">
        <v>46115</v>
      </c>
      <c r="L749" s="66" t="s">
        <v>1020</v>
      </c>
      <c r="M749" s="66" t="s">
        <v>1010</v>
      </c>
      <c r="N749" s="66" t="s">
        <v>1574</v>
      </c>
      <c r="O749" s="66" t="s">
        <v>1599</v>
      </c>
    </row>
    <row r="750" spans="1:15" x14ac:dyDescent="0.35">
      <c r="A750" s="66" t="s">
        <v>2227</v>
      </c>
      <c r="B750" s="66" t="s">
        <v>2228</v>
      </c>
      <c r="C750" s="66" t="s">
        <v>432</v>
      </c>
      <c r="D750" s="66" t="s">
        <v>1037</v>
      </c>
      <c r="E750" s="66" t="s">
        <v>997</v>
      </c>
      <c r="F750" s="75">
        <v>46119</v>
      </c>
      <c r="G750" s="75" t="s">
        <v>1006</v>
      </c>
      <c r="H750" s="66" t="s">
        <v>1007</v>
      </c>
      <c r="I750" s="66" t="s">
        <v>1028</v>
      </c>
      <c r="J750" s="66" t="s">
        <v>1009</v>
      </c>
      <c r="K750" s="75">
        <v>46116</v>
      </c>
      <c r="L750" s="66" t="s">
        <v>1020</v>
      </c>
      <c r="M750" s="66" t="s">
        <v>1010</v>
      </c>
      <c r="N750" s="66" t="s">
        <v>1574</v>
      </c>
      <c r="O750" s="66" t="s">
        <v>1575</v>
      </c>
    </row>
    <row r="751" spans="1:15" x14ac:dyDescent="0.35">
      <c r="A751" s="66" t="s">
        <v>2229</v>
      </c>
      <c r="B751" s="66" t="s">
        <v>2230</v>
      </c>
      <c r="C751" s="66" t="s">
        <v>324</v>
      </c>
      <c r="D751" s="66" t="s">
        <v>1284</v>
      </c>
      <c r="E751" s="66" t="s">
        <v>997</v>
      </c>
      <c r="F751" s="75">
        <v>46124</v>
      </c>
      <c r="G751" s="75" t="s">
        <v>1006</v>
      </c>
      <c r="H751" s="66" t="s">
        <v>1007</v>
      </c>
      <c r="I751" s="66" t="s">
        <v>1008</v>
      </c>
      <c r="J751" s="66" t="s">
        <v>1009</v>
      </c>
      <c r="K751" s="75">
        <v>46116</v>
      </c>
      <c r="L751" s="66" t="s">
        <v>1001</v>
      </c>
      <c r="M751" s="66" t="s">
        <v>1010</v>
      </c>
      <c r="N751" s="66" t="s">
        <v>1574</v>
      </c>
      <c r="O751" s="66" t="s">
        <v>1575</v>
      </c>
    </row>
    <row r="752" spans="1:15" x14ac:dyDescent="0.35">
      <c r="A752" s="66" t="s">
        <v>2231</v>
      </c>
      <c r="B752" s="66" t="s">
        <v>2232</v>
      </c>
      <c r="C752" s="66" t="s">
        <v>385</v>
      </c>
      <c r="D752" s="66" t="s">
        <v>1059</v>
      </c>
      <c r="E752" s="66" t="s">
        <v>997</v>
      </c>
      <c r="F752" s="75">
        <v>46142</v>
      </c>
      <c r="G752" s="75" t="s">
        <v>1006</v>
      </c>
      <c r="H752" s="66" t="s">
        <v>1007</v>
      </c>
      <c r="I752" s="66" t="s">
        <v>1028</v>
      </c>
      <c r="J752" s="66" t="s">
        <v>1009</v>
      </c>
      <c r="K752" s="75">
        <v>46116</v>
      </c>
      <c r="L752" s="66" t="s">
        <v>1020</v>
      </c>
      <c r="M752" s="66" t="s">
        <v>1010</v>
      </c>
      <c r="N752" s="66" t="s">
        <v>1574</v>
      </c>
      <c r="O752" s="66" t="s">
        <v>1599</v>
      </c>
    </row>
    <row r="753" spans="1:15" x14ac:dyDescent="0.35">
      <c r="A753" s="66" t="s">
        <v>2233</v>
      </c>
      <c r="B753" s="66" t="s">
        <v>2234</v>
      </c>
      <c r="C753" s="66" t="s">
        <v>318</v>
      </c>
      <c r="D753" s="66" t="s">
        <v>1266</v>
      </c>
      <c r="E753" s="66" t="s">
        <v>997</v>
      </c>
      <c r="F753" s="75">
        <v>46121</v>
      </c>
      <c r="G753" s="75" t="s">
        <v>1006</v>
      </c>
      <c r="H753" s="66" t="s">
        <v>1007</v>
      </c>
      <c r="I753" s="66" t="s">
        <v>1008</v>
      </c>
      <c r="J753" s="66" t="s">
        <v>1009</v>
      </c>
      <c r="K753" s="75">
        <v>46119</v>
      </c>
      <c r="L753" s="66" t="s">
        <v>1001</v>
      </c>
      <c r="M753" s="66" t="s">
        <v>1010</v>
      </c>
      <c r="N753" s="66" t="s">
        <v>1574</v>
      </c>
      <c r="O753" s="66" t="s">
        <v>1575</v>
      </c>
    </row>
    <row r="754" spans="1:15" x14ac:dyDescent="0.35">
      <c r="A754" s="66" t="s">
        <v>2235</v>
      </c>
      <c r="B754" s="66" t="s">
        <v>2236</v>
      </c>
      <c r="C754" s="66" t="s">
        <v>282</v>
      </c>
      <c r="D754" s="66" t="s">
        <v>1417</v>
      </c>
      <c r="E754" s="66" t="s">
        <v>997</v>
      </c>
      <c r="F754" s="75">
        <v>46126</v>
      </c>
      <c r="G754" s="75" t="s">
        <v>1006</v>
      </c>
      <c r="H754" s="66" t="s">
        <v>1007</v>
      </c>
      <c r="I754" s="66" t="s">
        <v>1008</v>
      </c>
      <c r="J754" s="66" t="s">
        <v>1009</v>
      </c>
      <c r="K754" s="75">
        <v>46119</v>
      </c>
      <c r="L754" s="66" t="s">
        <v>1001</v>
      </c>
      <c r="M754" s="66" t="s">
        <v>1010</v>
      </c>
      <c r="N754" s="66" t="s">
        <v>1574</v>
      </c>
      <c r="O754" s="66" t="s">
        <v>1575</v>
      </c>
    </row>
    <row r="755" spans="1:15" x14ac:dyDescent="0.35">
      <c r="A755" s="66" t="s">
        <v>2237</v>
      </c>
      <c r="B755" s="66" t="s">
        <v>2238</v>
      </c>
      <c r="C755" s="66" t="s">
        <v>171</v>
      </c>
      <c r="D755" s="66" t="s">
        <v>2239</v>
      </c>
      <c r="E755" s="66" t="s">
        <v>997</v>
      </c>
      <c r="F755" s="75">
        <v>46141</v>
      </c>
      <c r="G755" s="75" t="s">
        <v>1006</v>
      </c>
      <c r="H755" s="66" t="s">
        <v>1007</v>
      </c>
      <c r="I755" s="66" t="s">
        <v>1028</v>
      </c>
      <c r="J755" s="66" t="s">
        <v>1009</v>
      </c>
      <c r="K755" s="75">
        <v>46119</v>
      </c>
      <c r="L755" s="66" t="s">
        <v>1020</v>
      </c>
      <c r="M755" s="66" t="s">
        <v>1010</v>
      </c>
      <c r="N755" s="66" t="s">
        <v>1574</v>
      </c>
      <c r="O755" s="66" t="s">
        <v>1599</v>
      </c>
    </row>
    <row r="756" spans="1:15" x14ac:dyDescent="0.35">
      <c r="A756" s="66" t="s">
        <v>2240</v>
      </c>
      <c r="B756" s="66" t="s">
        <v>2241</v>
      </c>
      <c r="C756" s="66" t="s">
        <v>353</v>
      </c>
      <c r="D756" s="66" t="s">
        <v>850</v>
      </c>
      <c r="E756" s="66" t="s">
        <v>997</v>
      </c>
      <c r="F756" s="75">
        <v>46122</v>
      </c>
      <c r="G756" s="75" t="s">
        <v>1006</v>
      </c>
      <c r="H756" s="66" t="s">
        <v>1007</v>
      </c>
      <c r="I756" s="66" t="s">
        <v>1028</v>
      </c>
      <c r="J756" s="66" t="s">
        <v>1009</v>
      </c>
      <c r="K756" s="75">
        <v>46119</v>
      </c>
      <c r="L756" s="66" t="s">
        <v>1020</v>
      </c>
      <c r="M756" s="66" t="s">
        <v>1010</v>
      </c>
      <c r="N756" s="66" t="s">
        <v>1574</v>
      </c>
      <c r="O756" s="66" t="s">
        <v>1575</v>
      </c>
    </row>
    <row r="757" spans="1:15" x14ac:dyDescent="0.35">
      <c r="A757" s="66" t="s">
        <v>2242</v>
      </c>
      <c r="B757" s="66" t="s">
        <v>2243</v>
      </c>
      <c r="C757" s="66" t="s">
        <v>201</v>
      </c>
      <c r="D757" s="66" t="s">
        <v>1061</v>
      </c>
      <c r="E757" s="66" t="s">
        <v>997</v>
      </c>
      <c r="F757" s="75">
        <v>46134</v>
      </c>
      <c r="G757" s="75" t="s">
        <v>1006</v>
      </c>
      <c r="H757" s="66" t="s">
        <v>1007</v>
      </c>
      <c r="I757" s="66" t="s">
        <v>1028</v>
      </c>
      <c r="J757" s="66" t="s">
        <v>1009</v>
      </c>
      <c r="K757" s="75">
        <v>46120</v>
      </c>
      <c r="L757" s="66" t="s">
        <v>1020</v>
      </c>
      <c r="M757" s="66" t="s">
        <v>1010</v>
      </c>
      <c r="N757" s="66" t="s">
        <v>1574</v>
      </c>
      <c r="O757" s="66" t="s">
        <v>1575</v>
      </c>
    </row>
    <row r="758" spans="1:15" x14ac:dyDescent="0.35">
      <c r="A758" s="66" t="s">
        <v>2244</v>
      </c>
      <c r="B758" s="66" t="s">
        <v>2245</v>
      </c>
      <c r="C758" s="66" t="s">
        <v>199</v>
      </c>
      <c r="D758" s="66" t="s">
        <v>1496</v>
      </c>
      <c r="E758" s="66" t="s">
        <v>997</v>
      </c>
      <c r="F758" s="75">
        <v>46122</v>
      </c>
      <c r="G758" s="75" t="s">
        <v>1006</v>
      </c>
      <c r="H758" s="66" t="s">
        <v>1007</v>
      </c>
      <c r="I758" s="66" t="s">
        <v>1008</v>
      </c>
      <c r="J758" s="66" t="s">
        <v>1009</v>
      </c>
      <c r="K758" s="75">
        <v>46121</v>
      </c>
      <c r="L758" s="66" t="s">
        <v>1001</v>
      </c>
      <c r="M758" s="66" t="s">
        <v>1010</v>
      </c>
      <c r="N758" s="66" t="s">
        <v>1574</v>
      </c>
      <c r="O758" s="66" t="s">
        <v>1575</v>
      </c>
    </row>
    <row r="759" spans="1:15" x14ac:dyDescent="0.35">
      <c r="A759" s="66" t="s">
        <v>2246</v>
      </c>
      <c r="B759" s="66" t="s">
        <v>2247</v>
      </c>
      <c r="C759" s="66" t="s">
        <v>313</v>
      </c>
      <c r="D759" s="66" t="s">
        <v>1401</v>
      </c>
      <c r="E759" s="66" t="s">
        <v>997</v>
      </c>
      <c r="F759" s="75">
        <v>46142</v>
      </c>
      <c r="G759" s="75" t="s">
        <v>1006</v>
      </c>
      <c r="H759" s="66" t="s">
        <v>1007</v>
      </c>
      <c r="I759" s="66" t="s">
        <v>1028</v>
      </c>
      <c r="J759" s="66" t="s">
        <v>1009</v>
      </c>
      <c r="K759" s="75">
        <v>46121</v>
      </c>
      <c r="L759" s="66" t="s">
        <v>1020</v>
      </c>
      <c r="M759" s="66" t="s">
        <v>1010</v>
      </c>
      <c r="N759" s="66" t="s">
        <v>1574</v>
      </c>
      <c r="O759" s="66" t="s">
        <v>1599</v>
      </c>
    </row>
    <row r="760" spans="1:15" x14ac:dyDescent="0.35">
      <c r="A760" s="66" t="s">
        <v>2248</v>
      </c>
      <c r="B760" s="66" t="s">
        <v>2249</v>
      </c>
      <c r="C760" s="66" t="s">
        <v>199</v>
      </c>
      <c r="D760" s="66" t="s">
        <v>1496</v>
      </c>
      <c r="E760" s="66" t="s">
        <v>997</v>
      </c>
      <c r="F760" s="75">
        <v>46125</v>
      </c>
      <c r="G760" s="75" t="s">
        <v>1006</v>
      </c>
      <c r="H760" s="66" t="s">
        <v>1007</v>
      </c>
      <c r="I760" s="66" t="s">
        <v>1028</v>
      </c>
      <c r="J760" s="66" t="s">
        <v>1009</v>
      </c>
      <c r="K760" s="75">
        <v>46122</v>
      </c>
      <c r="L760" s="66" t="s">
        <v>1020</v>
      </c>
      <c r="M760" s="66" t="s">
        <v>1010</v>
      </c>
      <c r="N760" s="66" t="s">
        <v>1574</v>
      </c>
      <c r="O760" s="66" t="s">
        <v>1575</v>
      </c>
    </row>
    <row r="761" spans="1:15" x14ac:dyDescent="0.35">
      <c r="A761" s="66" t="s">
        <v>2250</v>
      </c>
      <c r="B761" s="66" t="s">
        <v>2251</v>
      </c>
      <c r="C761" s="66" t="s">
        <v>365</v>
      </c>
      <c r="D761" s="66" t="s">
        <v>1117</v>
      </c>
      <c r="E761" s="66" t="s">
        <v>997</v>
      </c>
      <c r="F761" s="75">
        <v>46132</v>
      </c>
      <c r="G761" s="75" t="s">
        <v>1006</v>
      </c>
      <c r="H761" s="66" t="s">
        <v>1007</v>
      </c>
      <c r="I761" s="66" t="s">
        <v>1028</v>
      </c>
      <c r="J761" s="66" t="s">
        <v>1009</v>
      </c>
      <c r="K761" s="75">
        <v>46123</v>
      </c>
      <c r="L761" s="66" t="s">
        <v>1020</v>
      </c>
      <c r="M761" s="66" t="s">
        <v>1010</v>
      </c>
      <c r="N761" s="66" t="s">
        <v>1574</v>
      </c>
      <c r="O761" s="66" t="s">
        <v>1575</v>
      </c>
    </row>
    <row r="762" spans="1:15" x14ac:dyDescent="0.35">
      <c r="A762" s="66" t="s">
        <v>2252</v>
      </c>
      <c r="B762" s="66" t="s">
        <v>2253</v>
      </c>
      <c r="C762" s="66" t="s">
        <v>313</v>
      </c>
      <c r="D762" s="66" t="s">
        <v>1401</v>
      </c>
      <c r="E762" s="66" t="s">
        <v>997</v>
      </c>
      <c r="F762" s="75">
        <v>46128</v>
      </c>
      <c r="G762" s="75" t="s">
        <v>1006</v>
      </c>
      <c r="H762" s="66" t="s">
        <v>1007</v>
      </c>
      <c r="I762" s="66" t="s">
        <v>1028</v>
      </c>
      <c r="J762" s="66" t="s">
        <v>1009</v>
      </c>
      <c r="K762" s="75">
        <v>46123</v>
      </c>
      <c r="L762" s="66" t="s">
        <v>1020</v>
      </c>
      <c r="M762" s="66" t="s">
        <v>1010</v>
      </c>
      <c r="N762" s="66" t="s">
        <v>1574</v>
      </c>
      <c r="O762" s="66" t="s">
        <v>1575</v>
      </c>
    </row>
    <row r="763" spans="1:15" x14ac:dyDescent="0.35">
      <c r="A763" s="66" t="s">
        <v>2254</v>
      </c>
      <c r="B763" s="66" t="s">
        <v>2255</v>
      </c>
      <c r="C763" s="66" t="s">
        <v>322</v>
      </c>
      <c r="D763" s="66" t="s">
        <v>834</v>
      </c>
      <c r="E763" s="66" t="s">
        <v>997</v>
      </c>
      <c r="F763" s="75">
        <v>46132</v>
      </c>
      <c r="G763" s="75" t="s">
        <v>1498</v>
      </c>
      <c r="H763" s="66" t="s">
        <v>1044</v>
      </c>
      <c r="I763" s="66" t="s">
        <v>1028</v>
      </c>
      <c r="J763" s="66" t="s">
        <v>1009</v>
      </c>
      <c r="K763" s="75">
        <v>46126</v>
      </c>
      <c r="L763" s="66" t="s">
        <v>1020</v>
      </c>
      <c r="M763" s="66" t="s">
        <v>1010</v>
      </c>
      <c r="N763" s="66" t="s">
        <v>1574</v>
      </c>
      <c r="O763" s="66" t="s">
        <v>1575</v>
      </c>
    </row>
    <row r="764" spans="1:15" x14ac:dyDescent="0.35">
      <c r="A764" s="66" t="s">
        <v>2256</v>
      </c>
      <c r="B764" s="66" t="s">
        <v>2257</v>
      </c>
      <c r="C764" s="66" t="s">
        <v>126</v>
      </c>
      <c r="D764" s="66" t="s">
        <v>1152</v>
      </c>
      <c r="E764" s="66" t="s">
        <v>997</v>
      </c>
      <c r="F764" s="75">
        <v>46128</v>
      </c>
      <c r="G764" s="75" t="s">
        <v>1006</v>
      </c>
      <c r="H764" s="66" t="s">
        <v>1007</v>
      </c>
      <c r="I764" s="66" t="s">
        <v>1008</v>
      </c>
      <c r="J764" s="66" t="s">
        <v>1009</v>
      </c>
      <c r="K764" s="75">
        <v>46126</v>
      </c>
      <c r="L764" s="66" t="s">
        <v>1001</v>
      </c>
      <c r="M764" s="66" t="s">
        <v>1010</v>
      </c>
      <c r="N764" s="66" t="s">
        <v>1574</v>
      </c>
      <c r="O764" s="66" t="s">
        <v>1575</v>
      </c>
    </row>
    <row r="765" spans="1:15" x14ac:dyDescent="0.35">
      <c r="A765" s="66" t="s">
        <v>2258</v>
      </c>
      <c r="B765" s="66" t="s">
        <v>2259</v>
      </c>
      <c r="C765" s="66" t="s">
        <v>161</v>
      </c>
      <c r="D765" s="66" t="s">
        <v>1027</v>
      </c>
      <c r="E765" s="66" t="s">
        <v>997</v>
      </c>
      <c r="F765" s="75">
        <v>46139</v>
      </c>
      <c r="G765" s="75" t="s">
        <v>1006</v>
      </c>
      <c r="H765" s="66" t="s">
        <v>1007</v>
      </c>
      <c r="I765" s="66" t="s">
        <v>1028</v>
      </c>
      <c r="J765" s="66" t="s">
        <v>1009</v>
      </c>
      <c r="K765" s="75">
        <v>46126</v>
      </c>
      <c r="L765" s="66" t="s">
        <v>1020</v>
      </c>
      <c r="M765" s="66" t="s">
        <v>1010</v>
      </c>
      <c r="N765" s="66" t="s">
        <v>1574</v>
      </c>
      <c r="O765" s="66" t="s">
        <v>1599</v>
      </c>
    </row>
    <row r="766" spans="1:15" x14ac:dyDescent="0.35">
      <c r="A766" s="66" t="s">
        <v>2260</v>
      </c>
      <c r="B766" s="66" t="s">
        <v>2261</v>
      </c>
      <c r="C766" s="66" t="s">
        <v>147</v>
      </c>
      <c r="D766" s="66" t="s">
        <v>1396</v>
      </c>
      <c r="E766" s="66" t="s">
        <v>997</v>
      </c>
      <c r="F766" s="75">
        <v>46130</v>
      </c>
      <c r="G766" s="75" t="s">
        <v>1006</v>
      </c>
      <c r="H766" s="66" t="s">
        <v>1007</v>
      </c>
      <c r="I766" s="66" t="s">
        <v>1028</v>
      </c>
      <c r="J766" s="66" t="s">
        <v>1009</v>
      </c>
      <c r="K766" s="75">
        <v>46126</v>
      </c>
      <c r="L766" s="66" t="s">
        <v>1020</v>
      </c>
      <c r="M766" s="66" t="s">
        <v>1010</v>
      </c>
      <c r="N766" s="66" t="s">
        <v>1574</v>
      </c>
      <c r="O766" s="66" t="s">
        <v>1575</v>
      </c>
    </row>
    <row r="767" spans="1:15" x14ac:dyDescent="0.35">
      <c r="A767" s="66" t="s">
        <v>2262</v>
      </c>
      <c r="B767" s="66" t="s">
        <v>2263</v>
      </c>
      <c r="C767" s="66" t="s">
        <v>11</v>
      </c>
      <c r="D767" s="66" t="s">
        <v>627</v>
      </c>
      <c r="E767" s="66" t="s">
        <v>997</v>
      </c>
      <c r="F767" s="75">
        <v>46131</v>
      </c>
      <c r="G767" s="75" t="s">
        <v>1006</v>
      </c>
      <c r="H767" s="66" t="s">
        <v>1007</v>
      </c>
      <c r="I767" s="66" t="s">
        <v>1028</v>
      </c>
      <c r="J767" s="66" t="s">
        <v>1009</v>
      </c>
      <c r="K767" s="75">
        <v>46127</v>
      </c>
      <c r="L767" s="66" t="s">
        <v>1020</v>
      </c>
      <c r="M767" s="66" t="s">
        <v>1010</v>
      </c>
      <c r="N767" s="66" t="s">
        <v>1574</v>
      </c>
      <c r="O767" s="66" t="s">
        <v>1575</v>
      </c>
    </row>
    <row r="768" spans="1:15" x14ac:dyDescent="0.35">
      <c r="A768" s="66" t="s">
        <v>2264</v>
      </c>
      <c r="B768" s="66" t="s">
        <v>2265</v>
      </c>
      <c r="C768" s="66" t="s">
        <v>149</v>
      </c>
      <c r="D768" s="66" t="s">
        <v>1548</v>
      </c>
      <c r="E768" s="66" t="s">
        <v>997</v>
      </c>
      <c r="F768" s="75">
        <v>46132</v>
      </c>
      <c r="G768" s="75" t="s">
        <v>1006</v>
      </c>
      <c r="H768" s="66" t="s">
        <v>1007</v>
      </c>
      <c r="I768" s="66" t="s">
        <v>1028</v>
      </c>
      <c r="J768" s="66" t="s">
        <v>1009</v>
      </c>
      <c r="K768" s="75">
        <v>46127</v>
      </c>
      <c r="L768" s="66" t="s">
        <v>1020</v>
      </c>
      <c r="M768" s="66" t="s">
        <v>1010</v>
      </c>
      <c r="N768" s="66" t="s">
        <v>1574</v>
      </c>
      <c r="O768" s="66" t="s">
        <v>1575</v>
      </c>
    </row>
    <row r="769" spans="1:15" x14ac:dyDescent="0.35">
      <c r="A769" s="66" t="s">
        <v>2266</v>
      </c>
      <c r="B769" s="66" t="s">
        <v>2267</v>
      </c>
      <c r="C769" s="66" t="s">
        <v>273</v>
      </c>
      <c r="D769" s="66" t="s">
        <v>1093</v>
      </c>
      <c r="E769" s="66" t="s">
        <v>997</v>
      </c>
      <c r="F769" s="75">
        <v>46141</v>
      </c>
      <c r="G769" s="75" t="s">
        <v>1006</v>
      </c>
      <c r="H769" s="66" t="s">
        <v>1007</v>
      </c>
      <c r="I769" s="66" t="s">
        <v>1019</v>
      </c>
      <c r="J769" s="66" t="s">
        <v>1009</v>
      </c>
      <c r="K769" s="75">
        <v>46128</v>
      </c>
      <c r="L769" s="66" t="s">
        <v>1020</v>
      </c>
      <c r="M769" s="66" t="s">
        <v>1010</v>
      </c>
      <c r="N769" s="66" t="s">
        <v>1574</v>
      </c>
      <c r="O769" s="66" t="s">
        <v>1575</v>
      </c>
    </row>
    <row r="770" spans="1:15" x14ac:dyDescent="0.35">
      <c r="A770" s="66" t="s">
        <v>2268</v>
      </c>
      <c r="B770" s="66" t="s">
        <v>2269</v>
      </c>
      <c r="C770" s="66" t="s">
        <v>320</v>
      </c>
      <c r="D770" s="66" t="s">
        <v>1205</v>
      </c>
      <c r="E770" s="66" t="s">
        <v>997</v>
      </c>
      <c r="F770" s="75">
        <v>46131</v>
      </c>
      <c r="G770" s="75" t="s">
        <v>1006</v>
      </c>
      <c r="H770" s="66" t="s">
        <v>1007</v>
      </c>
      <c r="I770" s="66" t="s">
        <v>1008</v>
      </c>
      <c r="J770" s="66" t="s">
        <v>1009</v>
      </c>
      <c r="K770" s="75">
        <v>46129</v>
      </c>
      <c r="L770" s="66" t="s">
        <v>1001</v>
      </c>
      <c r="M770" s="66" t="s">
        <v>1010</v>
      </c>
      <c r="N770" s="66" t="s">
        <v>1574</v>
      </c>
      <c r="O770" s="66" t="s">
        <v>1575</v>
      </c>
    </row>
    <row r="771" spans="1:15" x14ac:dyDescent="0.35">
      <c r="A771" s="66" t="s">
        <v>2270</v>
      </c>
      <c r="B771" s="66" t="s">
        <v>2271</v>
      </c>
      <c r="C771" s="66" t="s">
        <v>201</v>
      </c>
      <c r="D771" s="66" t="s">
        <v>1061</v>
      </c>
      <c r="E771" s="66" t="s">
        <v>997</v>
      </c>
      <c r="F771" s="75">
        <v>46139</v>
      </c>
      <c r="G771" s="75" t="s">
        <v>1006</v>
      </c>
      <c r="H771" s="66" t="s">
        <v>1007</v>
      </c>
      <c r="I771" s="66" t="s">
        <v>1028</v>
      </c>
      <c r="J771" s="66" t="s">
        <v>1009</v>
      </c>
      <c r="K771" s="75">
        <v>46129</v>
      </c>
      <c r="L771" s="66" t="s">
        <v>1020</v>
      </c>
      <c r="M771" s="66" t="s">
        <v>1010</v>
      </c>
      <c r="N771" s="66" t="s">
        <v>1574</v>
      </c>
      <c r="O771" s="66" t="s">
        <v>1575</v>
      </c>
    </row>
    <row r="772" spans="1:15" x14ac:dyDescent="0.35">
      <c r="A772" s="66" t="s">
        <v>2272</v>
      </c>
      <c r="B772" s="66" t="s">
        <v>2273</v>
      </c>
      <c r="C772" s="66" t="s">
        <v>201</v>
      </c>
      <c r="D772" s="66" t="s">
        <v>1061</v>
      </c>
      <c r="E772" s="66" t="s">
        <v>997</v>
      </c>
      <c r="F772" s="75">
        <v>46138</v>
      </c>
      <c r="G772" s="75" t="s">
        <v>1006</v>
      </c>
      <c r="H772" s="66" t="s">
        <v>1007</v>
      </c>
      <c r="I772" s="66" t="s">
        <v>1028</v>
      </c>
      <c r="J772" s="66" t="s">
        <v>1009</v>
      </c>
      <c r="K772" s="75">
        <v>46129</v>
      </c>
      <c r="L772" s="66" t="s">
        <v>1020</v>
      </c>
      <c r="M772" s="66" t="s">
        <v>1010</v>
      </c>
      <c r="N772" s="66" t="s">
        <v>1574</v>
      </c>
      <c r="O772" s="66" t="s">
        <v>1575</v>
      </c>
    </row>
    <row r="773" spans="1:15" x14ac:dyDescent="0.35">
      <c r="A773" s="66" t="s">
        <v>2274</v>
      </c>
      <c r="B773" s="66" t="s">
        <v>2275</v>
      </c>
      <c r="C773" s="66" t="s">
        <v>199</v>
      </c>
      <c r="D773" s="66" t="s">
        <v>1496</v>
      </c>
      <c r="E773" s="66" t="s">
        <v>997</v>
      </c>
      <c r="F773" s="75">
        <v>46138</v>
      </c>
      <c r="G773" s="75" t="s">
        <v>1006</v>
      </c>
      <c r="H773" s="66" t="s">
        <v>1007</v>
      </c>
      <c r="I773" s="66" t="s">
        <v>1028</v>
      </c>
      <c r="J773" s="66" t="s">
        <v>1009</v>
      </c>
      <c r="K773" s="75">
        <v>46129</v>
      </c>
      <c r="L773" s="66" t="s">
        <v>1020</v>
      </c>
      <c r="M773" s="66" t="s">
        <v>1010</v>
      </c>
      <c r="N773" s="66" t="s">
        <v>1574</v>
      </c>
      <c r="O773" s="66" t="s">
        <v>1575</v>
      </c>
    </row>
    <row r="774" spans="1:15" x14ac:dyDescent="0.35">
      <c r="A774" s="66" t="s">
        <v>2276</v>
      </c>
      <c r="B774" s="66" t="s">
        <v>2277</v>
      </c>
      <c r="C774" s="66" t="s">
        <v>27</v>
      </c>
      <c r="D774" s="66" t="s">
        <v>1250</v>
      </c>
      <c r="E774" s="66" t="s">
        <v>997</v>
      </c>
      <c r="F774" s="75">
        <v>46138</v>
      </c>
      <c r="G774" s="75" t="s">
        <v>1394</v>
      </c>
      <c r="H774" s="66" t="s">
        <v>1044</v>
      </c>
      <c r="I774" s="66" t="s">
        <v>1008</v>
      </c>
      <c r="J774" s="66" t="s">
        <v>1009</v>
      </c>
      <c r="K774" s="75">
        <v>46130</v>
      </c>
      <c r="L774" s="66" t="s">
        <v>1001</v>
      </c>
      <c r="M774" s="66" t="s">
        <v>1010</v>
      </c>
      <c r="N774" s="66" t="s">
        <v>1574</v>
      </c>
      <c r="O774" s="66" t="s">
        <v>1575</v>
      </c>
    </row>
    <row r="775" spans="1:15" x14ac:dyDescent="0.35">
      <c r="A775" s="66" t="s">
        <v>2278</v>
      </c>
      <c r="B775" s="66" t="s">
        <v>2279</v>
      </c>
      <c r="C775" s="66" t="s">
        <v>237</v>
      </c>
      <c r="D775" s="66" t="s">
        <v>1070</v>
      </c>
      <c r="E775" s="66" t="s">
        <v>997</v>
      </c>
      <c r="F775" s="75">
        <v>46131</v>
      </c>
      <c r="G775" s="75" t="s">
        <v>1006</v>
      </c>
      <c r="H775" s="66" t="s">
        <v>1007</v>
      </c>
      <c r="I775" s="66" t="s">
        <v>1028</v>
      </c>
      <c r="J775" s="66" t="s">
        <v>1009</v>
      </c>
      <c r="K775" s="75">
        <v>46130</v>
      </c>
      <c r="L775" s="66" t="s">
        <v>1020</v>
      </c>
      <c r="M775" s="66" t="s">
        <v>1010</v>
      </c>
      <c r="N775" s="66" t="s">
        <v>1574</v>
      </c>
      <c r="O775" s="66" t="s">
        <v>1575</v>
      </c>
    </row>
    <row r="776" spans="1:15" x14ac:dyDescent="0.35">
      <c r="A776" s="66" t="s">
        <v>2280</v>
      </c>
      <c r="B776" s="66" t="s">
        <v>2281</v>
      </c>
      <c r="C776" s="66" t="s">
        <v>278</v>
      </c>
      <c r="D776" s="66" t="s">
        <v>1131</v>
      </c>
      <c r="E776" s="66" t="s">
        <v>997</v>
      </c>
      <c r="F776" s="75">
        <v>46137</v>
      </c>
      <c r="G776" s="75" t="s">
        <v>1394</v>
      </c>
      <c r="H776" s="66" t="s">
        <v>1044</v>
      </c>
      <c r="I776" s="66" t="s">
        <v>1084</v>
      </c>
      <c r="J776" s="66" t="s">
        <v>1009</v>
      </c>
      <c r="K776" s="75">
        <v>46130</v>
      </c>
      <c r="L776" s="66" t="s">
        <v>1001</v>
      </c>
      <c r="M776" s="66" t="s">
        <v>1010</v>
      </c>
      <c r="N776" s="66" t="s">
        <v>1574</v>
      </c>
      <c r="O776" s="66" t="s">
        <v>1599</v>
      </c>
    </row>
    <row r="777" spans="1:15" x14ac:dyDescent="0.35">
      <c r="A777" s="66" t="s">
        <v>2282</v>
      </c>
      <c r="B777" s="66" t="s">
        <v>2283</v>
      </c>
      <c r="C777" s="66" t="s">
        <v>42</v>
      </c>
      <c r="D777" s="66" t="s">
        <v>1262</v>
      </c>
      <c r="E777" s="66" t="s">
        <v>997</v>
      </c>
      <c r="F777" s="75">
        <v>46142</v>
      </c>
      <c r="G777" s="75" t="s">
        <v>1006</v>
      </c>
      <c r="H777" s="66" t="s">
        <v>1007</v>
      </c>
      <c r="I777" s="66" t="s">
        <v>1028</v>
      </c>
      <c r="J777" s="66" t="s">
        <v>1009</v>
      </c>
      <c r="K777" s="75">
        <v>46133</v>
      </c>
      <c r="L777" s="66" t="s">
        <v>1020</v>
      </c>
      <c r="M777" s="66" t="s">
        <v>1010</v>
      </c>
      <c r="N777" s="66" t="s">
        <v>1574</v>
      </c>
      <c r="O777" s="66" t="s">
        <v>1575</v>
      </c>
    </row>
    <row r="778" spans="1:15" x14ac:dyDescent="0.35">
      <c r="A778" s="66" t="s">
        <v>2284</v>
      </c>
      <c r="B778" s="66" t="s">
        <v>2285</v>
      </c>
      <c r="C778" s="66" t="s">
        <v>428</v>
      </c>
      <c r="D778" s="66" t="s">
        <v>1063</v>
      </c>
      <c r="E778" s="66" t="s">
        <v>997</v>
      </c>
      <c r="F778" s="75">
        <v>46135</v>
      </c>
      <c r="G778" s="75" t="s">
        <v>1006</v>
      </c>
      <c r="H778" s="66" t="s">
        <v>1007</v>
      </c>
      <c r="I778" s="66" t="s">
        <v>1028</v>
      </c>
      <c r="J778" s="66" t="s">
        <v>1009</v>
      </c>
      <c r="K778" s="75">
        <v>46133</v>
      </c>
      <c r="L778" s="66" t="s">
        <v>1020</v>
      </c>
      <c r="M778" s="66" t="s">
        <v>1010</v>
      </c>
      <c r="N778" s="66" t="s">
        <v>1574</v>
      </c>
      <c r="O778" s="66" t="s">
        <v>1575</v>
      </c>
    </row>
    <row r="779" spans="1:15" x14ac:dyDescent="0.35">
      <c r="A779" s="66" t="s">
        <v>2286</v>
      </c>
      <c r="B779" s="66" t="s">
        <v>2287</v>
      </c>
      <c r="C779" s="66" t="s">
        <v>256</v>
      </c>
      <c r="D779" s="66" t="s">
        <v>1005</v>
      </c>
      <c r="E779" s="66" t="s">
        <v>997</v>
      </c>
      <c r="F779" s="75">
        <v>46138</v>
      </c>
      <c r="G779" s="75" t="s">
        <v>1006</v>
      </c>
      <c r="H779" s="66" t="s">
        <v>1007</v>
      </c>
      <c r="I779" s="66" t="s">
        <v>1028</v>
      </c>
      <c r="J779" s="66" t="s">
        <v>1009</v>
      </c>
      <c r="K779" s="75">
        <v>46134</v>
      </c>
      <c r="L779" s="66" t="s">
        <v>1020</v>
      </c>
      <c r="M779" s="66" t="s">
        <v>1010</v>
      </c>
      <c r="N779" s="66" t="s">
        <v>1574</v>
      </c>
      <c r="O779" s="66" t="s">
        <v>1575</v>
      </c>
    </row>
    <row r="780" spans="1:15" x14ac:dyDescent="0.35">
      <c r="A780" s="66" t="s">
        <v>2288</v>
      </c>
      <c r="B780" s="66" t="s">
        <v>2289</v>
      </c>
      <c r="C780" s="66" t="s">
        <v>165</v>
      </c>
      <c r="D780" s="66" t="s">
        <v>1238</v>
      </c>
      <c r="E780" s="66" t="s">
        <v>997</v>
      </c>
      <c r="F780" s="75">
        <v>46134</v>
      </c>
      <c r="G780" s="75" t="s">
        <v>1006</v>
      </c>
      <c r="H780" s="66" t="s">
        <v>1007</v>
      </c>
      <c r="I780" s="66" t="s">
        <v>1008</v>
      </c>
      <c r="J780" s="66" t="s">
        <v>1009</v>
      </c>
      <c r="K780" s="75">
        <v>46134</v>
      </c>
      <c r="L780" s="66" t="s">
        <v>1001</v>
      </c>
      <c r="M780" s="66" t="s">
        <v>1010</v>
      </c>
      <c r="N780" s="66" t="s">
        <v>1574</v>
      </c>
      <c r="O780" s="66" t="s">
        <v>1575</v>
      </c>
    </row>
    <row r="781" spans="1:15" x14ac:dyDescent="0.35">
      <c r="A781" s="66" t="s">
        <v>2290</v>
      </c>
      <c r="B781" s="66" t="s">
        <v>2291</v>
      </c>
      <c r="C781" s="66" t="s">
        <v>273</v>
      </c>
      <c r="D781" s="66" t="s">
        <v>1093</v>
      </c>
      <c r="E781" s="66" t="s">
        <v>997</v>
      </c>
      <c r="F781" s="75">
        <v>46138</v>
      </c>
      <c r="G781" s="75" t="s">
        <v>1006</v>
      </c>
      <c r="H781" s="66" t="s">
        <v>1007</v>
      </c>
      <c r="I781" s="66" t="s">
        <v>1008</v>
      </c>
      <c r="J781" s="66" t="s">
        <v>1009</v>
      </c>
      <c r="K781" s="75">
        <v>46134</v>
      </c>
      <c r="L781" s="66" t="s">
        <v>1001</v>
      </c>
      <c r="M781" s="66" t="s">
        <v>1010</v>
      </c>
      <c r="N781" s="66" t="s">
        <v>1574</v>
      </c>
      <c r="O781" s="66" t="s">
        <v>1575</v>
      </c>
    </row>
    <row r="782" spans="1:15" x14ac:dyDescent="0.35">
      <c r="A782" s="66" t="s">
        <v>2292</v>
      </c>
      <c r="B782" s="66" t="s">
        <v>2293</v>
      </c>
      <c r="C782" s="66" t="s">
        <v>91</v>
      </c>
      <c r="D782" s="66" t="s">
        <v>1113</v>
      </c>
      <c r="E782" s="66" t="s">
        <v>997</v>
      </c>
      <c r="F782" s="75">
        <v>46137</v>
      </c>
      <c r="G782" s="75" t="s">
        <v>1006</v>
      </c>
      <c r="H782" s="66" t="s">
        <v>1007</v>
      </c>
      <c r="I782" s="66" t="s">
        <v>1084</v>
      </c>
      <c r="J782" s="66" t="s">
        <v>1009</v>
      </c>
      <c r="K782" s="75">
        <v>46135</v>
      </c>
      <c r="L782" s="66" t="s">
        <v>1001</v>
      </c>
      <c r="M782" s="66" t="s">
        <v>1010</v>
      </c>
      <c r="N782" s="66" t="s">
        <v>1574</v>
      </c>
      <c r="O782" s="66" t="s">
        <v>1599</v>
      </c>
    </row>
    <row r="783" spans="1:15" x14ac:dyDescent="0.35">
      <c r="A783" s="66" t="s">
        <v>2294</v>
      </c>
      <c r="B783" s="66" t="s">
        <v>2295</v>
      </c>
      <c r="C783" s="66" t="s">
        <v>313</v>
      </c>
      <c r="D783" s="66" t="s">
        <v>1401</v>
      </c>
      <c r="E783" s="66" t="s">
        <v>997</v>
      </c>
      <c r="F783" s="75">
        <v>46140</v>
      </c>
      <c r="G783" s="75" t="s">
        <v>1006</v>
      </c>
      <c r="H783" s="66" t="s">
        <v>1007</v>
      </c>
      <c r="I783" s="66" t="s">
        <v>1028</v>
      </c>
      <c r="J783" s="66" t="s">
        <v>1009</v>
      </c>
      <c r="K783" s="75">
        <v>46135</v>
      </c>
      <c r="L783" s="66" t="s">
        <v>1020</v>
      </c>
      <c r="M783" s="66" t="s">
        <v>1010</v>
      </c>
      <c r="N783" s="66" t="s">
        <v>1574</v>
      </c>
      <c r="O783" s="66" t="s">
        <v>1599</v>
      </c>
    </row>
    <row r="784" spans="1:15" x14ac:dyDescent="0.35">
      <c r="A784" s="66" t="s">
        <v>2296</v>
      </c>
      <c r="B784" s="66" t="s">
        <v>2297</v>
      </c>
      <c r="C784" s="66" t="s">
        <v>375</v>
      </c>
      <c r="D784" s="66" t="s">
        <v>1270</v>
      </c>
      <c r="E784" s="66" t="s">
        <v>997</v>
      </c>
      <c r="F784" s="75">
        <v>46141</v>
      </c>
      <c r="G784" s="75" t="s">
        <v>1006</v>
      </c>
      <c r="H784" s="66" t="s">
        <v>1007</v>
      </c>
      <c r="I784" s="66" t="s">
        <v>1028</v>
      </c>
      <c r="J784" s="66" t="s">
        <v>1009</v>
      </c>
      <c r="K784" s="75">
        <v>46135</v>
      </c>
      <c r="L784" s="66" t="s">
        <v>1020</v>
      </c>
      <c r="M784" s="66" t="s">
        <v>1010</v>
      </c>
      <c r="N784" s="66" t="s">
        <v>1574</v>
      </c>
      <c r="O784" s="66" t="s">
        <v>1575</v>
      </c>
    </row>
    <row r="785" spans="1:15" x14ac:dyDescent="0.35">
      <c r="A785" s="66" t="s">
        <v>2298</v>
      </c>
      <c r="B785" s="66" t="s">
        <v>2299</v>
      </c>
      <c r="C785" s="66" t="s">
        <v>311</v>
      </c>
      <c r="D785" s="66" t="s">
        <v>1140</v>
      </c>
      <c r="E785" s="66" t="s">
        <v>997</v>
      </c>
      <c r="F785" s="75">
        <v>46139</v>
      </c>
      <c r="G785" s="75" t="s">
        <v>1006</v>
      </c>
      <c r="H785" s="66" t="s">
        <v>1007</v>
      </c>
      <c r="I785" s="66" t="s">
        <v>1019</v>
      </c>
      <c r="J785" s="66" t="s">
        <v>1009</v>
      </c>
      <c r="K785" s="75">
        <v>46135</v>
      </c>
      <c r="L785" s="66" t="s">
        <v>1020</v>
      </c>
      <c r="M785" s="66" t="s">
        <v>1010</v>
      </c>
      <c r="N785" s="66" t="s">
        <v>1574</v>
      </c>
      <c r="O785" s="66" t="s">
        <v>1575</v>
      </c>
    </row>
    <row r="786" spans="1:15" x14ac:dyDescent="0.35">
      <c r="A786" s="66" t="s">
        <v>2300</v>
      </c>
      <c r="B786" s="66" t="s">
        <v>2301</v>
      </c>
      <c r="C786" s="66" t="s">
        <v>365</v>
      </c>
      <c r="D786" s="66" t="s">
        <v>1117</v>
      </c>
      <c r="E786" s="66" t="s">
        <v>997</v>
      </c>
      <c r="F786" s="75">
        <v>46138</v>
      </c>
      <c r="G786" s="75" t="s">
        <v>1006</v>
      </c>
      <c r="H786" s="66" t="s">
        <v>1007</v>
      </c>
      <c r="I786" s="66" t="s">
        <v>1019</v>
      </c>
      <c r="J786" s="66" t="s">
        <v>1009</v>
      </c>
      <c r="K786" s="75">
        <v>46135</v>
      </c>
      <c r="L786" s="66" t="s">
        <v>1020</v>
      </c>
      <c r="M786" s="66" t="s">
        <v>1010</v>
      </c>
      <c r="N786" s="66" t="s">
        <v>1574</v>
      </c>
      <c r="O786" s="66" t="s">
        <v>1575</v>
      </c>
    </row>
    <row r="787" spans="1:15" x14ac:dyDescent="0.35">
      <c r="A787" s="66" t="s">
        <v>2302</v>
      </c>
      <c r="B787" s="66" t="s">
        <v>2303</v>
      </c>
      <c r="C787" s="66" t="s">
        <v>147</v>
      </c>
      <c r="D787" s="66" t="s">
        <v>1396</v>
      </c>
      <c r="E787" s="66" t="s">
        <v>997</v>
      </c>
      <c r="F787" s="75">
        <v>46139</v>
      </c>
      <c r="G787" s="75" t="s">
        <v>1006</v>
      </c>
      <c r="H787" s="66" t="s">
        <v>1007</v>
      </c>
      <c r="I787" s="66" t="s">
        <v>1028</v>
      </c>
      <c r="J787" s="66" t="s">
        <v>1009</v>
      </c>
      <c r="K787" s="75">
        <v>46137</v>
      </c>
      <c r="L787" s="66" t="s">
        <v>1020</v>
      </c>
      <c r="M787" s="66" t="s">
        <v>1010</v>
      </c>
      <c r="N787" s="66" t="s">
        <v>1574</v>
      </c>
      <c r="O787" s="66" t="s">
        <v>1575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5DA3-B14E-4E71-9346-BAF0711B2CF8}">
  <dimension ref="A1:O4541"/>
  <sheetViews>
    <sheetView tabSelected="1" workbookViewId="0">
      <selection activeCell="E2" sqref="E2"/>
    </sheetView>
  </sheetViews>
  <sheetFormatPr defaultRowHeight="14.5" x14ac:dyDescent="0.35"/>
  <cols>
    <col min="5" max="5" width="14.26953125" bestFit="1" customWidth="1"/>
    <col min="6" max="6" width="22.6328125" bestFit="1" customWidth="1"/>
  </cols>
  <sheetData>
    <row r="1" spans="1:15" x14ac:dyDescent="0.35">
      <c r="A1" s="76" t="s">
        <v>2304</v>
      </c>
      <c r="B1" s="76" t="s">
        <v>984</v>
      </c>
      <c r="C1" s="76" t="s">
        <v>985</v>
      </c>
      <c r="D1" s="76" t="s">
        <v>602</v>
      </c>
      <c r="E1" s="76" t="s">
        <v>603</v>
      </c>
      <c r="F1" s="76" t="s">
        <v>986</v>
      </c>
      <c r="G1" s="76" t="s">
        <v>991</v>
      </c>
      <c r="H1" s="76" t="s">
        <v>994</v>
      </c>
      <c r="I1" s="76" t="s">
        <v>1571</v>
      </c>
      <c r="J1" s="76" t="s">
        <v>2305</v>
      </c>
      <c r="K1" s="76" t="s">
        <v>608</v>
      </c>
      <c r="L1" s="76" t="s">
        <v>605</v>
      </c>
      <c r="M1" s="76" t="s">
        <v>606</v>
      </c>
      <c r="N1" s="76" t="s">
        <v>607</v>
      </c>
      <c r="O1" s="76" t="s">
        <v>6821</v>
      </c>
    </row>
    <row r="2" spans="1:15" x14ac:dyDescent="0.35">
      <c r="A2" s="77">
        <v>18.326027397260273</v>
      </c>
      <c r="B2" s="19">
        <v>147</v>
      </c>
      <c r="C2" s="19" t="s">
        <v>2306</v>
      </c>
      <c r="D2" s="19" t="s">
        <v>343</v>
      </c>
      <c r="E2" s="19" t="s">
        <v>344</v>
      </c>
      <c r="F2" s="19" t="s">
        <v>846</v>
      </c>
      <c r="G2" s="19" t="s">
        <v>1000</v>
      </c>
      <c r="H2" s="19" t="s">
        <v>1001</v>
      </c>
      <c r="I2" s="19" t="s">
        <v>1575</v>
      </c>
      <c r="J2" s="20">
        <v>48</v>
      </c>
      <c r="K2" t="s">
        <v>642</v>
      </c>
      <c r="L2" t="s">
        <v>645</v>
      </c>
      <c r="M2" t="s">
        <v>629</v>
      </c>
      <c r="N2" t="s">
        <v>646</v>
      </c>
      <c r="O2" t="s">
        <v>632</v>
      </c>
    </row>
    <row r="3" spans="1:15" x14ac:dyDescent="0.35">
      <c r="A3" s="77">
        <v>2.0794520547945203</v>
      </c>
      <c r="B3" s="19">
        <v>177</v>
      </c>
      <c r="C3" s="19" t="s">
        <v>2307</v>
      </c>
      <c r="D3" s="19" t="s">
        <v>163</v>
      </c>
      <c r="E3" s="19" t="s">
        <v>164</v>
      </c>
      <c r="F3" s="19" t="s">
        <v>1174</v>
      </c>
      <c r="G3" s="19" t="s">
        <v>1000</v>
      </c>
      <c r="H3" s="19" t="s">
        <v>1001</v>
      </c>
      <c r="I3" s="19" t="s">
        <v>1575</v>
      </c>
      <c r="J3" s="20">
        <v>43</v>
      </c>
      <c r="K3" t="s">
        <v>654</v>
      </c>
      <c r="L3" t="s">
        <v>634</v>
      </c>
      <c r="M3" t="s">
        <v>629</v>
      </c>
      <c r="N3" t="s">
        <v>635</v>
      </c>
      <c r="O3" t="s">
        <v>637</v>
      </c>
    </row>
    <row r="4" spans="1:15" x14ac:dyDescent="0.35">
      <c r="A4" s="77">
        <v>20.372602739726027</v>
      </c>
      <c r="B4" s="19">
        <v>190</v>
      </c>
      <c r="C4" s="19" t="s">
        <v>2308</v>
      </c>
      <c r="D4" s="19" t="s">
        <v>220</v>
      </c>
      <c r="E4" s="19" t="s">
        <v>221</v>
      </c>
      <c r="F4" s="19" t="s">
        <v>2309</v>
      </c>
      <c r="G4" s="19" t="s">
        <v>1000</v>
      </c>
      <c r="H4" s="19" t="s">
        <v>1001</v>
      </c>
      <c r="I4" s="19" t="s">
        <v>1575</v>
      </c>
      <c r="J4" s="20">
        <v>47</v>
      </c>
      <c r="K4" t="s">
        <v>668</v>
      </c>
      <c r="L4" t="s">
        <v>648</v>
      </c>
      <c r="M4" t="s">
        <v>623</v>
      </c>
      <c r="N4" t="s">
        <v>624</v>
      </c>
      <c r="O4" t="s">
        <v>649</v>
      </c>
    </row>
    <row r="5" spans="1:15" x14ac:dyDescent="0.35">
      <c r="A5" s="77">
        <v>19.854794520547944</v>
      </c>
      <c r="B5" s="19">
        <v>211</v>
      </c>
      <c r="C5" s="19" t="s">
        <v>2310</v>
      </c>
      <c r="D5" s="19" t="s">
        <v>78</v>
      </c>
      <c r="E5" s="19" t="s">
        <v>79</v>
      </c>
      <c r="F5" s="19" t="s">
        <v>1107</v>
      </c>
      <c r="G5" s="19" t="s">
        <v>1000</v>
      </c>
      <c r="H5" s="19" t="s">
        <v>1001</v>
      </c>
      <c r="I5" s="19" t="s">
        <v>1575</v>
      </c>
      <c r="J5" s="20">
        <v>85</v>
      </c>
      <c r="K5" t="s">
        <v>654</v>
      </c>
      <c r="L5" t="s">
        <v>661</v>
      </c>
      <c r="M5" t="s">
        <v>657</v>
      </c>
      <c r="N5" t="s">
        <v>658</v>
      </c>
      <c r="O5" t="s">
        <v>632</v>
      </c>
    </row>
    <row r="6" spans="1:15" x14ac:dyDescent="0.35">
      <c r="A6" s="77">
        <v>18.758904109589039</v>
      </c>
      <c r="B6" s="19">
        <v>266</v>
      </c>
      <c r="C6" s="19" t="s">
        <v>2311</v>
      </c>
      <c r="D6" s="19" t="s">
        <v>360</v>
      </c>
      <c r="E6" s="19" t="s">
        <v>361</v>
      </c>
      <c r="F6" s="19" t="s">
        <v>2312</v>
      </c>
      <c r="G6" s="19" t="s">
        <v>1000</v>
      </c>
      <c r="H6" s="19" t="s">
        <v>1001</v>
      </c>
      <c r="I6" s="19" t="s">
        <v>1575</v>
      </c>
      <c r="J6" s="20">
        <v>46</v>
      </c>
      <c r="K6" t="s">
        <v>642</v>
      </c>
      <c r="L6" t="s">
        <v>670</v>
      </c>
      <c r="M6" t="s">
        <v>657</v>
      </c>
      <c r="N6" t="s">
        <v>641</v>
      </c>
      <c r="O6" t="s">
        <v>671</v>
      </c>
    </row>
    <row r="7" spans="1:15" x14ac:dyDescent="0.35">
      <c r="A7" s="77">
        <v>17.589041095890412</v>
      </c>
      <c r="B7" s="19">
        <v>317</v>
      </c>
      <c r="C7" s="19" t="s">
        <v>2313</v>
      </c>
      <c r="D7" s="19" t="s">
        <v>247</v>
      </c>
      <c r="E7" s="19" t="s">
        <v>248</v>
      </c>
      <c r="F7" s="19" t="s">
        <v>1726</v>
      </c>
      <c r="G7" s="19" t="s">
        <v>1000</v>
      </c>
      <c r="H7" s="19" t="s">
        <v>1001</v>
      </c>
      <c r="I7" s="19" t="s">
        <v>1575</v>
      </c>
      <c r="J7" s="20">
        <v>41</v>
      </c>
      <c r="K7" t="s">
        <v>668</v>
      </c>
      <c r="L7" t="s">
        <v>634</v>
      </c>
      <c r="M7" t="s">
        <v>629</v>
      </c>
      <c r="N7" t="s">
        <v>635</v>
      </c>
      <c r="O7" t="s">
        <v>637</v>
      </c>
    </row>
    <row r="8" spans="1:15" x14ac:dyDescent="0.35">
      <c r="A8" s="77">
        <v>17.827397260273973</v>
      </c>
      <c r="B8" s="19">
        <v>353</v>
      </c>
      <c r="C8" s="19" t="s">
        <v>2314</v>
      </c>
      <c r="D8" s="19" t="s">
        <v>42</v>
      </c>
      <c r="E8" s="19" t="s">
        <v>42</v>
      </c>
      <c r="F8" s="19" t="s">
        <v>1262</v>
      </c>
      <c r="G8" s="19" t="s">
        <v>1046</v>
      </c>
      <c r="H8" s="19" t="s">
        <v>1001</v>
      </c>
      <c r="I8" s="19" t="s">
        <v>1575</v>
      </c>
      <c r="J8" s="20">
        <v>48</v>
      </c>
      <c r="K8" t="s">
        <v>625</v>
      </c>
      <c r="L8" t="s">
        <v>628</v>
      </c>
      <c r="M8" t="s">
        <v>629</v>
      </c>
      <c r="N8" t="s">
        <v>630</v>
      </c>
      <c r="O8" t="s">
        <v>632</v>
      </c>
    </row>
    <row r="9" spans="1:15" x14ac:dyDescent="0.35">
      <c r="A9" s="77">
        <v>17.24931506849315</v>
      </c>
      <c r="B9" s="19">
        <v>416</v>
      </c>
      <c r="C9" s="19" t="s">
        <v>2315</v>
      </c>
      <c r="D9" s="19" t="s">
        <v>145</v>
      </c>
      <c r="E9" s="19" t="s">
        <v>146</v>
      </c>
      <c r="F9" s="19" t="s">
        <v>1015</v>
      </c>
      <c r="G9" s="19" t="s">
        <v>1000</v>
      </c>
      <c r="H9" s="19" t="s">
        <v>1001</v>
      </c>
      <c r="I9" s="19" t="s">
        <v>1575</v>
      </c>
      <c r="J9" s="20">
        <v>42</v>
      </c>
      <c r="K9" t="s">
        <v>636</v>
      </c>
      <c r="L9" t="s">
        <v>737</v>
      </c>
      <c r="M9" t="s">
        <v>657</v>
      </c>
      <c r="N9" t="s">
        <v>641</v>
      </c>
      <c r="O9" t="s">
        <v>757</v>
      </c>
    </row>
    <row r="10" spans="1:15" x14ac:dyDescent="0.35">
      <c r="A10" s="77">
        <v>17.202739726027396</v>
      </c>
      <c r="B10" s="19">
        <v>418</v>
      </c>
      <c r="C10" s="19" t="s">
        <v>2316</v>
      </c>
      <c r="D10" s="19" t="s">
        <v>163</v>
      </c>
      <c r="E10" s="19" t="s">
        <v>164</v>
      </c>
      <c r="F10" s="19" t="s">
        <v>1174</v>
      </c>
      <c r="G10" s="19" t="s">
        <v>1046</v>
      </c>
      <c r="H10" s="19" t="s">
        <v>1001</v>
      </c>
      <c r="I10" s="19" t="s">
        <v>1575</v>
      </c>
      <c r="J10" s="20">
        <v>41</v>
      </c>
      <c r="K10" t="s">
        <v>654</v>
      </c>
      <c r="L10" t="s">
        <v>634</v>
      </c>
      <c r="M10" t="s">
        <v>629</v>
      </c>
      <c r="N10" t="s">
        <v>635</v>
      </c>
      <c r="O10" t="s">
        <v>637</v>
      </c>
    </row>
    <row r="11" spans="1:15" x14ac:dyDescent="0.35">
      <c r="A11" s="77">
        <v>16.865753424657534</v>
      </c>
      <c r="B11" s="19">
        <v>444</v>
      </c>
      <c r="C11" s="19" t="s">
        <v>2317</v>
      </c>
      <c r="D11" s="19" t="s">
        <v>35</v>
      </c>
      <c r="E11" s="19" t="s">
        <v>35</v>
      </c>
      <c r="F11" s="19" t="s">
        <v>1657</v>
      </c>
      <c r="G11" s="19" t="s">
        <v>1000</v>
      </c>
      <c r="H11" s="19" t="s">
        <v>1001</v>
      </c>
      <c r="I11" s="19" t="s">
        <v>1599</v>
      </c>
      <c r="J11" s="20">
        <v>47</v>
      </c>
      <c r="K11" t="s">
        <v>654</v>
      </c>
      <c r="L11" t="s">
        <v>684</v>
      </c>
      <c r="M11" t="s">
        <v>623</v>
      </c>
      <c r="N11" t="s">
        <v>662</v>
      </c>
      <c r="O11" t="s">
        <v>685</v>
      </c>
    </row>
    <row r="12" spans="1:15" x14ac:dyDescent="0.35">
      <c r="A12" s="77">
        <v>16.75068493150685</v>
      </c>
      <c r="B12" s="19">
        <v>455</v>
      </c>
      <c r="C12" s="19" t="s">
        <v>2318</v>
      </c>
      <c r="D12" s="19" t="s">
        <v>41</v>
      </c>
      <c r="E12" s="19" t="s">
        <v>41</v>
      </c>
      <c r="F12" s="19" t="s">
        <v>1157</v>
      </c>
      <c r="G12" s="19" t="s">
        <v>1000</v>
      </c>
      <c r="H12" s="19" t="s">
        <v>1001</v>
      </c>
      <c r="I12" s="19" t="s">
        <v>1599</v>
      </c>
      <c r="J12" s="20">
        <v>38</v>
      </c>
      <c r="K12" t="s">
        <v>625</v>
      </c>
      <c r="L12" t="s">
        <v>691</v>
      </c>
      <c r="M12" t="s">
        <v>657</v>
      </c>
      <c r="N12" t="s">
        <v>658</v>
      </c>
      <c r="O12" t="s">
        <v>632</v>
      </c>
    </row>
    <row r="13" spans="1:15" x14ac:dyDescent="0.35">
      <c r="A13" s="77">
        <v>8.3698630136986303</v>
      </c>
      <c r="B13" s="19">
        <v>475</v>
      </c>
      <c r="C13" s="19" t="s">
        <v>2319</v>
      </c>
      <c r="D13" s="19" t="s">
        <v>311</v>
      </c>
      <c r="E13" s="19" t="s">
        <v>312</v>
      </c>
      <c r="F13" s="19" t="s">
        <v>1140</v>
      </c>
      <c r="G13" s="19" t="s">
        <v>1046</v>
      </c>
      <c r="H13" s="19" t="s">
        <v>1001</v>
      </c>
      <c r="I13" s="19" t="s">
        <v>1575</v>
      </c>
      <c r="J13" s="20">
        <v>35</v>
      </c>
      <c r="K13" t="s">
        <v>631</v>
      </c>
      <c r="L13" t="s">
        <v>628</v>
      </c>
      <c r="M13" t="s">
        <v>629</v>
      </c>
      <c r="N13" t="s">
        <v>630</v>
      </c>
      <c r="O13" t="s">
        <v>632</v>
      </c>
    </row>
    <row r="14" spans="1:15" x14ac:dyDescent="0.35">
      <c r="A14" s="77">
        <v>16.641095890410959</v>
      </c>
      <c r="B14" s="19">
        <v>491</v>
      </c>
      <c r="C14" s="19" t="s">
        <v>2320</v>
      </c>
      <c r="D14" s="19" t="s">
        <v>195</v>
      </c>
      <c r="E14" s="19" t="s">
        <v>196</v>
      </c>
      <c r="F14" s="19" t="s">
        <v>908</v>
      </c>
      <c r="G14" s="19" t="s">
        <v>1016</v>
      </c>
      <c r="H14" s="19" t="s">
        <v>1001</v>
      </c>
      <c r="I14" s="19" t="s">
        <v>1575</v>
      </c>
      <c r="J14" s="20">
        <v>41</v>
      </c>
      <c r="K14" t="s">
        <v>636</v>
      </c>
      <c r="L14" t="s">
        <v>670</v>
      </c>
      <c r="M14" t="s">
        <v>657</v>
      </c>
      <c r="N14" t="s">
        <v>641</v>
      </c>
      <c r="O14" t="s">
        <v>676</v>
      </c>
    </row>
    <row r="15" spans="1:15" x14ac:dyDescent="0.35">
      <c r="A15" s="77">
        <v>16.638356164383563</v>
      </c>
      <c r="B15" s="19">
        <v>492</v>
      </c>
      <c r="C15" s="19" t="s">
        <v>2321</v>
      </c>
      <c r="D15" s="19" t="s">
        <v>45</v>
      </c>
      <c r="E15" s="19" t="s">
        <v>46</v>
      </c>
      <c r="F15" s="19" t="s">
        <v>1122</v>
      </c>
      <c r="G15" s="19" t="s">
        <v>1000</v>
      </c>
      <c r="H15" s="19" t="s">
        <v>1001</v>
      </c>
      <c r="I15" s="19" t="s">
        <v>1599</v>
      </c>
      <c r="J15" s="20">
        <v>43</v>
      </c>
      <c r="K15" t="s">
        <v>631</v>
      </c>
      <c r="L15" t="s">
        <v>651</v>
      </c>
      <c r="M15" t="s">
        <v>629</v>
      </c>
      <c r="N15" t="s">
        <v>630</v>
      </c>
      <c r="O15" t="s">
        <v>705</v>
      </c>
    </row>
    <row r="16" spans="1:15" x14ac:dyDescent="0.35">
      <c r="A16" s="77">
        <v>2.2465753424657535</v>
      </c>
      <c r="B16" s="19">
        <v>518</v>
      </c>
      <c r="C16" s="19" t="s">
        <v>2322</v>
      </c>
      <c r="D16" s="19" t="s">
        <v>268</v>
      </c>
      <c r="E16" s="19" t="s">
        <v>269</v>
      </c>
      <c r="F16" s="19" t="s">
        <v>2161</v>
      </c>
      <c r="G16" s="19" t="s">
        <v>1000</v>
      </c>
      <c r="H16" s="19" t="s">
        <v>1001</v>
      </c>
      <c r="I16" s="19" t="s">
        <v>1575</v>
      </c>
      <c r="J16" s="20">
        <v>44</v>
      </c>
      <c r="K16" t="s">
        <v>654</v>
      </c>
      <c r="L16" t="s">
        <v>666</v>
      </c>
      <c r="M16" t="s">
        <v>629</v>
      </c>
      <c r="N16" t="s">
        <v>635</v>
      </c>
      <c r="O16" t="s">
        <v>637</v>
      </c>
    </row>
    <row r="17" spans="1:15" x14ac:dyDescent="0.35">
      <c r="A17" s="77">
        <v>16.399999999999999</v>
      </c>
      <c r="B17" s="19">
        <v>522</v>
      </c>
      <c r="C17" s="19" t="s">
        <v>2323</v>
      </c>
      <c r="D17" s="19" t="s">
        <v>328</v>
      </c>
      <c r="E17" s="19" t="s">
        <v>329</v>
      </c>
      <c r="F17" s="19" t="s">
        <v>838</v>
      </c>
      <c r="G17" s="19" t="s">
        <v>1016</v>
      </c>
      <c r="H17" s="19" t="s">
        <v>1001</v>
      </c>
      <c r="I17" s="19" t="s">
        <v>1575</v>
      </c>
      <c r="J17" s="20">
        <v>43</v>
      </c>
      <c r="K17" t="s">
        <v>631</v>
      </c>
      <c r="L17" t="s">
        <v>645</v>
      </c>
      <c r="M17" t="s">
        <v>629</v>
      </c>
      <c r="N17" t="s">
        <v>646</v>
      </c>
      <c r="O17" t="s">
        <v>632</v>
      </c>
    </row>
    <row r="18" spans="1:15" x14ac:dyDescent="0.35">
      <c r="A18" s="77">
        <v>16.093150684931508</v>
      </c>
      <c r="B18" s="19">
        <v>579</v>
      </c>
      <c r="C18" s="19" t="s">
        <v>2324</v>
      </c>
      <c r="D18" s="19" t="s">
        <v>276</v>
      </c>
      <c r="E18" s="19" t="s">
        <v>277</v>
      </c>
      <c r="F18" s="19" t="s">
        <v>893</v>
      </c>
      <c r="G18" s="19" t="s">
        <v>1000</v>
      </c>
      <c r="H18" s="19" t="s">
        <v>1001</v>
      </c>
      <c r="I18" s="19" t="s">
        <v>1599</v>
      </c>
      <c r="J18" s="20">
        <v>49</v>
      </c>
      <c r="K18" t="s">
        <v>631</v>
      </c>
      <c r="L18" t="s">
        <v>707</v>
      </c>
      <c r="M18" t="s">
        <v>629</v>
      </c>
      <c r="N18" t="s">
        <v>635</v>
      </c>
      <c r="O18" t="s">
        <v>710</v>
      </c>
    </row>
    <row r="19" spans="1:15" x14ac:dyDescent="0.35">
      <c r="A19" s="77">
        <v>16.005479452054793</v>
      </c>
      <c r="B19" s="19">
        <v>600</v>
      </c>
      <c r="C19" s="19" t="s">
        <v>2325</v>
      </c>
      <c r="D19" s="19" t="s">
        <v>87</v>
      </c>
      <c r="E19" s="19" t="s">
        <v>88</v>
      </c>
      <c r="F19" s="19" t="s">
        <v>1324</v>
      </c>
      <c r="G19" s="19" t="s">
        <v>1000</v>
      </c>
      <c r="H19" s="19" t="s">
        <v>1001</v>
      </c>
      <c r="I19" s="19" t="s">
        <v>1599</v>
      </c>
      <c r="J19" s="20">
        <v>41</v>
      </c>
      <c r="K19" t="s">
        <v>642</v>
      </c>
      <c r="L19" t="s">
        <v>661</v>
      </c>
      <c r="M19" t="s">
        <v>657</v>
      </c>
      <c r="N19" t="s">
        <v>662</v>
      </c>
      <c r="O19" t="s">
        <v>632</v>
      </c>
    </row>
    <row r="20" spans="1:15" x14ac:dyDescent="0.35">
      <c r="A20" s="77">
        <v>15.915068493150685</v>
      </c>
      <c r="B20" s="19">
        <v>619</v>
      </c>
      <c r="C20" s="19" t="s">
        <v>2326</v>
      </c>
      <c r="D20" s="19" t="s">
        <v>268</v>
      </c>
      <c r="E20" s="19" t="s">
        <v>269</v>
      </c>
      <c r="F20" s="19" t="s">
        <v>2161</v>
      </c>
      <c r="G20" s="19" t="s">
        <v>1008</v>
      </c>
      <c r="H20" s="19" t="s">
        <v>1001</v>
      </c>
      <c r="I20" s="19" t="s">
        <v>1575</v>
      </c>
      <c r="J20" s="20">
        <v>42</v>
      </c>
      <c r="K20" t="s">
        <v>654</v>
      </c>
      <c r="L20" t="s">
        <v>666</v>
      </c>
      <c r="M20" t="s">
        <v>629</v>
      </c>
      <c r="N20" t="s">
        <v>635</v>
      </c>
      <c r="O20" t="s">
        <v>637</v>
      </c>
    </row>
    <row r="21" spans="1:15" x14ac:dyDescent="0.35">
      <c r="A21" s="77">
        <v>15.854794520547944</v>
      </c>
      <c r="B21" s="19">
        <v>631</v>
      </c>
      <c r="C21" s="19" t="s">
        <v>2327</v>
      </c>
      <c r="D21" s="19" t="s">
        <v>95</v>
      </c>
      <c r="E21" s="19" t="s">
        <v>96</v>
      </c>
      <c r="F21" s="19" t="s">
        <v>1188</v>
      </c>
      <c r="G21" s="19" t="s">
        <v>1000</v>
      </c>
      <c r="H21" s="19" t="s">
        <v>1001</v>
      </c>
      <c r="I21" s="19" t="s">
        <v>1575</v>
      </c>
      <c r="J21" s="20">
        <v>46</v>
      </c>
      <c r="K21" t="s">
        <v>636</v>
      </c>
      <c r="L21" t="s">
        <v>737</v>
      </c>
      <c r="M21" t="s">
        <v>657</v>
      </c>
      <c r="N21" t="s">
        <v>641</v>
      </c>
      <c r="O21" t="s">
        <v>738</v>
      </c>
    </row>
    <row r="22" spans="1:15" x14ac:dyDescent="0.35">
      <c r="A22" s="77">
        <v>15.816438356164383</v>
      </c>
      <c r="B22" s="19">
        <v>644</v>
      </c>
      <c r="C22" s="19" t="s">
        <v>2328</v>
      </c>
      <c r="D22" s="19" t="s">
        <v>42</v>
      </c>
      <c r="E22" s="19" t="s">
        <v>42</v>
      </c>
      <c r="F22" s="19" t="s">
        <v>1262</v>
      </c>
      <c r="G22" s="19" t="s">
        <v>1000</v>
      </c>
      <c r="H22" s="19" t="s">
        <v>1001</v>
      </c>
      <c r="I22" s="19" t="s">
        <v>1599</v>
      </c>
      <c r="J22" s="20">
        <v>42</v>
      </c>
      <c r="K22" t="s">
        <v>625</v>
      </c>
      <c r="L22" t="s">
        <v>628</v>
      </c>
      <c r="M22" t="s">
        <v>629</v>
      </c>
      <c r="N22" t="s">
        <v>630</v>
      </c>
      <c r="O22" t="s">
        <v>632</v>
      </c>
    </row>
    <row r="23" spans="1:15" x14ac:dyDescent="0.35">
      <c r="A23" s="77">
        <v>15.780821917808218</v>
      </c>
      <c r="B23" s="19">
        <v>649</v>
      </c>
      <c r="C23" s="19" t="s">
        <v>2329</v>
      </c>
      <c r="D23" s="19" t="s">
        <v>349</v>
      </c>
      <c r="E23" s="19" t="s">
        <v>350</v>
      </c>
      <c r="F23" s="19" t="s">
        <v>912</v>
      </c>
      <c r="G23" s="19" t="s">
        <v>1046</v>
      </c>
      <c r="H23" s="19" t="s">
        <v>1001</v>
      </c>
      <c r="I23" s="19" t="s">
        <v>1575</v>
      </c>
      <c r="J23" s="20">
        <v>39</v>
      </c>
      <c r="K23" t="s">
        <v>625</v>
      </c>
      <c r="L23" t="s">
        <v>648</v>
      </c>
      <c r="M23" t="s">
        <v>623</v>
      </c>
      <c r="N23" t="s">
        <v>624</v>
      </c>
      <c r="O23" t="s">
        <v>649</v>
      </c>
    </row>
    <row r="24" spans="1:15" x14ac:dyDescent="0.35">
      <c r="A24" s="77">
        <v>15.69041095890411</v>
      </c>
      <c r="B24" s="19">
        <v>682</v>
      </c>
      <c r="C24" s="19" t="s">
        <v>2330</v>
      </c>
      <c r="D24" s="19" t="s">
        <v>393</v>
      </c>
      <c r="E24" s="19" t="s">
        <v>394</v>
      </c>
      <c r="F24" s="19" t="s">
        <v>865</v>
      </c>
      <c r="G24" s="19" t="s">
        <v>1000</v>
      </c>
      <c r="H24" s="19" t="s">
        <v>1001</v>
      </c>
      <c r="I24" s="19" t="s">
        <v>1575</v>
      </c>
      <c r="J24" s="20">
        <v>37</v>
      </c>
      <c r="K24" t="s">
        <v>631</v>
      </c>
      <c r="L24" t="s">
        <v>684</v>
      </c>
      <c r="M24" t="s">
        <v>623</v>
      </c>
      <c r="N24" t="s">
        <v>662</v>
      </c>
      <c r="O24" t="s">
        <v>685</v>
      </c>
    </row>
    <row r="25" spans="1:15" x14ac:dyDescent="0.35">
      <c r="A25" s="77">
        <v>15.654794520547945</v>
      </c>
      <c r="B25" s="19">
        <v>691</v>
      </c>
      <c r="C25" s="19" t="s">
        <v>2331</v>
      </c>
      <c r="D25" s="19" t="s">
        <v>369</v>
      </c>
      <c r="E25" s="19" t="s">
        <v>370</v>
      </c>
      <c r="F25" s="19" t="s">
        <v>856</v>
      </c>
      <c r="G25" s="19" t="s">
        <v>1008</v>
      </c>
      <c r="H25" s="19" t="s">
        <v>1001</v>
      </c>
      <c r="I25" s="19" t="s">
        <v>1575</v>
      </c>
      <c r="J25" s="20">
        <v>42</v>
      </c>
      <c r="K25" t="s">
        <v>654</v>
      </c>
      <c r="L25" t="s">
        <v>684</v>
      </c>
      <c r="M25" t="s">
        <v>623</v>
      </c>
      <c r="N25" t="s">
        <v>662</v>
      </c>
      <c r="O25" t="s">
        <v>857</v>
      </c>
    </row>
    <row r="26" spans="1:15" x14ac:dyDescent="0.35">
      <c r="A26" s="77">
        <v>15.553424657534247</v>
      </c>
      <c r="B26" s="19">
        <v>721</v>
      </c>
      <c r="C26" s="19" t="s">
        <v>2332</v>
      </c>
      <c r="D26" s="19" t="s">
        <v>407</v>
      </c>
      <c r="E26" s="19" t="s">
        <v>408</v>
      </c>
      <c r="F26" s="19" t="s">
        <v>1230</v>
      </c>
      <c r="G26" s="19" t="s">
        <v>1000</v>
      </c>
      <c r="H26" s="19" t="s">
        <v>1001</v>
      </c>
      <c r="I26" s="19" t="s">
        <v>1575</v>
      </c>
      <c r="J26" s="20">
        <v>41</v>
      </c>
      <c r="K26" t="s">
        <v>636</v>
      </c>
      <c r="L26" t="s">
        <v>622</v>
      </c>
      <c r="M26" t="s">
        <v>623</v>
      </c>
      <c r="N26" t="s">
        <v>624</v>
      </c>
      <c r="O26" t="s">
        <v>730</v>
      </c>
    </row>
    <row r="27" spans="1:15" x14ac:dyDescent="0.35">
      <c r="A27" s="77">
        <v>15.523287671232877</v>
      </c>
      <c r="B27" s="19">
        <v>729</v>
      </c>
      <c r="C27" s="19" t="s">
        <v>2333</v>
      </c>
      <c r="D27" s="19" t="s">
        <v>230</v>
      </c>
      <c r="E27" s="19" t="s">
        <v>231</v>
      </c>
      <c r="F27" s="19" t="s">
        <v>2112</v>
      </c>
      <c r="G27" s="19" t="s">
        <v>1046</v>
      </c>
      <c r="H27" s="19" t="s">
        <v>1001</v>
      </c>
      <c r="I27" s="19" t="s">
        <v>1599</v>
      </c>
      <c r="J27" s="20">
        <v>37</v>
      </c>
      <c r="K27" t="s">
        <v>668</v>
      </c>
      <c r="L27" t="s">
        <v>684</v>
      </c>
      <c r="M27" t="s">
        <v>623</v>
      </c>
      <c r="N27" t="s">
        <v>662</v>
      </c>
      <c r="O27" t="s">
        <v>795</v>
      </c>
    </row>
    <row r="28" spans="1:15" x14ac:dyDescent="0.35">
      <c r="A28" s="77">
        <v>15.490410958904109</v>
      </c>
      <c r="B28" s="19">
        <v>737</v>
      </c>
      <c r="C28" s="19" t="s">
        <v>2334</v>
      </c>
      <c r="D28" s="19" t="s">
        <v>12</v>
      </c>
      <c r="E28" s="19" t="s">
        <v>12</v>
      </c>
      <c r="F28" s="19" t="s">
        <v>1145</v>
      </c>
      <c r="G28" s="19" t="s">
        <v>1000</v>
      </c>
      <c r="H28" s="19" t="s">
        <v>1001</v>
      </c>
      <c r="I28" s="19" t="s">
        <v>1599</v>
      </c>
      <c r="J28" s="20">
        <v>35</v>
      </c>
      <c r="K28" t="s">
        <v>636</v>
      </c>
      <c r="L28" t="s">
        <v>634</v>
      </c>
      <c r="M28" t="s">
        <v>629</v>
      </c>
      <c r="N28" t="s">
        <v>635</v>
      </c>
      <c r="O28" t="s">
        <v>637</v>
      </c>
    </row>
    <row r="29" spans="1:15" x14ac:dyDescent="0.35">
      <c r="A29" s="77">
        <v>15.465753424657533</v>
      </c>
      <c r="B29" s="19">
        <v>749</v>
      </c>
      <c r="C29" s="19" t="s">
        <v>2335</v>
      </c>
      <c r="D29" s="19" t="s">
        <v>262</v>
      </c>
      <c r="E29" s="19" t="s">
        <v>263</v>
      </c>
      <c r="F29" s="19" t="s">
        <v>2336</v>
      </c>
      <c r="G29" s="19" t="s">
        <v>1000</v>
      </c>
      <c r="H29" s="19" t="s">
        <v>1001</v>
      </c>
      <c r="I29" s="19" t="s">
        <v>1599</v>
      </c>
      <c r="J29" s="20">
        <v>40</v>
      </c>
      <c r="K29" t="s">
        <v>668</v>
      </c>
      <c r="L29" t="s">
        <v>663</v>
      </c>
      <c r="M29" t="s">
        <v>629</v>
      </c>
      <c r="N29" t="s">
        <v>646</v>
      </c>
      <c r="O29" t="s">
        <v>810</v>
      </c>
    </row>
    <row r="30" spans="1:15" x14ac:dyDescent="0.35">
      <c r="A30" s="77">
        <v>8.3561643835616444</v>
      </c>
      <c r="B30" s="19">
        <v>774</v>
      </c>
      <c r="C30" s="19" t="s">
        <v>2337</v>
      </c>
      <c r="D30" s="19" t="s">
        <v>23</v>
      </c>
      <c r="E30" s="19" t="s">
        <v>23</v>
      </c>
      <c r="F30" s="19" t="s">
        <v>660</v>
      </c>
      <c r="G30" s="19" t="s">
        <v>1045</v>
      </c>
      <c r="H30" s="19" t="s">
        <v>1001</v>
      </c>
      <c r="I30" s="19" t="s">
        <v>1599</v>
      </c>
      <c r="J30" s="20">
        <v>35</v>
      </c>
      <c r="K30" t="s">
        <v>631</v>
      </c>
      <c r="L30" t="s">
        <v>661</v>
      </c>
      <c r="M30" t="s">
        <v>657</v>
      </c>
      <c r="N30" t="s">
        <v>662</v>
      </c>
      <c r="O30" t="s">
        <v>632</v>
      </c>
    </row>
    <row r="31" spans="1:15" x14ac:dyDescent="0.35">
      <c r="A31" s="77">
        <v>15.241095890410959</v>
      </c>
      <c r="B31" s="19">
        <v>808</v>
      </c>
      <c r="C31" s="19" t="s">
        <v>2338</v>
      </c>
      <c r="D31" s="19" t="s">
        <v>91</v>
      </c>
      <c r="E31" s="19" t="s">
        <v>92</v>
      </c>
      <c r="F31" s="19" t="s">
        <v>1113</v>
      </c>
      <c r="G31" s="19" t="s">
        <v>1000</v>
      </c>
      <c r="H31" s="19" t="s">
        <v>1001</v>
      </c>
      <c r="I31" s="19" t="s">
        <v>1599</v>
      </c>
      <c r="J31" s="20">
        <v>44</v>
      </c>
      <c r="K31" t="s">
        <v>636</v>
      </c>
      <c r="L31" t="s">
        <v>634</v>
      </c>
      <c r="M31" t="s">
        <v>629</v>
      </c>
      <c r="N31" t="s">
        <v>630</v>
      </c>
      <c r="O31" t="s">
        <v>734</v>
      </c>
    </row>
    <row r="32" spans="1:15" x14ac:dyDescent="0.35">
      <c r="A32" s="77">
        <v>15.241095890410959</v>
      </c>
      <c r="B32" s="19">
        <v>809</v>
      </c>
      <c r="C32" s="19" t="s">
        <v>2339</v>
      </c>
      <c r="D32" s="19" t="s">
        <v>278</v>
      </c>
      <c r="E32" s="19" t="s">
        <v>279</v>
      </c>
      <c r="F32" s="19" t="s">
        <v>1131</v>
      </c>
      <c r="G32" s="19" t="s">
        <v>1045</v>
      </c>
      <c r="H32" s="19" t="s">
        <v>1001</v>
      </c>
      <c r="I32" s="19" t="s">
        <v>1599</v>
      </c>
      <c r="J32" s="20">
        <v>37</v>
      </c>
      <c r="K32" t="s">
        <v>625</v>
      </c>
      <c r="L32" t="s">
        <v>661</v>
      </c>
      <c r="M32" t="s">
        <v>657</v>
      </c>
      <c r="N32" t="s">
        <v>662</v>
      </c>
      <c r="O32" t="s">
        <v>632</v>
      </c>
    </row>
    <row r="33" spans="1:15" x14ac:dyDescent="0.35">
      <c r="A33" s="77">
        <v>15.241095890410959</v>
      </c>
      <c r="B33" s="19">
        <v>810</v>
      </c>
      <c r="C33" s="19" t="s">
        <v>2340</v>
      </c>
      <c r="D33" s="19" t="s">
        <v>8</v>
      </c>
      <c r="E33" s="19" t="s">
        <v>8</v>
      </c>
      <c r="F33" s="19" t="s">
        <v>1176</v>
      </c>
      <c r="G33" s="19" t="s">
        <v>1000</v>
      </c>
      <c r="H33" s="19" t="s">
        <v>1001</v>
      </c>
      <c r="I33" s="19" t="s">
        <v>1599</v>
      </c>
      <c r="J33" s="20">
        <v>37</v>
      </c>
      <c r="K33" t="s">
        <v>625</v>
      </c>
      <c r="L33" t="s">
        <v>622</v>
      </c>
      <c r="M33" t="s">
        <v>623</v>
      </c>
      <c r="N33" t="s">
        <v>624</v>
      </c>
      <c r="O33" t="s">
        <v>626</v>
      </c>
    </row>
    <row r="34" spans="1:15" x14ac:dyDescent="0.35">
      <c r="A34" s="77">
        <v>4.6082191780821917</v>
      </c>
      <c r="B34" s="19">
        <v>843</v>
      </c>
      <c r="C34" s="19" t="s">
        <v>2341</v>
      </c>
      <c r="D34" s="19" t="s">
        <v>328</v>
      </c>
      <c r="E34" s="19" t="s">
        <v>329</v>
      </c>
      <c r="F34" s="19" t="s">
        <v>838</v>
      </c>
      <c r="G34" s="19" t="s">
        <v>1046</v>
      </c>
      <c r="H34" s="19" t="s">
        <v>1001</v>
      </c>
      <c r="I34" s="19" t="s">
        <v>1575</v>
      </c>
      <c r="J34" s="20">
        <v>38</v>
      </c>
      <c r="K34" t="s">
        <v>631</v>
      </c>
      <c r="L34" t="s">
        <v>645</v>
      </c>
      <c r="M34" t="s">
        <v>629</v>
      </c>
      <c r="N34" t="s">
        <v>646</v>
      </c>
      <c r="O34" t="s">
        <v>632</v>
      </c>
    </row>
    <row r="35" spans="1:15" x14ac:dyDescent="0.35">
      <c r="A35" s="77">
        <v>15.123287671232877</v>
      </c>
      <c r="B35" s="19">
        <v>853</v>
      </c>
      <c r="C35" s="19" t="s">
        <v>2342</v>
      </c>
      <c r="D35" s="19" t="s">
        <v>237</v>
      </c>
      <c r="E35" s="19" t="s">
        <v>238</v>
      </c>
      <c r="F35" s="19" t="s">
        <v>1070</v>
      </c>
      <c r="G35" s="19" t="s">
        <v>1000</v>
      </c>
      <c r="H35" s="19" t="s">
        <v>1001</v>
      </c>
      <c r="I35" s="19" t="s">
        <v>1575</v>
      </c>
      <c r="J35" s="20">
        <v>33</v>
      </c>
      <c r="K35" t="s">
        <v>631</v>
      </c>
      <c r="L35" t="s">
        <v>661</v>
      </c>
      <c r="M35" t="s">
        <v>657</v>
      </c>
      <c r="N35" t="s">
        <v>662</v>
      </c>
      <c r="O35" t="s">
        <v>632</v>
      </c>
    </row>
    <row r="36" spans="1:15" x14ac:dyDescent="0.35">
      <c r="A36" s="77">
        <v>1.5095890410958903</v>
      </c>
      <c r="B36" s="19">
        <v>917</v>
      </c>
      <c r="C36" s="19" t="s">
        <v>2343</v>
      </c>
      <c r="D36" s="19" t="s">
        <v>113</v>
      </c>
      <c r="E36" s="19" t="s">
        <v>114</v>
      </c>
      <c r="F36" s="19" t="s">
        <v>1871</v>
      </c>
      <c r="G36" s="19" t="s">
        <v>1000</v>
      </c>
      <c r="H36" s="19" t="s">
        <v>1001</v>
      </c>
      <c r="I36" s="19" t="s">
        <v>1599</v>
      </c>
      <c r="J36" s="20">
        <v>42</v>
      </c>
      <c r="K36" t="s">
        <v>654</v>
      </c>
      <c r="L36" t="s">
        <v>661</v>
      </c>
      <c r="M36" t="s">
        <v>657</v>
      </c>
      <c r="N36" t="s">
        <v>662</v>
      </c>
      <c r="O36" t="s">
        <v>632</v>
      </c>
    </row>
    <row r="37" spans="1:15" x14ac:dyDescent="0.35">
      <c r="A37" s="77">
        <v>0.22191780821917809</v>
      </c>
      <c r="B37" s="19">
        <v>920</v>
      </c>
      <c r="C37" s="19" t="s">
        <v>2344</v>
      </c>
      <c r="D37" s="19" t="s">
        <v>333</v>
      </c>
      <c r="E37" s="19" t="s">
        <v>334</v>
      </c>
      <c r="F37" s="19" t="s">
        <v>1333</v>
      </c>
      <c r="G37" s="19" t="s">
        <v>1000</v>
      </c>
      <c r="H37" s="19" t="s">
        <v>1001</v>
      </c>
      <c r="I37" s="19" t="s">
        <v>1575</v>
      </c>
      <c r="J37" s="20">
        <v>36</v>
      </c>
      <c r="K37" t="s">
        <v>636</v>
      </c>
      <c r="L37" t="s">
        <v>666</v>
      </c>
      <c r="M37" t="s">
        <v>629</v>
      </c>
      <c r="N37" t="s">
        <v>630</v>
      </c>
      <c r="O37" t="s">
        <v>652</v>
      </c>
    </row>
    <row r="38" spans="1:15" x14ac:dyDescent="0.35">
      <c r="A38" s="77">
        <v>14.991780821917809</v>
      </c>
      <c r="B38" s="19">
        <v>926</v>
      </c>
      <c r="C38" s="19" t="s">
        <v>2345</v>
      </c>
      <c r="D38" s="19" t="s">
        <v>115</v>
      </c>
      <c r="E38" s="19" t="s">
        <v>116</v>
      </c>
      <c r="F38" s="19" t="s">
        <v>1383</v>
      </c>
      <c r="G38" s="19" t="s">
        <v>1000</v>
      </c>
      <c r="H38" s="19" t="s">
        <v>1001</v>
      </c>
      <c r="I38" s="19" t="s">
        <v>1599</v>
      </c>
      <c r="J38" s="20">
        <v>41</v>
      </c>
      <c r="K38" t="s">
        <v>631</v>
      </c>
      <c r="L38" t="s">
        <v>670</v>
      </c>
      <c r="M38" t="s">
        <v>657</v>
      </c>
      <c r="N38" t="s">
        <v>641</v>
      </c>
      <c r="O38" t="s">
        <v>671</v>
      </c>
    </row>
    <row r="39" spans="1:15" x14ac:dyDescent="0.35">
      <c r="A39" s="77">
        <v>9.5835616438356173</v>
      </c>
      <c r="B39" s="19">
        <v>929</v>
      </c>
      <c r="C39" s="19" t="s">
        <v>2346</v>
      </c>
      <c r="D39" s="19" t="s">
        <v>109</v>
      </c>
      <c r="E39" s="19" t="s">
        <v>110</v>
      </c>
      <c r="F39" s="19" t="s">
        <v>2347</v>
      </c>
      <c r="G39" s="19" t="s">
        <v>1057</v>
      </c>
      <c r="H39" s="19" t="s">
        <v>1001</v>
      </c>
      <c r="I39" s="19" t="s">
        <v>1575</v>
      </c>
      <c r="J39" s="20">
        <v>39</v>
      </c>
      <c r="K39" t="s">
        <v>654</v>
      </c>
      <c r="L39" t="s">
        <v>684</v>
      </c>
      <c r="M39" t="s">
        <v>623</v>
      </c>
      <c r="N39" t="s">
        <v>662</v>
      </c>
      <c r="O39" t="s">
        <v>685</v>
      </c>
    </row>
    <row r="40" spans="1:15" x14ac:dyDescent="0.35">
      <c r="A40" s="77">
        <v>14.906849315068493</v>
      </c>
      <c r="B40" s="19">
        <v>969</v>
      </c>
      <c r="C40" s="19" t="s">
        <v>2348</v>
      </c>
      <c r="D40" s="19" t="s">
        <v>32</v>
      </c>
      <c r="E40" s="19" t="s">
        <v>33</v>
      </c>
      <c r="F40" s="19" t="s">
        <v>1154</v>
      </c>
      <c r="G40" s="19" t="s">
        <v>1000</v>
      </c>
      <c r="H40" s="19" t="s">
        <v>1001</v>
      </c>
      <c r="I40" s="19" t="s">
        <v>1575</v>
      </c>
      <c r="J40" s="20">
        <v>35</v>
      </c>
      <c r="K40" t="s">
        <v>654</v>
      </c>
      <c r="L40" t="s">
        <v>622</v>
      </c>
      <c r="M40" t="s">
        <v>623</v>
      </c>
      <c r="N40" t="s">
        <v>624</v>
      </c>
      <c r="O40" t="s">
        <v>681</v>
      </c>
    </row>
    <row r="41" spans="1:15" x14ac:dyDescent="0.35">
      <c r="A41" s="77">
        <v>14.890410958904109</v>
      </c>
      <c r="B41" s="19">
        <v>976</v>
      </c>
      <c r="C41" s="19" t="s">
        <v>2349</v>
      </c>
      <c r="D41" s="19" t="s">
        <v>339</v>
      </c>
      <c r="E41" s="19" t="s">
        <v>340</v>
      </c>
      <c r="F41" s="19" t="s">
        <v>1024</v>
      </c>
      <c r="G41" s="19" t="s">
        <v>1158</v>
      </c>
      <c r="H41" s="19" t="s">
        <v>1001</v>
      </c>
      <c r="I41" s="19" t="s">
        <v>1575</v>
      </c>
      <c r="J41" s="20">
        <v>43</v>
      </c>
      <c r="K41" t="s">
        <v>631</v>
      </c>
      <c r="L41" t="s">
        <v>651</v>
      </c>
      <c r="M41" t="s">
        <v>629</v>
      </c>
      <c r="N41" t="s">
        <v>630</v>
      </c>
      <c r="O41" t="s">
        <v>705</v>
      </c>
    </row>
    <row r="42" spans="1:15" x14ac:dyDescent="0.35">
      <c r="A42" s="77">
        <v>14.786301369863013</v>
      </c>
      <c r="B42" s="19">
        <v>1010</v>
      </c>
      <c r="C42" s="19" t="s">
        <v>2350</v>
      </c>
      <c r="D42" s="19" t="s">
        <v>115</v>
      </c>
      <c r="E42" s="19" t="s">
        <v>116</v>
      </c>
      <c r="F42" s="19" t="s">
        <v>1383</v>
      </c>
      <c r="G42" s="19" t="s">
        <v>1008</v>
      </c>
      <c r="H42" s="19" t="s">
        <v>1001</v>
      </c>
      <c r="I42" s="19" t="s">
        <v>1599</v>
      </c>
      <c r="J42" s="20">
        <v>43</v>
      </c>
      <c r="K42" t="s">
        <v>631</v>
      </c>
      <c r="L42" t="s">
        <v>670</v>
      </c>
      <c r="M42" t="s">
        <v>657</v>
      </c>
      <c r="N42" t="s">
        <v>641</v>
      </c>
      <c r="O42" t="s">
        <v>671</v>
      </c>
    </row>
    <row r="43" spans="1:15" x14ac:dyDescent="0.35">
      <c r="A43" s="77">
        <v>10.964383561643835</v>
      </c>
      <c r="B43" s="19">
        <v>1060</v>
      </c>
      <c r="C43" s="19" t="s">
        <v>2351</v>
      </c>
      <c r="D43" s="19" t="s">
        <v>45</v>
      </c>
      <c r="E43" s="19" t="s">
        <v>46</v>
      </c>
      <c r="F43" s="19" t="s">
        <v>1122</v>
      </c>
      <c r="G43" s="19" t="s">
        <v>1016</v>
      </c>
      <c r="H43" s="19" t="s">
        <v>1001</v>
      </c>
      <c r="I43" s="19" t="s">
        <v>1599</v>
      </c>
      <c r="J43" s="20">
        <v>37</v>
      </c>
      <c r="K43" t="s">
        <v>631</v>
      </c>
      <c r="L43" t="s">
        <v>651</v>
      </c>
      <c r="M43" t="s">
        <v>629</v>
      </c>
      <c r="N43" t="s">
        <v>630</v>
      </c>
      <c r="O43" t="s">
        <v>705</v>
      </c>
    </row>
    <row r="44" spans="1:15" x14ac:dyDescent="0.35">
      <c r="A44" s="77">
        <v>14.61917808219178</v>
      </c>
      <c r="B44" s="19">
        <v>1086</v>
      </c>
      <c r="C44" s="19" t="s">
        <v>2352</v>
      </c>
      <c r="D44" s="19" t="s">
        <v>45</v>
      </c>
      <c r="E44" s="19" t="s">
        <v>46</v>
      </c>
      <c r="F44" s="19" t="s">
        <v>1122</v>
      </c>
      <c r="G44" s="19" t="s">
        <v>1045</v>
      </c>
      <c r="H44" s="19" t="s">
        <v>1001</v>
      </c>
      <c r="I44" s="19" t="s">
        <v>1599</v>
      </c>
      <c r="J44" s="20">
        <v>36</v>
      </c>
      <c r="K44" t="s">
        <v>631</v>
      </c>
      <c r="L44" t="s">
        <v>651</v>
      </c>
      <c r="M44" t="s">
        <v>629</v>
      </c>
      <c r="N44" t="s">
        <v>630</v>
      </c>
      <c r="O44" t="s">
        <v>705</v>
      </c>
    </row>
    <row r="45" spans="1:15" x14ac:dyDescent="0.35">
      <c r="A45" s="77">
        <v>14.602739726027398</v>
      </c>
      <c r="B45" s="19">
        <v>1092</v>
      </c>
      <c r="C45" s="19" t="s">
        <v>2353</v>
      </c>
      <c r="D45" s="19" t="s">
        <v>60</v>
      </c>
      <c r="E45" s="19" t="s">
        <v>61</v>
      </c>
      <c r="F45" s="19" t="s">
        <v>1119</v>
      </c>
      <c r="G45" s="19" t="s">
        <v>1008</v>
      </c>
      <c r="H45" s="19" t="s">
        <v>1001</v>
      </c>
      <c r="I45" s="19" t="s">
        <v>1575</v>
      </c>
      <c r="J45" s="20">
        <v>39</v>
      </c>
      <c r="K45" t="s">
        <v>654</v>
      </c>
      <c r="L45" t="s">
        <v>651</v>
      </c>
      <c r="M45" t="s">
        <v>629</v>
      </c>
      <c r="N45" t="s">
        <v>630</v>
      </c>
      <c r="O45" t="s">
        <v>705</v>
      </c>
    </row>
    <row r="46" spans="1:15" x14ac:dyDescent="0.35">
      <c r="A46" s="77">
        <v>14.6</v>
      </c>
      <c r="B46" s="19">
        <v>1093</v>
      </c>
      <c r="C46" s="19" t="s">
        <v>2354</v>
      </c>
      <c r="D46" s="19" t="s">
        <v>43</v>
      </c>
      <c r="E46" s="19" t="s">
        <v>44</v>
      </c>
      <c r="F46" s="19" t="s">
        <v>2355</v>
      </c>
      <c r="G46" s="19" t="s">
        <v>1057</v>
      </c>
      <c r="H46" s="19" t="s">
        <v>1001</v>
      </c>
      <c r="I46" s="19" t="s">
        <v>1575</v>
      </c>
      <c r="J46" s="20">
        <v>41</v>
      </c>
      <c r="K46" t="s">
        <v>654</v>
      </c>
      <c r="L46" t="s">
        <v>634</v>
      </c>
      <c r="M46" t="s">
        <v>629</v>
      </c>
      <c r="N46" t="s">
        <v>635</v>
      </c>
      <c r="O46" t="s">
        <v>637</v>
      </c>
    </row>
    <row r="47" spans="1:15" x14ac:dyDescent="0.35">
      <c r="A47" s="77">
        <v>14.597260273972603</v>
      </c>
      <c r="B47" s="19">
        <v>1094</v>
      </c>
      <c r="C47" s="19" t="s">
        <v>2356</v>
      </c>
      <c r="D47" s="19" t="s">
        <v>47</v>
      </c>
      <c r="E47" s="19" t="s">
        <v>48</v>
      </c>
      <c r="F47" s="19" t="s">
        <v>1232</v>
      </c>
      <c r="G47" s="19" t="s">
        <v>1008</v>
      </c>
      <c r="H47" s="19" t="s">
        <v>1001</v>
      </c>
      <c r="I47" s="19" t="s">
        <v>1575</v>
      </c>
      <c r="J47" s="20">
        <v>47</v>
      </c>
      <c r="K47" t="s">
        <v>636</v>
      </c>
      <c r="L47" t="s">
        <v>622</v>
      </c>
      <c r="M47" t="s">
        <v>623</v>
      </c>
      <c r="N47" t="s">
        <v>624</v>
      </c>
      <c r="O47" t="s">
        <v>649</v>
      </c>
    </row>
    <row r="48" spans="1:15" x14ac:dyDescent="0.35">
      <c r="A48" s="77">
        <v>14.531506849315068</v>
      </c>
      <c r="B48" s="19">
        <v>1123</v>
      </c>
      <c r="C48" s="19" t="s">
        <v>2357</v>
      </c>
      <c r="D48" s="19" t="s">
        <v>276</v>
      </c>
      <c r="E48" s="19" t="s">
        <v>277</v>
      </c>
      <c r="F48" s="19" t="s">
        <v>893</v>
      </c>
      <c r="G48" s="19" t="s">
        <v>1057</v>
      </c>
      <c r="H48" s="19" t="s">
        <v>1001</v>
      </c>
      <c r="I48" s="19" t="s">
        <v>1599</v>
      </c>
      <c r="J48" s="20">
        <v>37</v>
      </c>
      <c r="K48" t="s">
        <v>631</v>
      </c>
      <c r="L48" t="s">
        <v>707</v>
      </c>
      <c r="M48" t="s">
        <v>629</v>
      </c>
      <c r="N48" t="s">
        <v>635</v>
      </c>
      <c r="O48" t="s">
        <v>710</v>
      </c>
    </row>
    <row r="49" spans="1:15" x14ac:dyDescent="0.35">
      <c r="A49" s="77">
        <v>0.22465753424657534</v>
      </c>
      <c r="B49" s="19">
        <v>1132</v>
      </c>
      <c r="C49" s="19" t="s">
        <v>2358</v>
      </c>
      <c r="D49" s="19" t="s">
        <v>23</v>
      </c>
      <c r="E49" s="19" t="s">
        <v>23</v>
      </c>
      <c r="F49" s="19" t="s">
        <v>660</v>
      </c>
      <c r="G49" s="19" t="s">
        <v>1008</v>
      </c>
      <c r="H49" s="19" t="s">
        <v>1001</v>
      </c>
      <c r="I49" s="19" t="s">
        <v>1599</v>
      </c>
      <c r="J49" s="20">
        <v>39</v>
      </c>
      <c r="K49" t="s">
        <v>631</v>
      </c>
      <c r="L49" t="s">
        <v>661</v>
      </c>
      <c r="M49" t="s">
        <v>657</v>
      </c>
      <c r="N49" t="s">
        <v>662</v>
      </c>
      <c r="O49" t="s">
        <v>632</v>
      </c>
    </row>
    <row r="50" spans="1:15" x14ac:dyDescent="0.35">
      <c r="A50" s="77">
        <v>5.3287671232876717</v>
      </c>
      <c r="B50" s="19">
        <v>1147</v>
      </c>
      <c r="C50" s="19" t="s">
        <v>2359</v>
      </c>
      <c r="D50" s="19" t="s">
        <v>13</v>
      </c>
      <c r="E50" s="19" t="s">
        <v>13</v>
      </c>
      <c r="F50" s="19" t="s">
        <v>1467</v>
      </c>
      <c r="G50" s="19" t="s">
        <v>1000</v>
      </c>
      <c r="H50" s="19" t="s">
        <v>1001</v>
      </c>
      <c r="I50" s="19" t="s">
        <v>1599</v>
      </c>
      <c r="J50" s="20">
        <v>32</v>
      </c>
      <c r="K50" t="s">
        <v>631</v>
      </c>
      <c r="L50" t="s">
        <v>628</v>
      </c>
      <c r="M50" t="s">
        <v>629</v>
      </c>
      <c r="N50" t="s">
        <v>630</v>
      </c>
      <c r="O50" t="s">
        <v>639</v>
      </c>
    </row>
    <row r="51" spans="1:15" x14ac:dyDescent="0.35">
      <c r="A51" s="77">
        <v>14.331506849315069</v>
      </c>
      <c r="B51" s="19">
        <v>1214</v>
      </c>
      <c r="C51" s="19" t="s">
        <v>2360</v>
      </c>
      <c r="D51" s="19" t="s">
        <v>12</v>
      </c>
      <c r="E51" s="19" t="s">
        <v>12</v>
      </c>
      <c r="F51" s="19" t="s">
        <v>1145</v>
      </c>
      <c r="G51" s="19" t="s">
        <v>1084</v>
      </c>
      <c r="H51" s="19" t="s">
        <v>1001</v>
      </c>
      <c r="I51" s="19" t="s">
        <v>1599</v>
      </c>
      <c r="J51" s="20">
        <v>43</v>
      </c>
      <c r="K51" t="s">
        <v>636</v>
      </c>
      <c r="L51" t="s">
        <v>634</v>
      </c>
      <c r="M51" t="s">
        <v>629</v>
      </c>
      <c r="N51" t="s">
        <v>635</v>
      </c>
      <c r="O51" t="s">
        <v>637</v>
      </c>
    </row>
    <row r="52" spans="1:15" x14ac:dyDescent="0.35">
      <c r="A52" s="77">
        <v>14.219178082191782</v>
      </c>
      <c r="B52" s="19">
        <v>1253</v>
      </c>
      <c r="C52" s="19" t="s">
        <v>2361</v>
      </c>
      <c r="D52" s="19" t="s">
        <v>373</v>
      </c>
      <c r="E52" s="19" t="s">
        <v>374</v>
      </c>
      <c r="F52" s="19" t="s">
        <v>1033</v>
      </c>
      <c r="G52" s="19" t="s">
        <v>1598</v>
      </c>
      <c r="H52" s="19" t="s">
        <v>1001</v>
      </c>
      <c r="I52" s="19" t="s">
        <v>1599</v>
      </c>
      <c r="J52" s="20">
        <v>42</v>
      </c>
      <c r="K52" t="s">
        <v>654</v>
      </c>
      <c r="L52" t="s">
        <v>634</v>
      </c>
      <c r="M52" t="s">
        <v>629</v>
      </c>
      <c r="N52" t="s">
        <v>635</v>
      </c>
      <c r="O52" t="s">
        <v>637</v>
      </c>
    </row>
    <row r="53" spans="1:15" x14ac:dyDescent="0.35">
      <c r="A53" s="77">
        <v>1.8164383561643835</v>
      </c>
      <c r="B53" s="19">
        <v>1269</v>
      </c>
      <c r="C53" s="19" t="s">
        <v>2362</v>
      </c>
      <c r="D53" s="19" t="s">
        <v>102</v>
      </c>
      <c r="E53" s="19" t="s">
        <v>103</v>
      </c>
      <c r="F53" s="19" t="s">
        <v>1306</v>
      </c>
      <c r="G53" s="19" t="s">
        <v>1008</v>
      </c>
      <c r="H53" s="19" t="s">
        <v>1001</v>
      </c>
      <c r="I53" s="19" t="s">
        <v>1575</v>
      </c>
      <c r="J53" s="20">
        <v>41</v>
      </c>
      <c r="K53" t="s">
        <v>654</v>
      </c>
      <c r="L53" t="s">
        <v>707</v>
      </c>
      <c r="M53" t="s">
        <v>629</v>
      </c>
      <c r="N53" t="s">
        <v>635</v>
      </c>
      <c r="O53" t="s">
        <v>708</v>
      </c>
    </row>
    <row r="54" spans="1:15" x14ac:dyDescent="0.35">
      <c r="A54" s="77">
        <v>0.32328767123287672</v>
      </c>
      <c r="B54" s="19">
        <v>1321</v>
      </c>
      <c r="C54" s="19" t="s">
        <v>2363</v>
      </c>
      <c r="D54" s="19" t="s">
        <v>295</v>
      </c>
      <c r="E54" s="19" t="s">
        <v>296</v>
      </c>
      <c r="F54" s="19" t="s">
        <v>1095</v>
      </c>
      <c r="G54" s="19" t="s">
        <v>1057</v>
      </c>
      <c r="H54" s="19" t="s">
        <v>1001</v>
      </c>
      <c r="I54" s="19" t="s">
        <v>1575</v>
      </c>
      <c r="J54" s="20">
        <v>33</v>
      </c>
      <c r="K54" t="s">
        <v>654</v>
      </c>
      <c r="L54" t="s">
        <v>651</v>
      </c>
      <c r="M54" t="s">
        <v>629</v>
      </c>
      <c r="N54" t="s">
        <v>630</v>
      </c>
      <c r="O54" t="s">
        <v>705</v>
      </c>
    </row>
    <row r="55" spans="1:15" x14ac:dyDescent="0.35">
      <c r="A55" s="77">
        <v>14.09041095890411</v>
      </c>
      <c r="B55" s="19">
        <v>1323</v>
      </c>
      <c r="C55" s="19" t="s">
        <v>2364</v>
      </c>
      <c r="D55" s="19" t="s">
        <v>417</v>
      </c>
      <c r="E55" s="19" t="s">
        <v>417</v>
      </c>
      <c r="F55" s="19" t="s">
        <v>418</v>
      </c>
      <c r="G55" s="19" t="s">
        <v>1000</v>
      </c>
      <c r="H55" s="19" t="s">
        <v>1001</v>
      </c>
      <c r="I55" s="19" t="s">
        <v>1599</v>
      </c>
      <c r="J55" s="20">
        <v>40</v>
      </c>
      <c r="K55" t="s">
        <v>654</v>
      </c>
      <c r="L55" t="s">
        <v>684</v>
      </c>
      <c r="M55" t="s">
        <v>623</v>
      </c>
      <c r="N55" t="s">
        <v>662</v>
      </c>
      <c r="O55" t="s">
        <v>687</v>
      </c>
    </row>
    <row r="56" spans="1:15" x14ac:dyDescent="0.35">
      <c r="A56" s="77">
        <v>14.09041095890411</v>
      </c>
      <c r="B56" s="19">
        <v>1328</v>
      </c>
      <c r="C56" s="19" t="s">
        <v>2365</v>
      </c>
      <c r="D56" s="19" t="s">
        <v>420</v>
      </c>
      <c r="E56" s="19" t="s">
        <v>420</v>
      </c>
      <c r="F56" s="19" t="s">
        <v>686</v>
      </c>
      <c r="G56" s="19" t="s">
        <v>1000</v>
      </c>
      <c r="H56" s="19" t="s">
        <v>1001</v>
      </c>
      <c r="I56" s="19" t="s">
        <v>1599</v>
      </c>
      <c r="J56" s="20">
        <v>45</v>
      </c>
      <c r="K56" t="s">
        <v>631</v>
      </c>
      <c r="L56" t="s">
        <v>634</v>
      </c>
      <c r="M56" t="s">
        <v>629</v>
      </c>
      <c r="N56" t="s">
        <v>635</v>
      </c>
      <c r="O56" t="s">
        <v>637</v>
      </c>
    </row>
    <row r="57" spans="1:15" x14ac:dyDescent="0.35">
      <c r="A57" s="77">
        <v>14.019178082191781</v>
      </c>
      <c r="B57" s="19">
        <v>1354</v>
      </c>
      <c r="C57" s="19" t="s">
        <v>2366</v>
      </c>
      <c r="D57" s="19" t="s">
        <v>189</v>
      </c>
      <c r="E57" s="19" t="s">
        <v>190</v>
      </c>
      <c r="F57" s="19" t="s">
        <v>1369</v>
      </c>
      <c r="G57" s="19" t="s">
        <v>1000</v>
      </c>
      <c r="H57" s="19" t="s">
        <v>1001</v>
      </c>
      <c r="I57" s="19" t="s">
        <v>1599</v>
      </c>
      <c r="J57" s="20">
        <v>35</v>
      </c>
      <c r="K57" t="s">
        <v>654</v>
      </c>
      <c r="L57" t="s">
        <v>640</v>
      </c>
      <c r="M57" t="s">
        <v>623</v>
      </c>
      <c r="N57" t="s">
        <v>641</v>
      </c>
      <c r="O57" t="s">
        <v>754</v>
      </c>
    </row>
    <row r="58" spans="1:15" x14ac:dyDescent="0.35">
      <c r="A58" s="77">
        <v>14.010958904109589</v>
      </c>
      <c r="B58" s="19">
        <v>1358</v>
      </c>
      <c r="C58" s="19" t="s">
        <v>2367</v>
      </c>
      <c r="D58" s="19" t="s">
        <v>326</v>
      </c>
      <c r="E58" s="19" t="s">
        <v>327</v>
      </c>
      <c r="F58" s="19" t="s">
        <v>1051</v>
      </c>
      <c r="G58" s="19" t="s">
        <v>1000</v>
      </c>
      <c r="H58" s="19" t="s">
        <v>1001</v>
      </c>
      <c r="I58" s="19" t="s">
        <v>1599</v>
      </c>
      <c r="J58" s="20">
        <v>44</v>
      </c>
      <c r="K58" t="s">
        <v>631</v>
      </c>
      <c r="L58" t="s">
        <v>648</v>
      </c>
      <c r="M58" t="s">
        <v>623</v>
      </c>
      <c r="N58" t="s">
        <v>624</v>
      </c>
      <c r="O58" t="s">
        <v>837</v>
      </c>
    </row>
    <row r="59" spans="1:15" x14ac:dyDescent="0.35">
      <c r="A59" s="77">
        <v>8.1205479452054803</v>
      </c>
      <c r="B59" s="19">
        <v>1374</v>
      </c>
      <c r="C59" s="19" t="s">
        <v>2368</v>
      </c>
      <c r="D59" s="19" t="s">
        <v>415</v>
      </c>
      <c r="E59" s="19" t="s">
        <v>416</v>
      </c>
      <c r="F59" s="19" t="s">
        <v>1199</v>
      </c>
      <c r="G59" s="19" t="s">
        <v>1045</v>
      </c>
      <c r="H59" s="19" t="s">
        <v>1001</v>
      </c>
      <c r="I59" s="19" t="s">
        <v>1599</v>
      </c>
      <c r="J59" s="20">
        <v>37</v>
      </c>
      <c r="K59" t="s">
        <v>668</v>
      </c>
      <c r="L59" t="s">
        <v>666</v>
      </c>
      <c r="M59" t="s">
        <v>629</v>
      </c>
      <c r="N59" t="s">
        <v>635</v>
      </c>
      <c r="O59" t="s">
        <v>637</v>
      </c>
    </row>
    <row r="60" spans="1:15" x14ac:dyDescent="0.35">
      <c r="A60" s="77">
        <v>2.1013698630136988</v>
      </c>
      <c r="B60" s="19">
        <v>1380</v>
      </c>
      <c r="C60" s="19" t="s">
        <v>2369</v>
      </c>
      <c r="D60" s="19" t="s">
        <v>276</v>
      </c>
      <c r="E60" s="19" t="s">
        <v>277</v>
      </c>
      <c r="F60" s="19" t="s">
        <v>893</v>
      </c>
      <c r="G60" s="19" t="s">
        <v>1046</v>
      </c>
      <c r="H60" s="19" t="s">
        <v>1001</v>
      </c>
      <c r="I60" s="19" t="s">
        <v>1575</v>
      </c>
      <c r="J60" s="20">
        <v>38</v>
      </c>
      <c r="K60" t="s">
        <v>631</v>
      </c>
      <c r="L60" t="s">
        <v>707</v>
      </c>
      <c r="M60" t="s">
        <v>629</v>
      </c>
      <c r="N60" t="s">
        <v>635</v>
      </c>
      <c r="O60" t="s">
        <v>710</v>
      </c>
    </row>
    <row r="61" spans="1:15" x14ac:dyDescent="0.35">
      <c r="A61" s="77">
        <v>13.964383561643835</v>
      </c>
      <c r="B61" s="19">
        <v>1388</v>
      </c>
      <c r="C61" s="19" t="s">
        <v>2370</v>
      </c>
      <c r="D61" s="19" t="s">
        <v>167</v>
      </c>
      <c r="E61" s="19" t="s">
        <v>168</v>
      </c>
      <c r="F61" s="19" t="s">
        <v>2009</v>
      </c>
      <c r="G61" s="19" t="s">
        <v>1016</v>
      </c>
      <c r="H61" s="19" t="s">
        <v>1001</v>
      </c>
      <c r="I61" s="19" t="s">
        <v>1575</v>
      </c>
      <c r="J61" s="20">
        <v>37</v>
      </c>
      <c r="K61" t="s">
        <v>636</v>
      </c>
      <c r="L61" t="s">
        <v>640</v>
      </c>
      <c r="M61" t="s">
        <v>623</v>
      </c>
      <c r="N61" t="s">
        <v>641</v>
      </c>
      <c r="O61" t="s">
        <v>754</v>
      </c>
    </row>
    <row r="62" spans="1:15" x14ac:dyDescent="0.35">
      <c r="A62" s="77">
        <v>13.923287671232877</v>
      </c>
      <c r="B62" s="19">
        <v>1414</v>
      </c>
      <c r="C62" s="19" t="s">
        <v>2371</v>
      </c>
      <c r="D62" s="19" t="s">
        <v>140</v>
      </c>
      <c r="E62" s="19" t="s">
        <v>141</v>
      </c>
      <c r="F62" s="19" t="s">
        <v>1138</v>
      </c>
      <c r="G62" s="19" t="s">
        <v>1000</v>
      </c>
      <c r="H62" s="19" t="s">
        <v>1001</v>
      </c>
      <c r="I62" s="19" t="s">
        <v>1599</v>
      </c>
      <c r="J62" s="20">
        <v>40</v>
      </c>
      <c r="K62" t="s">
        <v>636</v>
      </c>
      <c r="L62" t="s">
        <v>640</v>
      </c>
      <c r="M62" t="s">
        <v>623</v>
      </c>
      <c r="N62" t="s">
        <v>641</v>
      </c>
      <c r="O62" t="s">
        <v>754</v>
      </c>
    </row>
    <row r="63" spans="1:15" x14ac:dyDescent="0.35">
      <c r="A63" s="77">
        <v>13.90958904109589</v>
      </c>
      <c r="B63" s="19">
        <v>1427</v>
      </c>
      <c r="C63" s="19" t="s">
        <v>2372</v>
      </c>
      <c r="D63" s="19" t="s">
        <v>167</v>
      </c>
      <c r="E63" s="19" t="s">
        <v>168</v>
      </c>
      <c r="F63" s="19" t="s">
        <v>2009</v>
      </c>
      <c r="G63" s="19" t="s">
        <v>1000</v>
      </c>
      <c r="H63" s="19" t="s">
        <v>1001</v>
      </c>
      <c r="I63" s="19" t="s">
        <v>1575</v>
      </c>
      <c r="J63" s="20">
        <v>39</v>
      </c>
      <c r="K63" t="s">
        <v>636</v>
      </c>
      <c r="L63" t="s">
        <v>640</v>
      </c>
      <c r="M63" t="s">
        <v>623</v>
      </c>
      <c r="N63" t="s">
        <v>641</v>
      </c>
      <c r="O63" t="s">
        <v>754</v>
      </c>
    </row>
    <row r="64" spans="1:15" x14ac:dyDescent="0.35">
      <c r="A64" s="77">
        <v>13.841095890410958</v>
      </c>
      <c r="B64" s="19">
        <v>1457</v>
      </c>
      <c r="C64" s="19" t="s">
        <v>2373</v>
      </c>
      <c r="D64" s="19" t="s">
        <v>51</v>
      </c>
      <c r="E64" s="19" t="s">
        <v>52</v>
      </c>
      <c r="F64" s="19" t="s">
        <v>921</v>
      </c>
      <c r="G64" s="19" t="s">
        <v>1045</v>
      </c>
      <c r="H64" s="19" t="s">
        <v>1001</v>
      </c>
      <c r="I64" s="19" t="s">
        <v>1599</v>
      </c>
      <c r="J64" s="20">
        <v>42</v>
      </c>
      <c r="K64" t="s">
        <v>636</v>
      </c>
      <c r="L64" t="s">
        <v>656</v>
      </c>
      <c r="M64" t="s">
        <v>657</v>
      </c>
      <c r="N64" t="s">
        <v>658</v>
      </c>
      <c r="O64" t="s">
        <v>718</v>
      </c>
    </row>
    <row r="65" spans="1:15" x14ac:dyDescent="0.35">
      <c r="A65" s="77">
        <v>13.791780821917808</v>
      </c>
      <c r="B65" s="19">
        <v>1496</v>
      </c>
      <c r="C65" s="19" t="s">
        <v>2374</v>
      </c>
      <c r="D65" s="19" t="s">
        <v>140</v>
      </c>
      <c r="E65" s="19" t="s">
        <v>141</v>
      </c>
      <c r="F65" s="19" t="s">
        <v>1138</v>
      </c>
      <c r="G65" s="19" t="s">
        <v>1008</v>
      </c>
      <c r="H65" s="19" t="s">
        <v>1001</v>
      </c>
      <c r="I65" s="19" t="s">
        <v>1575</v>
      </c>
      <c r="J65" s="20">
        <v>35</v>
      </c>
      <c r="K65" t="s">
        <v>636</v>
      </c>
      <c r="L65" t="s">
        <v>640</v>
      </c>
      <c r="M65" t="s">
        <v>623</v>
      </c>
      <c r="N65" t="s">
        <v>641</v>
      </c>
      <c r="O65" t="s">
        <v>754</v>
      </c>
    </row>
    <row r="66" spans="1:15" x14ac:dyDescent="0.35">
      <c r="A66" s="77">
        <v>2.5643835616438357</v>
      </c>
      <c r="B66" s="19">
        <v>1506</v>
      </c>
      <c r="C66" s="19" t="s">
        <v>2375</v>
      </c>
      <c r="D66" s="19" t="s">
        <v>78</v>
      </c>
      <c r="E66" s="19" t="s">
        <v>79</v>
      </c>
      <c r="F66" s="19" t="s">
        <v>1107</v>
      </c>
      <c r="G66" s="19" t="s">
        <v>1084</v>
      </c>
      <c r="H66" s="19" t="s">
        <v>1001</v>
      </c>
      <c r="I66" s="19" t="s">
        <v>1575</v>
      </c>
      <c r="J66" s="20">
        <v>33</v>
      </c>
      <c r="K66" t="s">
        <v>654</v>
      </c>
      <c r="L66" t="s">
        <v>661</v>
      </c>
      <c r="M66" t="s">
        <v>657</v>
      </c>
      <c r="N66" t="s">
        <v>658</v>
      </c>
      <c r="O66" t="s">
        <v>632</v>
      </c>
    </row>
    <row r="67" spans="1:15" x14ac:dyDescent="0.35">
      <c r="A67" s="77">
        <v>11.665753424657535</v>
      </c>
      <c r="B67" s="19">
        <v>1576</v>
      </c>
      <c r="C67" s="19" t="s">
        <v>2376</v>
      </c>
      <c r="D67" s="19" t="s">
        <v>343</v>
      </c>
      <c r="E67" s="19" t="s">
        <v>344</v>
      </c>
      <c r="F67" s="19" t="s">
        <v>846</v>
      </c>
      <c r="G67" s="19" t="s">
        <v>1008</v>
      </c>
      <c r="H67" s="19" t="s">
        <v>1001</v>
      </c>
      <c r="I67" s="19" t="s">
        <v>1575</v>
      </c>
      <c r="J67" s="20">
        <v>42</v>
      </c>
      <c r="K67" t="s">
        <v>642</v>
      </c>
      <c r="L67" t="s">
        <v>645</v>
      </c>
      <c r="M67" t="s">
        <v>629</v>
      </c>
      <c r="N67" t="s">
        <v>646</v>
      </c>
      <c r="O67" t="s">
        <v>632</v>
      </c>
    </row>
    <row r="68" spans="1:15" x14ac:dyDescent="0.35">
      <c r="A68" s="77">
        <v>13.665753424657535</v>
      </c>
      <c r="B68" s="19">
        <v>1601</v>
      </c>
      <c r="C68" s="19" t="s">
        <v>2377</v>
      </c>
      <c r="D68" s="19" t="s">
        <v>109</v>
      </c>
      <c r="E68" s="19" t="s">
        <v>110</v>
      </c>
      <c r="F68" s="19" t="s">
        <v>2347</v>
      </c>
      <c r="G68" s="19" t="s">
        <v>1158</v>
      </c>
      <c r="H68" s="19" t="s">
        <v>1001</v>
      </c>
      <c r="I68" s="19" t="s">
        <v>1575</v>
      </c>
      <c r="J68" s="20">
        <v>44</v>
      </c>
      <c r="K68" t="s">
        <v>654</v>
      </c>
      <c r="L68" t="s">
        <v>684</v>
      </c>
      <c r="M68" t="s">
        <v>623</v>
      </c>
      <c r="N68" t="s">
        <v>662</v>
      </c>
      <c r="O68" t="s">
        <v>685</v>
      </c>
    </row>
    <row r="69" spans="1:15" x14ac:dyDescent="0.35">
      <c r="A69" s="77">
        <v>13.66027397260274</v>
      </c>
      <c r="B69" s="19">
        <v>1607</v>
      </c>
      <c r="C69" s="19" t="s">
        <v>2378</v>
      </c>
      <c r="D69" s="19" t="s">
        <v>600</v>
      </c>
      <c r="E69" s="19" t="e">
        <v>#N/A</v>
      </c>
      <c r="F69" s="19" t="s">
        <v>1201</v>
      </c>
      <c r="G69" s="19" t="s">
        <v>1046</v>
      </c>
      <c r="H69" s="19" t="s">
        <v>1001</v>
      </c>
      <c r="I69" s="19" t="s">
        <v>1575</v>
      </c>
      <c r="J69" s="20">
        <v>34</v>
      </c>
      <c r="K69" t="s">
        <v>668</v>
      </c>
      <c r="L69" t="s">
        <v>622</v>
      </c>
      <c r="M69" t="s">
        <v>623</v>
      </c>
      <c r="N69" t="s">
        <v>624</v>
      </c>
      <c r="O69" t="s">
        <v>649</v>
      </c>
    </row>
    <row r="70" spans="1:15" x14ac:dyDescent="0.35">
      <c r="A70" s="77">
        <v>13.572602739726028</v>
      </c>
      <c r="B70" s="19">
        <v>1668</v>
      </c>
      <c r="C70" s="19" t="s">
        <v>2379</v>
      </c>
      <c r="D70" s="19" t="s">
        <v>109</v>
      </c>
      <c r="E70" s="19" t="s">
        <v>110</v>
      </c>
      <c r="F70" s="19" t="s">
        <v>2347</v>
      </c>
      <c r="G70" s="19" t="s">
        <v>1000</v>
      </c>
      <c r="H70" s="19" t="s">
        <v>1001</v>
      </c>
      <c r="I70" s="19" t="s">
        <v>1575</v>
      </c>
      <c r="J70" s="20">
        <v>38</v>
      </c>
      <c r="K70" t="s">
        <v>654</v>
      </c>
      <c r="L70" t="s">
        <v>684</v>
      </c>
      <c r="M70" t="s">
        <v>623</v>
      </c>
      <c r="N70" t="s">
        <v>662</v>
      </c>
      <c r="O70" t="s">
        <v>685</v>
      </c>
    </row>
    <row r="71" spans="1:15" x14ac:dyDescent="0.35">
      <c r="A71" s="77">
        <v>13.56986301369863</v>
      </c>
      <c r="B71" s="19">
        <v>1670</v>
      </c>
      <c r="C71" s="19" t="s">
        <v>2380</v>
      </c>
      <c r="D71" s="19" t="s">
        <v>411</v>
      </c>
      <c r="E71" s="19" t="s">
        <v>412</v>
      </c>
      <c r="F71" s="19" t="s">
        <v>1225</v>
      </c>
      <c r="G71" s="19" t="s">
        <v>1057</v>
      </c>
      <c r="H71" s="19" t="s">
        <v>1001</v>
      </c>
      <c r="I71" s="19" t="s">
        <v>1599</v>
      </c>
      <c r="J71" s="20">
        <v>38</v>
      </c>
      <c r="K71" t="s">
        <v>636</v>
      </c>
      <c r="L71" t="s">
        <v>691</v>
      </c>
      <c r="M71" t="s">
        <v>657</v>
      </c>
      <c r="N71" t="s">
        <v>658</v>
      </c>
      <c r="O71" t="s">
        <v>632</v>
      </c>
    </row>
    <row r="72" spans="1:15" x14ac:dyDescent="0.35">
      <c r="A72" s="77">
        <v>13.564383561643835</v>
      </c>
      <c r="B72" s="19">
        <v>1677</v>
      </c>
      <c r="C72" s="19" t="s">
        <v>2381</v>
      </c>
      <c r="D72" s="19" t="s">
        <v>95</v>
      </c>
      <c r="E72" s="19" t="s">
        <v>96</v>
      </c>
      <c r="F72" s="19" t="s">
        <v>1188</v>
      </c>
      <c r="G72" s="19" t="s">
        <v>1045</v>
      </c>
      <c r="H72" s="19" t="s">
        <v>1001</v>
      </c>
      <c r="I72" s="19" t="s">
        <v>1575</v>
      </c>
      <c r="J72" s="20">
        <v>39</v>
      </c>
      <c r="K72" t="s">
        <v>636</v>
      </c>
      <c r="L72" t="s">
        <v>737</v>
      </c>
      <c r="M72" t="s">
        <v>657</v>
      </c>
      <c r="N72" t="s">
        <v>641</v>
      </c>
      <c r="O72" t="s">
        <v>738</v>
      </c>
    </row>
    <row r="73" spans="1:15" x14ac:dyDescent="0.35">
      <c r="A73" s="77">
        <v>13.509589041095891</v>
      </c>
      <c r="B73" s="19">
        <v>1711</v>
      </c>
      <c r="C73" s="19" t="s">
        <v>2382</v>
      </c>
      <c r="D73" s="19" t="s">
        <v>377</v>
      </c>
      <c r="E73" s="19" t="s">
        <v>378</v>
      </c>
      <c r="F73" s="19" t="s">
        <v>862</v>
      </c>
      <c r="G73" s="19" t="s">
        <v>1000</v>
      </c>
      <c r="H73" s="19" t="s">
        <v>1001</v>
      </c>
      <c r="I73" s="19" t="s">
        <v>1575</v>
      </c>
      <c r="J73" s="20">
        <v>38</v>
      </c>
      <c r="K73" t="s">
        <v>631</v>
      </c>
      <c r="L73" t="s">
        <v>661</v>
      </c>
      <c r="M73" t="s">
        <v>657</v>
      </c>
      <c r="N73" t="s">
        <v>662</v>
      </c>
      <c r="O73" t="s">
        <v>632</v>
      </c>
    </row>
    <row r="74" spans="1:15" x14ac:dyDescent="0.35">
      <c r="A74" s="77">
        <v>13.441095890410958</v>
      </c>
      <c r="B74" s="19">
        <v>1761</v>
      </c>
      <c r="C74" s="19" t="s">
        <v>2383</v>
      </c>
      <c r="D74" s="19" t="s">
        <v>153</v>
      </c>
      <c r="E74" s="19" t="s">
        <v>154</v>
      </c>
      <c r="F74" s="19" t="s">
        <v>2384</v>
      </c>
      <c r="G74" s="19" t="s">
        <v>1000</v>
      </c>
      <c r="H74" s="19" t="s">
        <v>1001</v>
      </c>
      <c r="I74" s="19" t="s">
        <v>1575</v>
      </c>
      <c r="J74" s="20">
        <v>46</v>
      </c>
      <c r="K74" t="s">
        <v>654</v>
      </c>
      <c r="L74" t="s">
        <v>762</v>
      </c>
      <c r="M74" t="s">
        <v>629</v>
      </c>
      <c r="N74" t="s">
        <v>646</v>
      </c>
      <c r="O74" t="s">
        <v>763</v>
      </c>
    </row>
    <row r="75" spans="1:15" x14ac:dyDescent="0.35">
      <c r="A75" s="77">
        <v>13.402739726027397</v>
      </c>
      <c r="B75" s="19">
        <v>1786</v>
      </c>
      <c r="C75" s="19" t="s">
        <v>2385</v>
      </c>
      <c r="D75" s="19" t="s">
        <v>228</v>
      </c>
      <c r="E75" s="19" t="s">
        <v>229</v>
      </c>
      <c r="F75" s="19" t="s">
        <v>1643</v>
      </c>
      <c r="G75" s="19" t="s">
        <v>1000</v>
      </c>
      <c r="H75" s="19" t="s">
        <v>1001</v>
      </c>
      <c r="I75" s="19" t="s">
        <v>1575</v>
      </c>
      <c r="J75" s="20">
        <v>35</v>
      </c>
      <c r="K75" t="s">
        <v>668</v>
      </c>
      <c r="L75" t="s">
        <v>762</v>
      </c>
      <c r="M75" t="s">
        <v>629</v>
      </c>
      <c r="N75" t="s">
        <v>646</v>
      </c>
      <c r="O75" t="s">
        <v>763</v>
      </c>
    </row>
    <row r="76" spans="1:15" x14ac:dyDescent="0.35">
      <c r="A76" s="77">
        <v>13.345205479452055</v>
      </c>
      <c r="B76" s="19">
        <v>1860</v>
      </c>
      <c r="C76" s="19" t="s">
        <v>2386</v>
      </c>
      <c r="D76" s="19" t="s">
        <v>278</v>
      </c>
      <c r="E76" s="19" t="s">
        <v>279</v>
      </c>
      <c r="F76" s="19" t="s">
        <v>1131</v>
      </c>
      <c r="G76" s="19" t="s">
        <v>1000</v>
      </c>
      <c r="H76" s="19" t="s">
        <v>1001</v>
      </c>
      <c r="I76" s="19" t="s">
        <v>1599</v>
      </c>
      <c r="J76" s="20">
        <v>38</v>
      </c>
      <c r="K76" t="s">
        <v>625</v>
      </c>
      <c r="L76" t="s">
        <v>661</v>
      </c>
      <c r="M76" t="s">
        <v>657</v>
      </c>
      <c r="N76" t="s">
        <v>662</v>
      </c>
      <c r="O76" t="s">
        <v>632</v>
      </c>
    </row>
    <row r="77" spans="1:15" x14ac:dyDescent="0.35">
      <c r="A77" s="77">
        <v>13.323287671232876</v>
      </c>
      <c r="B77" s="19">
        <v>1893</v>
      </c>
      <c r="C77" s="19" t="s">
        <v>2387</v>
      </c>
      <c r="D77" s="19" t="s">
        <v>55</v>
      </c>
      <c r="E77" s="19" t="s">
        <v>56</v>
      </c>
      <c r="F77" s="19" t="s">
        <v>1684</v>
      </c>
      <c r="G77" s="19" t="s">
        <v>1034</v>
      </c>
      <c r="H77" s="19" t="s">
        <v>1020</v>
      </c>
      <c r="I77" s="19" t="s">
        <v>1575</v>
      </c>
      <c r="J77" s="20">
        <v>39</v>
      </c>
      <c r="K77" t="s">
        <v>668</v>
      </c>
      <c r="L77" t="s">
        <v>707</v>
      </c>
      <c r="M77" t="s">
        <v>629</v>
      </c>
      <c r="N77" t="s">
        <v>635</v>
      </c>
      <c r="O77" t="s">
        <v>708</v>
      </c>
    </row>
    <row r="78" spans="1:15" x14ac:dyDescent="0.35">
      <c r="A78" s="77">
        <v>0.49589041095890413</v>
      </c>
      <c r="B78" s="19">
        <v>1941</v>
      </c>
      <c r="C78" s="19" t="s">
        <v>2388</v>
      </c>
      <c r="D78" s="19" t="s">
        <v>118</v>
      </c>
      <c r="E78" s="19" t="s">
        <v>119</v>
      </c>
      <c r="F78" s="19" t="s">
        <v>1360</v>
      </c>
      <c r="G78" s="19" t="s">
        <v>1028</v>
      </c>
      <c r="H78" s="19" t="s">
        <v>1020</v>
      </c>
      <c r="I78" s="19" t="s">
        <v>1575</v>
      </c>
      <c r="J78" s="20">
        <v>39</v>
      </c>
      <c r="K78" t="s">
        <v>625</v>
      </c>
      <c r="L78" t="s">
        <v>656</v>
      </c>
      <c r="M78" t="s">
        <v>657</v>
      </c>
      <c r="N78" t="s">
        <v>658</v>
      </c>
      <c r="O78" t="s">
        <v>632</v>
      </c>
    </row>
    <row r="79" spans="1:15" x14ac:dyDescent="0.35">
      <c r="A79" s="77">
        <v>7.8739726027397259</v>
      </c>
      <c r="B79" s="19">
        <v>2004</v>
      </c>
      <c r="C79" s="19" t="s">
        <v>2389</v>
      </c>
      <c r="D79" s="19" t="s">
        <v>302</v>
      </c>
      <c r="E79" s="19" t="s">
        <v>303</v>
      </c>
      <c r="F79" s="19" t="s">
        <v>1053</v>
      </c>
      <c r="G79" s="19" t="s">
        <v>1000</v>
      </c>
      <c r="H79" s="19" t="s">
        <v>1001</v>
      </c>
      <c r="I79" s="19" t="s">
        <v>1599</v>
      </c>
      <c r="J79" s="20">
        <v>35</v>
      </c>
      <c r="K79" t="s">
        <v>668</v>
      </c>
      <c r="L79" t="s">
        <v>737</v>
      </c>
      <c r="M79" t="s">
        <v>657</v>
      </c>
      <c r="N79" t="s">
        <v>641</v>
      </c>
      <c r="O79" t="s">
        <v>738</v>
      </c>
    </row>
    <row r="80" spans="1:15" x14ac:dyDescent="0.35">
      <c r="A80" s="77">
        <v>13.216438356164383</v>
      </c>
      <c r="B80" s="19">
        <v>2036</v>
      </c>
      <c r="C80" s="19" t="s">
        <v>2390</v>
      </c>
      <c r="D80" s="19" t="s">
        <v>143</v>
      </c>
      <c r="E80" s="19" t="s">
        <v>144</v>
      </c>
      <c r="F80" s="19" t="s">
        <v>2391</v>
      </c>
      <c r="G80" s="19" t="s">
        <v>1045</v>
      </c>
      <c r="H80" s="19" t="s">
        <v>1001</v>
      </c>
      <c r="I80" s="19" t="s">
        <v>1599</v>
      </c>
      <c r="J80" s="20">
        <v>36</v>
      </c>
      <c r="K80" t="s">
        <v>654</v>
      </c>
      <c r="L80" t="s">
        <v>640</v>
      </c>
      <c r="M80" t="s">
        <v>623</v>
      </c>
      <c r="N80" t="s">
        <v>641</v>
      </c>
      <c r="O80" t="s">
        <v>754</v>
      </c>
    </row>
    <row r="81" spans="1:15" x14ac:dyDescent="0.35">
      <c r="A81" s="77">
        <v>13.208219178082192</v>
      </c>
      <c r="B81" s="19">
        <v>2044</v>
      </c>
      <c r="C81" s="19" t="s">
        <v>2392</v>
      </c>
      <c r="D81" s="19" t="s">
        <v>135</v>
      </c>
      <c r="E81" s="19" t="s">
        <v>136</v>
      </c>
      <c r="F81" s="19" t="s">
        <v>2393</v>
      </c>
      <c r="G81" s="19" t="s">
        <v>1045</v>
      </c>
      <c r="H81" s="19" t="s">
        <v>1001</v>
      </c>
      <c r="I81" s="19" t="s">
        <v>1575</v>
      </c>
      <c r="J81" s="20">
        <v>41</v>
      </c>
      <c r="K81" t="s">
        <v>668</v>
      </c>
      <c r="L81" t="s">
        <v>651</v>
      </c>
      <c r="M81" t="s">
        <v>629</v>
      </c>
      <c r="N81" t="s">
        <v>630</v>
      </c>
      <c r="O81" t="s">
        <v>652</v>
      </c>
    </row>
    <row r="82" spans="1:15" x14ac:dyDescent="0.35">
      <c r="A82" s="77">
        <v>13.208219178082192</v>
      </c>
      <c r="B82" s="19">
        <v>2050</v>
      </c>
      <c r="C82" s="19" t="s">
        <v>2394</v>
      </c>
      <c r="D82" s="19" t="s">
        <v>97</v>
      </c>
      <c r="E82" s="19" t="s">
        <v>98</v>
      </c>
      <c r="F82" s="19" t="s">
        <v>2395</v>
      </c>
      <c r="G82" s="19" t="s">
        <v>1034</v>
      </c>
      <c r="H82" s="19" t="s">
        <v>1001</v>
      </c>
      <c r="I82" s="19" t="s">
        <v>1575</v>
      </c>
      <c r="J82" s="20">
        <v>35</v>
      </c>
      <c r="K82" t="s">
        <v>654</v>
      </c>
      <c r="L82" t="s">
        <v>666</v>
      </c>
      <c r="M82" t="s">
        <v>629</v>
      </c>
      <c r="N82" t="s">
        <v>635</v>
      </c>
      <c r="O82" t="s">
        <v>739</v>
      </c>
    </row>
    <row r="83" spans="1:15" x14ac:dyDescent="0.35">
      <c r="A83" s="77">
        <v>13.186301369863013</v>
      </c>
      <c r="B83" s="19">
        <v>2076</v>
      </c>
      <c r="C83" s="19" t="s">
        <v>2396</v>
      </c>
      <c r="D83" s="19" t="s">
        <v>189</v>
      </c>
      <c r="E83" s="19" t="s">
        <v>190</v>
      </c>
      <c r="F83" s="19" t="s">
        <v>1369</v>
      </c>
      <c r="G83" s="19" t="s">
        <v>1045</v>
      </c>
      <c r="H83" s="19" t="s">
        <v>1001</v>
      </c>
      <c r="I83" s="19" t="s">
        <v>1575</v>
      </c>
      <c r="J83" s="20">
        <v>35</v>
      </c>
      <c r="K83" t="s">
        <v>654</v>
      </c>
      <c r="L83" t="s">
        <v>640</v>
      </c>
      <c r="M83" t="s">
        <v>623</v>
      </c>
      <c r="N83" t="s">
        <v>641</v>
      </c>
      <c r="O83" t="s">
        <v>754</v>
      </c>
    </row>
    <row r="84" spans="1:15" x14ac:dyDescent="0.35">
      <c r="A84" s="77">
        <v>13.178082191780822</v>
      </c>
      <c r="B84" s="19">
        <v>2084</v>
      </c>
      <c r="C84" s="19" t="s">
        <v>2397</v>
      </c>
      <c r="D84" s="19" t="s">
        <v>351</v>
      </c>
      <c r="E84" s="19" t="s">
        <v>352</v>
      </c>
      <c r="F84" s="19" t="s">
        <v>1507</v>
      </c>
      <c r="G84" s="19" t="s">
        <v>1000</v>
      </c>
      <c r="H84" s="19" t="s">
        <v>1001</v>
      </c>
      <c r="I84" s="19" t="s">
        <v>1599</v>
      </c>
      <c r="J84" s="20">
        <v>39</v>
      </c>
      <c r="K84" t="s">
        <v>636</v>
      </c>
      <c r="L84" t="s">
        <v>661</v>
      </c>
      <c r="M84" t="s">
        <v>657</v>
      </c>
      <c r="N84" t="s">
        <v>662</v>
      </c>
      <c r="O84" t="s">
        <v>632</v>
      </c>
    </row>
    <row r="85" spans="1:15" x14ac:dyDescent="0.35">
      <c r="A85" s="77">
        <v>13.158904109589042</v>
      </c>
      <c r="B85" s="19">
        <v>2129</v>
      </c>
      <c r="C85" s="19" t="s">
        <v>2398</v>
      </c>
      <c r="D85" s="19" t="s">
        <v>300</v>
      </c>
      <c r="E85" s="19" t="s">
        <v>301</v>
      </c>
      <c r="F85" s="19" t="s">
        <v>1719</v>
      </c>
      <c r="G85" s="19" t="s">
        <v>1000</v>
      </c>
      <c r="H85" s="19" t="s">
        <v>1001</v>
      </c>
      <c r="I85" s="19" t="s">
        <v>1575</v>
      </c>
      <c r="J85" s="20">
        <v>40</v>
      </c>
      <c r="K85" t="s">
        <v>668</v>
      </c>
      <c r="L85" t="s">
        <v>737</v>
      </c>
      <c r="M85" t="s">
        <v>657</v>
      </c>
      <c r="N85" t="s">
        <v>641</v>
      </c>
      <c r="O85" t="s">
        <v>738</v>
      </c>
    </row>
    <row r="86" spans="1:15" x14ac:dyDescent="0.35">
      <c r="A86" s="77">
        <v>13.145205479452056</v>
      </c>
      <c r="B86" s="19">
        <v>2156</v>
      </c>
      <c r="C86" s="19" t="s">
        <v>2399</v>
      </c>
      <c r="D86" s="19" t="s">
        <v>256</v>
      </c>
      <c r="E86" s="19" t="s">
        <v>257</v>
      </c>
      <c r="F86" s="19" t="s">
        <v>1005</v>
      </c>
      <c r="G86" s="19" t="s">
        <v>1034</v>
      </c>
      <c r="H86" s="19" t="s">
        <v>1001</v>
      </c>
      <c r="I86" s="19" t="s">
        <v>1575</v>
      </c>
      <c r="J86" s="20">
        <v>36</v>
      </c>
      <c r="K86" t="s">
        <v>668</v>
      </c>
      <c r="L86" t="s">
        <v>651</v>
      </c>
      <c r="M86" t="s">
        <v>629</v>
      </c>
      <c r="N86" t="s">
        <v>630</v>
      </c>
      <c r="O86" t="s">
        <v>705</v>
      </c>
    </row>
    <row r="87" spans="1:15" x14ac:dyDescent="0.35">
      <c r="A87" s="77">
        <v>13.12054794520548</v>
      </c>
      <c r="B87" s="19">
        <v>2203</v>
      </c>
      <c r="C87" s="19" t="s">
        <v>2400</v>
      </c>
      <c r="D87" s="19" t="s">
        <v>135</v>
      </c>
      <c r="E87" s="19" t="s">
        <v>136</v>
      </c>
      <c r="F87" s="19" t="s">
        <v>2393</v>
      </c>
      <c r="G87" s="19" t="s">
        <v>1045</v>
      </c>
      <c r="H87" s="19" t="s">
        <v>1001</v>
      </c>
      <c r="I87" s="19" t="s">
        <v>1575</v>
      </c>
      <c r="J87" s="20">
        <v>42</v>
      </c>
      <c r="K87" t="s">
        <v>668</v>
      </c>
      <c r="L87" t="s">
        <v>651</v>
      </c>
      <c r="M87" t="s">
        <v>629</v>
      </c>
      <c r="N87" t="s">
        <v>630</v>
      </c>
      <c r="O87" t="s">
        <v>652</v>
      </c>
    </row>
    <row r="88" spans="1:15" x14ac:dyDescent="0.35">
      <c r="A88" s="77">
        <v>9.6904109589041099</v>
      </c>
      <c r="B88" s="19">
        <v>2209</v>
      </c>
      <c r="C88" s="19" t="s">
        <v>2401</v>
      </c>
      <c r="D88" s="19" t="s">
        <v>34</v>
      </c>
      <c r="E88" s="19" t="s">
        <v>34</v>
      </c>
      <c r="F88" s="19" t="s">
        <v>1066</v>
      </c>
      <c r="G88" s="19" t="s">
        <v>1034</v>
      </c>
      <c r="H88" s="19" t="s">
        <v>1001</v>
      </c>
      <c r="I88" s="19" t="s">
        <v>1599</v>
      </c>
      <c r="J88" s="20">
        <v>35</v>
      </c>
      <c r="K88" t="s">
        <v>654</v>
      </c>
      <c r="L88" t="s">
        <v>656</v>
      </c>
      <c r="M88" t="s">
        <v>657</v>
      </c>
      <c r="N88" t="s">
        <v>658</v>
      </c>
      <c r="O88" t="s">
        <v>632</v>
      </c>
    </row>
    <row r="89" spans="1:15" x14ac:dyDescent="0.35">
      <c r="A89" s="77">
        <v>10.953424657534246</v>
      </c>
      <c r="B89" s="19">
        <v>2217</v>
      </c>
      <c r="C89" s="19" t="s">
        <v>2402</v>
      </c>
      <c r="D89" s="19" t="s">
        <v>153</v>
      </c>
      <c r="E89" s="19" t="s">
        <v>154</v>
      </c>
      <c r="F89" s="19" t="s">
        <v>2384</v>
      </c>
      <c r="G89" s="19" t="s">
        <v>1158</v>
      </c>
      <c r="H89" s="19" t="s">
        <v>1001</v>
      </c>
      <c r="I89" s="19" t="s">
        <v>1575</v>
      </c>
      <c r="J89" s="20">
        <v>36</v>
      </c>
      <c r="K89" t="s">
        <v>654</v>
      </c>
      <c r="L89" t="s">
        <v>762</v>
      </c>
      <c r="M89" t="s">
        <v>629</v>
      </c>
      <c r="N89" t="s">
        <v>646</v>
      </c>
      <c r="O89" t="s">
        <v>763</v>
      </c>
    </row>
    <row r="90" spans="1:15" x14ac:dyDescent="0.35">
      <c r="A90" s="77">
        <v>13.049315068493151</v>
      </c>
      <c r="B90" s="19">
        <v>2299</v>
      </c>
      <c r="C90" s="19" t="s">
        <v>2403</v>
      </c>
      <c r="D90" s="19" t="s">
        <v>432</v>
      </c>
      <c r="E90" s="19" t="e">
        <v>#N/A</v>
      </c>
      <c r="F90" s="19" t="s">
        <v>1037</v>
      </c>
      <c r="G90" s="19" t="s">
        <v>1008</v>
      </c>
      <c r="H90" s="19" t="s">
        <v>1001</v>
      </c>
      <c r="I90" s="19" t="s">
        <v>1575</v>
      </c>
      <c r="J90" s="20">
        <v>45</v>
      </c>
      <c r="K90" t="s">
        <v>668</v>
      </c>
      <c r="L90" t="s">
        <v>707</v>
      </c>
      <c r="M90" t="s">
        <v>629</v>
      </c>
      <c r="N90" t="s">
        <v>635</v>
      </c>
      <c r="O90" t="s">
        <v>708</v>
      </c>
    </row>
    <row r="91" spans="1:15" x14ac:dyDescent="0.35">
      <c r="A91" s="77">
        <v>13.043835616438356</v>
      </c>
      <c r="B91" s="19">
        <v>2307</v>
      </c>
      <c r="C91" s="19" t="s">
        <v>2404</v>
      </c>
      <c r="D91" s="19" t="s">
        <v>367</v>
      </c>
      <c r="E91" s="19" t="s">
        <v>368</v>
      </c>
      <c r="F91" s="19" t="s">
        <v>1604</v>
      </c>
      <c r="G91" s="19" t="s">
        <v>1084</v>
      </c>
      <c r="H91" s="19" t="s">
        <v>1001</v>
      </c>
      <c r="I91" s="19" t="s">
        <v>1575</v>
      </c>
      <c r="J91" s="20">
        <v>42</v>
      </c>
      <c r="K91" t="s">
        <v>636</v>
      </c>
      <c r="L91" t="s">
        <v>737</v>
      </c>
      <c r="M91" t="s">
        <v>657</v>
      </c>
      <c r="N91" t="s">
        <v>641</v>
      </c>
      <c r="O91" t="s">
        <v>738</v>
      </c>
    </row>
    <row r="92" spans="1:15" x14ac:dyDescent="0.35">
      <c r="A92" s="77">
        <v>12.991780821917809</v>
      </c>
      <c r="B92" s="19">
        <v>2378</v>
      </c>
      <c r="C92" s="19" t="s">
        <v>2405</v>
      </c>
      <c r="D92" s="19" t="s">
        <v>153</v>
      </c>
      <c r="E92" s="19" t="s">
        <v>154</v>
      </c>
      <c r="F92" s="19" t="s">
        <v>2384</v>
      </c>
      <c r="G92" s="19" t="s">
        <v>1598</v>
      </c>
      <c r="H92" s="19" t="s">
        <v>1001</v>
      </c>
      <c r="I92" s="19" t="s">
        <v>1575</v>
      </c>
      <c r="J92" s="20">
        <v>37</v>
      </c>
      <c r="K92" t="s">
        <v>654</v>
      </c>
      <c r="L92" t="s">
        <v>762</v>
      </c>
      <c r="M92" t="s">
        <v>629</v>
      </c>
      <c r="N92" t="s">
        <v>646</v>
      </c>
      <c r="O92" t="s">
        <v>763</v>
      </c>
    </row>
    <row r="93" spans="1:15" x14ac:dyDescent="0.35">
      <c r="A93" s="77">
        <v>12.975342465753425</v>
      </c>
      <c r="B93" s="19">
        <v>2404</v>
      </c>
      <c r="C93" s="19" t="s">
        <v>2406</v>
      </c>
      <c r="D93" s="19" t="s">
        <v>178</v>
      </c>
      <c r="E93" s="19" t="s">
        <v>179</v>
      </c>
      <c r="F93" s="19" t="s">
        <v>2407</v>
      </c>
      <c r="G93" s="19" t="s">
        <v>1084</v>
      </c>
      <c r="H93" s="19" t="s">
        <v>1001</v>
      </c>
      <c r="I93" s="19" t="s">
        <v>1599</v>
      </c>
      <c r="J93" s="20">
        <v>39</v>
      </c>
      <c r="K93" t="s">
        <v>636</v>
      </c>
      <c r="L93" t="s">
        <v>684</v>
      </c>
      <c r="M93" t="s">
        <v>623</v>
      </c>
      <c r="N93" t="s">
        <v>662</v>
      </c>
      <c r="O93" t="s">
        <v>775</v>
      </c>
    </row>
    <row r="94" spans="1:15" x14ac:dyDescent="0.35">
      <c r="A94" s="77">
        <v>12.95890410958904</v>
      </c>
      <c r="B94" s="19">
        <v>2439</v>
      </c>
      <c r="C94" s="19" t="s">
        <v>2408</v>
      </c>
      <c r="D94" s="19" t="s">
        <v>11</v>
      </c>
      <c r="E94" s="19" t="s">
        <v>11</v>
      </c>
      <c r="F94" s="19" t="s">
        <v>627</v>
      </c>
      <c r="G94" s="19" t="s">
        <v>1000</v>
      </c>
      <c r="H94" s="19" t="s">
        <v>1001</v>
      </c>
      <c r="I94" s="19" t="s">
        <v>1599</v>
      </c>
      <c r="J94" s="20">
        <v>37</v>
      </c>
      <c r="K94" t="s">
        <v>631</v>
      </c>
      <c r="L94" t="s">
        <v>628</v>
      </c>
      <c r="M94" t="s">
        <v>629</v>
      </c>
      <c r="N94" t="s">
        <v>630</v>
      </c>
      <c r="O94" t="s">
        <v>632</v>
      </c>
    </row>
    <row r="95" spans="1:15" x14ac:dyDescent="0.35">
      <c r="A95" s="77">
        <v>12.947945205479453</v>
      </c>
      <c r="B95" s="19">
        <v>2465</v>
      </c>
      <c r="C95" s="19" t="s">
        <v>2409</v>
      </c>
      <c r="D95" s="19" t="s">
        <v>311</v>
      </c>
      <c r="E95" s="19" t="s">
        <v>312</v>
      </c>
      <c r="F95" s="19" t="s">
        <v>1140</v>
      </c>
      <c r="G95" s="19" t="s">
        <v>1000</v>
      </c>
      <c r="H95" s="19" t="s">
        <v>1001</v>
      </c>
      <c r="I95" s="19" t="s">
        <v>1599</v>
      </c>
      <c r="J95" s="20">
        <v>34</v>
      </c>
      <c r="K95" t="s">
        <v>631</v>
      </c>
      <c r="L95" t="s">
        <v>628</v>
      </c>
      <c r="M95" t="s">
        <v>629</v>
      </c>
      <c r="N95" t="s">
        <v>630</v>
      </c>
      <c r="O95" t="s">
        <v>632</v>
      </c>
    </row>
    <row r="96" spans="1:15" x14ac:dyDescent="0.35">
      <c r="A96" s="77">
        <v>10.597260273972603</v>
      </c>
      <c r="B96" s="19">
        <v>2482</v>
      </c>
      <c r="C96" s="19" t="s">
        <v>2410</v>
      </c>
      <c r="D96" s="19" t="s">
        <v>178</v>
      </c>
      <c r="E96" s="19" t="s">
        <v>179</v>
      </c>
      <c r="F96" s="19" t="s">
        <v>2407</v>
      </c>
      <c r="G96" s="19" t="s">
        <v>1045</v>
      </c>
      <c r="H96" s="19" t="s">
        <v>1001</v>
      </c>
      <c r="I96" s="19" t="s">
        <v>1599</v>
      </c>
      <c r="J96" s="20">
        <v>33</v>
      </c>
      <c r="K96" t="s">
        <v>636</v>
      </c>
      <c r="L96" t="s">
        <v>684</v>
      </c>
      <c r="M96" t="s">
        <v>623</v>
      </c>
      <c r="N96" t="s">
        <v>662</v>
      </c>
      <c r="O96" t="s">
        <v>775</v>
      </c>
    </row>
    <row r="97" spans="1:15" x14ac:dyDescent="0.35">
      <c r="A97" s="77">
        <v>12.936986301369863</v>
      </c>
      <c r="B97" s="19">
        <v>2485</v>
      </c>
      <c r="C97" s="19" t="s">
        <v>2411</v>
      </c>
      <c r="D97" s="19" t="s">
        <v>178</v>
      </c>
      <c r="E97" s="19" t="s">
        <v>179</v>
      </c>
      <c r="F97" s="19" t="s">
        <v>2407</v>
      </c>
      <c r="G97" s="19" t="s">
        <v>1008</v>
      </c>
      <c r="H97" s="19" t="s">
        <v>1001</v>
      </c>
      <c r="I97" s="19" t="s">
        <v>1575</v>
      </c>
      <c r="J97" s="20">
        <v>37</v>
      </c>
      <c r="K97" t="s">
        <v>636</v>
      </c>
      <c r="L97" t="s">
        <v>684</v>
      </c>
      <c r="M97" t="s">
        <v>623</v>
      </c>
      <c r="N97" t="s">
        <v>662</v>
      </c>
      <c r="O97" t="s">
        <v>775</v>
      </c>
    </row>
    <row r="98" spans="1:15" x14ac:dyDescent="0.35">
      <c r="A98" s="77">
        <v>12.890410958904109</v>
      </c>
      <c r="B98" s="19">
        <v>2568</v>
      </c>
      <c r="C98" s="19" t="s">
        <v>2412</v>
      </c>
      <c r="D98" s="19" t="s">
        <v>32</v>
      </c>
      <c r="E98" s="19" t="s">
        <v>33</v>
      </c>
      <c r="F98" s="19" t="s">
        <v>1154</v>
      </c>
      <c r="G98" s="19" t="s">
        <v>1008</v>
      </c>
      <c r="H98" s="19" t="s">
        <v>1001</v>
      </c>
      <c r="I98" s="19" t="s">
        <v>1575</v>
      </c>
      <c r="J98" s="20">
        <v>37</v>
      </c>
      <c r="K98" t="s">
        <v>654</v>
      </c>
      <c r="L98" t="s">
        <v>622</v>
      </c>
      <c r="M98" t="s">
        <v>623</v>
      </c>
      <c r="N98" t="s">
        <v>624</v>
      </c>
      <c r="O98" t="s">
        <v>681</v>
      </c>
    </row>
    <row r="99" spans="1:15" x14ac:dyDescent="0.35">
      <c r="A99" s="77">
        <v>3.484931506849315</v>
      </c>
      <c r="B99" s="19">
        <v>2577</v>
      </c>
      <c r="C99" s="19" t="s">
        <v>2413</v>
      </c>
      <c r="D99" s="19" t="s">
        <v>167</v>
      </c>
      <c r="E99" s="19" t="s">
        <v>168</v>
      </c>
      <c r="F99" s="19" t="s">
        <v>2009</v>
      </c>
      <c r="G99" s="19" t="s">
        <v>1046</v>
      </c>
      <c r="H99" s="19" t="s">
        <v>1001</v>
      </c>
      <c r="I99" s="19" t="s">
        <v>1575</v>
      </c>
      <c r="J99" s="20">
        <v>32</v>
      </c>
      <c r="K99" t="s">
        <v>636</v>
      </c>
      <c r="L99" t="s">
        <v>640</v>
      </c>
      <c r="M99" t="s">
        <v>623</v>
      </c>
      <c r="N99" t="s">
        <v>641</v>
      </c>
      <c r="O99" t="s">
        <v>754</v>
      </c>
    </row>
    <row r="100" spans="1:15" x14ac:dyDescent="0.35">
      <c r="A100" s="77">
        <v>12.882191780821918</v>
      </c>
      <c r="B100" s="19">
        <v>2579</v>
      </c>
      <c r="C100" s="19" t="s">
        <v>2414</v>
      </c>
      <c r="D100" s="19" t="s">
        <v>111</v>
      </c>
      <c r="E100" s="19" t="s">
        <v>112</v>
      </c>
      <c r="F100" s="19" t="s">
        <v>1083</v>
      </c>
      <c r="G100" s="19" t="s">
        <v>1034</v>
      </c>
      <c r="H100" s="19" t="s">
        <v>1001</v>
      </c>
      <c r="I100" s="19" t="s">
        <v>1575</v>
      </c>
      <c r="J100" s="20">
        <v>37</v>
      </c>
      <c r="K100" t="s">
        <v>654</v>
      </c>
      <c r="L100" t="s">
        <v>651</v>
      </c>
      <c r="M100" t="s">
        <v>629</v>
      </c>
      <c r="N100" t="s">
        <v>630</v>
      </c>
      <c r="O100" t="s">
        <v>652</v>
      </c>
    </row>
    <row r="101" spans="1:15" x14ac:dyDescent="0.35">
      <c r="A101" s="77">
        <v>12.841095890410958</v>
      </c>
      <c r="B101" s="19">
        <v>2669</v>
      </c>
      <c r="C101" s="19" t="s">
        <v>2415</v>
      </c>
      <c r="D101" s="19" t="s">
        <v>111</v>
      </c>
      <c r="E101" s="19" t="s">
        <v>112</v>
      </c>
      <c r="F101" s="19" t="s">
        <v>1083</v>
      </c>
      <c r="G101" s="19" t="s">
        <v>1057</v>
      </c>
      <c r="H101" s="19" t="s">
        <v>1001</v>
      </c>
      <c r="I101" s="19" t="s">
        <v>1575</v>
      </c>
      <c r="J101" s="20">
        <v>34</v>
      </c>
      <c r="K101" t="s">
        <v>654</v>
      </c>
      <c r="L101" t="s">
        <v>651</v>
      </c>
      <c r="M101" t="s">
        <v>629</v>
      </c>
      <c r="N101" t="s">
        <v>630</v>
      </c>
      <c r="O101" t="s">
        <v>652</v>
      </c>
    </row>
    <row r="102" spans="1:15" x14ac:dyDescent="0.35">
      <c r="A102" s="77">
        <v>12.794520547945206</v>
      </c>
      <c r="B102" s="19">
        <v>2771</v>
      </c>
      <c r="C102" s="19" t="s">
        <v>2416</v>
      </c>
      <c r="D102" s="19" t="s">
        <v>143</v>
      </c>
      <c r="E102" s="19" t="s">
        <v>144</v>
      </c>
      <c r="F102" s="19" t="s">
        <v>2391</v>
      </c>
      <c r="G102" s="19" t="s">
        <v>1034</v>
      </c>
      <c r="H102" s="19" t="s">
        <v>1001</v>
      </c>
      <c r="I102" s="19" t="s">
        <v>1599</v>
      </c>
      <c r="J102" s="20">
        <v>37</v>
      </c>
      <c r="K102" t="s">
        <v>654</v>
      </c>
      <c r="L102" t="s">
        <v>640</v>
      </c>
      <c r="M102" t="s">
        <v>623</v>
      </c>
      <c r="N102" t="s">
        <v>641</v>
      </c>
      <c r="O102" t="s">
        <v>754</v>
      </c>
    </row>
    <row r="103" spans="1:15" x14ac:dyDescent="0.35">
      <c r="A103" s="77">
        <v>12.723287671232876</v>
      </c>
      <c r="B103" s="19">
        <v>2974</v>
      </c>
      <c r="C103" s="19" t="s">
        <v>2417</v>
      </c>
      <c r="D103" s="19" t="s">
        <v>178</v>
      </c>
      <c r="E103" s="19" t="s">
        <v>179</v>
      </c>
      <c r="F103" s="19" t="s">
        <v>2407</v>
      </c>
      <c r="G103" s="19" t="s">
        <v>1000</v>
      </c>
      <c r="H103" s="19" t="s">
        <v>1001</v>
      </c>
      <c r="I103" s="19" t="s">
        <v>1575</v>
      </c>
      <c r="J103" s="20">
        <v>50</v>
      </c>
      <c r="K103" t="s">
        <v>636</v>
      </c>
      <c r="L103" t="s">
        <v>684</v>
      </c>
      <c r="M103" t="s">
        <v>623</v>
      </c>
      <c r="N103" t="s">
        <v>662</v>
      </c>
      <c r="O103" t="s">
        <v>775</v>
      </c>
    </row>
    <row r="104" spans="1:15" x14ac:dyDescent="0.35">
      <c r="A104" s="77">
        <v>12.72054794520548</v>
      </c>
      <c r="B104" s="19">
        <v>2995</v>
      </c>
      <c r="C104" s="19" t="s">
        <v>2418</v>
      </c>
      <c r="D104" s="19" t="s">
        <v>169</v>
      </c>
      <c r="E104" s="19" t="s">
        <v>170</v>
      </c>
      <c r="F104" s="19" t="s">
        <v>1274</v>
      </c>
      <c r="G104" s="19" t="s">
        <v>1045</v>
      </c>
      <c r="H104" s="19" t="s">
        <v>1001</v>
      </c>
      <c r="I104" s="19" t="s">
        <v>1599</v>
      </c>
      <c r="J104" s="20">
        <v>37</v>
      </c>
      <c r="K104" t="s">
        <v>631</v>
      </c>
      <c r="L104" t="s">
        <v>670</v>
      </c>
      <c r="M104" t="s">
        <v>657</v>
      </c>
      <c r="N104" t="s">
        <v>641</v>
      </c>
      <c r="O104" t="s">
        <v>772</v>
      </c>
    </row>
    <row r="105" spans="1:15" x14ac:dyDescent="0.35">
      <c r="A105" s="77">
        <v>12.717808219178082</v>
      </c>
      <c r="B105" s="19">
        <v>3001</v>
      </c>
      <c r="C105" s="19" t="s">
        <v>2419</v>
      </c>
      <c r="D105" s="19" t="s">
        <v>78</v>
      </c>
      <c r="E105" s="19" t="s">
        <v>79</v>
      </c>
      <c r="F105" s="19" t="s">
        <v>1107</v>
      </c>
      <c r="G105" s="19" t="s">
        <v>1084</v>
      </c>
      <c r="H105" s="19" t="s">
        <v>1001</v>
      </c>
      <c r="I105" s="19" t="s">
        <v>1575</v>
      </c>
      <c r="J105" s="20">
        <v>34</v>
      </c>
      <c r="K105" t="s">
        <v>654</v>
      </c>
      <c r="L105" t="s">
        <v>661</v>
      </c>
      <c r="M105" t="s">
        <v>657</v>
      </c>
      <c r="N105" t="s">
        <v>658</v>
      </c>
      <c r="O105" t="s">
        <v>632</v>
      </c>
    </row>
    <row r="106" spans="1:15" x14ac:dyDescent="0.35">
      <c r="A106" s="77">
        <v>12.687671232876712</v>
      </c>
      <c r="B106" s="19">
        <v>3104</v>
      </c>
      <c r="C106" s="19" t="s">
        <v>2420</v>
      </c>
      <c r="D106" s="19" t="s">
        <v>195</v>
      </c>
      <c r="E106" s="19" t="s">
        <v>196</v>
      </c>
      <c r="F106" s="19" t="s">
        <v>908</v>
      </c>
      <c r="G106" s="19" t="s">
        <v>1046</v>
      </c>
      <c r="H106" s="19" t="s">
        <v>1001</v>
      </c>
      <c r="I106" s="19" t="s">
        <v>1599</v>
      </c>
      <c r="J106" s="20">
        <v>44</v>
      </c>
      <c r="K106" t="s">
        <v>636</v>
      </c>
      <c r="L106" t="s">
        <v>670</v>
      </c>
      <c r="M106" t="s">
        <v>657</v>
      </c>
      <c r="N106" t="s">
        <v>641</v>
      </c>
      <c r="O106" t="s">
        <v>676</v>
      </c>
    </row>
    <row r="107" spans="1:15" x14ac:dyDescent="0.35">
      <c r="A107" s="77">
        <v>12.687671232876712</v>
      </c>
      <c r="B107" s="19">
        <v>3105</v>
      </c>
      <c r="C107" s="19" t="s">
        <v>2421</v>
      </c>
      <c r="D107" s="19" t="s">
        <v>193</v>
      </c>
      <c r="E107" s="19" t="s">
        <v>194</v>
      </c>
      <c r="F107" s="19" t="s">
        <v>2422</v>
      </c>
      <c r="G107" s="19" t="s">
        <v>1000</v>
      </c>
      <c r="H107" s="19" t="s">
        <v>1001</v>
      </c>
      <c r="I107" s="19" t="s">
        <v>1599</v>
      </c>
      <c r="J107" s="20">
        <v>38</v>
      </c>
      <c r="K107" t="s">
        <v>654</v>
      </c>
      <c r="L107" t="s">
        <v>670</v>
      </c>
      <c r="M107" t="s">
        <v>657</v>
      </c>
      <c r="N107" t="s">
        <v>641</v>
      </c>
      <c r="O107" t="s">
        <v>676</v>
      </c>
    </row>
    <row r="108" spans="1:15" x14ac:dyDescent="0.35">
      <c r="A108" s="77">
        <v>7.8767123287671232</v>
      </c>
      <c r="B108" s="19">
        <v>3155</v>
      </c>
      <c r="C108" s="19" t="s">
        <v>2423</v>
      </c>
      <c r="D108" s="19" t="s">
        <v>318</v>
      </c>
      <c r="E108" s="19" t="s">
        <v>319</v>
      </c>
      <c r="F108" s="19" t="s">
        <v>1266</v>
      </c>
      <c r="G108" s="19" t="s">
        <v>1000</v>
      </c>
      <c r="H108" s="19" t="s">
        <v>1001</v>
      </c>
      <c r="I108" s="19" t="s">
        <v>1599</v>
      </c>
      <c r="J108" s="20">
        <v>37</v>
      </c>
      <c r="K108" t="s">
        <v>625</v>
      </c>
      <c r="L108" t="s">
        <v>678</v>
      </c>
      <c r="M108" t="s">
        <v>623</v>
      </c>
      <c r="N108" t="s">
        <v>624</v>
      </c>
      <c r="O108" t="s">
        <v>679</v>
      </c>
    </row>
    <row r="109" spans="1:15" x14ac:dyDescent="0.35">
      <c r="A109" s="77">
        <v>12.671232876712329</v>
      </c>
      <c r="B109" s="19">
        <v>3196</v>
      </c>
      <c r="C109" s="19" t="s">
        <v>2424</v>
      </c>
      <c r="D109" s="19" t="s">
        <v>91</v>
      </c>
      <c r="E109" s="19" t="s">
        <v>92</v>
      </c>
      <c r="F109" s="19" t="s">
        <v>1113</v>
      </c>
      <c r="G109" s="19" t="s">
        <v>1158</v>
      </c>
      <c r="H109" s="19" t="s">
        <v>1001</v>
      </c>
      <c r="I109" s="19" t="s">
        <v>1575</v>
      </c>
      <c r="J109" s="20">
        <v>45</v>
      </c>
      <c r="K109" t="s">
        <v>636</v>
      </c>
      <c r="L109" t="s">
        <v>634</v>
      </c>
      <c r="M109" t="s">
        <v>629</v>
      </c>
      <c r="N109" t="s">
        <v>630</v>
      </c>
      <c r="O109" t="s">
        <v>734</v>
      </c>
    </row>
    <row r="110" spans="1:15" x14ac:dyDescent="0.35">
      <c r="A110" s="77">
        <v>12.668493150684931</v>
      </c>
      <c r="B110" s="19">
        <v>3215</v>
      </c>
      <c r="C110" s="19" t="s">
        <v>2425</v>
      </c>
      <c r="D110" s="19" t="s">
        <v>300</v>
      </c>
      <c r="E110" s="19" t="s">
        <v>301</v>
      </c>
      <c r="F110" s="19" t="s">
        <v>1719</v>
      </c>
      <c r="G110" s="19" t="s">
        <v>1046</v>
      </c>
      <c r="H110" s="19" t="s">
        <v>1001</v>
      </c>
      <c r="I110" s="19" t="s">
        <v>1575</v>
      </c>
      <c r="J110" s="20">
        <v>31</v>
      </c>
      <c r="K110" t="s">
        <v>668</v>
      </c>
      <c r="L110" t="s">
        <v>737</v>
      </c>
      <c r="M110" t="s">
        <v>657</v>
      </c>
      <c r="N110" t="s">
        <v>641</v>
      </c>
      <c r="O110" t="s">
        <v>738</v>
      </c>
    </row>
    <row r="111" spans="1:15" x14ac:dyDescent="0.35">
      <c r="A111" s="77">
        <v>0.23835616438356164</v>
      </c>
      <c r="B111" s="19">
        <v>3246</v>
      </c>
      <c r="C111" s="19" t="s">
        <v>2426</v>
      </c>
      <c r="D111" s="19" t="s">
        <v>349</v>
      </c>
      <c r="E111" s="19" t="s">
        <v>350</v>
      </c>
      <c r="F111" s="19" t="s">
        <v>912</v>
      </c>
      <c r="G111" s="19" t="s">
        <v>1084</v>
      </c>
      <c r="H111" s="19" t="s">
        <v>1020</v>
      </c>
      <c r="I111" s="19" t="s">
        <v>1599</v>
      </c>
      <c r="J111" s="20">
        <v>43</v>
      </c>
      <c r="K111" t="s">
        <v>625</v>
      </c>
      <c r="L111" t="s">
        <v>648</v>
      </c>
      <c r="M111" t="s">
        <v>623</v>
      </c>
      <c r="N111" t="s">
        <v>624</v>
      </c>
      <c r="O111" t="s">
        <v>649</v>
      </c>
    </row>
    <row r="112" spans="1:15" x14ac:dyDescent="0.35">
      <c r="A112" s="77">
        <v>1.3095890410958904</v>
      </c>
      <c r="B112" s="19">
        <v>3308</v>
      </c>
      <c r="C112" s="19" t="s">
        <v>2427</v>
      </c>
      <c r="D112" s="19" t="s">
        <v>11</v>
      </c>
      <c r="E112" s="19" t="s">
        <v>11</v>
      </c>
      <c r="F112" s="19" t="s">
        <v>627</v>
      </c>
      <c r="G112" s="19" t="s">
        <v>1046</v>
      </c>
      <c r="H112" s="19" t="s">
        <v>1020</v>
      </c>
      <c r="I112" s="19" t="s">
        <v>1575</v>
      </c>
      <c r="J112" s="20">
        <v>32</v>
      </c>
      <c r="K112" t="s">
        <v>631</v>
      </c>
      <c r="L112" t="s">
        <v>628</v>
      </c>
      <c r="M112" t="s">
        <v>629</v>
      </c>
      <c r="N112" t="s">
        <v>630</v>
      </c>
      <c r="O112" t="s">
        <v>632</v>
      </c>
    </row>
    <row r="113" spans="1:15" x14ac:dyDescent="0.35">
      <c r="A113" s="77">
        <v>7.4109589041095889</v>
      </c>
      <c r="B113" s="19">
        <v>3324</v>
      </c>
      <c r="C113" s="19" t="s">
        <v>2428</v>
      </c>
      <c r="D113" s="19" t="s">
        <v>311</v>
      </c>
      <c r="E113" s="19" t="s">
        <v>312</v>
      </c>
      <c r="F113" s="19" t="s">
        <v>1140</v>
      </c>
      <c r="G113" s="19" t="s">
        <v>1046</v>
      </c>
      <c r="H113" s="19" t="s">
        <v>1001</v>
      </c>
      <c r="I113" s="19" t="s">
        <v>1575</v>
      </c>
      <c r="J113" s="20">
        <v>33</v>
      </c>
      <c r="K113" t="s">
        <v>631</v>
      </c>
      <c r="L113" t="s">
        <v>628</v>
      </c>
      <c r="M113" t="s">
        <v>629</v>
      </c>
      <c r="N113" t="s">
        <v>630</v>
      </c>
      <c r="O113" t="s">
        <v>632</v>
      </c>
    </row>
    <row r="114" spans="1:15" x14ac:dyDescent="0.35">
      <c r="A114" s="77">
        <v>12.553424657534247</v>
      </c>
      <c r="B114" s="19">
        <v>3617</v>
      </c>
      <c r="C114" s="19" t="s">
        <v>2429</v>
      </c>
      <c r="D114" s="19" t="s">
        <v>37</v>
      </c>
      <c r="E114" s="19" t="s">
        <v>37</v>
      </c>
      <c r="F114" s="19" t="s">
        <v>1480</v>
      </c>
      <c r="G114" s="19" t="s">
        <v>1000</v>
      </c>
      <c r="H114" s="19" t="s">
        <v>1001</v>
      </c>
      <c r="I114" s="19" t="s">
        <v>1575</v>
      </c>
      <c r="J114" s="20">
        <v>41</v>
      </c>
      <c r="K114" t="s">
        <v>654</v>
      </c>
      <c r="L114" t="s">
        <v>648</v>
      </c>
      <c r="M114" t="s">
        <v>623</v>
      </c>
      <c r="N114" t="s">
        <v>624</v>
      </c>
      <c r="O114" t="s">
        <v>649</v>
      </c>
    </row>
    <row r="115" spans="1:15" x14ac:dyDescent="0.35">
      <c r="A115" s="77">
        <v>12.536986301369863</v>
      </c>
      <c r="B115" s="19">
        <v>3671</v>
      </c>
      <c r="C115" s="19" t="s">
        <v>2430</v>
      </c>
      <c r="D115" s="19" t="s">
        <v>36</v>
      </c>
      <c r="E115" s="19" t="s">
        <v>36</v>
      </c>
      <c r="F115" s="19" t="s">
        <v>1403</v>
      </c>
      <c r="G115" s="19" t="s">
        <v>1046</v>
      </c>
      <c r="H115" s="19" t="s">
        <v>1001</v>
      </c>
      <c r="I115" s="19" t="s">
        <v>1575</v>
      </c>
      <c r="J115" s="20">
        <v>31</v>
      </c>
      <c r="K115" t="s">
        <v>668</v>
      </c>
      <c r="L115" t="s">
        <v>691</v>
      </c>
      <c r="M115" t="s">
        <v>657</v>
      </c>
      <c r="N115" t="s">
        <v>658</v>
      </c>
      <c r="O115" t="s">
        <v>632</v>
      </c>
    </row>
    <row r="116" spans="1:15" x14ac:dyDescent="0.35">
      <c r="A116" s="77">
        <v>12.536986301369863</v>
      </c>
      <c r="B116" s="19">
        <v>3672</v>
      </c>
      <c r="C116" s="19" t="s">
        <v>2431</v>
      </c>
      <c r="D116" s="19" t="s">
        <v>36</v>
      </c>
      <c r="E116" s="19" t="s">
        <v>36</v>
      </c>
      <c r="F116" s="19" t="s">
        <v>1403</v>
      </c>
      <c r="G116" s="19" t="s">
        <v>1057</v>
      </c>
      <c r="H116" s="19" t="s">
        <v>1001</v>
      </c>
      <c r="I116" s="19" t="s">
        <v>1575</v>
      </c>
      <c r="J116" s="20">
        <v>36</v>
      </c>
      <c r="K116" t="s">
        <v>668</v>
      </c>
      <c r="L116" t="s">
        <v>691</v>
      </c>
      <c r="M116" t="s">
        <v>657</v>
      </c>
      <c r="N116" t="s">
        <v>658</v>
      </c>
      <c r="O116" t="s">
        <v>632</v>
      </c>
    </row>
    <row r="117" spans="1:15" x14ac:dyDescent="0.35">
      <c r="A117" s="77">
        <v>12.536986301369863</v>
      </c>
      <c r="B117" s="19">
        <v>3677</v>
      </c>
      <c r="C117" s="19" t="s">
        <v>2432</v>
      </c>
      <c r="D117" s="19" t="s">
        <v>137</v>
      </c>
      <c r="E117" s="19" t="s">
        <v>138</v>
      </c>
      <c r="F117" s="19" t="s">
        <v>1115</v>
      </c>
      <c r="G117" s="19" t="s">
        <v>1034</v>
      </c>
      <c r="H117" s="19" t="s">
        <v>1001</v>
      </c>
      <c r="I117" s="19" t="s">
        <v>1575</v>
      </c>
      <c r="J117" s="20">
        <v>38</v>
      </c>
      <c r="K117" t="s">
        <v>636</v>
      </c>
      <c r="L117" t="s">
        <v>684</v>
      </c>
      <c r="M117" t="s">
        <v>623</v>
      </c>
      <c r="N117" t="s">
        <v>662</v>
      </c>
      <c r="O117" t="s">
        <v>685</v>
      </c>
    </row>
    <row r="118" spans="1:15" x14ac:dyDescent="0.35">
      <c r="A118" s="77">
        <v>12.536986301369863</v>
      </c>
      <c r="B118" s="19">
        <v>3686</v>
      </c>
      <c r="C118" s="19" t="s">
        <v>2433</v>
      </c>
      <c r="D118" s="19" t="s">
        <v>178</v>
      </c>
      <c r="E118" s="19" t="s">
        <v>179</v>
      </c>
      <c r="F118" s="19" t="s">
        <v>2407</v>
      </c>
      <c r="G118" s="19" t="s">
        <v>1008</v>
      </c>
      <c r="H118" s="19" t="s">
        <v>1001</v>
      </c>
      <c r="I118" s="19" t="s">
        <v>1599</v>
      </c>
      <c r="J118" s="20">
        <v>39</v>
      </c>
      <c r="K118" t="s">
        <v>636</v>
      </c>
      <c r="L118" t="s">
        <v>684</v>
      </c>
      <c r="M118" t="s">
        <v>623</v>
      </c>
      <c r="N118" t="s">
        <v>662</v>
      </c>
      <c r="O118" t="s">
        <v>775</v>
      </c>
    </row>
    <row r="119" spans="1:15" x14ac:dyDescent="0.35">
      <c r="A119" s="77">
        <v>1.8164383561643835</v>
      </c>
      <c r="B119" s="19">
        <v>3706</v>
      </c>
      <c r="C119" s="19" t="s">
        <v>2434</v>
      </c>
      <c r="D119" s="19" t="s">
        <v>16</v>
      </c>
      <c r="E119" s="19" t="s">
        <v>16</v>
      </c>
      <c r="F119" s="19" t="s">
        <v>1211</v>
      </c>
      <c r="G119" s="19" t="s">
        <v>1000</v>
      </c>
      <c r="H119" s="19" t="s">
        <v>1001</v>
      </c>
      <c r="I119" s="19" t="s">
        <v>1599</v>
      </c>
      <c r="J119" s="20">
        <v>36</v>
      </c>
      <c r="K119" t="s">
        <v>631</v>
      </c>
      <c r="L119" t="s">
        <v>645</v>
      </c>
      <c r="M119" t="s">
        <v>629</v>
      </c>
      <c r="N119" t="s">
        <v>646</v>
      </c>
      <c r="O119" t="s">
        <v>632</v>
      </c>
    </row>
    <row r="120" spans="1:15" x14ac:dyDescent="0.35">
      <c r="A120" s="77">
        <v>12.471232876712328</v>
      </c>
      <c r="B120" s="19">
        <v>3975</v>
      </c>
      <c r="C120" s="19" t="s">
        <v>2435</v>
      </c>
      <c r="D120" s="19" t="s">
        <v>118</v>
      </c>
      <c r="E120" s="19" t="s">
        <v>119</v>
      </c>
      <c r="F120" s="19" t="s">
        <v>1360</v>
      </c>
      <c r="G120" s="19" t="s">
        <v>1000</v>
      </c>
      <c r="H120" s="19" t="s">
        <v>1001</v>
      </c>
      <c r="I120" s="19" t="s">
        <v>1599</v>
      </c>
      <c r="J120" s="20">
        <v>43</v>
      </c>
      <c r="K120" t="s">
        <v>625</v>
      </c>
      <c r="L120" t="s">
        <v>656</v>
      </c>
      <c r="M120" t="s">
        <v>657</v>
      </c>
      <c r="N120" t="s">
        <v>658</v>
      </c>
      <c r="O120" t="s">
        <v>632</v>
      </c>
    </row>
    <row r="121" spans="1:15" x14ac:dyDescent="0.35">
      <c r="A121" s="77">
        <v>1.736986301369863</v>
      </c>
      <c r="B121" s="19">
        <v>4139</v>
      </c>
      <c r="C121" s="19" t="s">
        <v>2436</v>
      </c>
      <c r="D121" s="19" t="s">
        <v>387</v>
      </c>
      <c r="E121" s="19" t="s">
        <v>388</v>
      </c>
      <c r="F121" s="19" t="s">
        <v>1142</v>
      </c>
      <c r="G121" s="19" t="s">
        <v>1057</v>
      </c>
      <c r="H121" s="19" t="s">
        <v>1001</v>
      </c>
      <c r="I121" s="19" t="s">
        <v>1575</v>
      </c>
      <c r="J121" s="20">
        <v>40</v>
      </c>
      <c r="K121" t="s">
        <v>642</v>
      </c>
      <c r="L121" t="s">
        <v>634</v>
      </c>
      <c r="M121" t="s">
        <v>629</v>
      </c>
      <c r="N121" t="s">
        <v>630</v>
      </c>
      <c r="O121" t="s">
        <v>734</v>
      </c>
    </row>
    <row r="122" spans="1:15" x14ac:dyDescent="0.35">
      <c r="A122" s="77">
        <v>12.43013698630137</v>
      </c>
      <c r="B122" s="19">
        <v>4155</v>
      </c>
      <c r="C122" s="19" t="s">
        <v>2437</v>
      </c>
      <c r="D122" s="19" t="s">
        <v>151</v>
      </c>
      <c r="E122" s="19" t="s">
        <v>152</v>
      </c>
      <c r="F122" s="19" t="s">
        <v>1557</v>
      </c>
      <c r="G122" s="19" t="s">
        <v>1000</v>
      </c>
      <c r="H122" s="19" t="s">
        <v>1001</v>
      </c>
      <c r="I122" s="19" t="s">
        <v>1599</v>
      </c>
      <c r="J122" s="20">
        <v>34</v>
      </c>
      <c r="K122" t="s">
        <v>654</v>
      </c>
      <c r="L122" t="s">
        <v>691</v>
      </c>
      <c r="M122" t="s">
        <v>657</v>
      </c>
      <c r="N122" t="s">
        <v>658</v>
      </c>
      <c r="O122" t="s">
        <v>632</v>
      </c>
    </row>
    <row r="123" spans="1:15" x14ac:dyDescent="0.35">
      <c r="A123" s="77">
        <v>0.56986301369863013</v>
      </c>
      <c r="B123" s="19">
        <v>4285</v>
      </c>
      <c r="C123" s="19" t="s">
        <v>2438</v>
      </c>
      <c r="D123" s="19" t="s">
        <v>600</v>
      </c>
      <c r="E123" s="19" t="e">
        <v>#N/A</v>
      </c>
      <c r="F123" s="19" t="s">
        <v>1201</v>
      </c>
      <c r="G123" s="19" t="s">
        <v>1084</v>
      </c>
      <c r="H123" s="19" t="s">
        <v>1001</v>
      </c>
      <c r="I123" s="19" t="s">
        <v>1575</v>
      </c>
      <c r="J123" s="20">
        <v>36</v>
      </c>
      <c r="K123" t="s">
        <v>668</v>
      </c>
      <c r="L123" t="s">
        <v>622</v>
      </c>
      <c r="M123" t="s">
        <v>623</v>
      </c>
      <c r="N123" t="s">
        <v>624</v>
      </c>
      <c r="O123" t="s">
        <v>649</v>
      </c>
    </row>
    <row r="124" spans="1:15" x14ac:dyDescent="0.35">
      <c r="A124" s="77">
        <v>7.9232876712328766</v>
      </c>
      <c r="B124" s="19">
        <v>4354</v>
      </c>
      <c r="C124" s="19" t="s">
        <v>2439</v>
      </c>
      <c r="D124" s="19" t="s">
        <v>115</v>
      </c>
      <c r="E124" s="19" t="s">
        <v>116</v>
      </c>
      <c r="F124" s="19" t="s">
        <v>1383</v>
      </c>
      <c r="G124" s="19" t="s">
        <v>1046</v>
      </c>
      <c r="H124" s="19" t="s">
        <v>1001</v>
      </c>
      <c r="I124" s="19" t="s">
        <v>1575</v>
      </c>
      <c r="J124" s="20">
        <v>42</v>
      </c>
      <c r="K124" t="s">
        <v>631</v>
      </c>
      <c r="L124" t="s">
        <v>670</v>
      </c>
      <c r="M124" t="s">
        <v>657</v>
      </c>
      <c r="N124" t="s">
        <v>641</v>
      </c>
      <c r="O124" t="s">
        <v>671</v>
      </c>
    </row>
    <row r="125" spans="1:15" x14ac:dyDescent="0.35">
      <c r="A125" s="77">
        <v>12.323287671232876</v>
      </c>
      <c r="B125" s="19">
        <v>4499</v>
      </c>
      <c r="C125" s="19" t="s">
        <v>2440</v>
      </c>
      <c r="D125" s="19" t="s">
        <v>411</v>
      </c>
      <c r="E125" s="19" t="s">
        <v>412</v>
      </c>
      <c r="F125" s="19" t="s">
        <v>1225</v>
      </c>
      <c r="G125" s="19" t="s">
        <v>1046</v>
      </c>
      <c r="H125" s="19" t="s">
        <v>1001</v>
      </c>
      <c r="I125" s="19" t="s">
        <v>1575</v>
      </c>
      <c r="J125" s="20">
        <v>39</v>
      </c>
      <c r="K125" t="s">
        <v>636</v>
      </c>
      <c r="L125" t="s">
        <v>691</v>
      </c>
      <c r="M125" t="s">
        <v>657</v>
      </c>
      <c r="N125" t="s">
        <v>658</v>
      </c>
      <c r="O125" t="s">
        <v>632</v>
      </c>
    </row>
    <row r="126" spans="1:15" x14ac:dyDescent="0.35">
      <c r="A126" s="77">
        <v>7.3506849315068497</v>
      </c>
      <c r="B126" s="19">
        <v>4518</v>
      </c>
      <c r="C126" s="19" t="s">
        <v>2441</v>
      </c>
      <c r="D126" s="19" t="s">
        <v>295</v>
      </c>
      <c r="E126" s="19" t="s">
        <v>296</v>
      </c>
      <c r="F126" s="19" t="s">
        <v>1095</v>
      </c>
      <c r="G126" s="19" t="s">
        <v>1000</v>
      </c>
      <c r="H126" s="19" t="s">
        <v>1001</v>
      </c>
      <c r="I126" s="19" t="s">
        <v>1599</v>
      </c>
      <c r="J126" s="20">
        <v>33</v>
      </c>
      <c r="K126" t="s">
        <v>654</v>
      </c>
      <c r="L126" t="s">
        <v>651</v>
      </c>
      <c r="M126" t="s">
        <v>629</v>
      </c>
      <c r="N126" t="s">
        <v>630</v>
      </c>
      <c r="O126" t="s">
        <v>705</v>
      </c>
    </row>
    <row r="127" spans="1:15" x14ac:dyDescent="0.35">
      <c r="A127" s="77">
        <v>3.0136986301369864</v>
      </c>
      <c r="B127" s="19">
        <v>4522</v>
      </c>
      <c r="C127" s="19" t="s">
        <v>2442</v>
      </c>
      <c r="D127" s="19" t="s">
        <v>78</v>
      </c>
      <c r="E127" s="19" t="s">
        <v>79</v>
      </c>
      <c r="F127" s="19" t="s">
        <v>1107</v>
      </c>
      <c r="G127" s="19" t="s">
        <v>1000</v>
      </c>
      <c r="H127" s="19" t="s">
        <v>1001</v>
      </c>
      <c r="I127" s="19" t="s">
        <v>1575</v>
      </c>
      <c r="J127" s="20">
        <v>34</v>
      </c>
      <c r="K127" t="s">
        <v>654</v>
      </c>
      <c r="L127" t="s">
        <v>661</v>
      </c>
      <c r="M127" t="s">
        <v>657</v>
      </c>
      <c r="N127" t="s">
        <v>658</v>
      </c>
      <c r="O127" t="s">
        <v>632</v>
      </c>
    </row>
    <row r="128" spans="1:15" x14ac:dyDescent="0.35">
      <c r="A128" s="77">
        <v>12.315068493150685</v>
      </c>
      <c r="B128" s="19">
        <v>4538</v>
      </c>
      <c r="C128" s="19" t="s">
        <v>2443</v>
      </c>
      <c r="D128" s="19" t="s">
        <v>68</v>
      </c>
      <c r="E128" s="19" t="s">
        <v>69</v>
      </c>
      <c r="F128" s="19" t="s">
        <v>1078</v>
      </c>
      <c r="G128" s="19" t="s">
        <v>1000</v>
      </c>
      <c r="H128" s="19" t="s">
        <v>1001</v>
      </c>
      <c r="I128" s="19" t="s">
        <v>1599</v>
      </c>
      <c r="J128" s="20">
        <v>40</v>
      </c>
      <c r="K128" t="s">
        <v>636</v>
      </c>
      <c r="L128" t="s">
        <v>670</v>
      </c>
      <c r="M128" t="s">
        <v>657</v>
      </c>
      <c r="N128" t="s">
        <v>641</v>
      </c>
      <c r="O128" t="s">
        <v>671</v>
      </c>
    </row>
    <row r="129" spans="1:15" x14ac:dyDescent="0.35">
      <c r="A129" s="77">
        <v>8.8849315068493144</v>
      </c>
      <c r="B129" s="19">
        <v>4549</v>
      </c>
      <c r="C129" s="19" t="s">
        <v>2444</v>
      </c>
      <c r="D129" s="19" t="s">
        <v>169</v>
      </c>
      <c r="E129" s="19" t="s">
        <v>170</v>
      </c>
      <c r="F129" s="19" t="s">
        <v>1274</v>
      </c>
      <c r="G129" s="19" t="s">
        <v>1028</v>
      </c>
      <c r="H129" s="19" t="s">
        <v>1020</v>
      </c>
      <c r="I129" s="19" t="s">
        <v>1575</v>
      </c>
      <c r="J129" s="20">
        <v>36</v>
      </c>
      <c r="K129" t="s">
        <v>631</v>
      </c>
      <c r="L129" t="s">
        <v>670</v>
      </c>
      <c r="M129" t="s">
        <v>657</v>
      </c>
      <c r="N129" t="s">
        <v>641</v>
      </c>
      <c r="O129" t="s">
        <v>772</v>
      </c>
    </row>
    <row r="130" spans="1:15" x14ac:dyDescent="0.35">
      <c r="A130" s="77">
        <v>4.493150684931507</v>
      </c>
      <c r="B130" s="19">
        <v>4652</v>
      </c>
      <c r="C130" s="19" t="s">
        <v>2445</v>
      </c>
      <c r="D130" s="19" t="s">
        <v>420</v>
      </c>
      <c r="E130" s="19" t="s">
        <v>420</v>
      </c>
      <c r="F130" s="19" t="s">
        <v>686</v>
      </c>
      <c r="G130" s="19" t="s">
        <v>1034</v>
      </c>
      <c r="H130" s="19" t="s">
        <v>1001</v>
      </c>
      <c r="I130" s="19" t="s">
        <v>1575</v>
      </c>
      <c r="J130" s="20">
        <v>45</v>
      </c>
      <c r="K130" t="s">
        <v>631</v>
      </c>
      <c r="L130" t="s">
        <v>634</v>
      </c>
      <c r="M130" t="s">
        <v>629</v>
      </c>
      <c r="N130" t="s">
        <v>635</v>
      </c>
      <c r="O130" t="s">
        <v>637</v>
      </c>
    </row>
    <row r="131" spans="1:15" x14ac:dyDescent="0.35">
      <c r="A131" s="77">
        <v>12.276712328767124</v>
      </c>
      <c r="B131" s="19">
        <v>4702</v>
      </c>
      <c r="C131" s="19" t="s">
        <v>2446</v>
      </c>
      <c r="D131" s="19" t="s">
        <v>206</v>
      </c>
      <c r="E131" s="19" t="s">
        <v>207</v>
      </c>
      <c r="F131" s="19" t="s">
        <v>2447</v>
      </c>
      <c r="G131" s="19" t="s">
        <v>1046</v>
      </c>
      <c r="H131" s="19" t="s">
        <v>1001</v>
      </c>
      <c r="I131" s="19" t="s">
        <v>1575</v>
      </c>
      <c r="J131" s="20">
        <v>39</v>
      </c>
      <c r="K131" t="s">
        <v>668</v>
      </c>
      <c r="L131" t="s">
        <v>666</v>
      </c>
      <c r="M131" t="s">
        <v>629</v>
      </c>
      <c r="N131" t="s">
        <v>630</v>
      </c>
      <c r="O131" t="s">
        <v>652</v>
      </c>
    </row>
    <row r="132" spans="1:15" x14ac:dyDescent="0.35">
      <c r="A132" s="77">
        <v>12.265753424657534</v>
      </c>
      <c r="B132" s="19">
        <v>4717</v>
      </c>
      <c r="C132" s="19" t="s">
        <v>2448</v>
      </c>
      <c r="D132" s="19" t="s">
        <v>178</v>
      </c>
      <c r="E132" s="19" t="s">
        <v>179</v>
      </c>
      <c r="F132" s="19" t="s">
        <v>2407</v>
      </c>
      <c r="G132" s="19" t="s">
        <v>1034</v>
      </c>
      <c r="H132" s="19" t="s">
        <v>1001</v>
      </c>
      <c r="I132" s="19" t="s">
        <v>1599</v>
      </c>
      <c r="J132" s="20">
        <v>35</v>
      </c>
      <c r="K132" t="s">
        <v>636</v>
      </c>
      <c r="L132" t="s">
        <v>684</v>
      </c>
      <c r="M132" t="s">
        <v>623</v>
      </c>
      <c r="N132" t="s">
        <v>662</v>
      </c>
      <c r="O132" t="s">
        <v>775</v>
      </c>
    </row>
    <row r="133" spans="1:15" x14ac:dyDescent="0.35">
      <c r="A133" s="77">
        <v>12.246575342465754</v>
      </c>
      <c r="B133" s="19">
        <v>4786</v>
      </c>
      <c r="C133" s="19" t="s">
        <v>2449</v>
      </c>
      <c r="D133" s="19" t="s">
        <v>115</v>
      </c>
      <c r="E133" s="19" t="s">
        <v>116</v>
      </c>
      <c r="F133" s="19" t="s">
        <v>1383</v>
      </c>
      <c r="G133" s="19" t="s">
        <v>1008</v>
      </c>
      <c r="H133" s="19" t="s">
        <v>1001</v>
      </c>
      <c r="I133" s="19" t="s">
        <v>1575</v>
      </c>
      <c r="J133" s="20">
        <v>39</v>
      </c>
      <c r="K133" t="s">
        <v>631</v>
      </c>
      <c r="L133" t="s">
        <v>670</v>
      </c>
      <c r="M133" t="s">
        <v>657</v>
      </c>
      <c r="N133" t="s">
        <v>641</v>
      </c>
      <c r="O133" t="s">
        <v>671</v>
      </c>
    </row>
    <row r="134" spans="1:15" x14ac:dyDescent="0.35">
      <c r="A134" s="77">
        <v>12.238356164383562</v>
      </c>
      <c r="B134" s="19">
        <v>4846</v>
      </c>
      <c r="C134" s="19" t="s">
        <v>2450</v>
      </c>
      <c r="D134" s="19" t="s">
        <v>43</v>
      </c>
      <c r="E134" s="19" t="s">
        <v>44</v>
      </c>
      <c r="F134" s="19" t="s">
        <v>2355</v>
      </c>
      <c r="G134" s="19" t="s">
        <v>1034</v>
      </c>
      <c r="H134" s="19" t="s">
        <v>1001</v>
      </c>
      <c r="I134" s="19" t="s">
        <v>1575</v>
      </c>
      <c r="J134" s="20">
        <v>41</v>
      </c>
      <c r="K134" t="s">
        <v>654</v>
      </c>
      <c r="L134" t="s">
        <v>634</v>
      </c>
      <c r="M134" t="s">
        <v>629</v>
      </c>
      <c r="N134" t="s">
        <v>635</v>
      </c>
      <c r="O134" t="s">
        <v>637</v>
      </c>
    </row>
    <row r="135" spans="1:15" x14ac:dyDescent="0.35">
      <c r="A135" s="77">
        <v>12.230136986301369</v>
      </c>
      <c r="B135" s="19">
        <v>4865</v>
      </c>
      <c r="C135" s="19" t="s">
        <v>2451</v>
      </c>
      <c r="D135" s="19" t="s">
        <v>120</v>
      </c>
      <c r="E135" s="19" t="s">
        <v>121</v>
      </c>
      <c r="F135" s="19" t="s">
        <v>1236</v>
      </c>
      <c r="G135" s="19" t="s">
        <v>1000</v>
      </c>
      <c r="H135" s="19" t="s">
        <v>1001</v>
      </c>
      <c r="I135" s="19" t="s">
        <v>1599</v>
      </c>
      <c r="J135" s="20">
        <v>35</v>
      </c>
      <c r="K135" t="s">
        <v>636</v>
      </c>
      <c r="L135" t="s">
        <v>673</v>
      </c>
      <c r="M135" t="s">
        <v>623</v>
      </c>
      <c r="N135" t="s">
        <v>641</v>
      </c>
      <c r="O135" t="s">
        <v>748</v>
      </c>
    </row>
    <row r="136" spans="1:15" x14ac:dyDescent="0.35">
      <c r="A136" s="77">
        <v>12.227397260273973</v>
      </c>
      <c r="B136" s="19">
        <v>4876</v>
      </c>
      <c r="C136" s="19" t="s">
        <v>2452</v>
      </c>
      <c r="D136" s="19" t="s">
        <v>167</v>
      </c>
      <c r="E136" s="19" t="s">
        <v>168</v>
      </c>
      <c r="F136" s="19" t="s">
        <v>2009</v>
      </c>
      <c r="G136" s="19" t="s">
        <v>1034</v>
      </c>
      <c r="H136" s="19" t="s">
        <v>1001</v>
      </c>
      <c r="I136" s="19" t="s">
        <v>1599</v>
      </c>
      <c r="J136" s="20">
        <v>38</v>
      </c>
      <c r="K136" t="s">
        <v>636</v>
      </c>
      <c r="L136" t="s">
        <v>640</v>
      </c>
      <c r="M136" t="s">
        <v>623</v>
      </c>
      <c r="N136" t="s">
        <v>641</v>
      </c>
      <c r="O136" t="s">
        <v>754</v>
      </c>
    </row>
    <row r="137" spans="1:15" x14ac:dyDescent="0.35">
      <c r="A137" s="77">
        <v>12.221917808219178</v>
      </c>
      <c r="B137" s="19">
        <v>4944</v>
      </c>
      <c r="C137" s="19" t="s">
        <v>2453</v>
      </c>
      <c r="D137" s="19" t="s">
        <v>222</v>
      </c>
      <c r="E137" s="19" t="s">
        <v>223</v>
      </c>
      <c r="F137" s="19" t="s">
        <v>1660</v>
      </c>
      <c r="G137" s="19" t="s">
        <v>1046</v>
      </c>
      <c r="H137" s="19" t="s">
        <v>1001</v>
      </c>
      <c r="I137" s="19" t="s">
        <v>1575</v>
      </c>
      <c r="J137" s="20">
        <v>31</v>
      </c>
      <c r="K137" t="s">
        <v>642</v>
      </c>
      <c r="L137" t="s">
        <v>684</v>
      </c>
      <c r="M137" t="s">
        <v>623</v>
      </c>
      <c r="N137" t="s">
        <v>662</v>
      </c>
      <c r="O137" t="s">
        <v>792</v>
      </c>
    </row>
    <row r="138" spans="1:15" x14ac:dyDescent="0.35">
      <c r="A138" s="77">
        <v>7.0027397260273974</v>
      </c>
      <c r="B138" s="19">
        <v>5029</v>
      </c>
      <c r="C138" s="19" t="s">
        <v>2454</v>
      </c>
      <c r="D138" s="19" t="s">
        <v>16</v>
      </c>
      <c r="E138" s="19" t="s">
        <v>16</v>
      </c>
      <c r="F138" s="19" t="s">
        <v>1211</v>
      </c>
      <c r="G138" s="19" t="s">
        <v>1008</v>
      </c>
      <c r="H138" s="19" t="s">
        <v>1001</v>
      </c>
      <c r="I138" s="19" t="s">
        <v>1599</v>
      </c>
      <c r="J138" s="20">
        <v>33</v>
      </c>
      <c r="K138" t="s">
        <v>631</v>
      </c>
      <c r="L138" t="s">
        <v>645</v>
      </c>
      <c r="M138" t="s">
        <v>629</v>
      </c>
      <c r="N138" t="s">
        <v>646</v>
      </c>
      <c r="O138" t="s">
        <v>632</v>
      </c>
    </row>
    <row r="139" spans="1:15" x14ac:dyDescent="0.35">
      <c r="A139" s="77">
        <v>7.2273972602739729</v>
      </c>
      <c r="B139" s="19">
        <v>5238</v>
      </c>
      <c r="C139" s="19" t="s">
        <v>2455</v>
      </c>
      <c r="D139" s="19" t="s">
        <v>208</v>
      </c>
      <c r="E139" s="19" t="s">
        <v>209</v>
      </c>
      <c r="F139" s="19" t="s">
        <v>1444</v>
      </c>
      <c r="G139" s="19" t="s">
        <v>1000</v>
      </c>
      <c r="H139" s="19" t="s">
        <v>1001</v>
      </c>
      <c r="I139" s="19" t="s">
        <v>1599</v>
      </c>
      <c r="J139" s="20">
        <v>40</v>
      </c>
      <c r="K139" t="s">
        <v>636</v>
      </c>
      <c r="L139" t="s">
        <v>640</v>
      </c>
      <c r="M139" t="s">
        <v>623</v>
      </c>
      <c r="N139" t="s">
        <v>624</v>
      </c>
      <c r="O139" t="s">
        <v>787</v>
      </c>
    </row>
    <row r="140" spans="1:15" x14ac:dyDescent="0.35">
      <c r="A140" s="77">
        <v>12.142465753424657</v>
      </c>
      <c r="B140" s="19">
        <v>5248</v>
      </c>
      <c r="C140" s="19" t="s">
        <v>2456</v>
      </c>
      <c r="D140" s="19" t="s">
        <v>143</v>
      </c>
      <c r="E140" s="19" t="s">
        <v>144</v>
      </c>
      <c r="F140" s="19" t="s">
        <v>2391</v>
      </c>
      <c r="G140" s="19" t="s">
        <v>1000</v>
      </c>
      <c r="H140" s="19" t="s">
        <v>1001</v>
      </c>
      <c r="I140" s="19" t="s">
        <v>1599</v>
      </c>
      <c r="J140" s="20">
        <v>40</v>
      </c>
      <c r="K140" t="s">
        <v>654</v>
      </c>
      <c r="L140" t="s">
        <v>640</v>
      </c>
      <c r="M140" t="s">
        <v>623</v>
      </c>
      <c r="N140" t="s">
        <v>641</v>
      </c>
      <c r="O140" t="s">
        <v>754</v>
      </c>
    </row>
    <row r="141" spans="1:15" x14ac:dyDescent="0.35">
      <c r="A141" s="77">
        <v>12.126027397260273</v>
      </c>
      <c r="B141" s="19">
        <v>5321</v>
      </c>
      <c r="C141" s="19" t="s">
        <v>2457</v>
      </c>
      <c r="D141" s="19" t="s">
        <v>157</v>
      </c>
      <c r="E141" s="19" t="s">
        <v>158</v>
      </c>
      <c r="F141" s="19" t="s">
        <v>1012</v>
      </c>
      <c r="G141" s="19" t="s">
        <v>1008</v>
      </c>
      <c r="H141" s="19" t="s">
        <v>1001</v>
      </c>
      <c r="I141" s="19" t="s">
        <v>1599</v>
      </c>
      <c r="J141" s="20">
        <v>36</v>
      </c>
      <c r="K141" t="s">
        <v>668</v>
      </c>
      <c r="L141" t="s">
        <v>670</v>
      </c>
      <c r="M141" t="s">
        <v>657</v>
      </c>
      <c r="N141" t="s">
        <v>641</v>
      </c>
      <c r="O141" t="s">
        <v>671</v>
      </c>
    </row>
    <row r="142" spans="1:15" x14ac:dyDescent="0.35">
      <c r="A142" s="77">
        <v>12.123287671232877</v>
      </c>
      <c r="B142" s="19">
        <v>5343</v>
      </c>
      <c r="C142" s="19" t="s">
        <v>2458</v>
      </c>
      <c r="D142" s="19" t="s">
        <v>8</v>
      </c>
      <c r="E142" s="19" t="s">
        <v>8</v>
      </c>
      <c r="F142" s="19" t="s">
        <v>1176</v>
      </c>
      <c r="G142" s="19" t="s">
        <v>1057</v>
      </c>
      <c r="H142" s="19" t="s">
        <v>1001</v>
      </c>
      <c r="I142" s="19" t="s">
        <v>1575</v>
      </c>
      <c r="J142" s="20">
        <v>35</v>
      </c>
      <c r="K142" t="s">
        <v>625</v>
      </c>
      <c r="L142" t="s">
        <v>622</v>
      </c>
      <c r="M142" t="s">
        <v>623</v>
      </c>
      <c r="N142" t="s">
        <v>624</v>
      </c>
      <c r="O142" t="s">
        <v>626</v>
      </c>
    </row>
    <row r="143" spans="1:15" x14ac:dyDescent="0.35">
      <c r="A143" s="77">
        <v>12.104109589041096</v>
      </c>
      <c r="B143" s="19">
        <v>5441</v>
      </c>
      <c r="C143" s="19" t="s">
        <v>2459</v>
      </c>
      <c r="D143" s="19" t="s">
        <v>105</v>
      </c>
      <c r="E143" s="19" t="s">
        <v>106</v>
      </c>
      <c r="F143" s="19" t="s">
        <v>1207</v>
      </c>
      <c r="G143" s="19" t="s">
        <v>1000</v>
      </c>
      <c r="H143" s="19" t="s">
        <v>1001</v>
      </c>
      <c r="I143" s="19" t="s">
        <v>1575</v>
      </c>
      <c r="J143" s="20">
        <v>38</v>
      </c>
      <c r="K143" t="s">
        <v>654</v>
      </c>
      <c r="L143" t="s">
        <v>622</v>
      </c>
      <c r="M143" t="s">
        <v>623</v>
      </c>
      <c r="N143" t="s">
        <v>624</v>
      </c>
      <c r="O143" t="s">
        <v>626</v>
      </c>
    </row>
    <row r="144" spans="1:15" x14ac:dyDescent="0.35">
      <c r="A144" s="77">
        <v>12.09041095890411</v>
      </c>
      <c r="B144" s="19">
        <v>5527</v>
      </c>
      <c r="C144" s="19" t="s">
        <v>2460</v>
      </c>
      <c r="D144" s="19" t="s">
        <v>35</v>
      </c>
      <c r="E144" s="19" t="s">
        <v>35</v>
      </c>
      <c r="F144" s="19" t="s">
        <v>1657</v>
      </c>
      <c r="G144" s="19" t="s">
        <v>1158</v>
      </c>
      <c r="H144" s="19" t="s">
        <v>1001</v>
      </c>
      <c r="I144" s="19" t="s">
        <v>1575</v>
      </c>
      <c r="J144" s="20">
        <v>35</v>
      </c>
      <c r="K144" t="s">
        <v>654</v>
      </c>
      <c r="L144" t="s">
        <v>684</v>
      </c>
      <c r="M144" t="s">
        <v>623</v>
      </c>
      <c r="N144" t="s">
        <v>662</v>
      </c>
      <c r="O144" t="s">
        <v>685</v>
      </c>
    </row>
    <row r="145" spans="1:15" x14ac:dyDescent="0.35">
      <c r="A145" s="77">
        <v>12.084931506849315</v>
      </c>
      <c r="B145" s="19">
        <v>5533</v>
      </c>
      <c r="C145" s="19" t="s">
        <v>2461</v>
      </c>
      <c r="D145" s="19" t="s">
        <v>102</v>
      </c>
      <c r="E145" s="19" t="s">
        <v>103</v>
      </c>
      <c r="F145" s="19" t="s">
        <v>1306</v>
      </c>
      <c r="G145" s="19" t="s">
        <v>1045</v>
      </c>
      <c r="H145" s="19" t="s">
        <v>1001</v>
      </c>
      <c r="I145" s="19" t="s">
        <v>1575</v>
      </c>
      <c r="J145" s="20">
        <v>32</v>
      </c>
      <c r="K145" t="s">
        <v>654</v>
      </c>
      <c r="L145" t="s">
        <v>707</v>
      </c>
      <c r="M145" t="s">
        <v>629</v>
      </c>
      <c r="N145" t="s">
        <v>635</v>
      </c>
      <c r="O145" t="s">
        <v>708</v>
      </c>
    </row>
    <row r="146" spans="1:15" x14ac:dyDescent="0.35">
      <c r="A146" s="77">
        <v>12.076712328767123</v>
      </c>
      <c r="B146" s="19">
        <v>5637</v>
      </c>
      <c r="C146" s="19" t="s">
        <v>2462</v>
      </c>
      <c r="D146" s="19" t="s">
        <v>339</v>
      </c>
      <c r="E146" s="19" t="s">
        <v>340</v>
      </c>
      <c r="F146" s="19" t="s">
        <v>1024</v>
      </c>
      <c r="G146" s="19" t="s">
        <v>1000</v>
      </c>
      <c r="H146" s="19" t="s">
        <v>1001</v>
      </c>
      <c r="I146" s="19" t="s">
        <v>1599</v>
      </c>
      <c r="J146" s="20">
        <v>34</v>
      </c>
      <c r="K146" t="s">
        <v>631</v>
      </c>
      <c r="L146" t="s">
        <v>651</v>
      </c>
      <c r="M146" t="s">
        <v>629</v>
      </c>
      <c r="N146" t="s">
        <v>630</v>
      </c>
      <c r="O146" t="s">
        <v>705</v>
      </c>
    </row>
    <row r="147" spans="1:15" x14ac:dyDescent="0.35">
      <c r="A147" s="77">
        <v>12.068493150684931</v>
      </c>
      <c r="B147" s="19">
        <v>5692</v>
      </c>
      <c r="C147" s="19" t="s">
        <v>2463</v>
      </c>
      <c r="D147" s="19" t="s">
        <v>105</v>
      </c>
      <c r="E147" s="19" t="s">
        <v>106</v>
      </c>
      <c r="F147" s="19" t="s">
        <v>1207</v>
      </c>
      <c r="G147" s="19" t="s">
        <v>1028</v>
      </c>
      <c r="H147" s="19" t="s">
        <v>1020</v>
      </c>
      <c r="I147" s="19" t="s">
        <v>1575</v>
      </c>
      <c r="J147" s="20">
        <v>33</v>
      </c>
      <c r="K147" t="s">
        <v>654</v>
      </c>
      <c r="L147" t="s">
        <v>622</v>
      </c>
      <c r="M147" t="s">
        <v>623</v>
      </c>
      <c r="N147" t="s">
        <v>624</v>
      </c>
      <c r="O147" t="s">
        <v>626</v>
      </c>
    </row>
    <row r="148" spans="1:15" x14ac:dyDescent="0.35">
      <c r="A148" s="77">
        <v>12.035616438356165</v>
      </c>
      <c r="B148" s="19">
        <v>5808</v>
      </c>
      <c r="C148" s="19" t="s">
        <v>2464</v>
      </c>
      <c r="D148" s="19" t="s">
        <v>120</v>
      </c>
      <c r="E148" s="19" t="s">
        <v>121</v>
      </c>
      <c r="F148" s="19" t="s">
        <v>1236</v>
      </c>
      <c r="G148" s="19" t="s">
        <v>1034</v>
      </c>
      <c r="H148" s="19" t="s">
        <v>1001</v>
      </c>
      <c r="I148" s="19" t="s">
        <v>1575</v>
      </c>
      <c r="J148" s="20">
        <v>31</v>
      </c>
      <c r="K148" t="s">
        <v>636</v>
      </c>
      <c r="L148" t="s">
        <v>673</v>
      </c>
      <c r="M148" t="s">
        <v>623</v>
      </c>
      <c r="N148" t="s">
        <v>641</v>
      </c>
      <c r="O148" t="s">
        <v>748</v>
      </c>
    </row>
    <row r="149" spans="1:15" x14ac:dyDescent="0.35">
      <c r="A149" s="77">
        <v>12.013698630136986</v>
      </c>
      <c r="B149" s="19">
        <v>5926</v>
      </c>
      <c r="C149" s="19" t="s">
        <v>2465</v>
      </c>
      <c r="D149" s="19" t="s">
        <v>95</v>
      </c>
      <c r="E149" s="19" t="s">
        <v>96</v>
      </c>
      <c r="F149" s="19" t="s">
        <v>1188</v>
      </c>
      <c r="G149" s="19" t="s">
        <v>1034</v>
      </c>
      <c r="H149" s="19" t="s">
        <v>1001</v>
      </c>
      <c r="I149" s="19" t="s">
        <v>1575</v>
      </c>
      <c r="J149" s="20">
        <v>37</v>
      </c>
      <c r="K149" t="s">
        <v>636</v>
      </c>
      <c r="L149" t="s">
        <v>737</v>
      </c>
      <c r="M149" t="s">
        <v>657</v>
      </c>
      <c r="N149" t="s">
        <v>641</v>
      </c>
      <c r="O149" t="s">
        <v>738</v>
      </c>
    </row>
    <row r="150" spans="1:15" x14ac:dyDescent="0.35">
      <c r="A150" s="77">
        <v>12.008219178082191</v>
      </c>
      <c r="B150" s="19">
        <v>5963</v>
      </c>
      <c r="C150" s="19" t="s">
        <v>2466</v>
      </c>
      <c r="D150" s="19" t="s">
        <v>120</v>
      </c>
      <c r="E150" s="19" t="s">
        <v>121</v>
      </c>
      <c r="F150" s="19" t="s">
        <v>1236</v>
      </c>
      <c r="G150" s="19" t="s">
        <v>1008</v>
      </c>
      <c r="H150" s="19" t="s">
        <v>1001</v>
      </c>
      <c r="I150" s="19" t="s">
        <v>1575</v>
      </c>
      <c r="J150" s="20">
        <v>40</v>
      </c>
      <c r="K150" t="s">
        <v>636</v>
      </c>
      <c r="L150" t="s">
        <v>673</v>
      </c>
      <c r="M150" t="s">
        <v>623</v>
      </c>
      <c r="N150" t="s">
        <v>641</v>
      </c>
      <c r="O150" t="s">
        <v>748</v>
      </c>
    </row>
    <row r="151" spans="1:15" x14ac:dyDescent="0.35">
      <c r="A151" s="77">
        <v>11.997260273972604</v>
      </c>
      <c r="B151" s="19">
        <v>6012</v>
      </c>
      <c r="C151" s="19" t="s">
        <v>2467</v>
      </c>
      <c r="D151" s="19" t="s">
        <v>341</v>
      </c>
      <c r="E151" s="19" t="s">
        <v>342</v>
      </c>
      <c r="F151" s="19" t="s">
        <v>1264</v>
      </c>
      <c r="G151" s="19" t="s">
        <v>1000</v>
      </c>
      <c r="H151" s="19" t="s">
        <v>1001</v>
      </c>
      <c r="I151" s="19" t="s">
        <v>1599</v>
      </c>
      <c r="J151" s="20">
        <v>37</v>
      </c>
      <c r="K151" t="s">
        <v>636</v>
      </c>
      <c r="L151" t="s">
        <v>678</v>
      </c>
      <c r="M151" t="s">
        <v>623</v>
      </c>
      <c r="N151" t="s">
        <v>624</v>
      </c>
      <c r="O151" t="s">
        <v>679</v>
      </c>
    </row>
    <row r="152" spans="1:15" x14ac:dyDescent="0.35">
      <c r="A152" s="77">
        <v>0.69863013698630139</v>
      </c>
      <c r="B152" s="19">
        <v>6209</v>
      </c>
      <c r="C152" s="19" t="s">
        <v>2468</v>
      </c>
      <c r="D152" s="19" t="s">
        <v>45</v>
      </c>
      <c r="E152" s="19" t="s">
        <v>46</v>
      </c>
      <c r="F152" s="19" t="s">
        <v>1122</v>
      </c>
      <c r="G152" s="19" t="s">
        <v>1028</v>
      </c>
      <c r="H152" s="19" t="s">
        <v>1020</v>
      </c>
      <c r="I152" s="19" t="s">
        <v>1575</v>
      </c>
      <c r="J152" s="20">
        <v>34</v>
      </c>
      <c r="K152" t="s">
        <v>631</v>
      </c>
      <c r="L152" t="s">
        <v>651</v>
      </c>
      <c r="M152" t="s">
        <v>629</v>
      </c>
      <c r="N152" t="s">
        <v>630</v>
      </c>
      <c r="O152" t="s">
        <v>705</v>
      </c>
    </row>
    <row r="153" spans="1:15" x14ac:dyDescent="0.35">
      <c r="A153" s="77">
        <v>11.950684931506849</v>
      </c>
      <c r="B153" s="19">
        <v>6390</v>
      </c>
      <c r="C153" s="19" t="s">
        <v>2469</v>
      </c>
      <c r="D153" s="19" t="s">
        <v>39</v>
      </c>
      <c r="E153" s="19" t="s">
        <v>39</v>
      </c>
      <c r="F153" s="19" t="s">
        <v>1168</v>
      </c>
      <c r="G153" s="19" t="s">
        <v>1000</v>
      </c>
      <c r="H153" s="19" t="s">
        <v>1001</v>
      </c>
      <c r="I153" s="19" t="s">
        <v>1575</v>
      </c>
      <c r="J153" s="20">
        <v>44</v>
      </c>
      <c r="K153" t="s">
        <v>636</v>
      </c>
      <c r="L153" t="s">
        <v>661</v>
      </c>
      <c r="M153" t="s">
        <v>657</v>
      </c>
      <c r="N153" t="s">
        <v>662</v>
      </c>
      <c r="O153" t="s">
        <v>632</v>
      </c>
    </row>
    <row r="154" spans="1:15" x14ac:dyDescent="0.35">
      <c r="A154" s="77">
        <v>11.93972602739726</v>
      </c>
      <c r="B154" s="19">
        <v>6467</v>
      </c>
      <c r="C154" s="19" t="s">
        <v>2470</v>
      </c>
      <c r="D154" s="19" t="s">
        <v>399</v>
      </c>
      <c r="E154" s="19" t="s">
        <v>400</v>
      </c>
      <c r="F154" s="19" t="s">
        <v>868</v>
      </c>
      <c r="G154" s="19" t="s">
        <v>1000</v>
      </c>
      <c r="H154" s="19" t="s">
        <v>1001</v>
      </c>
      <c r="I154" s="19" t="s">
        <v>1575</v>
      </c>
      <c r="J154" s="20">
        <v>46</v>
      </c>
      <c r="K154" t="s">
        <v>642</v>
      </c>
      <c r="L154" t="s">
        <v>684</v>
      </c>
      <c r="M154" t="s">
        <v>623</v>
      </c>
      <c r="N154" t="s">
        <v>662</v>
      </c>
      <c r="O154" t="s">
        <v>795</v>
      </c>
    </row>
    <row r="155" spans="1:15" x14ac:dyDescent="0.35">
      <c r="A155" s="77">
        <v>11.93972602739726</v>
      </c>
      <c r="B155" s="19">
        <v>6538</v>
      </c>
      <c r="C155" s="19" t="s">
        <v>2471</v>
      </c>
      <c r="D155" s="19" t="s">
        <v>228</v>
      </c>
      <c r="E155" s="19" t="s">
        <v>229</v>
      </c>
      <c r="F155" s="19" t="s">
        <v>1643</v>
      </c>
      <c r="G155" s="19" t="s">
        <v>1045</v>
      </c>
      <c r="H155" s="19" t="s">
        <v>1001</v>
      </c>
      <c r="I155" s="19" t="s">
        <v>1575</v>
      </c>
      <c r="J155" s="20">
        <v>39</v>
      </c>
      <c r="K155" t="s">
        <v>668</v>
      </c>
      <c r="L155" t="s">
        <v>762</v>
      </c>
      <c r="M155" t="s">
        <v>629</v>
      </c>
      <c r="N155" t="s">
        <v>646</v>
      </c>
      <c r="O155" t="s">
        <v>763</v>
      </c>
    </row>
    <row r="156" spans="1:15" x14ac:dyDescent="0.35">
      <c r="A156" s="77">
        <v>11.920547945205479</v>
      </c>
      <c r="B156" s="19">
        <v>6671</v>
      </c>
      <c r="C156" s="19" t="s">
        <v>2472</v>
      </c>
      <c r="D156" s="19" t="s">
        <v>405</v>
      </c>
      <c r="E156" s="19" t="s">
        <v>406</v>
      </c>
      <c r="F156" s="19" t="s">
        <v>594</v>
      </c>
      <c r="G156" s="19" t="s">
        <v>1045</v>
      </c>
      <c r="H156" s="19" t="s">
        <v>1001</v>
      </c>
      <c r="I156" s="19" t="s">
        <v>1599</v>
      </c>
      <c r="J156" s="20">
        <v>36</v>
      </c>
      <c r="K156" t="s">
        <v>654</v>
      </c>
      <c r="L156" t="s">
        <v>684</v>
      </c>
      <c r="M156" t="s">
        <v>623</v>
      </c>
      <c r="N156" t="s">
        <v>662</v>
      </c>
      <c r="O156" t="s">
        <v>872</v>
      </c>
    </row>
    <row r="157" spans="1:15" x14ac:dyDescent="0.35">
      <c r="A157" s="77">
        <v>11.920547945205479</v>
      </c>
      <c r="B157" s="19">
        <v>6672</v>
      </c>
      <c r="C157" s="19" t="s">
        <v>2473</v>
      </c>
      <c r="D157" s="19" t="s">
        <v>235</v>
      </c>
      <c r="E157" s="19" t="s">
        <v>236</v>
      </c>
      <c r="F157" s="19" t="s">
        <v>1457</v>
      </c>
      <c r="G157" s="19" t="s">
        <v>1000</v>
      </c>
      <c r="H157" s="19" t="s">
        <v>1001</v>
      </c>
      <c r="I157" s="19" t="s">
        <v>1575</v>
      </c>
      <c r="J157" s="20">
        <v>42</v>
      </c>
      <c r="K157" t="s">
        <v>654</v>
      </c>
      <c r="L157" t="s">
        <v>707</v>
      </c>
      <c r="M157" t="s">
        <v>629</v>
      </c>
      <c r="N157" t="s">
        <v>635</v>
      </c>
      <c r="O157" t="s">
        <v>710</v>
      </c>
    </row>
    <row r="158" spans="1:15" x14ac:dyDescent="0.35">
      <c r="A158" s="77">
        <v>11.010958904109589</v>
      </c>
      <c r="B158" s="19">
        <v>6701</v>
      </c>
      <c r="C158" s="19" t="s">
        <v>2474</v>
      </c>
      <c r="D158" s="19" t="s">
        <v>339</v>
      </c>
      <c r="E158" s="19" t="s">
        <v>340</v>
      </c>
      <c r="F158" s="19" t="s">
        <v>1024</v>
      </c>
      <c r="G158" s="19" t="s">
        <v>1008</v>
      </c>
      <c r="H158" s="19" t="s">
        <v>1001</v>
      </c>
      <c r="I158" s="19" t="s">
        <v>1599</v>
      </c>
      <c r="J158" s="20">
        <v>39</v>
      </c>
      <c r="K158" t="s">
        <v>631</v>
      </c>
      <c r="L158" t="s">
        <v>651</v>
      </c>
      <c r="M158" t="s">
        <v>629</v>
      </c>
      <c r="N158" t="s">
        <v>630</v>
      </c>
      <c r="O158" t="s">
        <v>705</v>
      </c>
    </row>
    <row r="159" spans="1:15" x14ac:dyDescent="0.35">
      <c r="A159" s="77">
        <v>11.906849315068493</v>
      </c>
      <c r="B159" s="19">
        <v>6831</v>
      </c>
      <c r="C159" s="19" t="s">
        <v>2475</v>
      </c>
      <c r="D159" s="19" t="s">
        <v>232</v>
      </c>
      <c r="E159" s="19" t="s">
        <v>233</v>
      </c>
      <c r="F159" s="19" t="s">
        <v>1040</v>
      </c>
      <c r="G159" s="19" t="s">
        <v>1000</v>
      </c>
      <c r="H159" s="19" t="s">
        <v>1001</v>
      </c>
      <c r="I159" s="19" t="s">
        <v>1599</v>
      </c>
      <c r="J159" s="20">
        <v>38</v>
      </c>
      <c r="K159" t="s">
        <v>654</v>
      </c>
      <c r="L159" t="s">
        <v>684</v>
      </c>
      <c r="M159" t="s">
        <v>623</v>
      </c>
      <c r="N159" t="s">
        <v>662</v>
      </c>
      <c r="O159" t="s">
        <v>795</v>
      </c>
    </row>
    <row r="160" spans="1:15" x14ac:dyDescent="0.35">
      <c r="A160" s="77">
        <v>11.906849315068493</v>
      </c>
      <c r="B160" s="19">
        <v>6834</v>
      </c>
      <c r="C160" s="19" t="s">
        <v>2476</v>
      </c>
      <c r="D160" s="19" t="s">
        <v>230</v>
      </c>
      <c r="E160" s="19" t="s">
        <v>231</v>
      </c>
      <c r="F160" s="19" t="s">
        <v>2112</v>
      </c>
      <c r="G160" s="19" t="s">
        <v>1000</v>
      </c>
      <c r="H160" s="19" t="s">
        <v>1001</v>
      </c>
      <c r="I160" s="19" t="s">
        <v>1599</v>
      </c>
      <c r="J160" s="20">
        <v>36</v>
      </c>
      <c r="K160" t="s">
        <v>668</v>
      </c>
      <c r="L160" t="s">
        <v>684</v>
      </c>
      <c r="M160" t="s">
        <v>623</v>
      </c>
      <c r="N160" t="s">
        <v>662</v>
      </c>
      <c r="O160" t="s">
        <v>795</v>
      </c>
    </row>
    <row r="161" spans="1:15" x14ac:dyDescent="0.35">
      <c r="A161" s="77">
        <v>11.906849315068493</v>
      </c>
      <c r="B161" s="19">
        <v>6836</v>
      </c>
      <c r="C161" s="19" t="s">
        <v>2477</v>
      </c>
      <c r="D161" s="19" t="s">
        <v>230</v>
      </c>
      <c r="E161" s="19" t="s">
        <v>231</v>
      </c>
      <c r="F161" s="19" t="s">
        <v>2112</v>
      </c>
      <c r="G161" s="19" t="s">
        <v>1045</v>
      </c>
      <c r="H161" s="19" t="s">
        <v>1001</v>
      </c>
      <c r="I161" s="19" t="s">
        <v>1575</v>
      </c>
      <c r="J161" s="20">
        <v>34</v>
      </c>
      <c r="K161" t="s">
        <v>668</v>
      </c>
      <c r="L161" t="s">
        <v>684</v>
      </c>
      <c r="M161" t="s">
        <v>623</v>
      </c>
      <c r="N161" t="s">
        <v>662</v>
      </c>
      <c r="O161" t="s">
        <v>795</v>
      </c>
    </row>
    <row r="162" spans="1:15" x14ac:dyDescent="0.35">
      <c r="A162" s="77">
        <v>11.876712328767123</v>
      </c>
      <c r="B162" s="19">
        <v>6966</v>
      </c>
      <c r="C162" s="19" t="s">
        <v>2478</v>
      </c>
      <c r="D162" s="19" t="s">
        <v>232</v>
      </c>
      <c r="E162" s="19" t="s">
        <v>233</v>
      </c>
      <c r="F162" s="19" t="s">
        <v>1040</v>
      </c>
      <c r="G162" s="19" t="s">
        <v>1158</v>
      </c>
      <c r="H162" s="19" t="s">
        <v>1001</v>
      </c>
      <c r="I162" s="19" t="s">
        <v>1575</v>
      </c>
      <c r="J162" s="20">
        <v>40</v>
      </c>
      <c r="K162" t="s">
        <v>654</v>
      </c>
      <c r="L162" t="s">
        <v>684</v>
      </c>
      <c r="M162" t="s">
        <v>623</v>
      </c>
      <c r="N162" t="s">
        <v>662</v>
      </c>
      <c r="O162" t="s">
        <v>795</v>
      </c>
    </row>
    <row r="163" spans="1:15" x14ac:dyDescent="0.35">
      <c r="A163" s="77">
        <v>11.873972602739727</v>
      </c>
      <c r="B163" s="19">
        <v>7034</v>
      </c>
      <c r="C163" s="19" t="s">
        <v>2479</v>
      </c>
      <c r="D163" s="19" t="s">
        <v>232</v>
      </c>
      <c r="E163" s="19" t="s">
        <v>233</v>
      </c>
      <c r="F163" s="19" t="s">
        <v>1040</v>
      </c>
      <c r="G163" s="19" t="s">
        <v>1046</v>
      </c>
      <c r="H163" s="19" t="s">
        <v>1001</v>
      </c>
      <c r="I163" s="19" t="s">
        <v>1599</v>
      </c>
      <c r="J163" s="20">
        <v>36</v>
      </c>
      <c r="K163" t="s">
        <v>654</v>
      </c>
      <c r="L163" t="s">
        <v>684</v>
      </c>
      <c r="M163" t="s">
        <v>623</v>
      </c>
      <c r="N163" t="s">
        <v>662</v>
      </c>
      <c r="O163" t="s">
        <v>795</v>
      </c>
    </row>
    <row r="164" spans="1:15" x14ac:dyDescent="0.35">
      <c r="A164" s="77">
        <v>11.821917808219178</v>
      </c>
      <c r="B164" s="19">
        <v>7060</v>
      </c>
      <c r="C164" s="19" t="s">
        <v>2480</v>
      </c>
      <c r="D164" s="19" t="s">
        <v>367</v>
      </c>
      <c r="E164" s="19" t="s">
        <v>368</v>
      </c>
      <c r="F164" s="19" t="s">
        <v>1604</v>
      </c>
      <c r="G164" s="19" t="s">
        <v>1008</v>
      </c>
      <c r="H164" s="19" t="s">
        <v>1001</v>
      </c>
      <c r="I164" s="19" t="s">
        <v>1575</v>
      </c>
      <c r="J164" s="20">
        <v>40</v>
      </c>
      <c r="K164" t="s">
        <v>636</v>
      </c>
      <c r="L164" t="s">
        <v>737</v>
      </c>
      <c r="M164" t="s">
        <v>657</v>
      </c>
      <c r="N164" t="s">
        <v>641</v>
      </c>
      <c r="O164" t="s">
        <v>738</v>
      </c>
    </row>
    <row r="165" spans="1:15" x14ac:dyDescent="0.35">
      <c r="A165" s="77">
        <v>11.876712328767123</v>
      </c>
      <c r="B165" s="19">
        <v>7068</v>
      </c>
      <c r="C165" s="19" t="s">
        <v>2481</v>
      </c>
      <c r="D165" s="19" t="s">
        <v>232</v>
      </c>
      <c r="E165" s="19" t="s">
        <v>233</v>
      </c>
      <c r="F165" s="19" t="s">
        <v>1040</v>
      </c>
      <c r="G165" s="19" t="s">
        <v>1084</v>
      </c>
      <c r="H165" s="19" t="s">
        <v>1001</v>
      </c>
      <c r="I165" s="19" t="s">
        <v>1599</v>
      </c>
      <c r="J165" s="20">
        <v>41</v>
      </c>
      <c r="K165" t="s">
        <v>654</v>
      </c>
      <c r="L165" t="s">
        <v>684</v>
      </c>
      <c r="M165" t="s">
        <v>623</v>
      </c>
      <c r="N165" t="s">
        <v>662</v>
      </c>
      <c r="O165" t="s">
        <v>795</v>
      </c>
    </row>
    <row r="166" spans="1:15" x14ac:dyDescent="0.35">
      <c r="A166" s="77">
        <v>11.876712328767123</v>
      </c>
      <c r="B166" s="19">
        <v>7084</v>
      </c>
      <c r="C166" s="19" t="s">
        <v>2482</v>
      </c>
      <c r="D166" s="19" t="s">
        <v>232</v>
      </c>
      <c r="E166" s="19" t="s">
        <v>233</v>
      </c>
      <c r="F166" s="19" t="s">
        <v>1040</v>
      </c>
      <c r="G166" s="19" t="s">
        <v>1046</v>
      </c>
      <c r="H166" s="19" t="s">
        <v>1001</v>
      </c>
      <c r="I166" s="19" t="s">
        <v>1575</v>
      </c>
      <c r="J166" s="20">
        <v>39</v>
      </c>
      <c r="K166" t="s">
        <v>654</v>
      </c>
      <c r="L166" t="s">
        <v>684</v>
      </c>
      <c r="M166" t="s">
        <v>623</v>
      </c>
      <c r="N166" t="s">
        <v>662</v>
      </c>
      <c r="O166" t="s">
        <v>795</v>
      </c>
    </row>
    <row r="167" spans="1:15" x14ac:dyDescent="0.35">
      <c r="A167" s="77">
        <v>11.613698630136986</v>
      </c>
      <c r="B167" s="19">
        <v>7233</v>
      </c>
      <c r="C167" s="19" t="s">
        <v>2483</v>
      </c>
      <c r="D167" s="19" t="s">
        <v>309</v>
      </c>
      <c r="E167" s="19" t="s">
        <v>310</v>
      </c>
      <c r="F167" s="19" t="s">
        <v>1234</v>
      </c>
      <c r="G167" s="19" t="s">
        <v>1045</v>
      </c>
      <c r="H167" s="19" t="s">
        <v>1001</v>
      </c>
      <c r="I167" s="19" t="s">
        <v>1575</v>
      </c>
      <c r="J167" s="20">
        <v>31</v>
      </c>
      <c r="K167" t="s">
        <v>668</v>
      </c>
      <c r="L167" t="s">
        <v>666</v>
      </c>
      <c r="M167" t="s">
        <v>629</v>
      </c>
      <c r="N167" t="s">
        <v>635</v>
      </c>
      <c r="O167" t="s">
        <v>637</v>
      </c>
    </row>
    <row r="168" spans="1:15" x14ac:dyDescent="0.35">
      <c r="A168" s="77">
        <v>11.860273972602739</v>
      </c>
      <c r="B168" s="19">
        <v>7469</v>
      </c>
      <c r="C168" s="19" t="s">
        <v>2484</v>
      </c>
      <c r="D168" s="19" t="s">
        <v>333</v>
      </c>
      <c r="E168" s="19" t="s">
        <v>334</v>
      </c>
      <c r="F168" s="19" t="s">
        <v>1333</v>
      </c>
      <c r="G168" s="19" t="s">
        <v>1045</v>
      </c>
      <c r="H168" s="19" t="s">
        <v>1001</v>
      </c>
      <c r="I168" s="19" t="s">
        <v>1575</v>
      </c>
      <c r="J168" s="20">
        <v>33</v>
      </c>
      <c r="K168" t="s">
        <v>636</v>
      </c>
      <c r="L168" t="s">
        <v>666</v>
      </c>
      <c r="M168" t="s">
        <v>629</v>
      </c>
      <c r="N168" t="s">
        <v>630</v>
      </c>
      <c r="O168" t="s">
        <v>652</v>
      </c>
    </row>
    <row r="169" spans="1:15" x14ac:dyDescent="0.35">
      <c r="A169" s="77">
        <v>11.852054794520548</v>
      </c>
      <c r="B169" s="19">
        <v>7638</v>
      </c>
      <c r="C169" s="19" t="s">
        <v>2485</v>
      </c>
      <c r="D169" s="19" t="s">
        <v>241</v>
      </c>
      <c r="E169" s="19" t="s">
        <v>242</v>
      </c>
      <c r="F169" s="19" t="s">
        <v>1030</v>
      </c>
      <c r="G169" s="19" t="s">
        <v>1000</v>
      </c>
      <c r="H169" s="19" t="s">
        <v>1001</v>
      </c>
      <c r="I169" s="19" t="s">
        <v>1599</v>
      </c>
      <c r="J169" s="20">
        <v>42</v>
      </c>
      <c r="K169" t="s">
        <v>668</v>
      </c>
      <c r="L169" t="s">
        <v>622</v>
      </c>
      <c r="M169" t="s">
        <v>623</v>
      </c>
      <c r="N169" t="s">
        <v>624</v>
      </c>
      <c r="O169" t="s">
        <v>800</v>
      </c>
    </row>
    <row r="170" spans="1:15" x14ac:dyDescent="0.35">
      <c r="A170" s="77">
        <v>11.824657534246576</v>
      </c>
      <c r="B170" s="19">
        <v>7771</v>
      </c>
      <c r="C170" s="19" t="s">
        <v>2486</v>
      </c>
      <c r="D170" s="19" t="s">
        <v>36</v>
      </c>
      <c r="E170" s="19" t="s">
        <v>36</v>
      </c>
      <c r="F170" s="19" t="s">
        <v>1403</v>
      </c>
      <c r="G170" s="19" t="s">
        <v>1008</v>
      </c>
      <c r="H170" s="19" t="s">
        <v>1001</v>
      </c>
      <c r="I170" s="19" t="s">
        <v>1575</v>
      </c>
      <c r="J170" s="20">
        <v>34</v>
      </c>
      <c r="K170" t="s">
        <v>668</v>
      </c>
      <c r="L170" t="s">
        <v>691</v>
      </c>
      <c r="M170" t="s">
        <v>657</v>
      </c>
      <c r="N170" t="s">
        <v>658</v>
      </c>
      <c r="O170" t="s">
        <v>632</v>
      </c>
    </row>
    <row r="171" spans="1:15" x14ac:dyDescent="0.35">
      <c r="A171" s="77">
        <v>11.816438356164383</v>
      </c>
      <c r="B171" s="19">
        <v>7798</v>
      </c>
      <c r="C171" s="19" t="s">
        <v>2487</v>
      </c>
      <c r="D171" s="19" t="s">
        <v>401</v>
      </c>
      <c r="E171" s="19" t="s">
        <v>402</v>
      </c>
      <c r="F171" s="19" t="s">
        <v>1314</v>
      </c>
      <c r="G171" s="19" t="s">
        <v>1000</v>
      </c>
      <c r="H171" s="19" t="s">
        <v>1001</v>
      </c>
      <c r="I171" s="19" t="s">
        <v>1599</v>
      </c>
      <c r="J171" s="20">
        <v>36</v>
      </c>
      <c r="K171" t="s">
        <v>668</v>
      </c>
      <c r="L171" t="s">
        <v>691</v>
      </c>
      <c r="M171" t="s">
        <v>657</v>
      </c>
      <c r="N171" t="s">
        <v>658</v>
      </c>
      <c r="O171" t="s">
        <v>632</v>
      </c>
    </row>
    <row r="172" spans="1:15" x14ac:dyDescent="0.35">
      <c r="A172" s="77">
        <v>11.808219178082192</v>
      </c>
      <c r="B172" s="19">
        <v>7811</v>
      </c>
      <c r="C172" s="19" t="s">
        <v>2488</v>
      </c>
      <c r="D172" s="19" t="s">
        <v>137</v>
      </c>
      <c r="E172" s="19" t="s">
        <v>138</v>
      </c>
      <c r="F172" s="19" t="s">
        <v>1115</v>
      </c>
      <c r="G172" s="19" t="s">
        <v>1000</v>
      </c>
      <c r="H172" s="19" t="s">
        <v>1001</v>
      </c>
      <c r="I172" s="19" t="s">
        <v>1575</v>
      </c>
      <c r="J172" s="20">
        <v>39</v>
      </c>
      <c r="K172" t="s">
        <v>636</v>
      </c>
      <c r="L172" t="s">
        <v>684</v>
      </c>
      <c r="M172" t="s">
        <v>623</v>
      </c>
      <c r="N172" t="s">
        <v>662</v>
      </c>
      <c r="O172" t="s">
        <v>685</v>
      </c>
    </row>
    <row r="173" spans="1:15" x14ac:dyDescent="0.35">
      <c r="A173" s="77">
        <v>11.805479452054794</v>
      </c>
      <c r="B173" s="19">
        <v>7846</v>
      </c>
      <c r="C173" s="19" t="s">
        <v>2489</v>
      </c>
      <c r="D173" s="19" t="s">
        <v>397</v>
      </c>
      <c r="E173" s="19" t="s">
        <v>398</v>
      </c>
      <c r="F173" s="19" t="s">
        <v>867</v>
      </c>
      <c r="G173" s="19" t="s">
        <v>1008</v>
      </c>
      <c r="H173" s="19" t="s">
        <v>1001</v>
      </c>
      <c r="I173" s="19" t="s">
        <v>1599</v>
      </c>
      <c r="J173" s="20">
        <v>35</v>
      </c>
      <c r="K173" t="s">
        <v>625</v>
      </c>
      <c r="L173" t="s">
        <v>634</v>
      </c>
      <c r="M173" t="s">
        <v>629</v>
      </c>
      <c r="N173" t="s">
        <v>635</v>
      </c>
      <c r="O173" t="s">
        <v>637</v>
      </c>
    </row>
    <row r="174" spans="1:15" x14ac:dyDescent="0.35">
      <c r="A174" s="77">
        <v>11.8</v>
      </c>
      <c r="B174" s="19">
        <v>7899</v>
      </c>
      <c r="C174" s="19" t="s">
        <v>2490</v>
      </c>
      <c r="D174" s="19" t="s">
        <v>232</v>
      </c>
      <c r="E174" s="19" t="s">
        <v>233</v>
      </c>
      <c r="F174" s="19" t="s">
        <v>1040</v>
      </c>
      <c r="G174" s="19" t="s">
        <v>1008</v>
      </c>
      <c r="H174" s="19" t="s">
        <v>1001</v>
      </c>
      <c r="I174" s="19" t="s">
        <v>1599</v>
      </c>
      <c r="J174" s="20">
        <v>37</v>
      </c>
      <c r="K174" t="s">
        <v>654</v>
      </c>
      <c r="L174" t="s">
        <v>684</v>
      </c>
      <c r="M174" t="s">
        <v>623</v>
      </c>
      <c r="N174" t="s">
        <v>662</v>
      </c>
      <c r="O174" t="s">
        <v>795</v>
      </c>
    </row>
    <row r="175" spans="1:15" x14ac:dyDescent="0.35">
      <c r="A175" s="77">
        <v>8.0767123287671225</v>
      </c>
      <c r="B175" s="19">
        <v>7968</v>
      </c>
      <c r="C175" s="19" t="s">
        <v>2491</v>
      </c>
      <c r="D175" s="19" t="s">
        <v>324</v>
      </c>
      <c r="E175" s="19" t="s">
        <v>325</v>
      </c>
      <c r="F175" s="19" t="s">
        <v>1284</v>
      </c>
      <c r="G175" s="19" t="s">
        <v>1046</v>
      </c>
      <c r="H175" s="19" t="s">
        <v>1001</v>
      </c>
      <c r="I175" s="19" t="s">
        <v>1599</v>
      </c>
      <c r="J175" s="20">
        <v>37</v>
      </c>
      <c r="K175" t="s">
        <v>631</v>
      </c>
      <c r="L175" t="s">
        <v>663</v>
      </c>
      <c r="M175" t="s">
        <v>629</v>
      </c>
      <c r="N175" t="s">
        <v>646</v>
      </c>
      <c r="O175" t="s">
        <v>639</v>
      </c>
    </row>
    <row r="176" spans="1:15" x14ac:dyDescent="0.35">
      <c r="A176" s="77">
        <v>11.8</v>
      </c>
      <c r="B176" s="19">
        <v>7975</v>
      </c>
      <c r="C176" s="19" t="s">
        <v>2492</v>
      </c>
      <c r="D176" s="19" t="s">
        <v>399</v>
      </c>
      <c r="E176" s="19" t="s">
        <v>400</v>
      </c>
      <c r="F176" s="19" t="s">
        <v>868</v>
      </c>
      <c r="G176" s="19" t="s">
        <v>1046</v>
      </c>
      <c r="H176" s="19" t="s">
        <v>1001</v>
      </c>
      <c r="I176" s="19" t="s">
        <v>1599</v>
      </c>
      <c r="J176" s="20">
        <v>37</v>
      </c>
      <c r="K176" t="s">
        <v>642</v>
      </c>
      <c r="L176" t="s">
        <v>684</v>
      </c>
      <c r="M176" t="s">
        <v>623</v>
      </c>
      <c r="N176" t="s">
        <v>662</v>
      </c>
      <c r="O176" t="s">
        <v>795</v>
      </c>
    </row>
    <row r="177" spans="1:15" x14ac:dyDescent="0.35">
      <c r="A177" s="77">
        <v>3.9178082191780823</v>
      </c>
      <c r="B177" s="19">
        <v>8026</v>
      </c>
      <c r="C177" s="19" t="s">
        <v>2493</v>
      </c>
      <c r="D177" s="19" t="s">
        <v>276</v>
      </c>
      <c r="E177" s="19" t="s">
        <v>277</v>
      </c>
      <c r="F177" s="19" t="s">
        <v>893</v>
      </c>
      <c r="G177" s="19" t="s">
        <v>1084</v>
      </c>
      <c r="H177" s="19" t="s">
        <v>1001</v>
      </c>
      <c r="I177" s="19" t="s">
        <v>1575</v>
      </c>
      <c r="J177" s="20">
        <v>31</v>
      </c>
      <c r="K177" t="s">
        <v>631</v>
      </c>
      <c r="L177" t="s">
        <v>707</v>
      </c>
      <c r="M177" t="s">
        <v>629</v>
      </c>
      <c r="N177" t="s">
        <v>635</v>
      </c>
      <c r="O177" t="s">
        <v>710</v>
      </c>
    </row>
    <row r="178" spans="1:15" x14ac:dyDescent="0.35">
      <c r="A178" s="77">
        <v>6.6630136986301371</v>
      </c>
      <c r="B178" s="19">
        <v>8114</v>
      </c>
      <c r="C178" s="19" t="s">
        <v>2494</v>
      </c>
      <c r="D178" s="19" t="s">
        <v>181</v>
      </c>
      <c r="E178" s="19" t="s">
        <v>182</v>
      </c>
      <c r="F178" s="19" t="s">
        <v>1374</v>
      </c>
      <c r="G178" s="19" t="s">
        <v>1045</v>
      </c>
      <c r="H178" s="19" t="s">
        <v>1001</v>
      </c>
      <c r="I178" s="19" t="s">
        <v>1599</v>
      </c>
      <c r="J178" s="20">
        <v>36</v>
      </c>
      <c r="K178" t="s">
        <v>625</v>
      </c>
      <c r="L178" t="s">
        <v>678</v>
      </c>
      <c r="M178" t="s">
        <v>623</v>
      </c>
      <c r="N178" t="s">
        <v>624</v>
      </c>
      <c r="O178" t="s">
        <v>679</v>
      </c>
    </row>
    <row r="179" spans="1:15" x14ac:dyDescent="0.35">
      <c r="A179" s="77">
        <v>7.2410958904109588</v>
      </c>
      <c r="B179" s="19">
        <v>8133</v>
      </c>
      <c r="C179" s="19" t="s">
        <v>2495</v>
      </c>
      <c r="D179" s="19" t="s">
        <v>95</v>
      </c>
      <c r="E179" s="19" t="s">
        <v>96</v>
      </c>
      <c r="F179" s="19" t="s">
        <v>1188</v>
      </c>
      <c r="G179" s="19" t="s">
        <v>1084</v>
      </c>
      <c r="H179" s="19" t="s">
        <v>1001</v>
      </c>
      <c r="I179" s="19" t="s">
        <v>1575</v>
      </c>
      <c r="J179" s="20">
        <v>36</v>
      </c>
      <c r="K179" t="s">
        <v>636</v>
      </c>
      <c r="L179" t="s">
        <v>737</v>
      </c>
      <c r="M179" t="s">
        <v>657</v>
      </c>
      <c r="N179" t="s">
        <v>641</v>
      </c>
      <c r="O179" t="s">
        <v>738</v>
      </c>
    </row>
    <row r="180" spans="1:15" x14ac:dyDescent="0.35">
      <c r="A180" s="77">
        <v>9.9479452054794528</v>
      </c>
      <c r="B180" s="19">
        <v>8164</v>
      </c>
      <c r="C180" s="19" t="s">
        <v>2496</v>
      </c>
      <c r="D180" s="19" t="s">
        <v>12</v>
      </c>
      <c r="E180" s="19" t="s">
        <v>12</v>
      </c>
      <c r="F180" s="19" t="s">
        <v>1145</v>
      </c>
      <c r="G180" s="19" t="s">
        <v>1008</v>
      </c>
      <c r="H180" s="19" t="s">
        <v>1001</v>
      </c>
      <c r="I180" s="19" t="s">
        <v>1575</v>
      </c>
      <c r="J180" s="20">
        <v>38</v>
      </c>
      <c r="K180" t="s">
        <v>636</v>
      </c>
      <c r="L180" t="s">
        <v>634</v>
      </c>
      <c r="M180" t="s">
        <v>629</v>
      </c>
      <c r="N180" t="s">
        <v>635</v>
      </c>
      <c r="O180" t="s">
        <v>637</v>
      </c>
    </row>
    <row r="181" spans="1:15" x14ac:dyDescent="0.35">
      <c r="A181" s="77">
        <v>1.8876712328767122</v>
      </c>
      <c r="B181" s="19">
        <v>8176</v>
      </c>
      <c r="C181" s="19" t="s">
        <v>2497</v>
      </c>
      <c r="D181" s="19" t="s">
        <v>328</v>
      </c>
      <c r="E181" s="19" t="s">
        <v>329</v>
      </c>
      <c r="F181" s="19" t="s">
        <v>838</v>
      </c>
      <c r="G181" s="19" t="s">
        <v>1084</v>
      </c>
      <c r="H181" s="19" t="s">
        <v>1001</v>
      </c>
      <c r="I181" s="19" t="s">
        <v>1575</v>
      </c>
      <c r="J181" s="20">
        <v>47</v>
      </c>
      <c r="K181" t="s">
        <v>631</v>
      </c>
      <c r="L181" t="s">
        <v>645</v>
      </c>
      <c r="M181" t="s">
        <v>629</v>
      </c>
      <c r="N181" t="s">
        <v>646</v>
      </c>
      <c r="O181" t="s">
        <v>632</v>
      </c>
    </row>
    <row r="182" spans="1:15" x14ac:dyDescent="0.35">
      <c r="A182" s="77">
        <v>11.753424657534246</v>
      </c>
      <c r="B182" s="19">
        <v>8202</v>
      </c>
      <c r="C182" s="19" t="s">
        <v>2498</v>
      </c>
      <c r="D182" s="19" t="s">
        <v>197</v>
      </c>
      <c r="E182" s="19" t="s">
        <v>198</v>
      </c>
      <c r="F182" s="19" t="s">
        <v>1297</v>
      </c>
      <c r="G182" s="19" t="s">
        <v>1045</v>
      </c>
      <c r="H182" s="19" t="s">
        <v>1001</v>
      </c>
      <c r="I182" s="19" t="s">
        <v>1575</v>
      </c>
      <c r="J182" s="20">
        <v>31</v>
      </c>
      <c r="K182" t="s">
        <v>654</v>
      </c>
      <c r="L182" t="s">
        <v>645</v>
      </c>
      <c r="M182" t="s">
        <v>629</v>
      </c>
      <c r="N182" t="s">
        <v>646</v>
      </c>
      <c r="O182" t="s">
        <v>632</v>
      </c>
    </row>
    <row r="183" spans="1:15" x14ac:dyDescent="0.35">
      <c r="A183" s="77">
        <v>11.739726027397261</v>
      </c>
      <c r="B183" s="19">
        <v>8226</v>
      </c>
      <c r="C183" s="19" t="s">
        <v>2499</v>
      </c>
      <c r="D183" s="19" t="s">
        <v>128</v>
      </c>
      <c r="E183" s="19" t="s">
        <v>129</v>
      </c>
      <c r="F183" s="19" t="s">
        <v>1075</v>
      </c>
      <c r="G183" s="19" t="s">
        <v>1000</v>
      </c>
      <c r="H183" s="19" t="s">
        <v>1001</v>
      </c>
      <c r="I183" s="19" t="s">
        <v>1599</v>
      </c>
      <c r="J183" s="20">
        <v>40</v>
      </c>
      <c r="K183" t="s">
        <v>636</v>
      </c>
      <c r="L183" t="s">
        <v>678</v>
      </c>
      <c r="M183" t="s">
        <v>623</v>
      </c>
      <c r="N183" t="s">
        <v>624</v>
      </c>
      <c r="O183" t="s">
        <v>679</v>
      </c>
    </row>
    <row r="184" spans="1:15" x14ac:dyDescent="0.35">
      <c r="A184" s="77">
        <v>6.3917808219178083</v>
      </c>
      <c r="B184" s="19">
        <v>8418</v>
      </c>
      <c r="C184" s="19" t="s">
        <v>2500</v>
      </c>
      <c r="D184" s="19" t="s">
        <v>215</v>
      </c>
      <c r="E184" s="19" t="s">
        <v>216</v>
      </c>
      <c r="F184" s="19" t="s">
        <v>1081</v>
      </c>
      <c r="G184" s="19" t="s">
        <v>1008</v>
      </c>
      <c r="H184" s="19" t="s">
        <v>1001</v>
      </c>
      <c r="I184" s="19" t="s">
        <v>1599</v>
      </c>
      <c r="J184" s="20">
        <v>41</v>
      </c>
      <c r="K184" t="s">
        <v>654</v>
      </c>
      <c r="L184" t="s">
        <v>640</v>
      </c>
      <c r="M184" t="s">
        <v>623</v>
      </c>
      <c r="N184" t="s">
        <v>624</v>
      </c>
      <c r="O184" t="s">
        <v>789</v>
      </c>
    </row>
    <row r="185" spans="1:15" x14ac:dyDescent="0.35">
      <c r="A185" s="77">
        <v>11.69041095890411</v>
      </c>
      <c r="B185" s="19">
        <v>8797</v>
      </c>
      <c r="C185" s="19" t="s">
        <v>2501</v>
      </c>
      <c r="D185" s="19" t="s">
        <v>328</v>
      </c>
      <c r="E185" s="19" t="s">
        <v>329</v>
      </c>
      <c r="F185" s="19" t="s">
        <v>838</v>
      </c>
      <c r="G185" s="19" t="s">
        <v>1046</v>
      </c>
      <c r="H185" s="19" t="s">
        <v>1001</v>
      </c>
      <c r="I185" s="19" t="s">
        <v>1575</v>
      </c>
      <c r="J185" s="20">
        <v>35</v>
      </c>
      <c r="K185" t="s">
        <v>631</v>
      </c>
      <c r="L185" t="s">
        <v>645</v>
      </c>
      <c r="M185" t="s">
        <v>629</v>
      </c>
      <c r="N185" t="s">
        <v>646</v>
      </c>
      <c r="O185" t="s">
        <v>632</v>
      </c>
    </row>
    <row r="186" spans="1:15" x14ac:dyDescent="0.35">
      <c r="A186" s="77">
        <v>6.7726027397260271</v>
      </c>
      <c r="B186" s="19">
        <v>8852</v>
      </c>
      <c r="C186" s="19" t="s">
        <v>2502</v>
      </c>
      <c r="D186" s="19" t="s">
        <v>367</v>
      </c>
      <c r="E186" s="19" t="s">
        <v>368</v>
      </c>
      <c r="F186" s="19" t="s">
        <v>1604</v>
      </c>
      <c r="G186" s="19" t="s">
        <v>1000</v>
      </c>
      <c r="H186" s="19" t="s">
        <v>1001</v>
      </c>
      <c r="I186" s="19" t="s">
        <v>1599</v>
      </c>
      <c r="J186" s="20">
        <v>33</v>
      </c>
      <c r="K186" t="s">
        <v>636</v>
      </c>
      <c r="L186" t="s">
        <v>737</v>
      </c>
      <c r="M186" t="s">
        <v>657</v>
      </c>
      <c r="N186" t="s">
        <v>641</v>
      </c>
      <c r="O186" t="s">
        <v>738</v>
      </c>
    </row>
    <row r="187" spans="1:15" x14ac:dyDescent="0.35">
      <c r="A187" s="77">
        <v>4.7397260273972606</v>
      </c>
      <c r="B187" s="19">
        <v>8981</v>
      </c>
      <c r="C187" s="19" t="s">
        <v>2503</v>
      </c>
      <c r="D187" s="19" t="s">
        <v>93</v>
      </c>
      <c r="E187" s="19" t="s">
        <v>94</v>
      </c>
      <c r="F187" s="19" t="s">
        <v>919</v>
      </c>
      <c r="G187" s="19" t="s">
        <v>1000</v>
      </c>
      <c r="H187" s="19" t="s">
        <v>1001</v>
      </c>
      <c r="I187" s="19" t="s">
        <v>1599</v>
      </c>
      <c r="J187" s="20">
        <v>31</v>
      </c>
      <c r="K187" t="s">
        <v>654</v>
      </c>
      <c r="L187" t="s">
        <v>691</v>
      </c>
      <c r="M187" t="s">
        <v>657</v>
      </c>
      <c r="N187" t="s">
        <v>658</v>
      </c>
      <c r="O187" t="s">
        <v>632</v>
      </c>
    </row>
    <row r="188" spans="1:15" x14ac:dyDescent="0.35">
      <c r="A188" s="77">
        <v>11.668493150684931</v>
      </c>
      <c r="B188" s="19">
        <v>9011</v>
      </c>
      <c r="C188" s="19" t="s">
        <v>2504</v>
      </c>
      <c r="D188" s="19" t="s">
        <v>360</v>
      </c>
      <c r="E188" s="19" t="s">
        <v>361</v>
      </c>
      <c r="F188" s="19" t="s">
        <v>2312</v>
      </c>
      <c r="G188" s="19" t="s">
        <v>1045</v>
      </c>
      <c r="H188" s="19" t="s">
        <v>1001</v>
      </c>
      <c r="I188" s="19" t="s">
        <v>1599</v>
      </c>
      <c r="J188" s="20">
        <v>35</v>
      </c>
      <c r="K188" t="s">
        <v>642</v>
      </c>
      <c r="L188" t="s">
        <v>670</v>
      </c>
      <c r="M188" t="s">
        <v>657</v>
      </c>
      <c r="N188" t="s">
        <v>641</v>
      </c>
      <c r="O188" t="s">
        <v>671</v>
      </c>
    </row>
    <row r="189" spans="1:15" x14ac:dyDescent="0.35">
      <c r="A189" s="77">
        <v>1.810958904109589</v>
      </c>
      <c r="B189" s="19">
        <v>9058</v>
      </c>
      <c r="C189" s="19" t="s">
        <v>2505</v>
      </c>
      <c r="D189" s="19" t="s">
        <v>39</v>
      </c>
      <c r="E189" s="19" t="s">
        <v>39</v>
      </c>
      <c r="F189" s="19" t="s">
        <v>1168</v>
      </c>
      <c r="G189" s="19" t="s">
        <v>1045</v>
      </c>
      <c r="H189" s="19" t="s">
        <v>1001</v>
      </c>
      <c r="I189" s="19" t="s">
        <v>1599</v>
      </c>
      <c r="J189" s="20">
        <v>39</v>
      </c>
      <c r="K189" t="s">
        <v>636</v>
      </c>
      <c r="L189" t="s">
        <v>661</v>
      </c>
      <c r="M189" t="s">
        <v>657</v>
      </c>
      <c r="N189" t="s">
        <v>662</v>
      </c>
      <c r="O189" t="s">
        <v>632</v>
      </c>
    </row>
    <row r="190" spans="1:15" x14ac:dyDescent="0.35">
      <c r="A190" s="77">
        <v>11.635616438356164</v>
      </c>
      <c r="B190" s="19">
        <v>9104</v>
      </c>
      <c r="C190" s="19" t="s">
        <v>2506</v>
      </c>
      <c r="D190" s="19" t="s">
        <v>68</v>
      </c>
      <c r="E190" s="19" t="s">
        <v>69</v>
      </c>
      <c r="F190" s="19" t="s">
        <v>1078</v>
      </c>
      <c r="G190" s="19" t="s">
        <v>1046</v>
      </c>
      <c r="H190" s="19" t="s">
        <v>1001</v>
      </c>
      <c r="I190" s="19" t="s">
        <v>1575</v>
      </c>
      <c r="J190" s="20">
        <v>41</v>
      </c>
      <c r="K190" t="s">
        <v>636</v>
      </c>
      <c r="L190" t="s">
        <v>670</v>
      </c>
      <c r="M190" t="s">
        <v>657</v>
      </c>
      <c r="N190" t="s">
        <v>641</v>
      </c>
      <c r="O190" t="s">
        <v>671</v>
      </c>
    </row>
    <row r="191" spans="1:15" x14ac:dyDescent="0.35">
      <c r="A191" s="77">
        <v>11.632876712328768</v>
      </c>
      <c r="B191" s="19">
        <v>9124</v>
      </c>
      <c r="C191" s="19" t="s">
        <v>2507</v>
      </c>
      <c r="D191" s="19" t="s">
        <v>320</v>
      </c>
      <c r="E191" s="19" t="s">
        <v>321</v>
      </c>
      <c r="F191" s="19" t="s">
        <v>1205</v>
      </c>
      <c r="G191" s="19" t="s">
        <v>1000</v>
      </c>
      <c r="H191" s="19" t="s">
        <v>1001</v>
      </c>
      <c r="I191" s="19" t="s">
        <v>1575</v>
      </c>
      <c r="J191" s="20">
        <v>37</v>
      </c>
      <c r="K191" t="s">
        <v>668</v>
      </c>
      <c r="L191" t="s">
        <v>707</v>
      </c>
      <c r="M191" t="s">
        <v>629</v>
      </c>
      <c r="N191" t="s">
        <v>635</v>
      </c>
      <c r="O191" t="s">
        <v>708</v>
      </c>
    </row>
    <row r="192" spans="1:15" x14ac:dyDescent="0.35">
      <c r="A192" s="77">
        <v>0.16438356164383561</v>
      </c>
      <c r="B192" s="19">
        <v>9199</v>
      </c>
      <c r="C192" s="19" t="s">
        <v>2508</v>
      </c>
      <c r="D192" s="19" t="s">
        <v>369</v>
      </c>
      <c r="E192" s="19" t="s">
        <v>370</v>
      </c>
      <c r="F192" s="19" t="s">
        <v>856</v>
      </c>
      <c r="G192" s="19" t="s">
        <v>1028</v>
      </c>
      <c r="H192" s="19" t="s">
        <v>1020</v>
      </c>
      <c r="I192" s="19" t="s">
        <v>1575</v>
      </c>
      <c r="J192" s="20">
        <v>35</v>
      </c>
      <c r="K192" t="s">
        <v>654</v>
      </c>
      <c r="L192" t="s">
        <v>684</v>
      </c>
      <c r="M192" t="s">
        <v>623</v>
      </c>
      <c r="N192" t="s">
        <v>662</v>
      </c>
      <c r="O192" t="s">
        <v>857</v>
      </c>
    </row>
    <row r="193" spans="1:15" x14ac:dyDescent="0.35">
      <c r="A193" s="77">
        <v>4</v>
      </c>
      <c r="B193" s="19">
        <v>9424</v>
      </c>
      <c r="C193" s="19" t="s">
        <v>2509</v>
      </c>
      <c r="D193" s="19" t="s">
        <v>62</v>
      </c>
      <c r="E193" s="19" t="s">
        <v>63</v>
      </c>
      <c r="F193" s="19" t="s">
        <v>1228</v>
      </c>
      <c r="G193" s="19" t="s">
        <v>1000</v>
      </c>
      <c r="H193" s="19" t="s">
        <v>1001</v>
      </c>
      <c r="I193" s="19" t="s">
        <v>1599</v>
      </c>
      <c r="J193" s="20">
        <v>32</v>
      </c>
      <c r="K193" t="s">
        <v>636</v>
      </c>
      <c r="L193" t="s">
        <v>645</v>
      </c>
      <c r="M193" t="s">
        <v>629</v>
      </c>
      <c r="N193" t="s">
        <v>646</v>
      </c>
      <c r="O193" t="s">
        <v>632</v>
      </c>
    </row>
    <row r="194" spans="1:15" x14ac:dyDescent="0.35">
      <c r="A194" s="77">
        <v>11.608219178082193</v>
      </c>
      <c r="B194" s="19">
        <v>9451</v>
      </c>
      <c r="C194" s="19" t="s">
        <v>2510</v>
      </c>
      <c r="D194" s="19" t="s">
        <v>222</v>
      </c>
      <c r="E194" s="19" t="s">
        <v>223</v>
      </c>
      <c r="F194" s="19" t="s">
        <v>1660</v>
      </c>
      <c r="G194" s="19" t="s">
        <v>1057</v>
      </c>
      <c r="H194" s="19" t="s">
        <v>1001</v>
      </c>
      <c r="I194" s="19" t="s">
        <v>1575</v>
      </c>
      <c r="J194" s="20">
        <v>35</v>
      </c>
      <c r="K194" t="s">
        <v>642</v>
      </c>
      <c r="L194" t="s">
        <v>684</v>
      </c>
      <c r="M194" t="s">
        <v>623</v>
      </c>
      <c r="N194" t="s">
        <v>662</v>
      </c>
      <c r="O194" t="s">
        <v>792</v>
      </c>
    </row>
    <row r="195" spans="1:15" x14ac:dyDescent="0.35">
      <c r="A195" s="77">
        <v>8.0027397260273965</v>
      </c>
      <c r="B195" s="19">
        <v>9833</v>
      </c>
      <c r="C195" s="19" t="s">
        <v>2511</v>
      </c>
      <c r="D195" s="19" t="s">
        <v>280</v>
      </c>
      <c r="E195" s="19" t="s">
        <v>281</v>
      </c>
      <c r="F195" s="19" t="s">
        <v>1223</v>
      </c>
      <c r="G195" s="19" t="s">
        <v>1000</v>
      </c>
      <c r="H195" s="19" t="s">
        <v>1001</v>
      </c>
      <c r="I195" s="19" t="s">
        <v>1599</v>
      </c>
      <c r="J195" s="20">
        <v>32</v>
      </c>
      <c r="K195" t="s">
        <v>631</v>
      </c>
      <c r="L195" t="s">
        <v>691</v>
      </c>
      <c r="M195" t="s">
        <v>657</v>
      </c>
      <c r="N195" t="s">
        <v>658</v>
      </c>
      <c r="O195" t="s">
        <v>632</v>
      </c>
    </row>
    <row r="196" spans="1:15" x14ac:dyDescent="0.35">
      <c r="A196" s="77">
        <v>11.53972602739726</v>
      </c>
      <c r="B196" s="19">
        <v>9916</v>
      </c>
      <c r="C196" s="19" t="s">
        <v>2512</v>
      </c>
      <c r="D196" s="19" t="s">
        <v>171</v>
      </c>
      <c r="E196" s="19" t="s">
        <v>172</v>
      </c>
      <c r="F196" s="19" t="s">
        <v>2239</v>
      </c>
      <c r="G196" s="19" t="s">
        <v>1028</v>
      </c>
      <c r="H196" s="19" t="s">
        <v>1020</v>
      </c>
      <c r="I196" s="19" t="s">
        <v>1575</v>
      </c>
      <c r="J196" s="20">
        <v>31</v>
      </c>
      <c r="K196" t="s">
        <v>654</v>
      </c>
      <c r="L196" t="s">
        <v>661</v>
      </c>
      <c r="M196" t="s">
        <v>657</v>
      </c>
      <c r="N196" t="s">
        <v>662</v>
      </c>
      <c r="O196" t="s">
        <v>632</v>
      </c>
    </row>
    <row r="197" spans="1:15" x14ac:dyDescent="0.35">
      <c r="A197" s="77">
        <v>11.534246575342467</v>
      </c>
      <c r="B197" s="19">
        <v>9968</v>
      </c>
      <c r="C197" s="19" t="s">
        <v>2513</v>
      </c>
      <c r="D197" s="19" t="s">
        <v>305</v>
      </c>
      <c r="E197" s="19" t="s">
        <v>306</v>
      </c>
      <c r="F197" s="19" t="s">
        <v>1086</v>
      </c>
      <c r="G197" s="19" t="s">
        <v>1000</v>
      </c>
      <c r="H197" s="19" t="s">
        <v>1001</v>
      </c>
      <c r="I197" s="19" t="s">
        <v>1599</v>
      </c>
      <c r="J197" s="20">
        <v>44</v>
      </c>
      <c r="K197" t="s">
        <v>654</v>
      </c>
      <c r="L197" t="s">
        <v>622</v>
      </c>
      <c r="M197" t="s">
        <v>623</v>
      </c>
      <c r="N197" t="s">
        <v>624</v>
      </c>
      <c r="O197" t="s">
        <v>826</v>
      </c>
    </row>
    <row r="198" spans="1:15" x14ac:dyDescent="0.35">
      <c r="A198" s="77">
        <v>0.66301369863013704</v>
      </c>
      <c r="B198" s="19">
        <v>10206</v>
      </c>
      <c r="C198" s="19" t="s">
        <v>2514</v>
      </c>
      <c r="D198" s="19" t="s">
        <v>339</v>
      </c>
      <c r="E198" s="19" t="s">
        <v>340</v>
      </c>
      <c r="F198" s="19" t="s">
        <v>1024</v>
      </c>
      <c r="G198" s="19" t="s">
        <v>1028</v>
      </c>
      <c r="H198" s="19" t="s">
        <v>1020</v>
      </c>
      <c r="I198" s="19" t="s">
        <v>1575</v>
      </c>
      <c r="J198" s="20">
        <v>34</v>
      </c>
      <c r="K198" t="s">
        <v>631</v>
      </c>
      <c r="L198" t="s">
        <v>651</v>
      </c>
      <c r="M198" t="s">
        <v>629</v>
      </c>
      <c r="N198" t="s">
        <v>630</v>
      </c>
      <c r="O198" t="s">
        <v>705</v>
      </c>
    </row>
    <row r="199" spans="1:15" x14ac:dyDescent="0.35">
      <c r="A199" s="77">
        <v>11.498630136986302</v>
      </c>
      <c r="B199" s="19">
        <v>10212</v>
      </c>
      <c r="C199" s="19" t="s">
        <v>2515</v>
      </c>
      <c r="D199" s="19" t="s">
        <v>147</v>
      </c>
      <c r="E199" s="19" t="s">
        <v>148</v>
      </c>
      <c r="F199" s="19" t="s">
        <v>1396</v>
      </c>
      <c r="G199" s="19" t="s">
        <v>1000</v>
      </c>
      <c r="H199" s="19" t="s">
        <v>1001</v>
      </c>
      <c r="I199" s="19" t="s">
        <v>1599</v>
      </c>
      <c r="J199" s="20">
        <v>33</v>
      </c>
      <c r="K199" t="s">
        <v>636</v>
      </c>
      <c r="L199" t="s">
        <v>661</v>
      </c>
      <c r="M199" t="s">
        <v>657</v>
      </c>
      <c r="N199" t="s">
        <v>662</v>
      </c>
      <c r="O199" t="s">
        <v>632</v>
      </c>
    </row>
    <row r="200" spans="1:15" x14ac:dyDescent="0.35">
      <c r="A200" s="77">
        <v>2.8904109589041096</v>
      </c>
      <c r="B200" s="19">
        <v>10231</v>
      </c>
      <c r="C200" s="19" t="s">
        <v>2516</v>
      </c>
      <c r="D200" s="19" t="s">
        <v>339</v>
      </c>
      <c r="E200" s="19" t="s">
        <v>340</v>
      </c>
      <c r="F200" s="19" t="s">
        <v>1024</v>
      </c>
      <c r="G200" s="19" t="s">
        <v>1046</v>
      </c>
      <c r="H200" s="19" t="s">
        <v>1001</v>
      </c>
      <c r="I200" s="19" t="s">
        <v>1599</v>
      </c>
      <c r="J200" s="20">
        <v>31</v>
      </c>
      <c r="K200" t="s">
        <v>631</v>
      </c>
      <c r="L200" t="s">
        <v>651</v>
      </c>
      <c r="M200" t="s">
        <v>629</v>
      </c>
      <c r="N200" t="s">
        <v>630</v>
      </c>
      <c r="O200" t="s">
        <v>705</v>
      </c>
    </row>
    <row r="201" spans="1:15" x14ac:dyDescent="0.35">
      <c r="A201" s="77">
        <v>11.463013698630137</v>
      </c>
      <c r="B201" s="19">
        <v>10377</v>
      </c>
      <c r="C201" s="19" t="s">
        <v>2517</v>
      </c>
      <c r="D201" s="19" t="s">
        <v>157</v>
      </c>
      <c r="E201" s="19" t="s">
        <v>158</v>
      </c>
      <c r="F201" s="19" t="s">
        <v>1012</v>
      </c>
      <c r="G201" s="19" t="s">
        <v>1000</v>
      </c>
      <c r="H201" s="19" t="s">
        <v>1001</v>
      </c>
      <c r="I201" s="19" t="s">
        <v>1599</v>
      </c>
      <c r="J201" s="20">
        <v>34</v>
      </c>
      <c r="K201" t="s">
        <v>668</v>
      </c>
      <c r="L201" t="s">
        <v>670</v>
      </c>
      <c r="M201" t="s">
        <v>657</v>
      </c>
      <c r="N201" t="s">
        <v>641</v>
      </c>
      <c r="O201" t="s">
        <v>671</v>
      </c>
    </row>
    <row r="202" spans="1:15" x14ac:dyDescent="0.35">
      <c r="A202" s="77">
        <v>4.1150684931506847</v>
      </c>
      <c r="B202" s="19">
        <v>10423</v>
      </c>
      <c r="C202" s="19" t="s">
        <v>2518</v>
      </c>
      <c r="D202" s="19" t="s">
        <v>600</v>
      </c>
      <c r="E202" s="19" t="e">
        <v>#N/A</v>
      </c>
      <c r="F202" s="19" t="s">
        <v>1201</v>
      </c>
      <c r="G202" s="19" t="s">
        <v>1057</v>
      </c>
      <c r="H202" s="19" t="s">
        <v>1001</v>
      </c>
      <c r="I202" s="19" t="s">
        <v>1575</v>
      </c>
      <c r="J202" s="20">
        <v>35</v>
      </c>
      <c r="K202" t="s">
        <v>668</v>
      </c>
      <c r="L202" t="s">
        <v>622</v>
      </c>
      <c r="M202" t="s">
        <v>623</v>
      </c>
      <c r="N202" t="s">
        <v>624</v>
      </c>
      <c r="O202" t="s">
        <v>649</v>
      </c>
    </row>
    <row r="203" spans="1:15" x14ac:dyDescent="0.35">
      <c r="A203" s="77">
        <v>2.1232876712328768</v>
      </c>
      <c r="B203" s="19">
        <v>10429</v>
      </c>
      <c r="C203" s="19" t="s">
        <v>2519</v>
      </c>
      <c r="D203" s="19" t="s">
        <v>382</v>
      </c>
      <c r="E203" s="19" t="s">
        <v>383</v>
      </c>
      <c r="F203" s="19" t="s">
        <v>384</v>
      </c>
      <c r="G203" s="19" t="s">
        <v>1000</v>
      </c>
      <c r="H203" s="19" t="s">
        <v>1001</v>
      </c>
      <c r="I203" s="19" t="s">
        <v>1599</v>
      </c>
      <c r="J203" s="20">
        <v>30</v>
      </c>
      <c r="K203" t="s">
        <v>636</v>
      </c>
      <c r="L203" t="s">
        <v>656</v>
      </c>
      <c r="M203" t="s">
        <v>657</v>
      </c>
      <c r="N203" t="s">
        <v>658</v>
      </c>
      <c r="O203" t="s">
        <v>843</v>
      </c>
    </row>
    <row r="204" spans="1:15" x14ac:dyDescent="0.35">
      <c r="A204" s="77">
        <v>5.8794520547945206</v>
      </c>
      <c r="B204" s="19">
        <v>10439</v>
      </c>
      <c r="C204" s="19" t="s">
        <v>2520</v>
      </c>
      <c r="D204" s="19" t="s">
        <v>109</v>
      </c>
      <c r="E204" s="19" t="s">
        <v>110</v>
      </c>
      <c r="F204" s="19" t="s">
        <v>2347</v>
      </c>
      <c r="G204" s="19" t="s">
        <v>1008</v>
      </c>
      <c r="H204" s="19" t="s">
        <v>1001</v>
      </c>
      <c r="I204" s="19" t="s">
        <v>1599</v>
      </c>
      <c r="J204" s="20">
        <v>35</v>
      </c>
      <c r="K204" t="s">
        <v>654</v>
      </c>
      <c r="L204" t="s">
        <v>684</v>
      </c>
      <c r="M204" t="s">
        <v>623</v>
      </c>
      <c r="N204" t="s">
        <v>662</v>
      </c>
      <c r="O204" t="s">
        <v>685</v>
      </c>
    </row>
    <row r="205" spans="1:15" x14ac:dyDescent="0.35">
      <c r="A205" s="77">
        <v>3.9068493150684933</v>
      </c>
      <c r="B205" s="19">
        <v>10708</v>
      </c>
      <c r="C205" s="19" t="s">
        <v>2521</v>
      </c>
      <c r="D205" s="19" t="s">
        <v>51</v>
      </c>
      <c r="E205" s="19" t="s">
        <v>52</v>
      </c>
      <c r="F205" s="19" t="s">
        <v>921</v>
      </c>
      <c r="G205" s="19" t="s">
        <v>1045</v>
      </c>
      <c r="H205" s="19" t="s">
        <v>1001</v>
      </c>
      <c r="I205" s="19" t="s">
        <v>1599</v>
      </c>
      <c r="J205" s="20">
        <v>30</v>
      </c>
      <c r="K205" t="s">
        <v>636</v>
      </c>
      <c r="L205" t="s">
        <v>656</v>
      </c>
      <c r="M205" t="s">
        <v>657</v>
      </c>
      <c r="N205" t="s">
        <v>658</v>
      </c>
      <c r="O205" t="s">
        <v>718</v>
      </c>
    </row>
    <row r="206" spans="1:15" x14ac:dyDescent="0.35">
      <c r="A206" s="77">
        <v>11.30958904109589</v>
      </c>
      <c r="B206" s="19">
        <v>11034</v>
      </c>
      <c r="C206" s="19" t="s">
        <v>2522</v>
      </c>
      <c r="D206" s="19" t="s">
        <v>326</v>
      </c>
      <c r="E206" s="19" t="s">
        <v>327</v>
      </c>
      <c r="F206" s="19" t="s">
        <v>1051</v>
      </c>
      <c r="G206" s="19" t="s">
        <v>1045</v>
      </c>
      <c r="H206" s="19" t="s">
        <v>1001</v>
      </c>
      <c r="I206" s="19" t="s">
        <v>1599</v>
      </c>
      <c r="J206" s="20">
        <v>35</v>
      </c>
      <c r="K206" t="s">
        <v>631</v>
      </c>
      <c r="L206" t="s">
        <v>648</v>
      </c>
      <c r="M206" t="s">
        <v>623</v>
      </c>
      <c r="N206" t="s">
        <v>624</v>
      </c>
      <c r="O206" t="s">
        <v>837</v>
      </c>
    </row>
    <row r="207" spans="1:15" x14ac:dyDescent="0.35">
      <c r="A207" s="77">
        <v>8.9780821917808211</v>
      </c>
      <c r="B207" s="19">
        <v>11141</v>
      </c>
      <c r="C207" s="19" t="s">
        <v>2523</v>
      </c>
      <c r="D207" s="19" t="s">
        <v>111</v>
      </c>
      <c r="E207" s="19" t="s">
        <v>112</v>
      </c>
      <c r="F207" s="19" t="s">
        <v>1083</v>
      </c>
      <c r="G207" s="19" t="s">
        <v>1000</v>
      </c>
      <c r="H207" s="19" t="s">
        <v>1001</v>
      </c>
      <c r="I207" s="19" t="s">
        <v>1599</v>
      </c>
      <c r="J207" s="20">
        <v>37</v>
      </c>
      <c r="K207" t="s">
        <v>654</v>
      </c>
      <c r="L207" t="s">
        <v>651</v>
      </c>
      <c r="M207" t="s">
        <v>629</v>
      </c>
      <c r="N207" t="s">
        <v>630</v>
      </c>
      <c r="O207" t="s">
        <v>652</v>
      </c>
    </row>
    <row r="208" spans="1:15" x14ac:dyDescent="0.35">
      <c r="A208" s="77">
        <v>11.263013698630138</v>
      </c>
      <c r="B208" s="19">
        <v>11227</v>
      </c>
      <c r="C208" s="19" t="s">
        <v>2524</v>
      </c>
      <c r="D208" s="19" t="s">
        <v>220</v>
      </c>
      <c r="E208" s="19" t="s">
        <v>221</v>
      </c>
      <c r="F208" s="19" t="s">
        <v>2309</v>
      </c>
      <c r="G208" s="19" t="s">
        <v>1046</v>
      </c>
      <c r="H208" s="19" t="s">
        <v>1001</v>
      </c>
      <c r="I208" s="19" t="s">
        <v>1599</v>
      </c>
      <c r="J208" s="20">
        <v>38</v>
      </c>
      <c r="K208" t="s">
        <v>668</v>
      </c>
      <c r="L208" t="s">
        <v>648</v>
      </c>
      <c r="M208" t="s">
        <v>623</v>
      </c>
      <c r="N208" t="s">
        <v>624</v>
      </c>
      <c r="O208" t="s">
        <v>649</v>
      </c>
    </row>
    <row r="209" spans="1:15" x14ac:dyDescent="0.35">
      <c r="A209" s="77">
        <v>11.257534246575343</v>
      </c>
      <c r="B209" s="19">
        <v>11342</v>
      </c>
      <c r="C209" s="19" t="s">
        <v>2525</v>
      </c>
      <c r="D209" s="19" t="s">
        <v>264</v>
      </c>
      <c r="E209" s="19" t="s">
        <v>265</v>
      </c>
      <c r="F209" s="19" t="s">
        <v>2526</v>
      </c>
      <c r="G209" s="19" t="s">
        <v>1046</v>
      </c>
      <c r="H209" s="19" t="s">
        <v>1001</v>
      </c>
      <c r="I209" s="19" t="s">
        <v>1575</v>
      </c>
      <c r="J209" s="20">
        <v>32</v>
      </c>
      <c r="K209" t="s">
        <v>654</v>
      </c>
      <c r="L209" t="s">
        <v>678</v>
      </c>
      <c r="M209" t="s">
        <v>623</v>
      </c>
      <c r="N209" t="s">
        <v>624</v>
      </c>
      <c r="O209" t="s">
        <v>689</v>
      </c>
    </row>
    <row r="210" spans="1:15" x14ac:dyDescent="0.35">
      <c r="A210" s="77">
        <v>2.9095890410958902</v>
      </c>
      <c r="B210" s="19">
        <v>11434</v>
      </c>
      <c r="C210" s="19" t="s">
        <v>2527</v>
      </c>
      <c r="D210" s="19" t="s">
        <v>280</v>
      </c>
      <c r="E210" s="19" t="s">
        <v>281</v>
      </c>
      <c r="F210" s="19" t="s">
        <v>1223</v>
      </c>
      <c r="G210" s="19" t="s">
        <v>1045</v>
      </c>
      <c r="H210" s="19" t="s">
        <v>1001</v>
      </c>
      <c r="I210" s="19" t="s">
        <v>1599</v>
      </c>
      <c r="J210" s="20">
        <v>33</v>
      </c>
      <c r="K210" t="s">
        <v>631</v>
      </c>
      <c r="L210" t="s">
        <v>691</v>
      </c>
      <c r="M210" t="s">
        <v>657</v>
      </c>
      <c r="N210" t="s">
        <v>658</v>
      </c>
      <c r="O210" t="s">
        <v>632</v>
      </c>
    </row>
    <row r="211" spans="1:15" x14ac:dyDescent="0.35">
      <c r="A211" s="77">
        <v>11.227397260273973</v>
      </c>
      <c r="B211" s="19">
        <v>11456</v>
      </c>
      <c r="C211" s="19" t="s">
        <v>2528</v>
      </c>
      <c r="D211" s="19" t="s">
        <v>393</v>
      </c>
      <c r="E211" s="19" t="s">
        <v>394</v>
      </c>
      <c r="F211" s="19" t="s">
        <v>865</v>
      </c>
      <c r="G211" s="19" t="s">
        <v>1034</v>
      </c>
      <c r="H211" s="19" t="s">
        <v>1001</v>
      </c>
      <c r="I211" s="19" t="s">
        <v>1599</v>
      </c>
      <c r="J211" s="20">
        <v>35</v>
      </c>
      <c r="K211" t="s">
        <v>631</v>
      </c>
      <c r="L211" t="s">
        <v>684</v>
      </c>
      <c r="M211" t="s">
        <v>623</v>
      </c>
      <c r="N211" t="s">
        <v>662</v>
      </c>
      <c r="O211" t="s">
        <v>685</v>
      </c>
    </row>
    <row r="212" spans="1:15" x14ac:dyDescent="0.35">
      <c r="A212" s="77">
        <v>7.8328767123287673</v>
      </c>
      <c r="B212" s="19">
        <v>11537</v>
      </c>
      <c r="C212" s="19" t="s">
        <v>2529</v>
      </c>
      <c r="D212" s="19" t="s">
        <v>419</v>
      </c>
      <c r="E212" s="19" t="s">
        <v>419</v>
      </c>
      <c r="F212" s="19" t="s">
        <v>695</v>
      </c>
      <c r="G212" s="19" t="s">
        <v>1000</v>
      </c>
      <c r="H212" s="19" t="s">
        <v>1001</v>
      </c>
      <c r="I212" s="19" t="s">
        <v>1575</v>
      </c>
      <c r="J212" s="20">
        <v>31</v>
      </c>
      <c r="K212" t="s">
        <v>654</v>
      </c>
      <c r="L212" t="s">
        <v>628</v>
      </c>
      <c r="M212" t="s">
        <v>629</v>
      </c>
      <c r="N212" t="s">
        <v>630</v>
      </c>
      <c r="O212" t="s">
        <v>632</v>
      </c>
    </row>
    <row r="213" spans="1:15" x14ac:dyDescent="0.35">
      <c r="A213" s="77">
        <v>11.210958904109589</v>
      </c>
      <c r="B213" s="19">
        <v>11539</v>
      </c>
      <c r="C213" s="19" t="s">
        <v>2530</v>
      </c>
      <c r="D213" s="19" t="s">
        <v>395</v>
      </c>
      <c r="E213" s="19" t="s">
        <v>396</v>
      </c>
      <c r="F213" s="19" t="s">
        <v>1147</v>
      </c>
      <c r="G213" s="19" t="s">
        <v>1000</v>
      </c>
      <c r="H213" s="19" t="s">
        <v>1001</v>
      </c>
      <c r="I213" s="19" t="s">
        <v>1575</v>
      </c>
      <c r="J213" s="20">
        <v>38</v>
      </c>
      <c r="K213" t="s">
        <v>642</v>
      </c>
      <c r="L213" t="s">
        <v>678</v>
      </c>
      <c r="M213" t="s">
        <v>623</v>
      </c>
      <c r="N213" t="s">
        <v>624</v>
      </c>
      <c r="O213" t="s">
        <v>679</v>
      </c>
    </row>
    <row r="214" spans="1:15" x14ac:dyDescent="0.35">
      <c r="A214" s="77">
        <v>5.5726027397260278</v>
      </c>
      <c r="B214" s="19">
        <v>11545</v>
      </c>
      <c r="C214" s="19" t="s">
        <v>2531</v>
      </c>
      <c r="D214" s="19" t="s">
        <v>175</v>
      </c>
      <c r="E214" s="19" t="s">
        <v>176</v>
      </c>
      <c r="F214" s="19" t="s">
        <v>1538</v>
      </c>
      <c r="G214" s="19" t="s">
        <v>1046</v>
      </c>
      <c r="H214" s="19" t="s">
        <v>1001</v>
      </c>
      <c r="I214" s="19" t="s">
        <v>1575</v>
      </c>
      <c r="J214" s="20">
        <v>36</v>
      </c>
      <c r="K214" t="s">
        <v>668</v>
      </c>
      <c r="L214" t="s">
        <v>707</v>
      </c>
      <c r="M214" t="s">
        <v>629</v>
      </c>
      <c r="N214" t="s">
        <v>635</v>
      </c>
      <c r="O214" t="s">
        <v>710</v>
      </c>
    </row>
    <row r="215" spans="1:15" x14ac:dyDescent="0.35">
      <c r="A215" s="77">
        <v>4.2493150684931509</v>
      </c>
      <c r="B215" s="19">
        <v>11569</v>
      </c>
      <c r="C215" s="19" t="s">
        <v>2532</v>
      </c>
      <c r="D215" s="19" t="s">
        <v>53</v>
      </c>
      <c r="E215" s="19" t="s">
        <v>54</v>
      </c>
      <c r="F215" s="19" t="s">
        <v>1308</v>
      </c>
      <c r="G215" s="19" t="s">
        <v>1000</v>
      </c>
      <c r="H215" s="19" t="s">
        <v>1001</v>
      </c>
      <c r="I215" s="19" t="s">
        <v>1599</v>
      </c>
      <c r="J215" s="20">
        <v>33</v>
      </c>
      <c r="K215" t="s">
        <v>668</v>
      </c>
      <c r="L215" t="s">
        <v>691</v>
      </c>
      <c r="M215" t="s">
        <v>657</v>
      </c>
      <c r="N215" t="s">
        <v>658</v>
      </c>
      <c r="O215" t="s">
        <v>632</v>
      </c>
    </row>
    <row r="216" spans="1:15" x14ac:dyDescent="0.35">
      <c r="A216" s="77">
        <v>11.197260273972603</v>
      </c>
      <c r="B216" s="19">
        <v>11578</v>
      </c>
      <c r="C216" s="19" t="s">
        <v>2533</v>
      </c>
      <c r="D216" s="19" t="s">
        <v>60</v>
      </c>
      <c r="E216" s="19" t="s">
        <v>61</v>
      </c>
      <c r="F216" s="19" t="s">
        <v>1119</v>
      </c>
      <c r="G216" s="19" t="s">
        <v>1000</v>
      </c>
      <c r="H216" s="19" t="s">
        <v>1001</v>
      </c>
      <c r="I216" s="19" t="s">
        <v>1575</v>
      </c>
      <c r="J216" s="20">
        <v>34</v>
      </c>
      <c r="K216" t="s">
        <v>654</v>
      </c>
      <c r="L216" t="s">
        <v>651</v>
      </c>
      <c r="M216" t="s">
        <v>629</v>
      </c>
      <c r="N216" t="s">
        <v>630</v>
      </c>
      <c r="O216" t="s">
        <v>705</v>
      </c>
    </row>
    <row r="217" spans="1:15" x14ac:dyDescent="0.35">
      <c r="A217" s="77">
        <v>11.186301369863013</v>
      </c>
      <c r="B217" s="19">
        <v>11677</v>
      </c>
      <c r="C217" s="19" t="s">
        <v>2534</v>
      </c>
      <c r="D217" s="19" t="s">
        <v>169</v>
      </c>
      <c r="E217" s="19" t="s">
        <v>170</v>
      </c>
      <c r="F217" s="19" t="s">
        <v>1274</v>
      </c>
      <c r="G217" s="19" t="s">
        <v>1008</v>
      </c>
      <c r="H217" s="19" t="s">
        <v>1001</v>
      </c>
      <c r="I217" s="19" t="s">
        <v>1599</v>
      </c>
      <c r="J217" s="20">
        <v>38</v>
      </c>
      <c r="K217" t="s">
        <v>631</v>
      </c>
      <c r="L217" t="s">
        <v>670</v>
      </c>
      <c r="M217" t="s">
        <v>657</v>
      </c>
      <c r="N217" t="s">
        <v>641</v>
      </c>
      <c r="O217" t="s">
        <v>772</v>
      </c>
    </row>
    <row r="218" spans="1:15" x14ac:dyDescent="0.35">
      <c r="A218" s="77">
        <v>11.145205479452056</v>
      </c>
      <c r="B218" s="19">
        <v>11889</v>
      </c>
      <c r="C218" s="19" t="s">
        <v>2535</v>
      </c>
      <c r="D218" s="19" t="s">
        <v>31</v>
      </c>
      <c r="E218" s="19" t="s">
        <v>31</v>
      </c>
      <c r="F218" s="19" t="s">
        <v>675</v>
      </c>
      <c r="G218" s="19" t="s">
        <v>1045</v>
      </c>
      <c r="H218" s="19" t="s">
        <v>1001</v>
      </c>
      <c r="I218" s="19" t="s">
        <v>1599</v>
      </c>
      <c r="J218" s="20">
        <v>35</v>
      </c>
      <c r="K218" t="s">
        <v>654</v>
      </c>
      <c r="L218" t="s">
        <v>670</v>
      </c>
      <c r="M218" t="s">
        <v>657</v>
      </c>
      <c r="N218" t="s">
        <v>641</v>
      </c>
      <c r="O218" t="s">
        <v>676</v>
      </c>
    </row>
    <row r="219" spans="1:15" x14ac:dyDescent="0.35">
      <c r="A219" s="77">
        <v>7.624657534246575</v>
      </c>
      <c r="B219" s="19">
        <v>11928</v>
      </c>
      <c r="C219" s="19" t="s">
        <v>2536</v>
      </c>
      <c r="D219" s="19" t="s">
        <v>47</v>
      </c>
      <c r="E219" s="19" t="s">
        <v>48</v>
      </c>
      <c r="F219" s="19" t="s">
        <v>1232</v>
      </c>
      <c r="G219" s="19" t="s">
        <v>1084</v>
      </c>
      <c r="H219" s="19" t="s">
        <v>1001</v>
      </c>
      <c r="I219" s="19" t="s">
        <v>1599</v>
      </c>
      <c r="J219" s="20">
        <v>47</v>
      </c>
      <c r="K219" t="s">
        <v>636</v>
      </c>
      <c r="L219" t="s">
        <v>622</v>
      </c>
      <c r="M219" t="s">
        <v>623</v>
      </c>
      <c r="N219" t="s">
        <v>624</v>
      </c>
      <c r="O219" t="s">
        <v>649</v>
      </c>
    </row>
    <row r="220" spans="1:15" x14ac:dyDescent="0.35">
      <c r="A220" s="77">
        <v>11.117808219178082</v>
      </c>
      <c r="B220" s="19">
        <v>12052</v>
      </c>
      <c r="C220" s="19" t="s">
        <v>2537</v>
      </c>
      <c r="D220" s="19" t="s">
        <v>109</v>
      </c>
      <c r="E220" s="19" t="s">
        <v>110</v>
      </c>
      <c r="F220" s="19" t="s">
        <v>2347</v>
      </c>
      <c r="G220" s="19" t="s">
        <v>1045</v>
      </c>
      <c r="H220" s="19" t="s">
        <v>1001</v>
      </c>
      <c r="I220" s="19" t="s">
        <v>1575</v>
      </c>
      <c r="J220" s="20">
        <v>33</v>
      </c>
      <c r="K220" t="s">
        <v>654</v>
      </c>
      <c r="L220" t="s">
        <v>684</v>
      </c>
      <c r="M220" t="s">
        <v>623</v>
      </c>
      <c r="N220" t="s">
        <v>662</v>
      </c>
      <c r="O220" t="s">
        <v>685</v>
      </c>
    </row>
    <row r="221" spans="1:15" x14ac:dyDescent="0.35">
      <c r="A221" s="77">
        <v>11.09041095890411</v>
      </c>
      <c r="B221" s="19">
        <v>12194</v>
      </c>
      <c r="C221" s="19" t="s">
        <v>2538</v>
      </c>
      <c r="D221" s="19" t="s">
        <v>268</v>
      </c>
      <c r="E221" s="19" t="s">
        <v>269</v>
      </c>
      <c r="F221" s="19" t="s">
        <v>2161</v>
      </c>
      <c r="G221" s="19" t="s">
        <v>1045</v>
      </c>
      <c r="H221" s="19" t="s">
        <v>1001</v>
      </c>
      <c r="I221" s="19" t="s">
        <v>1575</v>
      </c>
      <c r="J221" s="20">
        <v>34</v>
      </c>
      <c r="K221" t="s">
        <v>654</v>
      </c>
      <c r="L221" t="s">
        <v>666</v>
      </c>
      <c r="M221" t="s">
        <v>629</v>
      </c>
      <c r="N221" t="s">
        <v>635</v>
      </c>
      <c r="O221" t="s">
        <v>637</v>
      </c>
    </row>
    <row r="222" spans="1:15" x14ac:dyDescent="0.35">
      <c r="A222" s="77">
        <v>11.082191780821917</v>
      </c>
      <c r="B222" s="19">
        <v>12231</v>
      </c>
      <c r="C222" s="19" t="s">
        <v>2539</v>
      </c>
      <c r="D222" s="19" t="s">
        <v>427</v>
      </c>
      <c r="E222" s="19" t="s">
        <v>427</v>
      </c>
      <c r="F222" s="19" t="s">
        <v>1290</v>
      </c>
      <c r="G222" s="19" t="s">
        <v>1000</v>
      </c>
      <c r="H222" s="19" t="s">
        <v>1001</v>
      </c>
      <c r="I222" s="19" t="s">
        <v>1599</v>
      </c>
      <c r="J222" s="20">
        <v>39</v>
      </c>
      <c r="K222" t="s">
        <v>654</v>
      </c>
      <c r="L222" t="s">
        <v>651</v>
      </c>
      <c r="M222" t="s">
        <v>629</v>
      </c>
      <c r="N222" t="s">
        <v>630</v>
      </c>
      <c r="O222" t="s">
        <v>652</v>
      </c>
    </row>
    <row r="223" spans="1:15" x14ac:dyDescent="0.35">
      <c r="A223" s="77">
        <v>11.082191780821917</v>
      </c>
      <c r="B223" s="19">
        <v>12232</v>
      </c>
      <c r="C223" s="19" t="s">
        <v>2540</v>
      </c>
      <c r="D223" s="19" t="s">
        <v>268</v>
      </c>
      <c r="E223" s="19" t="s">
        <v>269</v>
      </c>
      <c r="F223" s="19" t="s">
        <v>2161</v>
      </c>
      <c r="G223" s="19" t="s">
        <v>1034</v>
      </c>
      <c r="H223" s="19" t="s">
        <v>1001</v>
      </c>
      <c r="I223" s="19" t="s">
        <v>1575</v>
      </c>
      <c r="J223" s="20">
        <v>34</v>
      </c>
      <c r="K223" t="s">
        <v>654</v>
      </c>
      <c r="L223" t="s">
        <v>666</v>
      </c>
      <c r="M223" t="s">
        <v>629</v>
      </c>
      <c r="N223" t="s">
        <v>635</v>
      </c>
      <c r="O223" t="s">
        <v>637</v>
      </c>
    </row>
    <row r="224" spans="1:15" x14ac:dyDescent="0.35">
      <c r="A224" s="77">
        <v>11.082191780821917</v>
      </c>
      <c r="B224" s="19">
        <v>12240</v>
      </c>
      <c r="C224" s="19" t="s">
        <v>2541</v>
      </c>
      <c r="D224" s="19" t="s">
        <v>268</v>
      </c>
      <c r="E224" s="19" t="s">
        <v>269</v>
      </c>
      <c r="F224" s="19" t="s">
        <v>2161</v>
      </c>
      <c r="G224" s="19" t="s">
        <v>1046</v>
      </c>
      <c r="H224" s="19" t="s">
        <v>1001</v>
      </c>
      <c r="I224" s="19" t="s">
        <v>1575</v>
      </c>
      <c r="J224" s="20">
        <v>36</v>
      </c>
      <c r="K224" t="s">
        <v>654</v>
      </c>
      <c r="L224" t="s">
        <v>666</v>
      </c>
      <c r="M224" t="s">
        <v>629</v>
      </c>
      <c r="N224" t="s">
        <v>635</v>
      </c>
      <c r="O224" t="s">
        <v>637</v>
      </c>
    </row>
    <row r="225" spans="1:15" x14ac:dyDescent="0.35">
      <c r="A225" s="77">
        <v>11.076712328767123</v>
      </c>
      <c r="B225" s="19">
        <v>12342</v>
      </c>
      <c r="C225" s="19" t="s">
        <v>2542</v>
      </c>
      <c r="D225" s="19" t="s">
        <v>393</v>
      </c>
      <c r="E225" s="19" t="s">
        <v>394</v>
      </c>
      <c r="F225" s="19" t="s">
        <v>865</v>
      </c>
      <c r="G225" s="19" t="s">
        <v>1045</v>
      </c>
      <c r="H225" s="19" t="s">
        <v>1001</v>
      </c>
      <c r="I225" s="19" t="s">
        <v>1599</v>
      </c>
      <c r="J225" s="20">
        <v>34</v>
      </c>
      <c r="K225" t="s">
        <v>631</v>
      </c>
      <c r="L225" t="s">
        <v>684</v>
      </c>
      <c r="M225" t="s">
        <v>623</v>
      </c>
      <c r="N225" t="s">
        <v>662</v>
      </c>
      <c r="O225" t="s">
        <v>685</v>
      </c>
    </row>
    <row r="226" spans="1:15" x14ac:dyDescent="0.35">
      <c r="A226" s="77">
        <v>0.74520547945205484</v>
      </c>
      <c r="B226" s="19">
        <v>12417</v>
      </c>
      <c r="C226" s="19" t="s">
        <v>2543</v>
      </c>
      <c r="D226" s="19" t="s">
        <v>333</v>
      </c>
      <c r="E226" s="19" t="s">
        <v>334</v>
      </c>
      <c r="F226" s="19" t="s">
        <v>1333</v>
      </c>
      <c r="G226" s="19" t="s">
        <v>1008</v>
      </c>
      <c r="H226" s="19" t="s">
        <v>1001</v>
      </c>
      <c r="I226" s="19" t="s">
        <v>1599</v>
      </c>
      <c r="J226" s="20">
        <v>39</v>
      </c>
      <c r="K226" t="s">
        <v>636</v>
      </c>
      <c r="L226" t="s">
        <v>666</v>
      </c>
      <c r="M226" t="s">
        <v>629</v>
      </c>
      <c r="N226" t="s">
        <v>630</v>
      </c>
      <c r="O226" t="s">
        <v>652</v>
      </c>
    </row>
    <row r="227" spans="1:15" x14ac:dyDescent="0.35">
      <c r="A227" s="77">
        <v>1.6410958904109589</v>
      </c>
      <c r="B227" s="19">
        <v>12453</v>
      </c>
      <c r="C227" s="19" t="s">
        <v>2544</v>
      </c>
      <c r="D227" s="19" t="s">
        <v>284</v>
      </c>
      <c r="E227" s="19" t="s">
        <v>285</v>
      </c>
      <c r="F227" s="19" t="s">
        <v>1150</v>
      </c>
      <c r="G227" s="19" t="s">
        <v>1046</v>
      </c>
      <c r="H227" s="19" t="s">
        <v>1001</v>
      </c>
      <c r="I227" s="19" t="s">
        <v>1575</v>
      </c>
      <c r="J227" s="20">
        <v>30</v>
      </c>
      <c r="K227" t="s">
        <v>625</v>
      </c>
      <c r="L227" t="s">
        <v>661</v>
      </c>
      <c r="M227" t="s">
        <v>657</v>
      </c>
      <c r="N227" t="s">
        <v>662</v>
      </c>
      <c r="O227" t="s">
        <v>632</v>
      </c>
    </row>
    <row r="228" spans="1:15" x14ac:dyDescent="0.35">
      <c r="A228" s="77">
        <v>2.2493150684931509</v>
      </c>
      <c r="B228" s="19">
        <v>12537</v>
      </c>
      <c r="C228" s="19" t="s">
        <v>2545</v>
      </c>
      <c r="D228" s="19" t="s">
        <v>600</v>
      </c>
      <c r="E228" s="19" t="e">
        <v>#N/A</v>
      </c>
      <c r="F228" s="19" t="s">
        <v>1201</v>
      </c>
      <c r="G228" s="19" t="s">
        <v>1045</v>
      </c>
      <c r="H228" s="19" t="s">
        <v>1001</v>
      </c>
      <c r="I228" s="19" t="s">
        <v>1599</v>
      </c>
      <c r="J228" s="20">
        <v>31</v>
      </c>
      <c r="K228" t="s">
        <v>668</v>
      </c>
      <c r="L228" t="s">
        <v>622</v>
      </c>
      <c r="M228" t="s">
        <v>623</v>
      </c>
      <c r="N228" t="s">
        <v>624</v>
      </c>
      <c r="O228" t="s">
        <v>649</v>
      </c>
    </row>
    <row r="229" spans="1:15" x14ac:dyDescent="0.35">
      <c r="A229" s="77">
        <v>11.03013698630137</v>
      </c>
      <c r="B229" s="19">
        <v>12681</v>
      </c>
      <c r="C229" s="19" t="s">
        <v>2546</v>
      </c>
      <c r="D229" s="19" t="s">
        <v>425</v>
      </c>
      <c r="E229" s="19" t="s">
        <v>425</v>
      </c>
      <c r="F229" s="19" t="s">
        <v>1330</v>
      </c>
      <c r="G229" s="19" t="s">
        <v>1000</v>
      </c>
      <c r="H229" s="19" t="s">
        <v>1001</v>
      </c>
      <c r="I229" s="19" t="s">
        <v>1599</v>
      </c>
      <c r="J229" s="20">
        <v>43</v>
      </c>
      <c r="K229" t="s">
        <v>654</v>
      </c>
      <c r="L229" t="s">
        <v>678</v>
      </c>
      <c r="M229" t="s">
        <v>623</v>
      </c>
      <c r="N229" t="s">
        <v>624</v>
      </c>
      <c r="O229" t="s">
        <v>689</v>
      </c>
    </row>
    <row r="230" spans="1:15" x14ac:dyDescent="0.35">
      <c r="A230" s="77">
        <v>11.019178082191781</v>
      </c>
      <c r="B230" s="19">
        <v>12758</v>
      </c>
      <c r="C230" s="19" t="s">
        <v>2547</v>
      </c>
      <c r="D230" s="19" t="s">
        <v>118</v>
      </c>
      <c r="E230" s="19" t="s">
        <v>119</v>
      </c>
      <c r="F230" s="19" t="s">
        <v>1360</v>
      </c>
      <c r="G230" s="19" t="s">
        <v>1034</v>
      </c>
      <c r="H230" s="19" t="s">
        <v>1001</v>
      </c>
      <c r="I230" s="19" t="s">
        <v>1599</v>
      </c>
      <c r="J230" s="20">
        <v>37</v>
      </c>
      <c r="K230" t="s">
        <v>625</v>
      </c>
      <c r="L230" t="s">
        <v>656</v>
      </c>
      <c r="M230" t="s">
        <v>657</v>
      </c>
      <c r="N230" t="s">
        <v>658</v>
      </c>
      <c r="O230" t="s">
        <v>632</v>
      </c>
    </row>
    <row r="231" spans="1:15" x14ac:dyDescent="0.35">
      <c r="A231" s="77">
        <v>11.002739726027396</v>
      </c>
      <c r="B231" s="19">
        <v>12900</v>
      </c>
      <c r="C231" s="19" t="s">
        <v>2548</v>
      </c>
      <c r="D231" s="19" t="s">
        <v>8</v>
      </c>
      <c r="E231" s="19" t="s">
        <v>8</v>
      </c>
      <c r="F231" s="19" t="s">
        <v>1176</v>
      </c>
      <c r="G231" s="19" t="s">
        <v>1019</v>
      </c>
      <c r="H231" s="19" t="s">
        <v>1020</v>
      </c>
      <c r="I231" s="19" t="s">
        <v>1575</v>
      </c>
      <c r="J231" s="20">
        <v>36</v>
      </c>
      <c r="K231" t="s">
        <v>625</v>
      </c>
      <c r="L231" t="s">
        <v>622</v>
      </c>
      <c r="M231" t="s">
        <v>623</v>
      </c>
      <c r="N231" t="s">
        <v>624</v>
      </c>
      <c r="O231" t="s">
        <v>626</v>
      </c>
    </row>
    <row r="232" spans="1:15" x14ac:dyDescent="0.35">
      <c r="A232" s="77">
        <v>11.005479452054795</v>
      </c>
      <c r="B232" s="19">
        <v>12926</v>
      </c>
      <c r="C232" s="19" t="s">
        <v>2549</v>
      </c>
      <c r="D232" s="19" t="s">
        <v>411</v>
      </c>
      <c r="E232" s="19" t="s">
        <v>412</v>
      </c>
      <c r="F232" s="19" t="s">
        <v>1225</v>
      </c>
      <c r="G232" s="19" t="s">
        <v>1000</v>
      </c>
      <c r="H232" s="19" t="s">
        <v>1001</v>
      </c>
      <c r="I232" s="19" t="s">
        <v>1575</v>
      </c>
      <c r="J232" s="20">
        <v>32</v>
      </c>
      <c r="K232" t="s">
        <v>636</v>
      </c>
      <c r="L232" t="s">
        <v>691</v>
      </c>
      <c r="M232" t="s">
        <v>657</v>
      </c>
      <c r="N232" t="s">
        <v>658</v>
      </c>
      <c r="O232" t="s">
        <v>632</v>
      </c>
    </row>
    <row r="233" spans="1:15" x14ac:dyDescent="0.35">
      <c r="A233" s="77">
        <v>10.991780821917809</v>
      </c>
      <c r="B233" s="19">
        <v>12971</v>
      </c>
      <c r="C233" s="19" t="s">
        <v>2550</v>
      </c>
      <c r="D233" s="19" t="s">
        <v>243</v>
      </c>
      <c r="E233" s="19" t="s">
        <v>244</v>
      </c>
      <c r="F233" s="19" t="s">
        <v>1318</v>
      </c>
      <c r="G233" s="19" t="s">
        <v>1034</v>
      </c>
      <c r="H233" s="19" t="s">
        <v>1001</v>
      </c>
      <c r="I233" s="19" t="s">
        <v>1575</v>
      </c>
      <c r="J233" s="20">
        <v>36</v>
      </c>
      <c r="K233" t="s">
        <v>631</v>
      </c>
      <c r="L233" t="s">
        <v>707</v>
      </c>
      <c r="M233" t="s">
        <v>629</v>
      </c>
      <c r="N233" t="s">
        <v>635</v>
      </c>
      <c r="O233" t="s">
        <v>710</v>
      </c>
    </row>
    <row r="234" spans="1:15" x14ac:dyDescent="0.35">
      <c r="A234" s="77">
        <v>10.991780821917809</v>
      </c>
      <c r="B234" s="19">
        <v>12972</v>
      </c>
      <c r="C234" s="19" t="s">
        <v>2551</v>
      </c>
      <c r="D234" s="19" t="s">
        <v>243</v>
      </c>
      <c r="E234" s="19" t="s">
        <v>244</v>
      </c>
      <c r="F234" s="19" t="s">
        <v>1318</v>
      </c>
      <c r="G234" s="19" t="s">
        <v>1046</v>
      </c>
      <c r="H234" s="19" t="s">
        <v>1001</v>
      </c>
      <c r="I234" s="19" t="s">
        <v>1575</v>
      </c>
      <c r="J234" s="20">
        <v>38</v>
      </c>
      <c r="K234" t="s">
        <v>631</v>
      </c>
      <c r="L234" t="s">
        <v>707</v>
      </c>
      <c r="M234" t="s">
        <v>629</v>
      </c>
      <c r="N234" t="s">
        <v>635</v>
      </c>
      <c r="O234" t="s">
        <v>710</v>
      </c>
    </row>
    <row r="235" spans="1:15" x14ac:dyDescent="0.35">
      <c r="A235" s="77">
        <v>10.991780821917809</v>
      </c>
      <c r="B235" s="19">
        <v>12990</v>
      </c>
      <c r="C235" s="19" t="s">
        <v>2552</v>
      </c>
      <c r="D235" s="19" t="s">
        <v>268</v>
      </c>
      <c r="E235" s="19" t="s">
        <v>269</v>
      </c>
      <c r="F235" s="19" t="s">
        <v>2161</v>
      </c>
      <c r="G235" s="19" t="s">
        <v>1084</v>
      </c>
      <c r="H235" s="19" t="s">
        <v>1001</v>
      </c>
      <c r="I235" s="19" t="s">
        <v>1599</v>
      </c>
      <c r="J235" s="20">
        <v>32</v>
      </c>
      <c r="K235" t="s">
        <v>654</v>
      </c>
      <c r="L235" t="s">
        <v>666</v>
      </c>
      <c r="M235" t="s">
        <v>629</v>
      </c>
      <c r="N235" t="s">
        <v>635</v>
      </c>
      <c r="O235" t="s">
        <v>637</v>
      </c>
    </row>
    <row r="236" spans="1:15" x14ac:dyDescent="0.35">
      <c r="A236" s="77">
        <v>10.983561643835616</v>
      </c>
      <c r="B236" s="19">
        <v>13193</v>
      </c>
      <c r="C236" s="19" t="s">
        <v>2553</v>
      </c>
      <c r="D236" s="19" t="s">
        <v>403</v>
      </c>
      <c r="E236" s="19" t="s">
        <v>404</v>
      </c>
      <c r="F236" s="19" t="s">
        <v>870</v>
      </c>
      <c r="G236" s="19" t="s">
        <v>1046</v>
      </c>
      <c r="H236" s="19" t="s">
        <v>1001</v>
      </c>
      <c r="I236" s="19" t="s">
        <v>1575</v>
      </c>
      <c r="J236" s="20">
        <v>44</v>
      </c>
      <c r="K236" t="s">
        <v>631</v>
      </c>
      <c r="L236" t="s">
        <v>691</v>
      </c>
      <c r="M236" t="s">
        <v>657</v>
      </c>
      <c r="N236" t="s">
        <v>658</v>
      </c>
      <c r="O236" t="s">
        <v>632</v>
      </c>
    </row>
    <row r="237" spans="1:15" x14ac:dyDescent="0.35">
      <c r="A237" s="77">
        <v>10.980821917808219</v>
      </c>
      <c r="B237" s="19">
        <v>13210</v>
      </c>
      <c r="C237" s="19" t="s">
        <v>2554</v>
      </c>
      <c r="D237" s="19" t="s">
        <v>115</v>
      </c>
      <c r="E237" s="19" t="s">
        <v>116</v>
      </c>
      <c r="F237" s="19" t="s">
        <v>1383</v>
      </c>
      <c r="G237" s="19" t="s">
        <v>1034</v>
      </c>
      <c r="H237" s="19" t="s">
        <v>1001</v>
      </c>
      <c r="I237" s="19" t="s">
        <v>1575</v>
      </c>
      <c r="J237" s="20">
        <v>31</v>
      </c>
      <c r="K237" t="s">
        <v>631</v>
      </c>
      <c r="L237" t="s">
        <v>670</v>
      </c>
      <c r="M237" t="s">
        <v>657</v>
      </c>
      <c r="N237" t="s">
        <v>641</v>
      </c>
      <c r="O237" t="s">
        <v>671</v>
      </c>
    </row>
    <row r="238" spans="1:15" x14ac:dyDescent="0.35">
      <c r="A238" s="77">
        <v>10.964383561643835</v>
      </c>
      <c r="B238" s="19">
        <v>13319</v>
      </c>
      <c r="C238" s="19" t="s">
        <v>2555</v>
      </c>
      <c r="D238" s="19" t="s">
        <v>286</v>
      </c>
      <c r="E238" s="19" t="s">
        <v>287</v>
      </c>
      <c r="F238" s="19" t="s">
        <v>1675</v>
      </c>
      <c r="G238" s="19" t="s">
        <v>1000</v>
      </c>
      <c r="H238" s="19" t="s">
        <v>1001</v>
      </c>
      <c r="I238" s="19" t="s">
        <v>1575</v>
      </c>
      <c r="J238" s="20">
        <v>32</v>
      </c>
      <c r="K238" t="s">
        <v>668</v>
      </c>
      <c r="L238" t="s">
        <v>640</v>
      </c>
      <c r="M238" t="s">
        <v>623</v>
      </c>
      <c r="N238" t="s">
        <v>641</v>
      </c>
      <c r="O238" t="s">
        <v>754</v>
      </c>
    </row>
    <row r="239" spans="1:15" x14ac:dyDescent="0.35">
      <c r="A239" s="77">
        <v>10.964383561643835</v>
      </c>
      <c r="B239" s="19">
        <v>13324</v>
      </c>
      <c r="C239" s="19" t="s">
        <v>2556</v>
      </c>
      <c r="D239" s="19" t="s">
        <v>286</v>
      </c>
      <c r="E239" s="19" t="s">
        <v>287</v>
      </c>
      <c r="F239" s="19" t="s">
        <v>1675</v>
      </c>
      <c r="G239" s="19" t="s">
        <v>1057</v>
      </c>
      <c r="H239" s="19" t="s">
        <v>1001</v>
      </c>
      <c r="I239" s="19" t="s">
        <v>1575</v>
      </c>
      <c r="J239" s="20">
        <v>41</v>
      </c>
      <c r="K239" t="s">
        <v>668</v>
      </c>
      <c r="L239" t="s">
        <v>640</v>
      </c>
      <c r="M239" t="s">
        <v>623</v>
      </c>
      <c r="N239" t="s">
        <v>641</v>
      </c>
      <c r="O239" t="s">
        <v>754</v>
      </c>
    </row>
    <row r="240" spans="1:15" x14ac:dyDescent="0.35">
      <c r="A240" s="77">
        <v>10.972602739726028</v>
      </c>
      <c r="B240" s="19">
        <v>13358</v>
      </c>
      <c r="C240" s="19" t="s">
        <v>2557</v>
      </c>
      <c r="D240" s="19" t="s">
        <v>181</v>
      </c>
      <c r="E240" s="19" t="s">
        <v>182</v>
      </c>
      <c r="F240" s="19" t="s">
        <v>1374</v>
      </c>
      <c r="G240" s="19" t="s">
        <v>1000</v>
      </c>
      <c r="H240" s="19" t="s">
        <v>1001</v>
      </c>
      <c r="I240" s="19" t="s">
        <v>1575</v>
      </c>
      <c r="J240" s="20">
        <v>36</v>
      </c>
      <c r="K240" t="s">
        <v>625</v>
      </c>
      <c r="L240" t="s">
        <v>678</v>
      </c>
      <c r="M240" t="s">
        <v>623</v>
      </c>
      <c r="N240" t="s">
        <v>624</v>
      </c>
      <c r="O240" t="s">
        <v>679</v>
      </c>
    </row>
    <row r="241" spans="1:15" x14ac:dyDescent="0.35">
      <c r="A241" s="77">
        <v>10.93972602739726</v>
      </c>
      <c r="B241" s="19">
        <v>13596</v>
      </c>
      <c r="C241" s="19" t="s">
        <v>2558</v>
      </c>
      <c r="D241" s="19" t="s">
        <v>36</v>
      </c>
      <c r="E241" s="19" t="s">
        <v>36</v>
      </c>
      <c r="F241" s="19" t="s">
        <v>1403</v>
      </c>
      <c r="G241" s="19" t="s">
        <v>1045</v>
      </c>
      <c r="H241" s="19" t="s">
        <v>1001</v>
      </c>
      <c r="I241" s="19" t="s">
        <v>1599</v>
      </c>
      <c r="J241" s="20">
        <v>43</v>
      </c>
      <c r="K241" t="s">
        <v>668</v>
      </c>
      <c r="L241" t="s">
        <v>691</v>
      </c>
      <c r="M241" t="s">
        <v>657</v>
      </c>
      <c r="N241" t="s">
        <v>658</v>
      </c>
      <c r="O241" t="s">
        <v>632</v>
      </c>
    </row>
    <row r="242" spans="1:15" x14ac:dyDescent="0.35">
      <c r="A242" s="77">
        <v>3.0712328767123287</v>
      </c>
      <c r="B242" s="19">
        <v>13680</v>
      </c>
      <c r="C242" s="19" t="s">
        <v>2559</v>
      </c>
      <c r="D242" s="19" t="s">
        <v>161</v>
      </c>
      <c r="E242" s="19" t="s">
        <v>162</v>
      </c>
      <c r="F242" s="19" t="s">
        <v>1027</v>
      </c>
      <c r="G242" s="19" t="s">
        <v>1046</v>
      </c>
      <c r="H242" s="19" t="s">
        <v>1001</v>
      </c>
      <c r="I242" s="19" t="s">
        <v>1575</v>
      </c>
      <c r="J242" s="20">
        <v>29</v>
      </c>
      <c r="K242" t="s">
        <v>654</v>
      </c>
      <c r="L242" t="s">
        <v>622</v>
      </c>
      <c r="M242" t="s">
        <v>623</v>
      </c>
      <c r="N242" t="s">
        <v>624</v>
      </c>
      <c r="O242" t="s">
        <v>649</v>
      </c>
    </row>
    <row r="243" spans="1:15" x14ac:dyDescent="0.35">
      <c r="A243" s="77">
        <v>1.6191780821917807</v>
      </c>
      <c r="B243" s="19">
        <v>13941</v>
      </c>
      <c r="C243" s="19" t="s">
        <v>2560</v>
      </c>
      <c r="D243" s="19" t="s">
        <v>28</v>
      </c>
      <c r="E243" s="19" t="s">
        <v>28</v>
      </c>
      <c r="F243" s="19" t="s">
        <v>916</v>
      </c>
      <c r="G243" s="19" t="s">
        <v>1046</v>
      </c>
      <c r="H243" s="19" t="s">
        <v>1001</v>
      </c>
      <c r="I243" s="19" t="s">
        <v>1575</v>
      </c>
      <c r="J243" s="20">
        <v>34</v>
      </c>
      <c r="K243" t="s">
        <v>654</v>
      </c>
      <c r="L243" t="s">
        <v>670</v>
      </c>
      <c r="M243" t="s">
        <v>657</v>
      </c>
      <c r="N243" t="s">
        <v>641</v>
      </c>
      <c r="O243" t="s">
        <v>671</v>
      </c>
    </row>
    <row r="244" spans="1:15" x14ac:dyDescent="0.35">
      <c r="A244" s="77">
        <v>10.898630136986302</v>
      </c>
      <c r="B244" s="19">
        <v>14396</v>
      </c>
      <c r="C244" s="19" t="s">
        <v>2561</v>
      </c>
      <c r="D244" s="19" t="s">
        <v>397</v>
      </c>
      <c r="E244" s="19" t="s">
        <v>398</v>
      </c>
      <c r="F244" s="19" t="s">
        <v>867</v>
      </c>
      <c r="G244" s="19" t="s">
        <v>1016</v>
      </c>
      <c r="H244" s="19" t="s">
        <v>1001</v>
      </c>
      <c r="I244" s="19" t="s">
        <v>1599</v>
      </c>
      <c r="J244" s="20">
        <v>35</v>
      </c>
      <c r="K244" t="s">
        <v>625</v>
      </c>
      <c r="L244" t="s">
        <v>634</v>
      </c>
      <c r="M244" t="s">
        <v>629</v>
      </c>
      <c r="N244" t="s">
        <v>635</v>
      </c>
      <c r="O244" t="s">
        <v>637</v>
      </c>
    </row>
    <row r="245" spans="1:15" x14ac:dyDescent="0.35">
      <c r="A245" s="77">
        <v>10.882191780821918</v>
      </c>
      <c r="B245" s="19">
        <v>14688</v>
      </c>
      <c r="C245" s="19" t="s">
        <v>2562</v>
      </c>
      <c r="D245" s="19" t="s">
        <v>393</v>
      </c>
      <c r="E245" s="19" t="s">
        <v>394</v>
      </c>
      <c r="F245" s="19" t="s">
        <v>865</v>
      </c>
      <c r="G245" s="19" t="s">
        <v>1008</v>
      </c>
      <c r="H245" s="19" t="s">
        <v>1001</v>
      </c>
      <c r="I245" s="19" t="s">
        <v>1599</v>
      </c>
      <c r="J245" s="20">
        <v>33</v>
      </c>
      <c r="K245" t="s">
        <v>631</v>
      </c>
      <c r="L245" t="s">
        <v>684</v>
      </c>
      <c r="M245" t="s">
        <v>623</v>
      </c>
      <c r="N245" t="s">
        <v>662</v>
      </c>
      <c r="O245" t="s">
        <v>685</v>
      </c>
    </row>
    <row r="246" spans="1:15" x14ac:dyDescent="0.35">
      <c r="A246" s="77">
        <v>10.830136986301369</v>
      </c>
      <c r="B246" s="19">
        <v>14987</v>
      </c>
      <c r="C246" s="19" t="s">
        <v>2563</v>
      </c>
      <c r="D246" s="19" t="s">
        <v>167</v>
      </c>
      <c r="E246" s="19" t="s">
        <v>168</v>
      </c>
      <c r="F246" s="19" t="s">
        <v>2009</v>
      </c>
      <c r="G246" s="19" t="s">
        <v>1034</v>
      </c>
      <c r="H246" s="19" t="s">
        <v>1001</v>
      </c>
      <c r="I246" s="19" t="s">
        <v>1575</v>
      </c>
      <c r="J246" s="20">
        <v>35</v>
      </c>
      <c r="K246" t="s">
        <v>636</v>
      </c>
      <c r="L246" t="s">
        <v>640</v>
      </c>
      <c r="M246" t="s">
        <v>623</v>
      </c>
      <c r="N246" t="s">
        <v>641</v>
      </c>
      <c r="O246" t="s">
        <v>754</v>
      </c>
    </row>
    <row r="247" spans="1:15" x14ac:dyDescent="0.35">
      <c r="A247" s="77">
        <v>10.827397260273973</v>
      </c>
      <c r="B247" s="19">
        <v>15072</v>
      </c>
      <c r="C247" s="19" t="s">
        <v>2564</v>
      </c>
      <c r="D247" s="19" t="s">
        <v>286</v>
      </c>
      <c r="E247" s="19" t="s">
        <v>287</v>
      </c>
      <c r="F247" s="19" t="s">
        <v>1675</v>
      </c>
      <c r="G247" s="19" t="s">
        <v>1008</v>
      </c>
      <c r="H247" s="19" t="s">
        <v>1001</v>
      </c>
      <c r="I247" s="19" t="s">
        <v>1575</v>
      </c>
      <c r="J247" s="20">
        <v>40</v>
      </c>
      <c r="K247" t="s">
        <v>668</v>
      </c>
      <c r="L247" t="s">
        <v>640</v>
      </c>
      <c r="M247" t="s">
        <v>623</v>
      </c>
      <c r="N247" t="s">
        <v>641</v>
      </c>
      <c r="O247" t="s">
        <v>754</v>
      </c>
    </row>
    <row r="248" spans="1:15" x14ac:dyDescent="0.35">
      <c r="A248" s="77">
        <v>10.791780821917808</v>
      </c>
      <c r="B248" s="19">
        <v>15387</v>
      </c>
      <c r="C248" s="19" t="s">
        <v>2565</v>
      </c>
      <c r="D248" s="19" t="s">
        <v>95</v>
      </c>
      <c r="E248" s="19" t="s">
        <v>96</v>
      </c>
      <c r="F248" s="19" t="s">
        <v>1188</v>
      </c>
      <c r="G248" s="19" t="s">
        <v>1008</v>
      </c>
      <c r="H248" s="19" t="s">
        <v>1001</v>
      </c>
      <c r="I248" s="19" t="s">
        <v>1575</v>
      </c>
      <c r="J248" s="20">
        <v>41</v>
      </c>
      <c r="K248" t="s">
        <v>636</v>
      </c>
      <c r="L248" t="s">
        <v>737</v>
      </c>
      <c r="M248" t="s">
        <v>657</v>
      </c>
      <c r="N248" t="s">
        <v>641</v>
      </c>
      <c r="O248" t="s">
        <v>738</v>
      </c>
    </row>
    <row r="249" spans="1:15" x14ac:dyDescent="0.35">
      <c r="A249" s="77">
        <v>4.9726027397260273</v>
      </c>
      <c r="B249" s="19">
        <v>15485</v>
      </c>
      <c r="C249" s="19" t="s">
        <v>2566</v>
      </c>
      <c r="D249" s="19" t="s">
        <v>243</v>
      </c>
      <c r="E249" s="19" t="s">
        <v>244</v>
      </c>
      <c r="F249" s="19" t="s">
        <v>1318</v>
      </c>
      <c r="G249" s="19" t="s">
        <v>1057</v>
      </c>
      <c r="H249" s="19" t="s">
        <v>1001</v>
      </c>
      <c r="I249" s="19" t="s">
        <v>1575</v>
      </c>
      <c r="J249" s="20">
        <v>35</v>
      </c>
      <c r="K249" t="s">
        <v>631</v>
      </c>
      <c r="L249" t="s">
        <v>707</v>
      </c>
      <c r="M249" t="s">
        <v>629</v>
      </c>
      <c r="N249" t="s">
        <v>635</v>
      </c>
      <c r="O249" t="s">
        <v>710</v>
      </c>
    </row>
    <row r="250" spans="1:15" x14ac:dyDescent="0.35">
      <c r="A250" s="77">
        <v>10.772602739726027</v>
      </c>
      <c r="B250" s="19">
        <v>15655</v>
      </c>
      <c r="C250" s="19" t="s">
        <v>2567</v>
      </c>
      <c r="D250" s="19" t="s">
        <v>199</v>
      </c>
      <c r="E250" s="19" t="s">
        <v>200</v>
      </c>
      <c r="F250" s="19" t="s">
        <v>1496</v>
      </c>
      <c r="G250" s="19" t="s">
        <v>1000</v>
      </c>
      <c r="H250" s="19" t="s">
        <v>1001</v>
      </c>
      <c r="I250" s="19" t="s">
        <v>1575</v>
      </c>
      <c r="J250" s="20">
        <v>41</v>
      </c>
      <c r="K250" t="s">
        <v>654</v>
      </c>
      <c r="L250" t="s">
        <v>737</v>
      </c>
      <c r="M250" t="s">
        <v>657</v>
      </c>
      <c r="N250" t="s">
        <v>641</v>
      </c>
      <c r="O250" t="s">
        <v>738</v>
      </c>
    </row>
    <row r="251" spans="1:15" x14ac:dyDescent="0.35">
      <c r="A251" s="77">
        <v>10.767123287671232</v>
      </c>
      <c r="B251" s="19">
        <v>15719</v>
      </c>
      <c r="C251" s="19" t="s">
        <v>2568</v>
      </c>
      <c r="D251" s="19" t="s">
        <v>300</v>
      </c>
      <c r="E251" s="19" t="s">
        <v>301</v>
      </c>
      <c r="F251" s="19" t="s">
        <v>1719</v>
      </c>
      <c r="G251" s="19" t="s">
        <v>1034</v>
      </c>
      <c r="H251" s="19" t="s">
        <v>1001</v>
      </c>
      <c r="I251" s="19" t="s">
        <v>1599</v>
      </c>
      <c r="J251" s="20">
        <v>41</v>
      </c>
      <c r="K251" t="s">
        <v>668</v>
      </c>
      <c r="L251" t="s">
        <v>737</v>
      </c>
      <c r="M251" t="s">
        <v>657</v>
      </c>
      <c r="N251" t="s">
        <v>641</v>
      </c>
      <c r="O251" t="s">
        <v>738</v>
      </c>
    </row>
    <row r="252" spans="1:15" x14ac:dyDescent="0.35">
      <c r="A252" s="77">
        <v>10.764383561643836</v>
      </c>
      <c r="B252" s="19">
        <v>15742</v>
      </c>
      <c r="C252" s="19" t="s">
        <v>2569</v>
      </c>
      <c r="D252" s="19" t="s">
        <v>32</v>
      </c>
      <c r="E252" s="19" t="s">
        <v>33</v>
      </c>
      <c r="F252" s="19" t="s">
        <v>1154</v>
      </c>
      <c r="G252" s="19" t="s">
        <v>1008</v>
      </c>
      <c r="H252" s="19" t="s">
        <v>1001</v>
      </c>
      <c r="I252" s="19" t="s">
        <v>1575</v>
      </c>
      <c r="J252" s="20">
        <v>38</v>
      </c>
      <c r="K252" t="s">
        <v>654</v>
      </c>
      <c r="L252" t="s">
        <v>622</v>
      </c>
      <c r="M252" t="s">
        <v>623</v>
      </c>
      <c r="N252" t="s">
        <v>624</v>
      </c>
      <c r="O252" t="s">
        <v>681</v>
      </c>
    </row>
    <row r="253" spans="1:15" x14ac:dyDescent="0.35">
      <c r="A253" s="77">
        <v>10.764383561643836</v>
      </c>
      <c r="B253" s="19">
        <v>15748</v>
      </c>
      <c r="C253" s="19" t="s">
        <v>2570</v>
      </c>
      <c r="D253" s="19" t="s">
        <v>17</v>
      </c>
      <c r="E253" s="19" t="s">
        <v>17</v>
      </c>
      <c r="F253" s="19" t="s">
        <v>906</v>
      </c>
      <c r="G253" s="19" t="s">
        <v>1034</v>
      </c>
      <c r="H253" s="19" t="s">
        <v>1001</v>
      </c>
      <c r="I253" s="19" t="s">
        <v>1575</v>
      </c>
      <c r="J253" s="20">
        <v>31</v>
      </c>
      <c r="K253" t="s">
        <v>636</v>
      </c>
      <c r="L253" t="s">
        <v>648</v>
      </c>
      <c r="M253" t="s">
        <v>623</v>
      </c>
      <c r="N253" t="s">
        <v>624</v>
      </c>
      <c r="O253" t="s">
        <v>649</v>
      </c>
    </row>
    <row r="254" spans="1:15" x14ac:dyDescent="0.35">
      <c r="A254" s="77">
        <v>10.736986301369862</v>
      </c>
      <c r="B254" s="19">
        <v>15885</v>
      </c>
      <c r="C254" s="19" t="s">
        <v>2571</v>
      </c>
      <c r="D254" s="19" t="s">
        <v>20</v>
      </c>
      <c r="E254" s="19" t="s">
        <v>20</v>
      </c>
      <c r="F254" s="19" t="s">
        <v>1133</v>
      </c>
      <c r="G254" s="19" t="s">
        <v>1000</v>
      </c>
      <c r="H254" s="19" t="s">
        <v>1001</v>
      </c>
      <c r="I254" s="19" t="s">
        <v>1599</v>
      </c>
      <c r="J254" s="20">
        <v>37</v>
      </c>
      <c r="K254" t="s">
        <v>654</v>
      </c>
      <c r="L254" t="s">
        <v>634</v>
      </c>
      <c r="M254" t="s">
        <v>629</v>
      </c>
      <c r="N254" t="s">
        <v>635</v>
      </c>
      <c r="O254" t="s">
        <v>637</v>
      </c>
    </row>
    <row r="255" spans="1:15" x14ac:dyDescent="0.35">
      <c r="A255" s="77">
        <v>10.736986301369862</v>
      </c>
      <c r="B255" s="19">
        <v>15894</v>
      </c>
      <c r="C255" s="19" t="s">
        <v>2572</v>
      </c>
      <c r="D255" s="19" t="s">
        <v>293</v>
      </c>
      <c r="E255" s="19" t="s">
        <v>294</v>
      </c>
      <c r="F255" s="19" t="s">
        <v>1794</v>
      </c>
      <c r="G255" s="19" t="s">
        <v>1008</v>
      </c>
      <c r="H255" s="19" t="s">
        <v>1001</v>
      </c>
      <c r="I255" s="19" t="s">
        <v>1575</v>
      </c>
      <c r="J255" s="20">
        <v>36</v>
      </c>
      <c r="K255" t="s">
        <v>654</v>
      </c>
      <c r="L255" t="s">
        <v>634</v>
      </c>
      <c r="M255" t="s">
        <v>629</v>
      </c>
      <c r="N255" t="s">
        <v>635</v>
      </c>
      <c r="O255" t="s">
        <v>637</v>
      </c>
    </row>
    <row r="256" spans="1:15" x14ac:dyDescent="0.35">
      <c r="A256" s="77">
        <v>10.736986301369862</v>
      </c>
      <c r="B256" s="19">
        <v>15895</v>
      </c>
      <c r="C256" s="19" t="s">
        <v>2573</v>
      </c>
      <c r="D256" s="19" t="s">
        <v>293</v>
      </c>
      <c r="E256" s="19" t="s">
        <v>294</v>
      </c>
      <c r="F256" s="19" t="s">
        <v>1794</v>
      </c>
      <c r="G256" s="19" t="s">
        <v>1045</v>
      </c>
      <c r="H256" s="19" t="s">
        <v>1001</v>
      </c>
      <c r="I256" s="19" t="s">
        <v>1599</v>
      </c>
      <c r="J256" s="20">
        <v>37</v>
      </c>
      <c r="K256" t="s">
        <v>654</v>
      </c>
      <c r="L256" t="s">
        <v>634</v>
      </c>
      <c r="M256" t="s">
        <v>629</v>
      </c>
      <c r="N256" t="s">
        <v>635</v>
      </c>
      <c r="O256" t="s">
        <v>637</v>
      </c>
    </row>
    <row r="257" spans="1:15" x14ac:dyDescent="0.35">
      <c r="A257" s="77">
        <v>10.736986301369862</v>
      </c>
      <c r="B257" s="19">
        <v>15897</v>
      </c>
      <c r="C257" s="19" t="s">
        <v>2574</v>
      </c>
      <c r="D257" s="19" t="s">
        <v>293</v>
      </c>
      <c r="E257" s="19" t="s">
        <v>294</v>
      </c>
      <c r="F257" s="19" t="s">
        <v>1794</v>
      </c>
      <c r="G257" s="19" t="s">
        <v>1008</v>
      </c>
      <c r="H257" s="19" t="s">
        <v>1001</v>
      </c>
      <c r="I257" s="19" t="s">
        <v>1575</v>
      </c>
      <c r="J257" s="20">
        <v>44</v>
      </c>
      <c r="K257" t="s">
        <v>654</v>
      </c>
      <c r="L257" t="s">
        <v>634</v>
      </c>
      <c r="M257" t="s">
        <v>629</v>
      </c>
      <c r="N257" t="s">
        <v>635</v>
      </c>
      <c r="O257" t="s">
        <v>637</v>
      </c>
    </row>
    <row r="258" spans="1:15" x14ac:dyDescent="0.35">
      <c r="A258" s="77">
        <v>10.731506849315069</v>
      </c>
      <c r="B258" s="19">
        <v>15989</v>
      </c>
      <c r="C258" s="19" t="s">
        <v>2575</v>
      </c>
      <c r="D258" s="19" t="s">
        <v>211</v>
      </c>
      <c r="E258" s="19" t="s">
        <v>212</v>
      </c>
      <c r="F258" s="19" t="s">
        <v>1049</v>
      </c>
      <c r="G258" s="19" t="s">
        <v>1045</v>
      </c>
      <c r="H258" s="19" t="s">
        <v>1001</v>
      </c>
      <c r="I258" s="19" t="s">
        <v>1575</v>
      </c>
      <c r="J258" s="20">
        <v>30</v>
      </c>
      <c r="K258" t="s">
        <v>654</v>
      </c>
      <c r="L258" t="s">
        <v>691</v>
      </c>
      <c r="M258" t="s">
        <v>657</v>
      </c>
      <c r="N258" t="s">
        <v>658</v>
      </c>
      <c r="O258" t="s">
        <v>632</v>
      </c>
    </row>
    <row r="259" spans="1:15" x14ac:dyDescent="0.35">
      <c r="A259" s="77">
        <v>10.747945205479452</v>
      </c>
      <c r="B259" s="19">
        <v>16090</v>
      </c>
      <c r="C259" s="19" t="s">
        <v>2576</v>
      </c>
      <c r="D259" s="19" t="s">
        <v>140</v>
      </c>
      <c r="E259" s="19" t="s">
        <v>141</v>
      </c>
      <c r="F259" s="19" t="s">
        <v>1138</v>
      </c>
      <c r="G259" s="19" t="s">
        <v>1045</v>
      </c>
      <c r="H259" s="19" t="s">
        <v>1001</v>
      </c>
      <c r="I259" s="19" t="s">
        <v>1575</v>
      </c>
      <c r="J259" s="20">
        <v>34</v>
      </c>
      <c r="K259" t="s">
        <v>636</v>
      </c>
      <c r="L259" t="s">
        <v>640</v>
      </c>
      <c r="M259" t="s">
        <v>623</v>
      </c>
      <c r="N259" t="s">
        <v>641</v>
      </c>
      <c r="O259" t="s">
        <v>754</v>
      </c>
    </row>
    <row r="260" spans="1:15" x14ac:dyDescent="0.35">
      <c r="A260" s="77">
        <v>10.723287671232876</v>
      </c>
      <c r="B260" s="19">
        <v>16153</v>
      </c>
      <c r="C260" s="19" t="s">
        <v>2577</v>
      </c>
      <c r="D260" s="19" t="s">
        <v>293</v>
      </c>
      <c r="E260" s="19" t="s">
        <v>294</v>
      </c>
      <c r="F260" s="19" t="s">
        <v>1794</v>
      </c>
      <c r="G260" s="19" t="s">
        <v>1046</v>
      </c>
      <c r="H260" s="19" t="s">
        <v>1001</v>
      </c>
      <c r="I260" s="19" t="s">
        <v>1599</v>
      </c>
      <c r="J260" s="20">
        <v>36</v>
      </c>
      <c r="K260" t="s">
        <v>654</v>
      </c>
      <c r="L260" t="s">
        <v>634</v>
      </c>
      <c r="M260" t="s">
        <v>629</v>
      </c>
      <c r="N260" t="s">
        <v>635</v>
      </c>
      <c r="O260" t="s">
        <v>637</v>
      </c>
    </row>
    <row r="261" spans="1:15" x14ac:dyDescent="0.35">
      <c r="A261" s="77">
        <v>10.723287671232876</v>
      </c>
      <c r="B261" s="19">
        <v>16164</v>
      </c>
      <c r="C261" s="19" t="s">
        <v>2578</v>
      </c>
      <c r="D261" s="19" t="s">
        <v>293</v>
      </c>
      <c r="E261" s="19" t="s">
        <v>294</v>
      </c>
      <c r="F261" s="19" t="s">
        <v>1794</v>
      </c>
      <c r="G261" s="19" t="s">
        <v>1084</v>
      </c>
      <c r="H261" s="19" t="s">
        <v>1001</v>
      </c>
      <c r="I261" s="19" t="s">
        <v>1599</v>
      </c>
      <c r="J261" s="20">
        <v>36</v>
      </c>
      <c r="K261" t="s">
        <v>654</v>
      </c>
      <c r="L261" t="s">
        <v>634</v>
      </c>
      <c r="M261" t="s">
        <v>629</v>
      </c>
      <c r="N261" t="s">
        <v>635</v>
      </c>
      <c r="O261" t="s">
        <v>637</v>
      </c>
    </row>
    <row r="262" spans="1:15" x14ac:dyDescent="0.35">
      <c r="A262" s="77">
        <v>1.526027397260274</v>
      </c>
      <c r="B262" s="19">
        <v>16220</v>
      </c>
      <c r="C262" s="19" t="s">
        <v>2579</v>
      </c>
      <c r="D262" s="19" t="s">
        <v>68</v>
      </c>
      <c r="E262" s="19" t="s">
        <v>69</v>
      </c>
      <c r="F262" s="19" t="s">
        <v>1078</v>
      </c>
      <c r="G262" s="19" t="s">
        <v>1008</v>
      </c>
      <c r="H262" s="19" t="s">
        <v>1001</v>
      </c>
      <c r="I262" s="19" t="s">
        <v>1575</v>
      </c>
      <c r="J262" s="20">
        <v>38</v>
      </c>
      <c r="K262" t="s">
        <v>636</v>
      </c>
      <c r="L262" t="s">
        <v>670</v>
      </c>
      <c r="M262" t="s">
        <v>657</v>
      </c>
      <c r="N262" t="s">
        <v>641</v>
      </c>
      <c r="O262" t="s">
        <v>671</v>
      </c>
    </row>
    <row r="263" spans="1:15" x14ac:dyDescent="0.35">
      <c r="A263" s="77">
        <v>8.2191780821917817</v>
      </c>
      <c r="B263" s="19">
        <v>16223</v>
      </c>
      <c r="C263" s="19" t="s">
        <v>2580</v>
      </c>
      <c r="D263" s="19" t="s">
        <v>39</v>
      </c>
      <c r="E263" s="19" t="s">
        <v>39</v>
      </c>
      <c r="F263" s="19" t="s">
        <v>1168</v>
      </c>
      <c r="G263" s="19" t="s">
        <v>1046</v>
      </c>
      <c r="H263" s="19" t="s">
        <v>1001</v>
      </c>
      <c r="I263" s="19" t="s">
        <v>1575</v>
      </c>
      <c r="J263" s="20">
        <v>33</v>
      </c>
      <c r="K263" t="s">
        <v>636</v>
      </c>
      <c r="L263" t="s">
        <v>661</v>
      </c>
      <c r="M263" t="s">
        <v>657</v>
      </c>
      <c r="N263" t="s">
        <v>662</v>
      </c>
      <c r="O263" t="s">
        <v>632</v>
      </c>
    </row>
    <row r="264" spans="1:15" x14ac:dyDescent="0.35">
      <c r="A264" s="77">
        <v>10.712328767123287</v>
      </c>
      <c r="B264" s="19">
        <v>16235</v>
      </c>
      <c r="C264" s="19" t="s">
        <v>2581</v>
      </c>
      <c r="D264" s="19" t="s">
        <v>237</v>
      </c>
      <c r="E264" s="19" t="s">
        <v>238</v>
      </c>
      <c r="F264" s="19" t="s">
        <v>1070</v>
      </c>
      <c r="G264" s="19" t="s">
        <v>1084</v>
      </c>
      <c r="H264" s="19" t="s">
        <v>1001</v>
      </c>
      <c r="I264" s="19" t="s">
        <v>1599</v>
      </c>
      <c r="J264" s="20">
        <v>46</v>
      </c>
      <c r="K264" t="s">
        <v>631</v>
      </c>
      <c r="L264" t="s">
        <v>661</v>
      </c>
      <c r="M264" t="s">
        <v>657</v>
      </c>
      <c r="N264" t="s">
        <v>662</v>
      </c>
      <c r="O264" t="s">
        <v>632</v>
      </c>
    </row>
    <row r="265" spans="1:15" x14ac:dyDescent="0.35">
      <c r="A265" s="77">
        <v>10.70958904109589</v>
      </c>
      <c r="B265" s="19">
        <v>16253</v>
      </c>
      <c r="C265" s="19" t="s">
        <v>2582</v>
      </c>
      <c r="D265" s="19" t="s">
        <v>293</v>
      </c>
      <c r="E265" s="19" t="s">
        <v>294</v>
      </c>
      <c r="F265" s="19" t="s">
        <v>1794</v>
      </c>
      <c r="G265" s="19" t="s">
        <v>1000</v>
      </c>
      <c r="H265" s="19" t="s">
        <v>1001</v>
      </c>
      <c r="I265" s="19" t="s">
        <v>1599</v>
      </c>
      <c r="J265" s="20">
        <v>40</v>
      </c>
      <c r="K265" t="s">
        <v>654</v>
      </c>
      <c r="L265" t="s">
        <v>634</v>
      </c>
      <c r="M265" t="s">
        <v>629</v>
      </c>
      <c r="N265" t="s">
        <v>635</v>
      </c>
      <c r="O265" t="s">
        <v>637</v>
      </c>
    </row>
    <row r="266" spans="1:15" x14ac:dyDescent="0.35">
      <c r="A266" s="77">
        <v>10.665753424657535</v>
      </c>
      <c r="B266" s="19">
        <v>16704</v>
      </c>
      <c r="C266" s="19" t="s">
        <v>2583</v>
      </c>
      <c r="D266" s="19" t="s">
        <v>428</v>
      </c>
      <c r="E266" s="19" t="s">
        <v>428</v>
      </c>
      <c r="F266" s="19" t="s">
        <v>1063</v>
      </c>
      <c r="G266" s="19" t="s">
        <v>1000</v>
      </c>
      <c r="H266" s="19" t="s">
        <v>1001</v>
      </c>
      <c r="I266" s="19" t="s">
        <v>1575</v>
      </c>
      <c r="J266" s="20">
        <v>32</v>
      </c>
      <c r="K266" t="s">
        <v>668</v>
      </c>
      <c r="L266" t="s">
        <v>656</v>
      </c>
      <c r="M266" t="s">
        <v>657</v>
      </c>
      <c r="N266" t="s">
        <v>658</v>
      </c>
      <c r="O266" t="s">
        <v>632</v>
      </c>
    </row>
    <row r="267" spans="1:15" x14ac:dyDescent="0.35">
      <c r="A267" s="77">
        <v>10.665753424657535</v>
      </c>
      <c r="B267" s="19">
        <v>17076</v>
      </c>
      <c r="C267" s="19" t="s">
        <v>2584</v>
      </c>
      <c r="D267" s="19" t="s">
        <v>367</v>
      </c>
      <c r="E267" s="19" t="s">
        <v>368</v>
      </c>
      <c r="F267" s="19" t="s">
        <v>1604</v>
      </c>
      <c r="G267" s="19" t="s">
        <v>1034</v>
      </c>
      <c r="H267" s="19" t="s">
        <v>1001</v>
      </c>
      <c r="I267" s="19" t="s">
        <v>1575</v>
      </c>
      <c r="J267" s="20">
        <v>35</v>
      </c>
      <c r="K267" t="s">
        <v>636</v>
      </c>
      <c r="L267" t="s">
        <v>737</v>
      </c>
      <c r="M267" t="s">
        <v>657</v>
      </c>
      <c r="N267" t="s">
        <v>641</v>
      </c>
      <c r="O267" t="s">
        <v>738</v>
      </c>
    </row>
    <row r="268" spans="1:15" x14ac:dyDescent="0.35">
      <c r="A268" s="77">
        <v>10.652054794520549</v>
      </c>
      <c r="B268" s="19">
        <v>17140</v>
      </c>
      <c r="C268" s="19" t="s">
        <v>2585</v>
      </c>
      <c r="D268" s="19" t="s">
        <v>220</v>
      </c>
      <c r="E268" s="19" t="s">
        <v>221</v>
      </c>
      <c r="F268" s="19" t="s">
        <v>2309</v>
      </c>
      <c r="G268" s="19" t="s">
        <v>1045</v>
      </c>
      <c r="H268" s="19" t="s">
        <v>1001</v>
      </c>
      <c r="I268" s="19" t="s">
        <v>1575</v>
      </c>
      <c r="J268" s="20">
        <v>40</v>
      </c>
      <c r="K268" t="s">
        <v>668</v>
      </c>
      <c r="L268" t="s">
        <v>648</v>
      </c>
      <c r="M268" t="s">
        <v>623</v>
      </c>
      <c r="N268" t="s">
        <v>624</v>
      </c>
      <c r="O268" t="s">
        <v>649</v>
      </c>
    </row>
    <row r="269" spans="1:15" x14ac:dyDescent="0.35">
      <c r="A269" s="77">
        <v>0.51506849315068493</v>
      </c>
      <c r="B269" s="19">
        <v>17172</v>
      </c>
      <c r="C269" s="19" t="s">
        <v>2586</v>
      </c>
      <c r="D269" s="19" t="s">
        <v>60</v>
      </c>
      <c r="E269" s="19" t="s">
        <v>61</v>
      </c>
      <c r="F269" s="19" t="s">
        <v>1119</v>
      </c>
      <c r="G269" s="19" t="s">
        <v>1008</v>
      </c>
      <c r="H269" s="19" t="s">
        <v>1001</v>
      </c>
      <c r="I269" s="19" t="s">
        <v>1575</v>
      </c>
      <c r="J269" s="20">
        <v>30</v>
      </c>
      <c r="K269" t="s">
        <v>654</v>
      </c>
      <c r="L269" t="s">
        <v>651</v>
      </c>
      <c r="M269" t="s">
        <v>629</v>
      </c>
      <c r="N269" t="s">
        <v>630</v>
      </c>
      <c r="O269" t="s">
        <v>705</v>
      </c>
    </row>
    <row r="270" spans="1:15" x14ac:dyDescent="0.35">
      <c r="A270" s="77">
        <v>0.99726027397260275</v>
      </c>
      <c r="B270" s="19">
        <v>17432</v>
      </c>
      <c r="C270" s="19" t="s">
        <v>2587</v>
      </c>
      <c r="D270" s="19" t="s">
        <v>260</v>
      </c>
      <c r="E270" s="19" t="s">
        <v>261</v>
      </c>
      <c r="F270" s="19" t="s">
        <v>1109</v>
      </c>
      <c r="G270" s="19" t="s">
        <v>1008</v>
      </c>
      <c r="H270" s="19" t="s">
        <v>1001</v>
      </c>
      <c r="I270" s="19" t="s">
        <v>1575</v>
      </c>
      <c r="J270" s="20">
        <v>31</v>
      </c>
      <c r="K270" t="s">
        <v>636</v>
      </c>
      <c r="L270" t="s">
        <v>656</v>
      </c>
      <c r="M270" t="s">
        <v>657</v>
      </c>
      <c r="N270" t="s">
        <v>658</v>
      </c>
      <c r="O270" t="s">
        <v>808</v>
      </c>
    </row>
    <row r="271" spans="1:15" x14ac:dyDescent="0.35">
      <c r="A271" s="77">
        <v>2.8328767123287673</v>
      </c>
      <c r="B271" s="19">
        <v>17459</v>
      </c>
      <c r="C271" s="19" t="s">
        <v>2588</v>
      </c>
      <c r="D271" s="19" t="s">
        <v>365</v>
      </c>
      <c r="E271" s="19" t="s">
        <v>366</v>
      </c>
      <c r="F271" s="19" t="s">
        <v>1117</v>
      </c>
      <c r="G271" s="19" t="s">
        <v>1045</v>
      </c>
      <c r="H271" s="19" t="s">
        <v>1001</v>
      </c>
      <c r="I271" s="19" t="s">
        <v>1599</v>
      </c>
      <c r="J271" s="20">
        <v>28</v>
      </c>
      <c r="K271" t="s">
        <v>668</v>
      </c>
      <c r="L271" t="s">
        <v>691</v>
      </c>
      <c r="M271" t="s">
        <v>657</v>
      </c>
      <c r="N271" t="s">
        <v>658</v>
      </c>
      <c r="O271" t="s">
        <v>632</v>
      </c>
    </row>
    <row r="272" spans="1:15" x14ac:dyDescent="0.35">
      <c r="A272" s="77">
        <v>2.5726027397260274</v>
      </c>
      <c r="B272" s="19">
        <v>17491</v>
      </c>
      <c r="C272" s="19" t="s">
        <v>2589</v>
      </c>
      <c r="D272" s="19" t="s">
        <v>403</v>
      </c>
      <c r="E272" s="19" t="s">
        <v>404</v>
      </c>
      <c r="F272" s="19" t="s">
        <v>870</v>
      </c>
      <c r="G272" s="19" t="s">
        <v>1598</v>
      </c>
      <c r="H272" s="19" t="s">
        <v>1001</v>
      </c>
      <c r="I272" s="19" t="s">
        <v>1575</v>
      </c>
      <c r="J272" s="20">
        <v>34</v>
      </c>
      <c r="K272" t="s">
        <v>631</v>
      </c>
      <c r="L272" t="s">
        <v>691</v>
      </c>
      <c r="M272" t="s">
        <v>657</v>
      </c>
      <c r="N272" t="s">
        <v>658</v>
      </c>
      <c r="O272" t="s">
        <v>632</v>
      </c>
    </row>
    <row r="273" spans="1:15" x14ac:dyDescent="0.35">
      <c r="A273" s="77">
        <v>3.1397260273972605</v>
      </c>
      <c r="B273" s="19">
        <v>17543</v>
      </c>
      <c r="C273" s="19" t="s">
        <v>2590</v>
      </c>
      <c r="D273" s="19" t="s">
        <v>159</v>
      </c>
      <c r="E273" s="19" t="s">
        <v>160</v>
      </c>
      <c r="F273" s="19" t="s">
        <v>1488</v>
      </c>
      <c r="G273" s="19" t="s">
        <v>1034</v>
      </c>
      <c r="H273" s="19" t="s">
        <v>1001</v>
      </c>
      <c r="I273" s="19" t="s">
        <v>1575</v>
      </c>
      <c r="J273" s="20">
        <v>35</v>
      </c>
      <c r="K273" t="s">
        <v>654</v>
      </c>
      <c r="L273" t="s">
        <v>678</v>
      </c>
      <c r="M273" t="s">
        <v>623</v>
      </c>
      <c r="N273" t="s">
        <v>624</v>
      </c>
      <c r="O273" t="s">
        <v>679</v>
      </c>
    </row>
    <row r="274" spans="1:15" x14ac:dyDescent="0.35">
      <c r="A274" s="77">
        <v>10.610958904109589</v>
      </c>
      <c r="B274" s="19">
        <v>17619</v>
      </c>
      <c r="C274" s="19" t="s">
        <v>2591</v>
      </c>
      <c r="D274" s="19" t="s">
        <v>397</v>
      </c>
      <c r="E274" s="19" t="s">
        <v>398</v>
      </c>
      <c r="F274" s="19" t="s">
        <v>867</v>
      </c>
      <c r="G274" s="19" t="s">
        <v>1000</v>
      </c>
      <c r="H274" s="19" t="s">
        <v>1001</v>
      </c>
      <c r="I274" s="19" t="s">
        <v>1599</v>
      </c>
      <c r="J274" s="20">
        <v>46</v>
      </c>
      <c r="K274" t="s">
        <v>625</v>
      </c>
      <c r="L274" t="s">
        <v>634</v>
      </c>
      <c r="M274" t="s">
        <v>629</v>
      </c>
      <c r="N274" t="s">
        <v>635</v>
      </c>
      <c r="O274" t="s">
        <v>637</v>
      </c>
    </row>
    <row r="275" spans="1:15" x14ac:dyDescent="0.35">
      <c r="A275" s="77">
        <v>10.616438356164384</v>
      </c>
      <c r="B275" s="19">
        <v>17650</v>
      </c>
      <c r="C275" s="19" t="s">
        <v>2592</v>
      </c>
      <c r="D275" s="19" t="s">
        <v>35</v>
      </c>
      <c r="E275" s="19" t="s">
        <v>35</v>
      </c>
      <c r="F275" s="19" t="s">
        <v>1657</v>
      </c>
      <c r="G275" s="19" t="s">
        <v>1016</v>
      </c>
      <c r="H275" s="19" t="s">
        <v>1001</v>
      </c>
      <c r="I275" s="19" t="s">
        <v>1599</v>
      </c>
      <c r="J275" s="20">
        <v>35</v>
      </c>
      <c r="K275" t="s">
        <v>654</v>
      </c>
      <c r="L275" t="s">
        <v>684</v>
      </c>
      <c r="M275" t="s">
        <v>623</v>
      </c>
      <c r="N275" t="s">
        <v>662</v>
      </c>
      <c r="O275" t="s">
        <v>685</v>
      </c>
    </row>
    <row r="276" spans="1:15" x14ac:dyDescent="0.35">
      <c r="A276" s="77">
        <v>1.0191780821917809</v>
      </c>
      <c r="B276" s="19">
        <v>18550</v>
      </c>
      <c r="C276" s="19" t="s">
        <v>2593</v>
      </c>
      <c r="D276" s="19" t="s">
        <v>245</v>
      </c>
      <c r="E276" s="19" t="s">
        <v>246</v>
      </c>
      <c r="F276" s="19" t="s">
        <v>1365</v>
      </c>
      <c r="G276" s="19" t="s">
        <v>1034</v>
      </c>
      <c r="H276" s="19" t="s">
        <v>1001</v>
      </c>
      <c r="I276" s="19" t="s">
        <v>1575</v>
      </c>
      <c r="J276" s="20">
        <v>33</v>
      </c>
      <c r="K276" t="s">
        <v>654</v>
      </c>
      <c r="L276" t="s">
        <v>678</v>
      </c>
      <c r="M276" t="s">
        <v>623</v>
      </c>
      <c r="N276" t="s">
        <v>624</v>
      </c>
      <c r="O276" t="s">
        <v>679</v>
      </c>
    </row>
    <row r="277" spans="1:15" x14ac:dyDescent="0.35">
      <c r="A277" s="77">
        <v>10.575342465753424</v>
      </c>
      <c r="B277" s="19">
        <v>18596</v>
      </c>
      <c r="C277" s="19" t="s">
        <v>2594</v>
      </c>
      <c r="D277" s="19" t="s">
        <v>113</v>
      </c>
      <c r="E277" s="19" t="s">
        <v>114</v>
      </c>
      <c r="F277" s="19" t="s">
        <v>1871</v>
      </c>
      <c r="G277" s="19" t="s">
        <v>1034</v>
      </c>
      <c r="H277" s="19" t="s">
        <v>1001</v>
      </c>
      <c r="I277" s="19" t="s">
        <v>1575</v>
      </c>
      <c r="J277" s="20">
        <v>30</v>
      </c>
      <c r="K277" t="s">
        <v>654</v>
      </c>
      <c r="L277" t="s">
        <v>661</v>
      </c>
      <c r="M277" t="s">
        <v>657</v>
      </c>
      <c r="N277" t="s">
        <v>662</v>
      </c>
      <c r="O277" t="s">
        <v>632</v>
      </c>
    </row>
    <row r="278" spans="1:15" x14ac:dyDescent="0.35">
      <c r="A278" s="77">
        <v>3.8</v>
      </c>
      <c r="B278" s="19">
        <v>18600</v>
      </c>
      <c r="C278" s="19" t="s">
        <v>2595</v>
      </c>
      <c r="D278" s="19" t="s">
        <v>375</v>
      </c>
      <c r="E278" s="19" t="s">
        <v>376</v>
      </c>
      <c r="F278" s="19" t="s">
        <v>1270</v>
      </c>
      <c r="G278" s="19" t="s">
        <v>1028</v>
      </c>
      <c r="H278" s="19" t="s">
        <v>1020</v>
      </c>
      <c r="I278" s="19" t="s">
        <v>1575</v>
      </c>
      <c r="J278" s="20">
        <v>30</v>
      </c>
      <c r="K278" t="s">
        <v>636</v>
      </c>
      <c r="L278" t="s">
        <v>678</v>
      </c>
      <c r="M278" t="s">
        <v>623</v>
      </c>
      <c r="N278" t="s">
        <v>624</v>
      </c>
      <c r="O278" t="s">
        <v>679</v>
      </c>
    </row>
    <row r="279" spans="1:15" x14ac:dyDescent="0.35">
      <c r="A279" s="77">
        <v>10.578082191780823</v>
      </c>
      <c r="B279" s="19">
        <v>19569</v>
      </c>
      <c r="C279" s="19" t="s">
        <v>2596</v>
      </c>
      <c r="D279" s="19" t="s">
        <v>326</v>
      </c>
      <c r="E279" s="19" t="s">
        <v>327</v>
      </c>
      <c r="F279" s="19" t="s">
        <v>1051</v>
      </c>
      <c r="G279" s="19" t="s">
        <v>1034</v>
      </c>
      <c r="H279" s="19" t="s">
        <v>1001</v>
      </c>
      <c r="I279" s="19" t="s">
        <v>1575</v>
      </c>
      <c r="J279" s="20">
        <v>39</v>
      </c>
      <c r="K279" t="s">
        <v>631</v>
      </c>
      <c r="L279" t="s">
        <v>648</v>
      </c>
      <c r="M279" t="s">
        <v>623</v>
      </c>
      <c r="N279" t="s">
        <v>624</v>
      </c>
      <c r="O279" t="s">
        <v>837</v>
      </c>
    </row>
    <row r="280" spans="1:15" x14ac:dyDescent="0.35">
      <c r="A280" s="77">
        <v>10.561643835616438</v>
      </c>
      <c r="B280" s="19">
        <v>19574</v>
      </c>
      <c r="C280" s="19" t="s">
        <v>2597</v>
      </c>
      <c r="D280" s="19" t="s">
        <v>375</v>
      </c>
      <c r="E280" s="19" t="s">
        <v>376</v>
      </c>
      <c r="F280" s="19" t="s">
        <v>1270</v>
      </c>
      <c r="G280" s="19" t="s">
        <v>1000</v>
      </c>
      <c r="H280" s="19" t="s">
        <v>1001</v>
      </c>
      <c r="I280" s="19" t="s">
        <v>1575</v>
      </c>
      <c r="J280" s="20">
        <v>34</v>
      </c>
      <c r="K280" t="s">
        <v>636</v>
      </c>
      <c r="L280" t="s">
        <v>678</v>
      </c>
      <c r="M280" t="s">
        <v>623</v>
      </c>
      <c r="N280" t="s">
        <v>624</v>
      </c>
      <c r="O280" t="s">
        <v>679</v>
      </c>
    </row>
    <row r="281" spans="1:15" x14ac:dyDescent="0.35">
      <c r="A281" s="77">
        <v>10.545205479452054</v>
      </c>
      <c r="B281" s="19">
        <v>19983</v>
      </c>
      <c r="C281" s="19" t="s">
        <v>2598</v>
      </c>
      <c r="D281" s="19" t="s">
        <v>326</v>
      </c>
      <c r="E281" s="19" t="s">
        <v>327</v>
      </c>
      <c r="F281" s="19" t="s">
        <v>1051</v>
      </c>
      <c r="G281" s="19" t="s">
        <v>1158</v>
      </c>
      <c r="H281" s="19" t="s">
        <v>1001</v>
      </c>
      <c r="I281" s="19" t="s">
        <v>1575</v>
      </c>
      <c r="J281" s="20">
        <v>30</v>
      </c>
      <c r="K281" t="s">
        <v>631</v>
      </c>
      <c r="L281" t="s">
        <v>648</v>
      </c>
      <c r="M281" t="s">
        <v>623</v>
      </c>
      <c r="N281" t="s">
        <v>624</v>
      </c>
      <c r="O281" t="s">
        <v>837</v>
      </c>
    </row>
    <row r="282" spans="1:15" x14ac:dyDescent="0.35">
      <c r="A282" s="77">
        <v>7.3671232876712329</v>
      </c>
      <c r="B282" s="19">
        <v>19990</v>
      </c>
      <c r="C282" s="19" t="s">
        <v>2599</v>
      </c>
      <c r="D282" s="19" t="s">
        <v>208</v>
      </c>
      <c r="E282" s="19" t="s">
        <v>209</v>
      </c>
      <c r="F282" s="19" t="s">
        <v>1444</v>
      </c>
      <c r="G282" s="19" t="s">
        <v>1019</v>
      </c>
      <c r="H282" s="19" t="s">
        <v>1020</v>
      </c>
      <c r="I282" s="19" t="s">
        <v>1575</v>
      </c>
      <c r="J282" s="20">
        <v>30</v>
      </c>
      <c r="K282" t="s">
        <v>636</v>
      </c>
      <c r="L282" t="s">
        <v>640</v>
      </c>
      <c r="M282" t="s">
        <v>623</v>
      </c>
      <c r="N282" t="s">
        <v>624</v>
      </c>
      <c r="O282" t="s">
        <v>787</v>
      </c>
    </row>
    <row r="283" spans="1:15" x14ac:dyDescent="0.35">
      <c r="A283" s="77">
        <v>6.5671232876712331</v>
      </c>
      <c r="B283" s="19">
        <v>20000</v>
      </c>
      <c r="C283" s="19" t="s">
        <v>2600</v>
      </c>
      <c r="D283" s="19" t="s">
        <v>199</v>
      </c>
      <c r="E283" s="19" t="s">
        <v>200</v>
      </c>
      <c r="F283" s="19" t="s">
        <v>1496</v>
      </c>
      <c r="G283" s="19" t="s">
        <v>1034</v>
      </c>
      <c r="H283" s="19" t="s">
        <v>1001</v>
      </c>
      <c r="I283" s="19" t="s">
        <v>1599</v>
      </c>
      <c r="J283" s="20">
        <v>35</v>
      </c>
      <c r="K283" t="s">
        <v>654</v>
      </c>
      <c r="L283" t="s">
        <v>737</v>
      </c>
      <c r="M283" t="s">
        <v>657</v>
      </c>
      <c r="N283" t="s">
        <v>641</v>
      </c>
      <c r="O283" t="s">
        <v>738</v>
      </c>
    </row>
    <row r="284" spans="1:15" x14ac:dyDescent="0.35">
      <c r="A284" s="77">
        <v>10.520547945205479</v>
      </c>
      <c r="B284" s="19">
        <v>20024</v>
      </c>
      <c r="C284" s="19" t="s">
        <v>2601</v>
      </c>
      <c r="D284" s="19" t="s">
        <v>349</v>
      </c>
      <c r="E284" s="19" t="s">
        <v>350</v>
      </c>
      <c r="F284" s="19" t="s">
        <v>912</v>
      </c>
      <c r="G284" s="19" t="s">
        <v>1034</v>
      </c>
      <c r="H284" s="19" t="s">
        <v>1001</v>
      </c>
      <c r="I284" s="19" t="s">
        <v>1575</v>
      </c>
      <c r="J284" s="20">
        <v>30</v>
      </c>
      <c r="K284" t="s">
        <v>625</v>
      </c>
      <c r="L284" t="s">
        <v>648</v>
      </c>
      <c r="M284" t="s">
        <v>623</v>
      </c>
      <c r="N284" t="s">
        <v>624</v>
      </c>
      <c r="O284" t="s">
        <v>649</v>
      </c>
    </row>
    <row r="285" spans="1:15" x14ac:dyDescent="0.35">
      <c r="A285" s="77">
        <v>10.536986301369863</v>
      </c>
      <c r="B285" s="19">
        <v>20072</v>
      </c>
      <c r="C285" s="19" t="s">
        <v>2602</v>
      </c>
      <c r="D285" s="19" t="s">
        <v>297</v>
      </c>
      <c r="E285" s="19" t="s">
        <v>298</v>
      </c>
      <c r="F285" s="19" t="s">
        <v>904</v>
      </c>
      <c r="G285" s="19" t="s">
        <v>1045</v>
      </c>
      <c r="H285" s="19" t="s">
        <v>1001</v>
      </c>
      <c r="I285" s="19" t="s">
        <v>1599</v>
      </c>
      <c r="J285" s="20">
        <v>35</v>
      </c>
      <c r="K285" t="s">
        <v>654</v>
      </c>
      <c r="L285" t="s">
        <v>762</v>
      </c>
      <c r="M285" t="s">
        <v>629</v>
      </c>
      <c r="N285" t="s">
        <v>646</v>
      </c>
      <c r="O285" t="s">
        <v>823</v>
      </c>
    </row>
    <row r="286" spans="1:15" x14ac:dyDescent="0.35">
      <c r="A286" s="77">
        <v>10.495890410958904</v>
      </c>
      <c r="B286" s="19">
        <v>20618</v>
      </c>
      <c r="C286" s="19" t="s">
        <v>2603</v>
      </c>
      <c r="D286" s="19" t="s">
        <v>232</v>
      </c>
      <c r="E286" s="19" t="s">
        <v>233</v>
      </c>
      <c r="F286" s="19" t="s">
        <v>1040</v>
      </c>
      <c r="G286" s="19" t="s">
        <v>1034</v>
      </c>
      <c r="H286" s="19" t="s">
        <v>1001</v>
      </c>
      <c r="I286" s="19" t="s">
        <v>1575</v>
      </c>
      <c r="J286" s="20">
        <v>38</v>
      </c>
      <c r="K286" t="s">
        <v>654</v>
      </c>
      <c r="L286" t="s">
        <v>684</v>
      </c>
      <c r="M286" t="s">
        <v>623</v>
      </c>
      <c r="N286" t="s">
        <v>662</v>
      </c>
      <c r="O286" t="s">
        <v>795</v>
      </c>
    </row>
    <row r="287" spans="1:15" x14ac:dyDescent="0.35">
      <c r="A287" s="77">
        <v>9.6931506849315063</v>
      </c>
      <c r="B287" s="19">
        <v>20635</v>
      </c>
      <c r="C287" s="19" t="s">
        <v>2604</v>
      </c>
      <c r="D287" s="19" t="s">
        <v>232</v>
      </c>
      <c r="E287" s="19" t="s">
        <v>233</v>
      </c>
      <c r="F287" s="19" t="s">
        <v>1040</v>
      </c>
      <c r="G287" s="19" t="s">
        <v>1008</v>
      </c>
      <c r="H287" s="19" t="s">
        <v>1001</v>
      </c>
      <c r="I287" s="19" t="s">
        <v>1575</v>
      </c>
      <c r="J287" s="20">
        <v>28</v>
      </c>
      <c r="K287" t="s">
        <v>654</v>
      </c>
      <c r="L287" t="s">
        <v>684</v>
      </c>
      <c r="M287" t="s">
        <v>623</v>
      </c>
      <c r="N287" t="s">
        <v>662</v>
      </c>
      <c r="O287" t="s">
        <v>795</v>
      </c>
    </row>
    <row r="288" spans="1:15" x14ac:dyDescent="0.35">
      <c r="A288" s="77">
        <v>10.490410958904109</v>
      </c>
      <c r="B288" s="19">
        <v>20764</v>
      </c>
      <c r="C288" s="19" t="s">
        <v>2605</v>
      </c>
      <c r="D288" s="19" t="s">
        <v>84</v>
      </c>
      <c r="E288" s="19" t="s">
        <v>85</v>
      </c>
      <c r="F288" s="19" t="s">
        <v>2606</v>
      </c>
      <c r="G288" s="19" t="s">
        <v>1000</v>
      </c>
      <c r="H288" s="19" t="s">
        <v>1001</v>
      </c>
      <c r="I288" s="19" t="s">
        <v>1575</v>
      </c>
      <c r="J288" s="20">
        <v>33</v>
      </c>
      <c r="K288" t="s">
        <v>642</v>
      </c>
      <c r="L288" t="s">
        <v>622</v>
      </c>
      <c r="M288" t="s">
        <v>623</v>
      </c>
      <c r="N288" t="s">
        <v>624</v>
      </c>
      <c r="O288" t="s">
        <v>730</v>
      </c>
    </row>
    <row r="289" spans="1:15" x14ac:dyDescent="0.35">
      <c r="A289" s="77">
        <v>10.490410958904109</v>
      </c>
      <c r="B289" s="19">
        <v>20770</v>
      </c>
      <c r="C289" s="19" t="s">
        <v>2607</v>
      </c>
      <c r="D289" s="19" t="s">
        <v>305</v>
      </c>
      <c r="E289" s="19" t="s">
        <v>306</v>
      </c>
      <c r="F289" s="19" t="s">
        <v>1086</v>
      </c>
      <c r="G289" s="19" t="s">
        <v>1008</v>
      </c>
      <c r="H289" s="19" t="s">
        <v>1001</v>
      </c>
      <c r="I289" s="19" t="s">
        <v>1575</v>
      </c>
      <c r="J289" s="20">
        <v>42</v>
      </c>
      <c r="K289" t="s">
        <v>654</v>
      </c>
      <c r="L289" t="s">
        <v>622</v>
      </c>
      <c r="M289" t="s">
        <v>623</v>
      </c>
      <c r="N289" t="s">
        <v>624</v>
      </c>
      <c r="O289" t="s">
        <v>826</v>
      </c>
    </row>
    <row r="290" spans="1:15" x14ac:dyDescent="0.35">
      <c r="A290" s="77">
        <v>10.479452054794521</v>
      </c>
      <c r="B290" s="19">
        <v>20859</v>
      </c>
      <c r="C290" s="19" t="s">
        <v>2608</v>
      </c>
      <c r="D290" s="19" t="s">
        <v>369</v>
      </c>
      <c r="E290" s="19" t="s">
        <v>370</v>
      </c>
      <c r="F290" s="19" t="s">
        <v>856</v>
      </c>
      <c r="G290" s="19" t="s">
        <v>1046</v>
      </c>
      <c r="H290" s="19" t="s">
        <v>1001</v>
      </c>
      <c r="I290" s="19" t="s">
        <v>1575</v>
      </c>
      <c r="J290" s="20">
        <v>32</v>
      </c>
      <c r="K290" t="s">
        <v>654</v>
      </c>
      <c r="L290" t="s">
        <v>684</v>
      </c>
      <c r="M290" t="s">
        <v>623</v>
      </c>
      <c r="N290" t="s">
        <v>662</v>
      </c>
      <c r="O290" t="s">
        <v>857</v>
      </c>
    </row>
    <row r="291" spans="1:15" x14ac:dyDescent="0.35">
      <c r="A291" s="77">
        <v>10.479452054794521</v>
      </c>
      <c r="B291" s="19">
        <v>20961</v>
      </c>
      <c r="C291" s="19" t="s">
        <v>2609</v>
      </c>
      <c r="D291" s="19" t="s">
        <v>195</v>
      </c>
      <c r="E291" s="19" t="s">
        <v>196</v>
      </c>
      <c r="F291" s="19" t="s">
        <v>908</v>
      </c>
      <c r="G291" s="19" t="s">
        <v>1000</v>
      </c>
      <c r="H291" s="19" t="s">
        <v>1001</v>
      </c>
      <c r="I291" s="19" t="s">
        <v>1599</v>
      </c>
      <c r="J291" s="20">
        <v>40</v>
      </c>
      <c r="K291" t="s">
        <v>636</v>
      </c>
      <c r="L291" t="s">
        <v>670</v>
      </c>
      <c r="M291" t="s">
        <v>657</v>
      </c>
      <c r="N291" t="s">
        <v>641</v>
      </c>
      <c r="O291" t="s">
        <v>676</v>
      </c>
    </row>
    <row r="292" spans="1:15" x14ac:dyDescent="0.35">
      <c r="A292" s="77">
        <v>2.0465753424657533</v>
      </c>
      <c r="B292" s="19">
        <v>21088</v>
      </c>
      <c r="C292" s="19" t="s">
        <v>2610</v>
      </c>
      <c r="D292" s="19" t="s">
        <v>271</v>
      </c>
      <c r="E292" s="19" t="s">
        <v>272</v>
      </c>
      <c r="F292" s="19" t="s">
        <v>2611</v>
      </c>
      <c r="G292" s="19" t="s">
        <v>1045</v>
      </c>
      <c r="H292" s="19" t="s">
        <v>1001</v>
      </c>
      <c r="I292" s="19" t="s">
        <v>1575</v>
      </c>
      <c r="J292" s="20">
        <v>34</v>
      </c>
      <c r="K292" t="s">
        <v>654</v>
      </c>
      <c r="L292" t="s">
        <v>666</v>
      </c>
      <c r="M292" t="s">
        <v>629</v>
      </c>
      <c r="N292" t="s">
        <v>635</v>
      </c>
      <c r="O292" t="s">
        <v>739</v>
      </c>
    </row>
    <row r="293" spans="1:15" x14ac:dyDescent="0.35">
      <c r="A293" s="77">
        <v>10.441095890410958</v>
      </c>
      <c r="B293" s="19">
        <v>21263</v>
      </c>
      <c r="C293" s="19" t="s">
        <v>2612</v>
      </c>
      <c r="D293" s="19" t="s">
        <v>109</v>
      </c>
      <c r="E293" s="19" t="s">
        <v>110</v>
      </c>
      <c r="F293" s="19" t="s">
        <v>2347</v>
      </c>
      <c r="G293" s="19" t="s">
        <v>1008</v>
      </c>
      <c r="H293" s="19" t="s">
        <v>1001</v>
      </c>
      <c r="I293" s="19" t="s">
        <v>1575</v>
      </c>
      <c r="J293" s="20">
        <v>33</v>
      </c>
      <c r="K293" t="s">
        <v>654</v>
      </c>
      <c r="L293" t="s">
        <v>684</v>
      </c>
      <c r="M293" t="s">
        <v>623</v>
      </c>
      <c r="N293" t="s">
        <v>662</v>
      </c>
      <c r="O293" t="s">
        <v>685</v>
      </c>
    </row>
    <row r="294" spans="1:15" x14ac:dyDescent="0.35">
      <c r="A294" s="77">
        <v>10.416438356164383</v>
      </c>
      <c r="B294" s="19">
        <v>21577</v>
      </c>
      <c r="C294" s="19" t="s">
        <v>2613</v>
      </c>
      <c r="D294" s="19" t="s">
        <v>367</v>
      </c>
      <c r="E294" s="19" t="s">
        <v>368</v>
      </c>
      <c r="F294" s="19" t="s">
        <v>1604</v>
      </c>
      <c r="G294" s="19" t="s">
        <v>1045</v>
      </c>
      <c r="H294" s="19" t="s">
        <v>1001</v>
      </c>
      <c r="I294" s="19" t="s">
        <v>1599</v>
      </c>
      <c r="J294" s="20">
        <v>51</v>
      </c>
      <c r="K294" t="s">
        <v>636</v>
      </c>
      <c r="L294" t="s">
        <v>737</v>
      </c>
      <c r="M294" t="s">
        <v>657</v>
      </c>
      <c r="N294" t="s">
        <v>641</v>
      </c>
      <c r="O294" t="s">
        <v>738</v>
      </c>
    </row>
    <row r="295" spans="1:15" x14ac:dyDescent="0.35">
      <c r="A295" s="77">
        <v>4.8273972602739725</v>
      </c>
      <c r="B295" s="19">
        <v>22149</v>
      </c>
      <c r="C295" s="19" t="s">
        <v>2614</v>
      </c>
      <c r="D295" s="19" t="s">
        <v>37</v>
      </c>
      <c r="E295" s="19" t="s">
        <v>37</v>
      </c>
      <c r="F295" s="19" t="s">
        <v>1480</v>
      </c>
      <c r="G295" s="19" t="s">
        <v>1034</v>
      </c>
      <c r="H295" s="19" t="s">
        <v>1001</v>
      </c>
      <c r="I295" s="19" t="s">
        <v>1575</v>
      </c>
      <c r="J295" s="20">
        <v>38</v>
      </c>
      <c r="K295" t="s">
        <v>654</v>
      </c>
      <c r="L295" t="s">
        <v>648</v>
      </c>
      <c r="M295" t="s">
        <v>623</v>
      </c>
      <c r="N295" t="s">
        <v>624</v>
      </c>
      <c r="O295" t="s">
        <v>649</v>
      </c>
    </row>
    <row r="296" spans="1:15" x14ac:dyDescent="0.35">
      <c r="A296" s="77">
        <v>10.334246575342465</v>
      </c>
      <c r="B296" s="19">
        <v>22227</v>
      </c>
      <c r="C296" s="19" t="s">
        <v>2615</v>
      </c>
      <c r="D296" s="19" t="s">
        <v>420</v>
      </c>
      <c r="E296" s="19" t="s">
        <v>420</v>
      </c>
      <c r="F296" s="19" t="s">
        <v>686</v>
      </c>
      <c r="G296" s="19" t="s">
        <v>1057</v>
      </c>
      <c r="H296" s="19" t="s">
        <v>1001</v>
      </c>
      <c r="I296" s="19" t="s">
        <v>1575</v>
      </c>
      <c r="J296" s="20">
        <v>34</v>
      </c>
      <c r="K296" t="s">
        <v>631</v>
      </c>
      <c r="L296" t="s">
        <v>634</v>
      </c>
      <c r="M296" t="s">
        <v>629</v>
      </c>
      <c r="N296" t="s">
        <v>635</v>
      </c>
      <c r="O296" t="s">
        <v>637</v>
      </c>
    </row>
    <row r="297" spans="1:15" x14ac:dyDescent="0.35">
      <c r="A297" s="77">
        <v>10.32054794520548</v>
      </c>
      <c r="B297" s="19">
        <v>22261</v>
      </c>
      <c r="C297" s="19" t="s">
        <v>2616</v>
      </c>
      <c r="D297" s="19" t="s">
        <v>204</v>
      </c>
      <c r="E297" s="19" t="s">
        <v>205</v>
      </c>
      <c r="F297" s="19" t="s">
        <v>1090</v>
      </c>
      <c r="G297" s="19" t="s">
        <v>1034</v>
      </c>
      <c r="H297" s="19" t="s">
        <v>1001</v>
      </c>
      <c r="I297" s="19" t="s">
        <v>1575</v>
      </c>
      <c r="J297" s="20">
        <v>34</v>
      </c>
      <c r="K297" t="s">
        <v>668</v>
      </c>
      <c r="L297" t="s">
        <v>634</v>
      </c>
      <c r="M297" t="s">
        <v>629</v>
      </c>
      <c r="N297" t="s">
        <v>635</v>
      </c>
      <c r="O297" t="s">
        <v>637</v>
      </c>
    </row>
    <row r="298" spans="1:15" x14ac:dyDescent="0.35">
      <c r="A298" s="77">
        <v>3.3863013698630136</v>
      </c>
      <c r="B298" s="19">
        <v>22327</v>
      </c>
      <c r="C298" s="19" t="s">
        <v>2617</v>
      </c>
      <c r="D298" s="19" t="s">
        <v>284</v>
      </c>
      <c r="E298" s="19" t="s">
        <v>285</v>
      </c>
      <c r="F298" s="19" t="s">
        <v>1150</v>
      </c>
      <c r="G298" s="19" t="s">
        <v>1000</v>
      </c>
      <c r="H298" s="19" t="s">
        <v>1001</v>
      </c>
      <c r="I298" s="19" t="s">
        <v>1599</v>
      </c>
      <c r="J298" s="20">
        <v>32</v>
      </c>
      <c r="K298" t="s">
        <v>625</v>
      </c>
      <c r="L298" t="s">
        <v>661</v>
      </c>
      <c r="M298" t="s">
        <v>657</v>
      </c>
      <c r="N298" t="s">
        <v>662</v>
      </c>
      <c r="O298" t="s">
        <v>632</v>
      </c>
    </row>
    <row r="299" spans="1:15" x14ac:dyDescent="0.35">
      <c r="A299" s="77">
        <v>10.306849315068494</v>
      </c>
      <c r="B299" s="19">
        <v>22426</v>
      </c>
      <c r="C299" s="19" t="s">
        <v>2618</v>
      </c>
      <c r="D299" s="19" t="s">
        <v>266</v>
      </c>
      <c r="E299" s="19" t="s">
        <v>267</v>
      </c>
      <c r="F299" s="19" t="s">
        <v>2070</v>
      </c>
      <c r="G299" s="19" t="s">
        <v>1008</v>
      </c>
      <c r="H299" s="19" t="s">
        <v>1001</v>
      </c>
      <c r="I299" s="19" t="s">
        <v>1575</v>
      </c>
      <c r="J299" s="20">
        <v>38</v>
      </c>
      <c r="K299" t="s">
        <v>636</v>
      </c>
      <c r="L299" t="s">
        <v>634</v>
      </c>
      <c r="M299" t="s">
        <v>629</v>
      </c>
      <c r="N299" t="s">
        <v>635</v>
      </c>
      <c r="O299" t="s">
        <v>637</v>
      </c>
    </row>
    <row r="300" spans="1:15" x14ac:dyDescent="0.35">
      <c r="A300" s="77">
        <v>10.301369863013699</v>
      </c>
      <c r="B300" s="19">
        <v>22575</v>
      </c>
      <c r="C300" s="19" t="s">
        <v>2619</v>
      </c>
      <c r="D300" s="19" t="s">
        <v>367</v>
      </c>
      <c r="E300" s="19" t="s">
        <v>368</v>
      </c>
      <c r="F300" s="19" t="s">
        <v>1604</v>
      </c>
      <c r="G300" s="19" t="s">
        <v>1046</v>
      </c>
      <c r="H300" s="19" t="s">
        <v>1001</v>
      </c>
      <c r="I300" s="19" t="s">
        <v>1575</v>
      </c>
      <c r="J300" s="20">
        <v>34</v>
      </c>
      <c r="K300" t="s">
        <v>636</v>
      </c>
      <c r="L300" t="s">
        <v>737</v>
      </c>
      <c r="M300" t="s">
        <v>657</v>
      </c>
      <c r="N300" t="s">
        <v>641</v>
      </c>
      <c r="O300" t="s">
        <v>738</v>
      </c>
    </row>
    <row r="301" spans="1:15" x14ac:dyDescent="0.35">
      <c r="A301" s="77">
        <v>10.301369863013699</v>
      </c>
      <c r="B301" s="19">
        <v>22596</v>
      </c>
      <c r="C301" s="19" t="s">
        <v>2620</v>
      </c>
      <c r="D301" s="19" t="s">
        <v>245</v>
      </c>
      <c r="E301" s="19" t="s">
        <v>246</v>
      </c>
      <c r="F301" s="19" t="s">
        <v>1365</v>
      </c>
      <c r="G301" s="19" t="s">
        <v>1000</v>
      </c>
      <c r="H301" s="19" t="s">
        <v>1001</v>
      </c>
      <c r="I301" s="19" t="s">
        <v>1599</v>
      </c>
      <c r="J301" s="20">
        <v>32</v>
      </c>
      <c r="K301" t="s">
        <v>654</v>
      </c>
      <c r="L301" t="s">
        <v>678</v>
      </c>
      <c r="M301" t="s">
        <v>623</v>
      </c>
      <c r="N301" t="s">
        <v>624</v>
      </c>
      <c r="O301" t="s">
        <v>679</v>
      </c>
    </row>
    <row r="302" spans="1:15" x14ac:dyDescent="0.35">
      <c r="A302" s="77">
        <v>10.287671232876713</v>
      </c>
      <c r="B302" s="19">
        <v>22635</v>
      </c>
      <c r="C302" s="19" t="s">
        <v>2621</v>
      </c>
      <c r="D302" s="19" t="s">
        <v>220</v>
      </c>
      <c r="E302" s="19" t="s">
        <v>221</v>
      </c>
      <c r="F302" s="19" t="s">
        <v>2309</v>
      </c>
      <c r="G302" s="19" t="s">
        <v>1034</v>
      </c>
      <c r="H302" s="19" t="s">
        <v>1001</v>
      </c>
      <c r="I302" s="19" t="s">
        <v>1575</v>
      </c>
      <c r="J302" s="20">
        <v>38</v>
      </c>
      <c r="K302" t="s">
        <v>668</v>
      </c>
      <c r="L302" t="s">
        <v>648</v>
      </c>
      <c r="M302" t="s">
        <v>623</v>
      </c>
      <c r="N302" t="s">
        <v>624</v>
      </c>
      <c r="O302" t="s">
        <v>649</v>
      </c>
    </row>
    <row r="303" spans="1:15" x14ac:dyDescent="0.35">
      <c r="A303" s="77">
        <v>10.252054794520548</v>
      </c>
      <c r="B303" s="19">
        <v>22947</v>
      </c>
      <c r="C303" s="19" t="s">
        <v>2622</v>
      </c>
      <c r="D303" s="19" t="s">
        <v>266</v>
      </c>
      <c r="E303" s="19" t="s">
        <v>267</v>
      </c>
      <c r="F303" s="19" t="s">
        <v>2070</v>
      </c>
      <c r="G303" s="19" t="s">
        <v>1000</v>
      </c>
      <c r="H303" s="19" t="s">
        <v>1001</v>
      </c>
      <c r="I303" s="19" t="s">
        <v>1599</v>
      </c>
      <c r="J303" s="20">
        <v>33</v>
      </c>
      <c r="K303" t="s">
        <v>636</v>
      </c>
      <c r="L303" t="s">
        <v>634</v>
      </c>
      <c r="M303" t="s">
        <v>629</v>
      </c>
      <c r="N303" t="s">
        <v>635</v>
      </c>
      <c r="O303" t="s">
        <v>637</v>
      </c>
    </row>
    <row r="304" spans="1:15" x14ac:dyDescent="0.35">
      <c r="A304" s="77">
        <v>1.7287671232876711</v>
      </c>
      <c r="B304" s="19">
        <v>23080</v>
      </c>
      <c r="C304" s="19" t="s">
        <v>2623</v>
      </c>
      <c r="D304" s="19" t="s">
        <v>349</v>
      </c>
      <c r="E304" s="19" t="s">
        <v>350</v>
      </c>
      <c r="F304" s="19" t="s">
        <v>912</v>
      </c>
      <c r="G304" s="19" t="s">
        <v>1028</v>
      </c>
      <c r="H304" s="19" t="s">
        <v>1020</v>
      </c>
      <c r="I304" s="19" t="s">
        <v>1575</v>
      </c>
      <c r="J304" s="20">
        <v>36</v>
      </c>
      <c r="K304" t="s">
        <v>625</v>
      </c>
      <c r="L304" t="s">
        <v>648</v>
      </c>
      <c r="M304" t="s">
        <v>623</v>
      </c>
      <c r="N304" t="s">
        <v>624</v>
      </c>
      <c r="O304" t="s">
        <v>649</v>
      </c>
    </row>
    <row r="305" spans="1:15" x14ac:dyDescent="0.35">
      <c r="A305" s="77">
        <v>10.24931506849315</v>
      </c>
      <c r="B305" s="19">
        <v>23084</v>
      </c>
      <c r="C305" s="19" t="s">
        <v>2624</v>
      </c>
      <c r="D305" s="19" t="s">
        <v>153</v>
      </c>
      <c r="E305" s="19" t="s">
        <v>154</v>
      </c>
      <c r="F305" s="19" t="s">
        <v>2384</v>
      </c>
      <c r="G305" s="19" t="s">
        <v>1045</v>
      </c>
      <c r="H305" s="19" t="s">
        <v>1001</v>
      </c>
      <c r="I305" s="19" t="s">
        <v>1575</v>
      </c>
      <c r="J305" s="20">
        <v>39</v>
      </c>
      <c r="K305" t="s">
        <v>654</v>
      </c>
      <c r="L305" t="s">
        <v>762</v>
      </c>
      <c r="M305" t="s">
        <v>629</v>
      </c>
      <c r="N305" t="s">
        <v>646</v>
      </c>
      <c r="O305" t="s">
        <v>763</v>
      </c>
    </row>
    <row r="306" spans="1:15" x14ac:dyDescent="0.35">
      <c r="A306" s="77">
        <v>0.48767123287671232</v>
      </c>
      <c r="B306" s="19">
        <v>23398</v>
      </c>
      <c r="C306" s="19" t="s">
        <v>2625</v>
      </c>
      <c r="D306" s="19" t="s">
        <v>45</v>
      </c>
      <c r="E306" s="19" t="s">
        <v>46</v>
      </c>
      <c r="F306" s="19" t="s">
        <v>1122</v>
      </c>
      <c r="G306" s="19" t="s">
        <v>1046</v>
      </c>
      <c r="H306" s="19" t="s">
        <v>1001</v>
      </c>
      <c r="I306" s="19" t="s">
        <v>1575</v>
      </c>
      <c r="J306" s="20">
        <v>36</v>
      </c>
      <c r="K306" t="s">
        <v>631</v>
      </c>
      <c r="L306" t="s">
        <v>651</v>
      </c>
      <c r="M306" t="s">
        <v>629</v>
      </c>
      <c r="N306" t="s">
        <v>630</v>
      </c>
      <c r="O306" t="s">
        <v>705</v>
      </c>
    </row>
    <row r="307" spans="1:15" x14ac:dyDescent="0.35">
      <c r="A307" s="77">
        <v>10.169863013698631</v>
      </c>
      <c r="B307" s="19">
        <v>23711</v>
      </c>
      <c r="C307" s="19" t="s">
        <v>2626</v>
      </c>
      <c r="D307" s="19" t="s">
        <v>55</v>
      </c>
      <c r="E307" s="19" t="s">
        <v>56</v>
      </c>
      <c r="F307" s="19" t="s">
        <v>1684</v>
      </c>
      <c r="G307" s="19" t="s">
        <v>1000</v>
      </c>
      <c r="H307" s="19" t="s">
        <v>1001</v>
      </c>
      <c r="I307" s="19" t="s">
        <v>1575</v>
      </c>
      <c r="J307" s="20">
        <v>35</v>
      </c>
      <c r="K307" t="s">
        <v>668</v>
      </c>
      <c r="L307" t="s">
        <v>707</v>
      </c>
      <c r="M307" t="s">
        <v>629</v>
      </c>
      <c r="N307" t="s">
        <v>635</v>
      </c>
      <c r="O307" t="s">
        <v>708</v>
      </c>
    </row>
    <row r="308" spans="1:15" x14ac:dyDescent="0.35">
      <c r="A308" s="77">
        <v>10.104109589041096</v>
      </c>
      <c r="B308" s="19">
        <v>24328</v>
      </c>
      <c r="C308" s="19" t="s">
        <v>2627</v>
      </c>
      <c r="D308" s="19" t="s">
        <v>228</v>
      </c>
      <c r="E308" s="19" t="s">
        <v>229</v>
      </c>
      <c r="F308" s="19" t="s">
        <v>1643</v>
      </c>
      <c r="G308" s="19" t="s">
        <v>1008</v>
      </c>
      <c r="H308" s="19" t="s">
        <v>1001</v>
      </c>
      <c r="I308" s="19" t="s">
        <v>1575</v>
      </c>
      <c r="J308" s="20">
        <v>47</v>
      </c>
      <c r="K308" t="s">
        <v>668</v>
      </c>
      <c r="L308" t="s">
        <v>762</v>
      </c>
      <c r="M308" t="s">
        <v>629</v>
      </c>
      <c r="N308" t="s">
        <v>646</v>
      </c>
      <c r="O308" t="s">
        <v>763</v>
      </c>
    </row>
    <row r="309" spans="1:15" x14ac:dyDescent="0.35">
      <c r="A309" s="77">
        <v>10.123287671232877</v>
      </c>
      <c r="B309" s="19">
        <v>24370</v>
      </c>
      <c r="C309" s="19" t="s">
        <v>2628</v>
      </c>
      <c r="D309" s="19" t="s">
        <v>36</v>
      </c>
      <c r="E309" s="19" t="s">
        <v>36</v>
      </c>
      <c r="F309" s="19" t="s">
        <v>1403</v>
      </c>
      <c r="G309" s="19" t="s">
        <v>1000</v>
      </c>
      <c r="H309" s="19" t="s">
        <v>1001</v>
      </c>
      <c r="I309" s="19" t="s">
        <v>1599</v>
      </c>
      <c r="J309" s="20">
        <v>40</v>
      </c>
      <c r="K309" t="s">
        <v>668</v>
      </c>
      <c r="L309" t="s">
        <v>691</v>
      </c>
      <c r="M309" t="s">
        <v>657</v>
      </c>
      <c r="N309" t="s">
        <v>658</v>
      </c>
      <c r="O309" t="s">
        <v>632</v>
      </c>
    </row>
    <row r="310" spans="1:15" x14ac:dyDescent="0.35">
      <c r="A310" s="77">
        <v>10.087671232876712</v>
      </c>
      <c r="B310" s="19">
        <v>24507</v>
      </c>
      <c r="C310" s="19" t="s">
        <v>2629</v>
      </c>
      <c r="D310" s="19" t="s">
        <v>235</v>
      </c>
      <c r="E310" s="19" t="s">
        <v>236</v>
      </c>
      <c r="F310" s="19" t="s">
        <v>1457</v>
      </c>
      <c r="G310" s="19" t="s">
        <v>1034</v>
      </c>
      <c r="H310" s="19" t="s">
        <v>1001</v>
      </c>
      <c r="I310" s="19" t="s">
        <v>1575</v>
      </c>
      <c r="J310" s="20">
        <v>36</v>
      </c>
      <c r="K310" t="s">
        <v>654</v>
      </c>
      <c r="L310" t="s">
        <v>707</v>
      </c>
      <c r="M310" t="s">
        <v>629</v>
      </c>
      <c r="N310" t="s">
        <v>635</v>
      </c>
      <c r="O310" t="s">
        <v>710</v>
      </c>
    </row>
    <row r="311" spans="1:15" x14ac:dyDescent="0.35">
      <c r="A311" s="77">
        <v>10.087671232876712</v>
      </c>
      <c r="B311" s="19">
        <v>24564</v>
      </c>
      <c r="C311" s="19" t="s">
        <v>2630</v>
      </c>
      <c r="D311" s="19" t="s">
        <v>235</v>
      </c>
      <c r="E311" s="19" t="s">
        <v>236</v>
      </c>
      <c r="F311" s="19" t="s">
        <v>1457</v>
      </c>
      <c r="G311" s="19" t="s">
        <v>1045</v>
      </c>
      <c r="H311" s="19" t="s">
        <v>1001</v>
      </c>
      <c r="I311" s="19" t="s">
        <v>1575</v>
      </c>
      <c r="J311" s="20">
        <v>40</v>
      </c>
      <c r="K311" t="s">
        <v>654</v>
      </c>
      <c r="L311" t="s">
        <v>707</v>
      </c>
      <c r="M311" t="s">
        <v>629</v>
      </c>
      <c r="N311" t="s">
        <v>635</v>
      </c>
      <c r="O311" t="s">
        <v>710</v>
      </c>
    </row>
    <row r="312" spans="1:15" x14ac:dyDescent="0.35">
      <c r="A312" s="77">
        <v>10.076712328767123</v>
      </c>
      <c r="B312" s="19">
        <v>24585</v>
      </c>
      <c r="C312" s="19" t="s">
        <v>2631</v>
      </c>
      <c r="D312" s="19" t="s">
        <v>66</v>
      </c>
      <c r="E312" s="19" t="s">
        <v>67</v>
      </c>
      <c r="F312" s="19" t="s">
        <v>1708</v>
      </c>
      <c r="G312" s="19" t="s">
        <v>1000</v>
      </c>
      <c r="H312" s="19" t="s">
        <v>1001</v>
      </c>
      <c r="I312" s="19" t="s">
        <v>1575</v>
      </c>
      <c r="J312" s="20">
        <v>29</v>
      </c>
      <c r="K312" t="s">
        <v>654</v>
      </c>
      <c r="L312" t="s">
        <v>645</v>
      </c>
      <c r="M312" t="s">
        <v>629</v>
      </c>
      <c r="N312" t="s">
        <v>646</v>
      </c>
      <c r="O312" t="s">
        <v>632</v>
      </c>
    </row>
    <row r="313" spans="1:15" x14ac:dyDescent="0.35">
      <c r="A313" s="77">
        <v>10.065753424657535</v>
      </c>
      <c r="B313" s="19">
        <v>24654</v>
      </c>
      <c r="C313" s="19" t="s">
        <v>2632</v>
      </c>
      <c r="D313" s="19" t="s">
        <v>349</v>
      </c>
      <c r="E313" s="19" t="s">
        <v>350</v>
      </c>
      <c r="F313" s="19" t="s">
        <v>912</v>
      </c>
      <c r="G313" s="19" t="s">
        <v>1016</v>
      </c>
      <c r="H313" s="19" t="s">
        <v>1001</v>
      </c>
      <c r="I313" s="19" t="s">
        <v>1575</v>
      </c>
      <c r="J313" s="20">
        <v>38</v>
      </c>
      <c r="K313" t="s">
        <v>625</v>
      </c>
      <c r="L313" t="s">
        <v>648</v>
      </c>
      <c r="M313" t="s">
        <v>623</v>
      </c>
      <c r="N313" t="s">
        <v>624</v>
      </c>
      <c r="O313" t="s">
        <v>649</v>
      </c>
    </row>
    <row r="314" spans="1:15" x14ac:dyDescent="0.35">
      <c r="A314" s="77">
        <v>10.057534246575342</v>
      </c>
      <c r="B314" s="19">
        <v>24895</v>
      </c>
      <c r="C314" s="19" t="s">
        <v>2633</v>
      </c>
      <c r="D314" s="19" t="s">
        <v>18</v>
      </c>
      <c r="E314" s="19" t="s">
        <v>18</v>
      </c>
      <c r="F314" s="19" t="s">
        <v>650</v>
      </c>
      <c r="G314" s="19" t="s">
        <v>1034</v>
      </c>
      <c r="H314" s="19" t="s">
        <v>1001</v>
      </c>
      <c r="I314" s="19" t="s">
        <v>1575</v>
      </c>
      <c r="J314" s="20">
        <v>30</v>
      </c>
      <c r="K314" t="s">
        <v>636</v>
      </c>
      <c r="L314" t="s">
        <v>651</v>
      </c>
      <c r="M314" t="s">
        <v>629</v>
      </c>
      <c r="N314" t="s">
        <v>630</v>
      </c>
      <c r="O314" t="s">
        <v>652</v>
      </c>
    </row>
    <row r="315" spans="1:15" x14ac:dyDescent="0.35">
      <c r="A315" s="77">
        <v>10.057534246575342</v>
      </c>
      <c r="B315" s="19">
        <v>24910</v>
      </c>
      <c r="C315" s="19" t="s">
        <v>2634</v>
      </c>
      <c r="D315" s="19" t="s">
        <v>333</v>
      </c>
      <c r="E315" s="19" t="s">
        <v>334</v>
      </c>
      <c r="F315" s="19" t="s">
        <v>1333</v>
      </c>
      <c r="G315" s="19" t="s">
        <v>1038</v>
      </c>
      <c r="H315" s="19" t="s">
        <v>1020</v>
      </c>
      <c r="I315" s="19" t="s">
        <v>1575</v>
      </c>
      <c r="J315" s="20">
        <v>37</v>
      </c>
      <c r="K315" t="s">
        <v>636</v>
      </c>
      <c r="L315" t="s">
        <v>666</v>
      </c>
      <c r="M315" t="s">
        <v>629</v>
      </c>
      <c r="N315" t="s">
        <v>630</v>
      </c>
      <c r="O315" t="s">
        <v>652</v>
      </c>
    </row>
    <row r="316" spans="1:15" x14ac:dyDescent="0.35">
      <c r="A316" s="77">
        <v>8.375342465753425</v>
      </c>
      <c r="B316" s="19">
        <v>24986</v>
      </c>
      <c r="C316" s="19" t="s">
        <v>2635</v>
      </c>
      <c r="D316" s="19" t="s">
        <v>333</v>
      </c>
      <c r="E316" s="19" t="s">
        <v>334</v>
      </c>
      <c r="F316" s="19" t="s">
        <v>1333</v>
      </c>
      <c r="G316" s="19" t="s">
        <v>1008</v>
      </c>
      <c r="H316" s="19" t="s">
        <v>1001</v>
      </c>
      <c r="I316" s="19" t="s">
        <v>1575</v>
      </c>
      <c r="J316" s="20">
        <v>29</v>
      </c>
      <c r="K316" t="s">
        <v>636</v>
      </c>
      <c r="L316" t="s">
        <v>666</v>
      </c>
      <c r="M316" t="s">
        <v>629</v>
      </c>
      <c r="N316" t="s">
        <v>630</v>
      </c>
      <c r="O316" t="s">
        <v>652</v>
      </c>
    </row>
    <row r="317" spans="1:15" x14ac:dyDescent="0.35">
      <c r="A317" s="77">
        <v>10.024657534246575</v>
      </c>
      <c r="B317" s="19">
        <v>25008</v>
      </c>
      <c r="C317" s="19" t="s">
        <v>2636</v>
      </c>
      <c r="D317" s="19" t="s">
        <v>403</v>
      </c>
      <c r="E317" s="19" t="s">
        <v>404</v>
      </c>
      <c r="F317" s="19" t="s">
        <v>870</v>
      </c>
      <c r="G317" s="19" t="s">
        <v>1008</v>
      </c>
      <c r="H317" s="19" t="s">
        <v>1001</v>
      </c>
      <c r="I317" s="19" t="s">
        <v>1575</v>
      </c>
      <c r="J317" s="20">
        <v>40</v>
      </c>
      <c r="K317" t="s">
        <v>631</v>
      </c>
      <c r="L317" t="s">
        <v>691</v>
      </c>
      <c r="M317" t="s">
        <v>657</v>
      </c>
      <c r="N317" t="s">
        <v>658</v>
      </c>
      <c r="O317" t="s">
        <v>632</v>
      </c>
    </row>
    <row r="318" spans="1:15" x14ac:dyDescent="0.35">
      <c r="A318" s="77">
        <v>10.019178082191781</v>
      </c>
      <c r="B318" s="19">
        <v>25131</v>
      </c>
      <c r="C318" s="19" t="s">
        <v>2637</v>
      </c>
      <c r="D318" s="19" t="s">
        <v>409</v>
      </c>
      <c r="E318" s="19" t="s">
        <v>410</v>
      </c>
      <c r="F318" s="19" t="s">
        <v>874</v>
      </c>
      <c r="G318" s="19" t="s">
        <v>1000</v>
      </c>
      <c r="H318" s="19" t="s">
        <v>1001</v>
      </c>
      <c r="I318" s="19" t="s">
        <v>1599</v>
      </c>
      <c r="J318" s="20">
        <v>43</v>
      </c>
      <c r="K318" t="s">
        <v>631</v>
      </c>
      <c r="L318" t="s">
        <v>666</v>
      </c>
      <c r="M318" t="s">
        <v>629</v>
      </c>
      <c r="N318" t="s">
        <v>635</v>
      </c>
      <c r="O318" t="s">
        <v>637</v>
      </c>
    </row>
    <row r="319" spans="1:15" x14ac:dyDescent="0.35">
      <c r="A319" s="77">
        <v>5.1890410958904107</v>
      </c>
      <c r="B319" s="19">
        <v>25225</v>
      </c>
      <c r="C319" s="19" t="s">
        <v>2638</v>
      </c>
      <c r="D319" s="19" t="s">
        <v>165</v>
      </c>
      <c r="E319" s="19" t="s">
        <v>166</v>
      </c>
      <c r="F319" s="19" t="s">
        <v>1238</v>
      </c>
      <c r="G319" s="19" t="s">
        <v>1034</v>
      </c>
      <c r="H319" s="19" t="s">
        <v>1001</v>
      </c>
      <c r="I319" s="19" t="s">
        <v>1575</v>
      </c>
      <c r="J319" s="20">
        <v>28</v>
      </c>
      <c r="K319" t="s">
        <v>636</v>
      </c>
      <c r="L319" t="s">
        <v>648</v>
      </c>
      <c r="M319" t="s">
        <v>623</v>
      </c>
      <c r="N319" t="s">
        <v>624</v>
      </c>
      <c r="O319" t="s">
        <v>649</v>
      </c>
    </row>
    <row r="320" spans="1:15" x14ac:dyDescent="0.35">
      <c r="A320" s="77">
        <v>10</v>
      </c>
      <c r="B320" s="19">
        <v>25359</v>
      </c>
      <c r="C320" s="19" t="s">
        <v>2639</v>
      </c>
      <c r="D320" s="19" t="s">
        <v>58</v>
      </c>
      <c r="E320" s="19" t="s">
        <v>59</v>
      </c>
      <c r="F320" s="19" t="s">
        <v>1650</v>
      </c>
      <c r="G320" s="19" t="s">
        <v>1057</v>
      </c>
      <c r="H320" s="19" t="s">
        <v>1001</v>
      </c>
      <c r="I320" s="19" t="s">
        <v>1575</v>
      </c>
      <c r="J320" s="20">
        <v>28</v>
      </c>
      <c r="K320" t="s">
        <v>668</v>
      </c>
      <c r="L320" t="s">
        <v>651</v>
      </c>
      <c r="M320" t="s">
        <v>629</v>
      </c>
      <c r="N320" t="s">
        <v>630</v>
      </c>
      <c r="O320" t="s">
        <v>705</v>
      </c>
    </row>
    <row r="321" spans="1:15" x14ac:dyDescent="0.35">
      <c r="A321" s="77">
        <v>2.7452054794520548</v>
      </c>
      <c r="B321" s="19">
        <v>25573</v>
      </c>
      <c r="C321" s="19" t="s">
        <v>2640</v>
      </c>
      <c r="D321" s="19" t="s">
        <v>403</v>
      </c>
      <c r="E321" s="19" t="s">
        <v>404</v>
      </c>
      <c r="F321" s="19" t="s">
        <v>870</v>
      </c>
      <c r="G321" s="19" t="s">
        <v>1084</v>
      </c>
      <c r="H321" s="19" t="s">
        <v>1001</v>
      </c>
      <c r="I321" s="19" t="s">
        <v>1599</v>
      </c>
      <c r="J321" s="20">
        <v>53</v>
      </c>
      <c r="K321" t="s">
        <v>631</v>
      </c>
      <c r="L321" t="s">
        <v>691</v>
      </c>
      <c r="M321" t="s">
        <v>657</v>
      </c>
      <c r="N321" t="s">
        <v>658</v>
      </c>
      <c r="O321" t="s">
        <v>632</v>
      </c>
    </row>
    <row r="322" spans="1:15" x14ac:dyDescent="0.35">
      <c r="A322" s="77">
        <v>9.9698630136986299</v>
      </c>
      <c r="B322" s="19">
        <v>25620</v>
      </c>
      <c r="C322" s="19" t="s">
        <v>2641</v>
      </c>
      <c r="D322" s="19" t="s">
        <v>337</v>
      </c>
      <c r="E322" s="19" t="s">
        <v>338</v>
      </c>
      <c r="F322" s="19" t="s">
        <v>2642</v>
      </c>
      <c r="G322" s="19" t="s">
        <v>1046</v>
      </c>
      <c r="H322" s="19" t="s">
        <v>1001</v>
      </c>
      <c r="I322" s="19" t="s">
        <v>1599</v>
      </c>
      <c r="J322" s="20">
        <v>37</v>
      </c>
      <c r="K322" t="s">
        <v>668</v>
      </c>
      <c r="L322" t="s">
        <v>656</v>
      </c>
      <c r="M322" t="s">
        <v>657</v>
      </c>
      <c r="N322" t="s">
        <v>658</v>
      </c>
      <c r="O322" t="s">
        <v>843</v>
      </c>
    </row>
    <row r="323" spans="1:15" x14ac:dyDescent="0.35">
      <c r="A323" s="77">
        <v>9.9698630136986299</v>
      </c>
      <c r="B323" s="19">
        <v>25621</v>
      </c>
      <c r="C323" s="19" t="s">
        <v>2643</v>
      </c>
      <c r="D323" s="19" t="s">
        <v>337</v>
      </c>
      <c r="E323" s="19" t="s">
        <v>338</v>
      </c>
      <c r="F323" s="19" t="s">
        <v>2642</v>
      </c>
      <c r="G323" s="19" t="s">
        <v>1034</v>
      </c>
      <c r="H323" s="19" t="s">
        <v>1001</v>
      </c>
      <c r="I323" s="19" t="s">
        <v>1599</v>
      </c>
      <c r="J323" s="20">
        <v>35</v>
      </c>
      <c r="K323" t="s">
        <v>668</v>
      </c>
      <c r="L323" t="s">
        <v>656</v>
      </c>
      <c r="M323" t="s">
        <v>657</v>
      </c>
      <c r="N323" t="s">
        <v>658</v>
      </c>
      <c r="O323" t="s">
        <v>843</v>
      </c>
    </row>
    <row r="324" spans="1:15" x14ac:dyDescent="0.35">
      <c r="A324" s="77">
        <v>8.8136986301369866</v>
      </c>
      <c r="B324" s="19">
        <v>25743</v>
      </c>
      <c r="C324" s="19" t="s">
        <v>2644</v>
      </c>
      <c r="D324" s="19" t="s">
        <v>295</v>
      </c>
      <c r="E324" s="19" t="s">
        <v>296</v>
      </c>
      <c r="F324" s="19" t="s">
        <v>1095</v>
      </c>
      <c r="G324" s="19" t="s">
        <v>1034</v>
      </c>
      <c r="H324" s="19" t="s">
        <v>1001</v>
      </c>
      <c r="I324" s="19" t="s">
        <v>1575</v>
      </c>
      <c r="J324" s="20">
        <v>32</v>
      </c>
      <c r="K324" t="s">
        <v>654</v>
      </c>
      <c r="L324" t="s">
        <v>651</v>
      </c>
      <c r="M324" t="s">
        <v>629</v>
      </c>
      <c r="N324" t="s">
        <v>630</v>
      </c>
      <c r="O324" t="s">
        <v>705</v>
      </c>
    </row>
    <row r="325" spans="1:15" x14ac:dyDescent="0.35">
      <c r="A325" s="77">
        <v>9.9643835616438352</v>
      </c>
      <c r="B325" s="19">
        <v>25756</v>
      </c>
      <c r="C325" s="19" t="s">
        <v>2645</v>
      </c>
      <c r="D325" s="19" t="s">
        <v>105</v>
      </c>
      <c r="E325" s="19" t="s">
        <v>106</v>
      </c>
      <c r="F325" s="19" t="s">
        <v>1207</v>
      </c>
      <c r="G325" s="19" t="s">
        <v>1045</v>
      </c>
      <c r="H325" s="19" t="s">
        <v>1001</v>
      </c>
      <c r="I325" s="19" t="s">
        <v>1599</v>
      </c>
      <c r="J325" s="20">
        <v>42</v>
      </c>
      <c r="K325" t="s">
        <v>654</v>
      </c>
      <c r="L325" t="s">
        <v>622</v>
      </c>
      <c r="M325" t="s">
        <v>623</v>
      </c>
      <c r="N325" t="s">
        <v>624</v>
      </c>
      <c r="O325" t="s">
        <v>626</v>
      </c>
    </row>
    <row r="326" spans="1:15" x14ac:dyDescent="0.35">
      <c r="A326" s="77">
        <v>9.956164383561644</v>
      </c>
      <c r="B326" s="19">
        <v>25908</v>
      </c>
      <c r="C326" s="19" t="s">
        <v>2646</v>
      </c>
      <c r="D326" s="19" t="s">
        <v>135</v>
      </c>
      <c r="E326" s="19" t="s">
        <v>136</v>
      </c>
      <c r="F326" s="19" t="s">
        <v>2393</v>
      </c>
      <c r="G326" s="19" t="s">
        <v>1046</v>
      </c>
      <c r="H326" s="19" t="s">
        <v>1001</v>
      </c>
      <c r="I326" s="19" t="s">
        <v>1575</v>
      </c>
      <c r="J326" s="20">
        <v>34</v>
      </c>
      <c r="K326" t="s">
        <v>668</v>
      </c>
      <c r="L326" t="s">
        <v>651</v>
      </c>
      <c r="M326" t="s">
        <v>629</v>
      </c>
      <c r="N326" t="s">
        <v>630</v>
      </c>
      <c r="O326" t="s">
        <v>652</v>
      </c>
    </row>
    <row r="327" spans="1:15" x14ac:dyDescent="0.35">
      <c r="A327" s="77">
        <v>3.9178082191780823</v>
      </c>
      <c r="B327" s="19">
        <v>25989</v>
      </c>
      <c r="C327" s="19" t="s">
        <v>2647</v>
      </c>
      <c r="D327" s="19" t="s">
        <v>425</v>
      </c>
      <c r="E327" s="19" t="s">
        <v>425</v>
      </c>
      <c r="F327" s="19" t="s">
        <v>1330</v>
      </c>
      <c r="G327" s="19" t="s">
        <v>1045</v>
      </c>
      <c r="H327" s="19" t="s">
        <v>1001</v>
      </c>
      <c r="I327" s="19" t="s">
        <v>1599</v>
      </c>
      <c r="J327" s="20">
        <v>28</v>
      </c>
      <c r="K327" t="s">
        <v>654</v>
      </c>
      <c r="L327" t="s">
        <v>678</v>
      </c>
      <c r="M327" t="s">
        <v>623</v>
      </c>
      <c r="N327" t="s">
        <v>624</v>
      </c>
      <c r="O327" t="s">
        <v>689</v>
      </c>
    </row>
    <row r="328" spans="1:15" x14ac:dyDescent="0.35">
      <c r="A328" s="77">
        <v>4.0410958904109586</v>
      </c>
      <c r="B328" s="19">
        <v>26200</v>
      </c>
      <c r="C328" s="19" t="s">
        <v>2648</v>
      </c>
      <c r="D328" s="19" t="s">
        <v>18</v>
      </c>
      <c r="E328" s="19" t="s">
        <v>18</v>
      </c>
      <c r="F328" s="19" t="s">
        <v>650</v>
      </c>
      <c r="G328" s="19" t="s">
        <v>1000</v>
      </c>
      <c r="H328" s="19" t="s">
        <v>1001</v>
      </c>
      <c r="I328" s="19" t="s">
        <v>1599</v>
      </c>
      <c r="J328" s="20">
        <v>41</v>
      </c>
      <c r="K328" t="s">
        <v>636</v>
      </c>
      <c r="L328" t="s">
        <v>651</v>
      </c>
      <c r="M328" t="s">
        <v>629</v>
      </c>
      <c r="N328" t="s">
        <v>630</v>
      </c>
      <c r="O328" t="s">
        <v>652</v>
      </c>
    </row>
    <row r="329" spans="1:15" x14ac:dyDescent="0.35">
      <c r="A329" s="77">
        <v>0.32602739726027397</v>
      </c>
      <c r="B329" s="19">
        <v>26737</v>
      </c>
      <c r="C329" s="19" t="s">
        <v>2649</v>
      </c>
      <c r="D329" s="19" t="s">
        <v>407</v>
      </c>
      <c r="E329" s="19" t="s">
        <v>408</v>
      </c>
      <c r="F329" s="19" t="s">
        <v>1230</v>
      </c>
      <c r="G329" s="19" t="s">
        <v>1045</v>
      </c>
      <c r="H329" s="19" t="s">
        <v>1001</v>
      </c>
      <c r="I329" s="19" t="s">
        <v>1599</v>
      </c>
      <c r="J329" s="20">
        <v>28</v>
      </c>
      <c r="K329" t="s">
        <v>636</v>
      </c>
      <c r="L329" t="s">
        <v>622</v>
      </c>
      <c r="M329" t="s">
        <v>623</v>
      </c>
      <c r="N329" t="s">
        <v>624</v>
      </c>
      <c r="O329" t="s">
        <v>730</v>
      </c>
    </row>
    <row r="330" spans="1:15" x14ac:dyDescent="0.35">
      <c r="A330" s="77">
        <v>7.1945205479452055</v>
      </c>
      <c r="B330" s="19">
        <v>26746</v>
      </c>
      <c r="C330" s="19" t="s">
        <v>2650</v>
      </c>
      <c r="D330" s="19" t="s">
        <v>341</v>
      </c>
      <c r="E330" s="19" t="s">
        <v>342</v>
      </c>
      <c r="F330" s="19" t="s">
        <v>1264</v>
      </c>
      <c r="G330" s="19" t="s">
        <v>1046</v>
      </c>
      <c r="H330" s="19" t="s">
        <v>1001</v>
      </c>
      <c r="I330" s="19" t="s">
        <v>1575</v>
      </c>
      <c r="J330" s="20">
        <v>29</v>
      </c>
      <c r="K330" t="s">
        <v>636</v>
      </c>
      <c r="L330" t="s">
        <v>678</v>
      </c>
      <c r="M330" t="s">
        <v>623</v>
      </c>
      <c r="N330" t="s">
        <v>624</v>
      </c>
      <c r="O330" t="s">
        <v>679</v>
      </c>
    </row>
    <row r="331" spans="1:15" x14ac:dyDescent="0.35">
      <c r="A331" s="77">
        <v>9.882191780821918</v>
      </c>
      <c r="B331" s="19">
        <v>26859</v>
      </c>
      <c r="C331" s="19" t="s">
        <v>2651</v>
      </c>
      <c r="D331" s="19" t="s">
        <v>115</v>
      </c>
      <c r="E331" s="19" t="s">
        <v>116</v>
      </c>
      <c r="F331" s="19" t="s">
        <v>1383</v>
      </c>
      <c r="G331" s="19" t="s">
        <v>1008</v>
      </c>
      <c r="H331" s="19" t="s">
        <v>1001</v>
      </c>
      <c r="I331" s="19" t="s">
        <v>1575</v>
      </c>
      <c r="J331" s="20">
        <v>35</v>
      </c>
      <c r="K331" t="s">
        <v>631</v>
      </c>
      <c r="L331" t="s">
        <v>670</v>
      </c>
      <c r="M331" t="s">
        <v>657</v>
      </c>
      <c r="N331" t="s">
        <v>641</v>
      </c>
      <c r="O331" t="s">
        <v>671</v>
      </c>
    </row>
    <row r="332" spans="1:15" x14ac:dyDescent="0.35">
      <c r="A332" s="77">
        <v>9.882191780821918</v>
      </c>
      <c r="B332" s="19">
        <v>26948</v>
      </c>
      <c r="C332" s="19" t="s">
        <v>2652</v>
      </c>
      <c r="D332" s="19" t="s">
        <v>351</v>
      </c>
      <c r="E332" s="19" t="s">
        <v>352</v>
      </c>
      <c r="F332" s="19" t="s">
        <v>1507</v>
      </c>
      <c r="G332" s="19" t="s">
        <v>1045</v>
      </c>
      <c r="H332" s="19" t="s">
        <v>1001</v>
      </c>
      <c r="I332" s="19" t="s">
        <v>1599</v>
      </c>
      <c r="J332" s="20">
        <v>37</v>
      </c>
      <c r="K332" t="s">
        <v>636</v>
      </c>
      <c r="L332" t="s">
        <v>661</v>
      </c>
      <c r="M332" t="s">
        <v>657</v>
      </c>
      <c r="N332" t="s">
        <v>662</v>
      </c>
      <c r="O332" t="s">
        <v>632</v>
      </c>
    </row>
    <row r="333" spans="1:15" x14ac:dyDescent="0.35">
      <c r="A333" s="77">
        <v>9.8630136986301373</v>
      </c>
      <c r="B333" s="19">
        <v>27055</v>
      </c>
      <c r="C333" s="19" t="s">
        <v>2653</v>
      </c>
      <c r="D333" s="19" t="s">
        <v>222</v>
      </c>
      <c r="E333" s="19" t="s">
        <v>223</v>
      </c>
      <c r="F333" s="19" t="s">
        <v>1660</v>
      </c>
      <c r="G333" s="19" t="s">
        <v>1000</v>
      </c>
      <c r="H333" s="19" t="s">
        <v>1001</v>
      </c>
      <c r="I333" s="19" t="s">
        <v>1599</v>
      </c>
      <c r="J333" s="20">
        <v>37</v>
      </c>
      <c r="K333" t="s">
        <v>642</v>
      </c>
      <c r="L333" t="s">
        <v>684</v>
      </c>
      <c r="M333" t="s">
        <v>623</v>
      </c>
      <c r="N333" t="s">
        <v>662</v>
      </c>
      <c r="O333" t="s">
        <v>792</v>
      </c>
    </row>
    <row r="334" spans="1:15" x14ac:dyDescent="0.35">
      <c r="A334" s="77">
        <v>9.830136986301369</v>
      </c>
      <c r="B334" s="19">
        <v>27417</v>
      </c>
      <c r="C334" s="19" t="s">
        <v>2654</v>
      </c>
      <c r="D334" s="19" t="s">
        <v>97</v>
      </c>
      <c r="E334" s="19" t="s">
        <v>98</v>
      </c>
      <c r="F334" s="19" t="s">
        <v>2395</v>
      </c>
      <c r="G334" s="19" t="s">
        <v>1045</v>
      </c>
      <c r="H334" s="19" t="s">
        <v>1001</v>
      </c>
      <c r="I334" s="19" t="s">
        <v>1575</v>
      </c>
      <c r="J334" s="20">
        <v>27</v>
      </c>
      <c r="K334" t="s">
        <v>654</v>
      </c>
      <c r="L334" t="s">
        <v>666</v>
      </c>
      <c r="M334" t="s">
        <v>629</v>
      </c>
      <c r="N334" t="s">
        <v>635</v>
      </c>
      <c r="O334" t="s">
        <v>739</v>
      </c>
    </row>
    <row r="335" spans="1:15" x14ac:dyDescent="0.35">
      <c r="A335" s="77">
        <v>9.794520547945206</v>
      </c>
      <c r="B335" s="19">
        <v>27763</v>
      </c>
      <c r="C335" s="19" t="s">
        <v>2655</v>
      </c>
      <c r="D335" s="19" t="s">
        <v>23</v>
      </c>
      <c r="E335" s="19" t="s">
        <v>23</v>
      </c>
      <c r="F335" s="19" t="s">
        <v>660</v>
      </c>
      <c r="G335" s="19" t="s">
        <v>1000</v>
      </c>
      <c r="H335" s="19" t="s">
        <v>1001</v>
      </c>
      <c r="I335" s="19" t="s">
        <v>1599</v>
      </c>
      <c r="J335" s="20">
        <v>33</v>
      </c>
      <c r="K335" t="s">
        <v>631</v>
      </c>
      <c r="L335" t="s">
        <v>661</v>
      </c>
      <c r="M335" t="s">
        <v>657</v>
      </c>
      <c r="N335" t="s">
        <v>662</v>
      </c>
      <c r="O335" t="s">
        <v>632</v>
      </c>
    </row>
    <row r="336" spans="1:15" x14ac:dyDescent="0.35">
      <c r="A336" s="77">
        <v>9.7698630136986306</v>
      </c>
      <c r="B336" s="19">
        <v>27972</v>
      </c>
      <c r="C336" s="19" t="s">
        <v>2656</v>
      </c>
      <c r="D336" s="19" t="s">
        <v>309</v>
      </c>
      <c r="E336" s="19" t="s">
        <v>310</v>
      </c>
      <c r="F336" s="19" t="s">
        <v>1234</v>
      </c>
      <c r="G336" s="19" t="s">
        <v>1084</v>
      </c>
      <c r="H336" s="19" t="s">
        <v>1001</v>
      </c>
      <c r="I336" s="19" t="s">
        <v>1575</v>
      </c>
      <c r="J336" s="20">
        <v>55</v>
      </c>
      <c r="K336" t="s">
        <v>668</v>
      </c>
      <c r="L336" t="s">
        <v>666</v>
      </c>
      <c r="M336" t="s">
        <v>629</v>
      </c>
      <c r="N336" t="s">
        <v>635</v>
      </c>
      <c r="O336" t="s">
        <v>637</v>
      </c>
    </row>
    <row r="337" spans="1:15" x14ac:dyDescent="0.35">
      <c r="A337" s="77">
        <v>9.75068493150685</v>
      </c>
      <c r="B337" s="19">
        <v>28343</v>
      </c>
      <c r="C337" s="19" t="s">
        <v>2657</v>
      </c>
      <c r="D337" s="19" t="s">
        <v>41</v>
      </c>
      <c r="E337" s="19" t="s">
        <v>41</v>
      </c>
      <c r="F337" s="19" t="s">
        <v>1157</v>
      </c>
      <c r="G337" s="19" t="s">
        <v>1084</v>
      </c>
      <c r="H337" s="19" t="s">
        <v>1020</v>
      </c>
      <c r="I337" s="19" t="s">
        <v>1599</v>
      </c>
      <c r="J337" s="20">
        <v>46</v>
      </c>
      <c r="K337" t="s">
        <v>625</v>
      </c>
      <c r="L337" t="s">
        <v>691</v>
      </c>
      <c r="M337" t="s">
        <v>657</v>
      </c>
      <c r="N337" t="s">
        <v>658</v>
      </c>
      <c r="O337" t="s">
        <v>632</v>
      </c>
    </row>
    <row r="338" spans="1:15" x14ac:dyDescent="0.35">
      <c r="A338" s="77">
        <v>9.7369863013698623</v>
      </c>
      <c r="B338" s="19">
        <v>28448</v>
      </c>
      <c r="C338" s="19" t="s">
        <v>2658</v>
      </c>
      <c r="D338" s="19" t="s">
        <v>351</v>
      </c>
      <c r="E338" s="19" t="s">
        <v>352</v>
      </c>
      <c r="F338" s="19" t="s">
        <v>1507</v>
      </c>
      <c r="G338" s="19" t="s">
        <v>1034</v>
      </c>
      <c r="H338" s="19" t="s">
        <v>1001</v>
      </c>
      <c r="I338" s="19" t="s">
        <v>1575</v>
      </c>
      <c r="J338" s="20">
        <v>27</v>
      </c>
      <c r="K338" t="s">
        <v>636</v>
      </c>
      <c r="L338" t="s">
        <v>661</v>
      </c>
      <c r="M338" t="s">
        <v>657</v>
      </c>
      <c r="N338" t="s">
        <v>662</v>
      </c>
      <c r="O338" t="s">
        <v>632</v>
      </c>
    </row>
    <row r="339" spans="1:15" x14ac:dyDescent="0.35">
      <c r="A339" s="77">
        <v>9.4164383561643827</v>
      </c>
      <c r="B339" s="19">
        <v>28456</v>
      </c>
      <c r="C339" s="19" t="s">
        <v>2659</v>
      </c>
      <c r="D339" s="19" t="s">
        <v>197</v>
      </c>
      <c r="E339" s="19" t="s">
        <v>198</v>
      </c>
      <c r="F339" s="19" t="s">
        <v>1297</v>
      </c>
      <c r="G339" s="19" t="s">
        <v>1046</v>
      </c>
      <c r="H339" s="19" t="s">
        <v>1001</v>
      </c>
      <c r="I339" s="19" t="s">
        <v>1575</v>
      </c>
      <c r="J339" s="20">
        <v>28</v>
      </c>
      <c r="K339" t="s">
        <v>654</v>
      </c>
      <c r="L339" t="s">
        <v>645</v>
      </c>
      <c r="M339" t="s">
        <v>629</v>
      </c>
      <c r="N339" t="s">
        <v>646</v>
      </c>
      <c r="O339" t="s">
        <v>632</v>
      </c>
    </row>
    <row r="340" spans="1:15" x14ac:dyDescent="0.35">
      <c r="A340" s="77">
        <v>9.7315068493150694</v>
      </c>
      <c r="B340" s="19">
        <v>28571</v>
      </c>
      <c r="C340" s="19" t="s">
        <v>2660</v>
      </c>
      <c r="D340" s="19" t="s">
        <v>421</v>
      </c>
      <c r="E340" s="19" t="s">
        <v>421</v>
      </c>
      <c r="F340" s="19" t="s">
        <v>698</v>
      </c>
      <c r="G340" s="19" t="s">
        <v>1000</v>
      </c>
      <c r="H340" s="19" t="s">
        <v>1001</v>
      </c>
      <c r="I340" s="19" t="s">
        <v>1575</v>
      </c>
      <c r="J340" s="20">
        <v>30</v>
      </c>
      <c r="K340" t="s">
        <v>636</v>
      </c>
      <c r="L340" t="s">
        <v>678</v>
      </c>
      <c r="M340" t="s">
        <v>623</v>
      </c>
      <c r="N340" t="s">
        <v>624</v>
      </c>
      <c r="O340" t="s">
        <v>679</v>
      </c>
    </row>
    <row r="341" spans="1:15" x14ac:dyDescent="0.35">
      <c r="A341" s="77">
        <v>9.6904109589041099</v>
      </c>
      <c r="B341" s="19">
        <v>28772</v>
      </c>
      <c r="C341" s="19" t="s">
        <v>2661</v>
      </c>
      <c r="D341" s="19" t="s">
        <v>43</v>
      </c>
      <c r="E341" s="19" t="s">
        <v>44</v>
      </c>
      <c r="F341" s="19" t="s">
        <v>2355</v>
      </c>
      <c r="G341" s="19" t="s">
        <v>1008</v>
      </c>
      <c r="H341" s="19" t="s">
        <v>1001</v>
      </c>
      <c r="I341" s="19" t="s">
        <v>1575</v>
      </c>
      <c r="J341" s="20">
        <v>49</v>
      </c>
      <c r="K341" t="s">
        <v>654</v>
      </c>
      <c r="L341" t="s">
        <v>634</v>
      </c>
      <c r="M341" t="s">
        <v>629</v>
      </c>
      <c r="N341" t="s">
        <v>635</v>
      </c>
      <c r="O341" t="s">
        <v>637</v>
      </c>
    </row>
    <row r="342" spans="1:15" x14ac:dyDescent="0.35">
      <c r="A342" s="77">
        <v>2.1945205479452055</v>
      </c>
      <c r="B342" s="19">
        <v>29025</v>
      </c>
      <c r="C342" s="19" t="s">
        <v>2662</v>
      </c>
      <c r="D342" s="19" t="s">
        <v>173</v>
      </c>
      <c r="E342" s="19" t="s">
        <v>174</v>
      </c>
      <c r="F342" s="19" t="s">
        <v>901</v>
      </c>
      <c r="G342" s="19" t="s">
        <v>1000</v>
      </c>
      <c r="H342" s="19" t="s">
        <v>1001</v>
      </c>
      <c r="I342" s="19" t="s">
        <v>1599</v>
      </c>
      <c r="J342" s="20">
        <v>29</v>
      </c>
      <c r="K342" t="s">
        <v>668</v>
      </c>
      <c r="L342" t="s">
        <v>656</v>
      </c>
      <c r="M342" t="s">
        <v>657</v>
      </c>
      <c r="N342" t="s">
        <v>658</v>
      </c>
      <c r="O342" t="s">
        <v>632</v>
      </c>
    </row>
    <row r="343" spans="1:15" x14ac:dyDescent="0.35">
      <c r="A343" s="77">
        <v>9.6602739726027398</v>
      </c>
      <c r="B343" s="19">
        <v>29210</v>
      </c>
      <c r="C343" s="19" t="s">
        <v>2663</v>
      </c>
      <c r="D343" s="19" t="s">
        <v>328</v>
      </c>
      <c r="E343" s="19" t="s">
        <v>329</v>
      </c>
      <c r="F343" s="19" t="s">
        <v>838</v>
      </c>
      <c r="G343" s="19" t="s">
        <v>1000</v>
      </c>
      <c r="H343" s="19" t="s">
        <v>1001</v>
      </c>
      <c r="I343" s="19" t="s">
        <v>1575</v>
      </c>
      <c r="J343" s="20">
        <v>35</v>
      </c>
      <c r="K343" t="s">
        <v>631</v>
      </c>
      <c r="L343" t="s">
        <v>645</v>
      </c>
      <c r="M343" t="s">
        <v>629</v>
      </c>
      <c r="N343" t="s">
        <v>646</v>
      </c>
      <c r="O343" t="s">
        <v>632</v>
      </c>
    </row>
    <row r="344" spans="1:15" x14ac:dyDescent="0.35">
      <c r="A344" s="77">
        <v>8.7013698630136993</v>
      </c>
      <c r="B344" s="19">
        <v>29323</v>
      </c>
      <c r="C344" s="19" t="s">
        <v>2664</v>
      </c>
      <c r="D344" s="19" t="s">
        <v>35</v>
      </c>
      <c r="E344" s="19" t="s">
        <v>35</v>
      </c>
      <c r="F344" s="19" t="s">
        <v>1657</v>
      </c>
      <c r="G344" s="19" t="s">
        <v>1046</v>
      </c>
      <c r="H344" s="19" t="s">
        <v>1001</v>
      </c>
      <c r="I344" s="19" t="s">
        <v>1575</v>
      </c>
      <c r="J344" s="20">
        <v>26</v>
      </c>
      <c r="K344" t="s">
        <v>654</v>
      </c>
      <c r="L344" t="s">
        <v>684</v>
      </c>
      <c r="M344" t="s">
        <v>623</v>
      </c>
      <c r="N344" t="s">
        <v>662</v>
      </c>
      <c r="O344" t="s">
        <v>685</v>
      </c>
    </row>
    <row r="345" spans="1:15" x14ac:dyDescent="0.35">
      <c r="A345" s="77">
        <v>1.0082191780821919</v>
      </c>
      <c r="B345" s="19">
        <v>29324</v>
      </c>
      <c r="C345" s="19" t="s">
        <v>2665</v>
      </c>
      <c r="D345" s="19" t="s">
        <v>393</v>
      </c>
      <c r="E345" s="19" t="s">
        <v>394</v>
      </c>
      <c r="F345" s="19" t="s">
        <v>865</v>
      </c>
      <c r="G345" s="19" t="s">
        <v>1057</v>
      </c>
      <c r="H345" s="19" t="s">
        <v>1001</v>
      </c>
      <c r="I345" s="19" t="s">
        <v>1575</v>
      </c>
      <c r="J345" s="20">
        <v>26</v>
      </c>
      <c r="K345" t="s">
        <v>631</v>
      </c>
      <c r="L345" t="s">
        <v>684</v>
      </c>
      <c r="M345" t="s">
        <v>623</v>
      </c>
      <c r="N345" t="s">
        <v>662</v>
      </c>
      <c r="O345" t="s">
        <v>685</v>
      </c>
    </row>
    <row r="346" spans="1:15" x14ac:dyDescent="0.35">
      <c r="A346" s="77">
        <v>8.9698630136986299</v>
      </c>
      <c r="B346" s="19">
        <v>29583</v>
      </c>
      <c r="C346" s="19" t="s">
        <v>2666</v>
      </c>
      <c r="D346" s="19" t="s">
        <v>395</v>
      </c>
      <c r="E346" s="19" t="s">
        <v>396</v>
      </c>
      <c r="F346" s="19" t="s">
        <v>1147</v>
      </c>
      <c r="G346" s="19" t="s">
        <v>1046</v>
      </c>
      <c r="H346" s="19" t="s">
        <v>1001</v>
      </c>
      <c r="I346" s="19" t="s">
        <v>1575</v>
      </c>
      <c r="J346" s="20">
        <v>28</v>
      </c>
      <c r="K346" t="s">
        <v>642</v>
      </c>
      <c r="L346" t="s">
        <v>678</v>
      </c>
      <c r="M346" t="s">
        <v>623</v>
      </c>
      <c r="N346" t="s">
        <v>624</v>
      </c>
      <c r="O346" t="s">
        <v>679</v>
      </c>
    </row>
    <row r="347" spans="1:15" x14ac:dyDescent="0.35">
      <c r="A347" s="77">
        <v>8.882191780821918</v>
      </c>
      <c r="B347" s="19">
        <v>29703</v>
      </c>
      <c r="C347" s="19" t="s">
        <v>2667</v>
      </c>
      <c r="D347" s="19" t="s">
        <v>318</v>
      </c>
      <c r="E347" s="19" t="s">
        <v>319</v>
      </c>
      <c r="F347" s="19" t="s">
        <v>1266</v>
      </c>
      <c r="G347" s="19" t="s">
        <v>1046</v>
      </c>
      <c r="H347" s="19" t="s">
        <v>1001</v>
      </c>
      <c r="I347" s="19" t="s">
        <v>1575</v>
      </c>
      <c r="J347" s="20">
        <v>26</v>
      </c>
      <c r="K347" t="s">
        <v>625</v>
      </c>
      <c r="L347" t="s">
        <v>678</v>
      </c>
      <c r="M347" t="s">
        <v>623</v>
      </c>
      <c r="N347" t="s">
        <v>624</v>
      </c>
      <c r="O347" t="s">
        <v>679</v>
      </c>
    </row>
    <row r="348" spans="1:15" x14ac:dyDescent="0.35">
      <c r="A348" s="77">
        <v>2.7479452054794522</v>
      </c>
      <c r="B348" s="19">
        <v>29946</v>
      </c>
      <c r="C348" s="19" t="s">
        <v>2668</v>
      </c>
      <c r="D348" s="19" t="s">
        <v>42</v>
      </c>
      <c r="E348" s="19" t="s">
        <v>42</v>
      </c>
      <c r="F348" s="19" t="s">
        <v>1262</v>
      </c>
      <c r="G348" s="19" t="s">
        <v>1045</v>
      </c>
      <c r="H348" s="19" t="s">
        <v>1001</v>
      </c>
      <c r="I348" s="19" t="s">
        <v>1599</v>
      </c>
      <c r="J348" s="20">
        <v>29</v>
      </c>
      <c r="K348" t="s">
        <v>625</v>
      </c>
      <c r="L348" t="s">
        <v>628</v>
      </c>
      <c r="M348" t="s">
        <v>629</v>
      </c>
      <c r="N348" t="s">
        <v>630</v>
      </c>
      <c r="O348" t="s">
        <v>632</v>
      </c>
    </row>
    <row r="349" spans="1:15" x14ac:dyDescent="0.35">
      <c r="A349" s="77">
        <v>3.2465753424657535</v>
      </c>
      <c r="B349" s="19">
        <v>30060</v>
      </c>
      <c r="C349" s="19" t="s">
        <v>2669</v>
      </c>
      <c r="D349" s="19" t="s">
        <v>128</v>
      </c>
      <c r="E349" s="19" t="s">
        <v>129</v>
      </c>
      <c r="F349" s="19" t="s">
        <v>1075</v>
      </c>
      <c r="G349" s="19" t="s">
        <v>1019</v>
      </c>
      <c r="H349" s="19" t="s">
        <v>1020</v>
      </c>
      <c r="I349" s="19" t="s">
        <v>1599</v>
      </c>
      <c r="J349" s="20">
        <v>31</v>
      </c>
      <c r="K349" t="s">
        <v>636</v>
      </c>
      <c r="L349" t="s">
        <v>678</v>
      </c>
      <c r="M349" t="s">
        <v>623</v>
      </c>
      <c r="N349" t="s">
        <v>624</v>
      </c>
      <c r="O349" t="s">
        <v>679</v>
      </c>
    </row>
    <row r="350" spans="1:15" x14ac:dyDescent="0.35">
      <c r="A350" s="77">
        <v>9.6054794520547944</v>
      </c>
      <c r="B350" s="19">
        <v>30230</v>
      </c>
      <c r="C350" s="19" t="s">
        <v>2670</v>
      </c>
      <c r="D350" s="19" t="s">
        <v>215</v>
      </c>
      <c r="E350" s="19" t="s">
        <v>216</v>
      </c>
      <c r="F350" s="19" t="s">
        <v>1081</v>
      </c>
      <c r="G350" s="19" t="s">
        <v>1000</v>
      </c>
      <c r="H350" s="19" t="s">
        <v>1001</v>
      </c>
      <c r="I350" s="19" t="s">
        <v>1599</v>
      </c>
      <c r="J350" s="20">
        <v>34</v>
      </c>
      <c r="K350" t="s">
        <v>654</v>
      </c>
      <c r="L350" t="s">
        <v>640</v>
      </c>
      <c r="M350" t="s">
        <v>623</v>
      </c>
      <c r="N350" t="s">
        <v>624</v>
      </c>
      <c r="O350" t="s">
        <v>789</v>
      </c>
    </row>
    <row r="351" spans="1:15" x14ac:dyDescent="0.35">
      <c r="A351" s="77">
        <v>9.6</v>
      </c>
      <c r="B351" s="19">
        <v>30299</v>
      </c>
      <c r="C351" s="19" t="s">
        <v>2671</v>
      </c>
      <c r="D351" s="19" t="s">
        <v>171</v>
      </c>
      <c r="E351" s="19" t="s">
        <v>172</v>
      </c>
      <c r="F351" s="19" t="s">
        <v>2239</v>
      </c>
      <c r="G351" s="19" t="s">
        <v>1000</v>
      </c>
      <c r="H351" s="19" t="s">
        <v>1001</v>
      </c>
      <c r="I351" s="19" t="s">
        <v>1599</v>
      </c>
      <c r="J351" s="20">
        <v>35</v>
      </c>
      <c r="K351" t="s">
        <v>654</v>
      </c>
      <c r="L351" t="s">
        <v>661</v>
      </c>
      <c r="M351" t="s">
        <v>657</v>
      </c>
      <c r="N351" t="s">
        <v>662</v>
      </c>
      <c r="O351" t="s">
        <v>632</v>
      </c>
    </row>
    <row r="352" spans="1:15" x14ac:dyDescent="0.35">
      <c r="A352" s="77">
        <v>9.3068493150684937</v>
      </c>
      <c r="B352" s="19">
        <v>30309</v>
      </c>
      <c r="C352" s="19" t="s">
        <v>2672</v>
      </c>
      <c r="D352" s="19" t="s">
        <v>26</v>
      </c>
      <c r="E352" s="19" t="s">
        <v>26</v>
      </c>
      <c r="F352" s="19" t="s">
        <v>1124</v>
      </c>
      <c r="G352" s="19" t="s">
        <v>1045</v>
      </c>
      <c r="H352" s="19" t="s">
        <v>1001</v>
      </c>
      <c r="I352" s="19" t="s">
        <v>1575</v>
      </c>
      <c r="J352" s="20">
        <v>28</v>
      </c>
      <c r="K352" t="s">
        <v>636</v>
      </c>
      <c r="L352" t="s">
        <v>666</v>
      </c>
      <c r="M352" t="s">
        <v>629</v>
      </c>
      <c r="N352" t="s">
        <v>635</v>
      </c>
      <c r="O352" t="s">
        <v>637</v>
      </c>
    </row>
    <row r="353" spans="1:15" x14ac:dyDescent="0.35">
      <c r="A353" s="77">
        <v>9.5835616438356173</v>
      </c>
      <c r="B353" s="19">
        <v>30561</v>
      </c>
      <c r="C353" s="19" t="s">
        <v>2673</v>
      </c>
      <c r="D353" s="19" t="s">
        <v>295</v>
      </c>
      <c r="E353" s="19" t="s">
        <v>296</v>
      </c>
      <c r="F353" s="19" t="s">
        <v>1095</v>
      </c>
      <c r="G353" s="19" t="s">
        <v>1084</v>
      </c>
      <c r="H353" s="19" t="s">
        <v>1001</v>
      </c>
      <c r="I353" s="19" t="s">
        <v>1575</v>
      </c>
      <c r="J353" s="20">
        <v>39</v>
      </c>
      <c r="K353" t="s">
        <v>654</v>
      </c>
      <c r="L353" t="s">
        <v>651</v>
      </c>
      <c r="M353" t="s">
        <v>629</v>
      </c>
      <c r="N353" t="s">
        <v>630</v>
      </c>
      <c r="O353" t="s">
        <v>705</v>
      </c>
    </row>
    <row r="354" spans="1:15" x14ac:dyDescent="0.35">
      <c r="A354" s="77">
        <v>9.580821917808219</v>
      </c>
      <c r="B354" s="19">
        <v>30588</v>
      </c>
      <c r="C354" s="19" t="s">
        <v>2674</v>
      </c>
      <c r="D354" s="19" t="s">
        <v>293</v>
      </c>
      <c r="E354" s="19" t="s">
        <v>294</v>
      </c>
      <c r="F354" s="19" t="s">
        <v>1794</v>
      </c>
      <c r="G354" s="19" t="s">
        <v>1057</v>
      </c>
      <c r="H354" s="19" t="s">
        <v>1001</v>
      </c>
      <c r="I354" s="19" t="s">
        <v>1575</v>
      </c>
      <c r="J354" s="20">
        <v>44</v>
      </c>
      <c r="K354" t="s">
        <v>654</v>
      </c>
      <c r="L354" t="s">
        <v>634</v>
      </c>
      <c r="M354" t="s">
        <v>629</v>
      </c>
      <c r="N354" t="s">
        <v>635</v>
      </c>
      <c r="O354" t="s">
        <v>637</v>
      </c>
    </row>
    <row r="355" spans="1:15" x14ac:dyDescent="0.35">
      <c r="A355" s="77">
        <v>2.1917808219178082E-2</v>
      </c>
      <c r="B355" s="19">
        <v>30609</v>
      </c>
      <c r="C355" s="19" t="s">
        <v>2675</v>
      </c>
      <c r="D355" s="19" t="s">
        <v>266</v>
      </c>
      <c r="E355" s="19" t="s">
        <v>267</v>
      </c>
      <c r="F355" s="19" t="s">
        <v>2070</v>
      </c>
      <c r="G355" s="19" t="s">
        <v>1008</v>
      </c>
      <c r="H355" s="19" t="s">
        <v>1001</v>
      </c>
      <c r="I355" s="19" t="s">
        <v>1575</v>
      </c>
      <c r="J355" s="20">
        <v>30</v>
      </c>
      <c r="K355" t="s">
        <v>636</v>
      </c>
      <c r="L355" t="s">
        <v>634</v>
      </c>
      <c r="M355" t="s">
        <v>629</v>
      </c>
      <c r="N355" t="s">
        <v>635</v>
      </c>
      <c r="O355" t="s">
        <v>637</v>
      </c>
    </row>
    <row r="356" spans="1:15" x14ac:dyDescent="0.35">
      <c r="A356" s="77">
        <v>9.5561643835616437</v>
      </c>
      <c r="B356" s="19">
        <v>30803</v>
      </c>
      <c r="C356" s="19" t="s">
        <v>2676</v>
      </c>
      <c r="D356" s="19" t="s">
        <v>163</v>
      </c>
      <c r="E356" s="19" t="s">
        <v>164</v>
      </c>
      <c r="F356" s="19" t="s">
        <v>1174</v>
      </c>
      <c r="G356" s="19" t="s">
        <v>1084</v>
      </c>
      <c r="H356" s="19" t="s">
        <v>1001</v>
      </c>
      <c r="I356" s="19" t="s">
        <v>1575</v>
      </c>
      <c r="J356" s="20">
        <v>55</v>
      </c>
      <c r="K356" t="s">
        <v>654</v>
      </c>
      <c r="L356" t="s">
        <v>634</v>
      </c>
      <c r="M356" t="s">
        <v>629</v>
      </c>
      <c r="N356" t="s">
        <v>635</v>
      </c>
      <c r="O356" t="s">
        <v>637</v>
      </c>
    </row>
    <row r="357" spans="1:15" x14ac:dyDescent="0.35">
      <c r="A357" s="77">
        <v>9.5753424657534243</v>
      </c>
      <c r="B357" s="19">
        <v>30870</v>
      </c>
      <c r="C357" s="19" t="s">
        <v>2677</v>
      </c>
      <c r="D357" s="19" t="s">
        <v>353</v>
      </c>
      <c r="E357" s="19" t="s">
        <v>354</v>
      </c>
      <c r="F357" s="19" t="s">
        <v>850</v>
      </c>
      <c r="G357" s="19" t="s">
        <v>1045</v>
      </c>
      <c r="H357" s="19" t="s">
        <v>1001</v>
      </c>
      <c r="I357" s="19" t="s">
        <v>1599</v>
      </c>
      <c r="J357" s="20">
        <v>36</v>
      </c>
      <c r="K357" t="s">
        <v>654</v>
      </c>
      <c r="L357" t="s">
        <v>640</v>
      </c>
      <c r="M357" t="s">
        <v>623</v>
      </c>
      <c r="N357" t="s">
        <v>624</v>
      </c>
      <c r="O357" t="s">
        <v>789</v>
      </c>
    </row>
    <row r="358" spans="1:15" x14ac:dyDescent="0.35">
      <c r="A358" s="77">
        <v>9.5643835616438349</v>
      </c>
      <c r="B358" s="19">
        <v>30901</v>
      </c>
      <c r="C358" s="19" t="s">
        <v>2678</v>
      </c>
      <c r="D358" s="19" t="s">
        <v>215</v>
      </c>
      <c r="E358" s="19" t="s">
        <v>216</v>
      </c>
      <c r="F358" s="19" t="s">
        <v>1081</v>
      </c>
      <c r="G358" s="19" t="s">
        <v>1008</v>
      </c>
      <c r="H358" s="19" t="s">
        <v>1001</v>
      </c>
      <c r="I358" s="19" t="s">
        <v>1575</v>
      </c>
      <c r="J358" s="20">
        <v>33</v>
      </c>
      <c r="K358" t="s">
        <v>654</v>
      </c>
      <c r="L358" t="s">
        <v>640</v>
      </c>
      <c r="M358" t="s">
        <v>623</v>
      </c>
      <c r="N358" t="s">
        <v>624</v>
      </c>
      <c r="O358" t="s">
        <v>789</v>
      </c>
    </row>
    <row r="359" spans="1:15" x14ac:dyDescent="0.35">
      <c r="A359" s="77">
        <v>9.5589041095890419</v>
      </c>
      <c r="B359" s="19">
        <v>30906</v>
      </c>
      <c r="C359" s="19" t="s">
        <v>2679</v>
      </c>
      <c r="D359" s="19" t="s">
        <v>353</v>
      </c>
      <c r="E359" s="19" t="s">
        <v>354</v>
      </c>
      <c r="F359" s="19" t="s">
        <v>850</v>
      </c>
      <c r="G359" s="19" t="s">
        <v>1000</v>
      </c>
      <c r="H359" s="19" t="s">
        <v>1001</v>
      </c>
      <c r="I359" s="19" t="s">
        <v>1599</v>
      </c>
      <c r="J359" s="20">
        <v>30</v>
      </c>
      <c r="K359" t="s">
        <v>654</v>
      </c>
      <c r="L359" t="s">
        <v>640</v>
      </c>
      <c r="M359" t="s">
        <v>623</v>
      </c>
      <c r="N359" t="s">
        <v>624</v>
      </c>
      <c r="O359" t="s">
        <v>789</v>
      </c>
    </row>
    <row r="360" spans="1:15" x14ac:dyDescent="0.35">
      <c r="A360" s="77">
        <v>9.5205479452054789</v>
      </c>
      <c r="B360" s="19">
        <v>31244</v>
      </c>
      <c r="C360" s="19" t="s">
        <v>2680</v>
      </c>
      <c r="D360" s="19" t="s">
        <v>84</v>
      </c>
      <c r="E360" s="19" t="s">
        <v>85</v>
      </c>
      <c r="F360" s="19" t="s">
        <v>2606</v>
      </c>
      <c r="G360" s="19" t="s">
        <v>1038</v>
      </c>
      <c r="H360" s="19" t="s">
        <v>1020</v>
      </c>
      <c r="I360" s="19" t="s">
        <v>1575</v>
      </c>
      <c r="J360" s="20">
        <v>40</v>
      </c>
      <c r="K360" t="s">
        <v>642</v>
      </c>
      <c r="L360" t="s">
        <v>622</v>
      </c>
      <c r="M360" t="s">
        <v>623</v>
      </c>
      <c r="N360" t="s">
        <v>624</v>
      </c>
      <c r="O360" t="s">
        <v>730</v>
      </c>
    </row>
    <row r="361" spans="1:15" x14ac:dyDescent="0.35">
      <c r="A361" s="77">
        <v>2.4657534246575342E-2</v>
      </c>
      <c r="B361" s="19">
        <v>31282</v>
      </c>
      <c r="C361" s="19" t="s">
        <v>2681</v>
      </c>
      <c r="D361" s="19" t="s">
        <v>195</v>
      </c>
      <c r="E361" s="19" t="s">
        <v>196</v>
      </c>
      <c r="F361" s="19" t="s">
        <v>908</v>
      </c>
      <c r="G361" s="19" t="s">
        <v>1008</v>
      </c>
      <c r="H361" s="19" t="s">
        <v>1001</v>
      </c>
      <c r="I361" s="19" t="s">
        <v>1599</v>
      </c>
      <c r="J361" s="20">
        <v>31</v>
      </c>
      <c r="K361" t="s">
        <v>636</v>
      </c>
      <c r="L361" t="s">
        <v>670</v>
      </c>
      <c r="M361" t="s">
        <v>657</v>
      </c>
      <c r="N361" t="s">
        <v>641</v>
      </c>
      <c r="O361" t="s">
        <v>676</v>
      </c>
    </row>
    <row r="362" spans="1:15" x14ac:dyDescent="0.35">
      <c r="A362" s="77">
        <v>9.4821917808219176</v>
      </c>
      <c r="B362" s="19">
        <v>31655</v>
      </c>
      <c r="C362" s="19" t="s">
        <v>2682</v>
      </c>
      <c r="D362" s="19" t="s">
        <v>169</v>
      </c>
      <c r="E362" s="19" t="s">
        <v>170</v>
      </c>
      <c r="F362" s="19" t="s">
        <v>1274</v>
      </c>
      <c r="G362" s="19" t="s">
        <v>1046</v>
      </c>
      <c r="H362" s="19" t="s">
        <v>1001</v>
      </c>
      <c r="I362" s="19" t="s">
        <v>1575</v>
      </c>
      <c r="J362" s="20">
        <v>37</v>
      </c>
      <c r="K362" t="s">
        <v>631</v>
      </c>
      <c r="L362" t="s">
        <v>670</v>
      </c>
      <c r="M362" t="s">
        <v>657</v>
      </c>
      <c r="N362" t="s">
        <v>641</v>
      </c>
      <c r="O362" t="s">
        <v>772</v>
      </c>
    </row>
    <row r="363" spans="1:15" x14ac:dyDescent="0.35">
      <c r="A363" s="77">
        <v>5.8739726027397259</v>
      </c>
      <c r="B363" s="19">
        <v>31716</v>
      </c>
      <c r="C363" s="19" t="s">
        <v>2683</v>
      </c>
      <c r="D363" s="19" t="s">
        <v>256</v>
      </c>
      <c r="E363" s="19" t="s">
        <v>257</v>
      </c>
      <c r="F363" s="19" t="s">
        <v>1005</v>
      </c>
      <c r="G363" s="19" t="s">
        <v>1000</v>
      </c>
      <c r="H363" s="19" t="s">
        <v>1001</v>
      </c>
      <c r="I363" s="19" t="s">
        <v>1599</v>
      </c>
      <c r="J363" s="20">
        <v>29</v>
      </c>
      <c r="K363" t="s">
        <v>668</v>
      </c>
      <c r="L363" t="s">
        <v>651</v>
      </c>
      <c r="M363" t="s">
        <v>629</v>
      </c>
      <c r="N363" t="s">
        <v>630</v>
      </c>
      <c r="O363" t="s">
        <v>705</v>
      </c>
    </row>
    <row r="364" spans="1:15" x14ac:dyDescent="0.35">
      <c r="A364" s="77">
        <v>9.4602739726027405</v>
      </c>
      <c r="B364" s="19">
        <v>31754</v>
      </c>
      <c r="C364" s="19" t="s">
        <v>2684</v>
      </c>
      <c r="D364" s="19" t="s">
        <v>333</v>
      </c>
      <c r="E364" s="19" t="s">
        <v>334</v>
      </c>
      <c r="F364" s="19" t="s">
        <v>1333</v>
      </c>
      <c r="G364" s="19" t="s">
        <v>1046</v>
      </c>
      <c r="H364" s="19" t="s">
        <v>1001</v>
      </c>
      <c r="I364" s="19" t="s">
        <v>1575</v>
      </c>
      <c r="J364" s="20">
        <v>31</v>
      </c>
      <c r="K364" t="s">
        <v>636</v>
      </c>
      <c r="L364" t="s">
        <v>666</v>
      </c>
      <c r="M364" t="s">
        <v>629</v>
      </c>
      <c r="N364" t="s">
        <v>630</v>
      </c>
      <c r="O364" t="s">
        <v>652</v>
      </c>
    </row>
    <row r="365" spans="1:15" x14ac:dyDescent="0.35">
      <c r="A365" s="77">
        <v>9.4438356164383563</v>
      </c>
      <c r="B365" s="19">
        <v>31856</v>
      </c>
      <c r="C365" s="19" t="s">
        <v>2685</v>
      </c>
      <c r="D365" s="19" t="s">
        <v>235</v>
      </c>
      <c r="E365" s="19" t="s">
        <v>236</v>
      </c>
      <c r="F365" s="19" t="s">
        <v>1457</v>
      </c>
      <c r="G365" s="19" t="s">
        <v>1084</v>
      </c>
      <c r="H365" s="19" t="s">
        <v>1001</v>
      </c>
      <c r="I365" s="19" t="s">
        <v>1575</v>
      </c>
      <c r="J365" s="20">
        <v>32</v>
      </c>
      <c r="K365" t="s">
        <v>654</v>
      </c>
      <c r="L365" t="s">
        <v>707</v>
      </c>
      <c r="M365" t="s">
        <v>629</v>
      </c>
      <c r="N365" t="s">
        <v>635</v>
      </c>
      <c r="O365" t="s">
        <v>710</v>
      </c>
    </row>
    <row r="366" spans="1:15" x14ac:dyDescent="0.35">
      <c r="A366" s="77">
        <v>9.4082191780821915</v>
      </c>
      <c r="B366" s="19">
        <v>32283</v>
      </c>
      <c r="C366" s="19" t="s">
        <v>2686</v>
      </c>
      <c r="D366" s="19" t="s">
        <v>51</v>
      </c>
      <c r="E366" s="19" t="s">
        <v>52</v>
      </c>
      <c r="F366" s="19" t="s">
        <v>921</v>
      </c>
      <c r="G366" s="19" t="s">
        <v>1008</v>
      </c>
      <c r="H366" s="19" t="s">
        <v>1001</v>
      </c>
      <c r="I366" s="19" t="s">
        <v>1575</v>
      </c>
      <c r="J366" s="20">
        <v>36</v>
      </c>
      <c r="K366" t="s">
        <v>636</v>
      </c>
      <c r="L366" t="s">
        <v>656</v>
      </c>
      <c r="M366" t="s">
        <v>657</v>
      </c>
      <c r="N366" t="s">
        <v>658</v>
      </c>
      <c r="O366" t="s">
        <v>718</v>
      </c>
    </row>
    <row r="367" spans="1:15" x14ac:dyDescent="0.35">
      <c r="A367" s="77">
        <v>9.3698630136986303</v>
      </c>
      <c r="B367" s="19">
        <v>32417</v>
      </c>
      <c r="C367" s="19" t="s">
        <v>2687</v>
      </c>
      <c r="D367" s="19" t="s">
        <v>300</v>
      </c>
      <c r="E367" s="19" t="s">
        <v>301</v>
      </c>
      <c r="F367" s="19" t="s">
        <v>1719</v>
      </c>
      <c r="G367" s="19" t="s">
        <v>1084</v>
      </c>
      <c r="H367" s="19" t="s">
        <v>1001</v>
      </c>
      <c r="I367" s="19" t="s">
        <v>1599</v>
      </c>
      <c r="J367" s="20">
        <v>40</v>
      </c>
      <c r="K367" t="s">
        <v>668</v>
      </c>
      <c r="L367" t="s">
        <v>737</v>
      </c>
      <c r="M367" t="s">
        <v>657</v>
      </c>
      <c r="N367" t="s">
        <v>641</v>
      </c>
      <c r="O367" t="s">
        <v>738</v>
      </c>
    </row>
    <row r="368" spans="1:15" x14ac:dyDescent="0.35">
      <c r="A368" s="77">
        <v>9.3616438356164391</v>
      </c>
      <c r="B368" s="19">
        <v>32432</v>
      </c>
      <c r="C368" s="19" t="s">
        <v>2688</v>
      </c>
      <c r="D368" s="19" t="s">
        <v>36</v>
      </c>
      <c r="E368" s="19" t="s">
        <v>36</v>
      </c>
      <c r="F368" s="19" t="s">
        <v>1403</v>
      </c>
      <c r="G368" s="19" t="s">
        <v>1008</v>
      </c>
      <c r="H368" s="19" t="s">
        <v>1001</v>
      </c>
      <c r="I368" s="19" t="s">
        <v>1575</v>
      </c>
      <c r="J368" s="20">
        <v>53</v>
      </c>
      <c r="K368" t="s">
        <v>668</v>
      </c>
      <c r="L368" t="s">
        <v>691</v>
      </c>
      <c r="M368" t="s">
        <v>657</v>
      </c>
      <c r="N368" t="s">
        <v>658</v>
      </c>
      <c r="O368" t="s">
        <v>632</v>
      </c>
    </row>
    <row r="369" spans="1:15" x14ac:dyDescent="0.35">
      <c r="A369" s="77">
        <v>9.3479452054794514</v>
      </c>
      <c r="B369" s="19">
        <v>32448</v>
      </c>
      <c r="C369" s="19" t="s">
        <v>2689</v>
      </c>
      <c r="D369" s="19" t="s">
        <v>13</v>
      </c>
      <c r="E369" s="19" t="s">
        <v>13</v>
      </c>
      <c r="F369" s="19" t="s">
        <v>1467</v>
      </c>
      <c r="G369" s="19" t="s">
        <v>1084</v>
      </c>
      <c r="H369" s="19" t="s">
        <v>1001</v>
      </c>
      <c r="I369" s="19" t="s">
        <v>1599</v>
      </c>
      <c r="J369" s="20">
        <v>30</v>
      </c>
      <c r="K369" t="s">
        <v>631</v>
      </c>
      <c r="L369" t="s">
        <v>628</v>
      </c>
      <c r="M369" t="s">
        <v>629</v>
      </c>
      <c r="N369" t="s">
        <v>630</v>
      </c>
      <c r="O369" t="s">
        <v>639</v>
      </c>
    </row>
    <row r="370" spans="1:15" x14ac:dyDescent="0.35">
      <c r="A370" s="77">
        <v>9.331506849315069</v>
      </c>
      <c r="B370" s="19">
        <v>32493</v>
      </c>
      <c r="C370" s="19" t="s">
        <v>2690</v>
      </c>
      <c r="D370" s="19" t="s">
        <v>401</v>
      </c>
      <c r="E370" s="19" t="s">
        <v>402</v>
      </c>
      <c r="F370" s="19" t="s">
        <v>1314</v>
      </c>
      <c r="G370" s="19" t="s">
        <v>1028</v>
      </c>
      <c r="H370" s="19" t="s">
        <v>1020</v>
      </c>
      <c r="I370" s="19" t="s">
        <v>1575</v>
      </c>
      <c r="J370" s="20">
        <v>31</v>
      </c>
      <c r="K370" t="s">
        <v>668</v>
      </c>
      <c r="L370" t="s">
        <v>691</v>
      </c>
      <c r="M370" t="s">
        <v>657</v>
      </c>
      <c r="N370" t="s">
        <v>658</v>
      </c>
      <c r="O370" t="s">
        <v>632</v>
      </c>
    </row>
    <row r="371" spans="1:15" x14ac:dyDescent="0.35">
      <c r="A371" s="77">
        <v>9.331506849315069</v>
      </c>
      <c r="B371" s="19">
        <v>32575</v>
      </c>
      <c r="C371" s="19" t="s">
        <v>2691</v>
      </c>
      <c r="D371" s="19" t="s">
        <v>318</v>
      </c>
      <c r="E371" s="19" t="s">
        <v>319</v>
      </c>
      <c r="F371" s="19" t="s">
        <v>1266</v>
      </c>
      <c r="G371" s="19" t="s">
        <v>1084</v>
      </c>
      <c r="H371" s="19" t="s">
        <v>1001</v>
      </c>
      <c r="I371" s="19" t="s">
        <v>1575</v>
      </c>
      <c r="J371" s="20">
        <v>40</v>
      </c>
      <c r="K371" t="s">
        <v>625</v>
      </c>
      <c r="L371" t="s">
        <v>678</v>
      </c>
      <c r="M371" t="s">
        <v>623</v>
      </c>
      <c r="N371" t="s">
        <v>624</v>
      </c>
      <c r="O371" t="s">
        <v>679</v>
      </c>
    </row>
    <row r="372" spans="1:15" x14ac:dyDescent="0.35">
      <c r="A372" s="77">
        <v>9.3041095890410954</v>
      </c>
      <c r="B372" s="19">
        <v>32720</v>
      </c>
      <c r="C372" s="19" t="s">
        <v>2692</v>
      </c>
      <c r="D372" s="19" t="s">
        <v>163</v>
      </c>
      <c r="E372" s="19" t="s">
        <v>164</v>
      </c>
      <c r="F372" s="19" t="s">
        <v>1174</v>
      </c>
      <c r="G372" s="19" t="s">
        <v>1034</v>
      </c>
      <c r="H372" s="19" t="s">
        <v>1001</v>
      </c>
      <c r="I372" s="19" t="s">
        <v>1575</v>
      </c>
      <c r="J372" s="20">
        <v>39</v>
      </c>
      <c r="K372" t="s">
        <v>654</v>
      </c>
      <c r="L372" t="s">
        <v>634</v>
      </c>
      <c r="M372" t="s">
        <v>629</v>
      </c>
      <c r="N372" t="s">
        <v>635</v>
      </c>
      <c r="O372" t="s">
        <v>637</v>
      </c>
    </row>
    <row r="373" spans="1:15" x14ac:dyDescent="0.35">
      <c r="A373" s="77">
        <v>9.2739726027397253</v>
      </c>
      <c r="B373" s="19">
        <v>32803</v>
      </c>
      <c r="C373" s="19" t="s">
        <v>2693</v>
      </c>
      <c r="D373" s="19" t="s">
        <v>385</v>
      </c>
      <c r="E373" s="19" t="s">
        <v>386</v>
      </c>
      <c r="F373" s="19" t="s">
        <v>1059</v>
      </c>
      <c r="G373" s="19" t="s">
        <v>1000</v>
      </c>
      <c r="H373" s="19" t="s">
        <v>1001</v>
      </c>
      <c r="I373" s="19" t="s">
        <v>1599</v>
      </c>
      <c r="J373" s="20">
        <v>42</v>
      </c>
      <c r="K373" t="s">
        <v>631</v>
      </c>
      <c r="L373" t="s">
        <v>663</v>
      </c>
      <c r="M373" t="s">
        <v>629</v>
      </c>
      <c r="N373" t="s">
        <v>646</v>
      </c>
      <c r="O373" t="s">
        <v>810</v>
      </c>
    </row>
    <row r="374" spans="1:15" x14ac:dyDescent="0.35">
      <c r="A374" s="77">
        <v>2.021917808219178</v>
      </c>
      <c r="B374" s="19">
        <v>32816</v>
      </c>
      <c r="C374" s="19" t="s">
        <v>2694</v>
      </c>
      <c r="D374" s="19" t="s">
        <v>12</v>
      </c>
      <c r="E374" s="19" t="s">
        <v>12</v>
      </c>
      <c r="F374" s="19" t="s">
        <v>1145</v>
      </c>
      <c r="G374" s="19" t="s">
        <v>1045</v>
      </c>
      <c r="H374" s="19" t="s">
        <v>1001</v>
      </c>
      <c r="I374" s="19" t="s">
        <v>1599</v>
      </c>
      <c r="J374" s="20">
        <v>29</v>
      </c>
      <c r="K374" t="s">
        <v>636</v>
      </c>
      <c r="L374" t="s">
        <v>634</v>
      </c>
      <c r="M374" t="s">
        <v>629</v>
      </c>
      <c r="N374" t="s">
        <v>635</v>
      </c>
      <c r="O374" t="s">
        <v>637</v>
      </c>
    </row>
    <row r="375" spans="1:15" x14ac:dyDescent="0.35">
      <c r="A375" s="77">
        <v>9.2356164383561641</v>
      </c>
      <c r="B375" s="19">
        <v>32920</v>
      </c>
      <c r="C375" s="19" t="s">
        <v>2695</v>
      </c>
      <c r="D375" s="19" t="s">
        <v>163</v>
      </c>
      <c r="E375" s="19" t="s">
        <v>164</v>
      </c>
      <c r="F375" s="19" t="s">
        <v>1174</v>
      </c>
      <c r="G375" s="19" t="s">
        <v>1084</v>
      </c>
      <c r="H375" s="19" t="s">
        <v>1001</v>
      </c>
      <c r="I375" s="19" t="s">
        <v>1575</v>
      </c>
      <c r="J375" s="20">
        <v>51</v>
      </c>
      <c r="K375" t="s">
        <v>654</v>
      </c>
      <c r="L375" t="s">
        <v>634</v>
      </c>
      <c r="M375" t="s">
        <v>629</v>
      </c>
      <c r="N375" t="s">
        <v>635</v>
      </c>
      <c r="O375" t="s">
        <v>637</v>
      </c>
    </row>
    <row r="376" spans="1:15" x14ac:dyDescent="0.35">
      <c r="A376" s="77">
        <v>9.2356164383561641</v>
      </c>
      <c r="B376" s="19">
        <v>32976</v>
      </c>
      <c r="C376" s="19" t="s">
        <v>2696</v>
      </c>
      <c r="D376" s="19" t="s">
        <v>145</v>
      </c>
      <c r="E376" s="19" t="s">
        <v>146</v>
      </c>
      <c r="F376" s="19" t="s">
        <v>1015</v>
      </c>
      <c r="G376" s="19" t="s">
        <v>1045</v>
      </c>
      <c r="H376" s="19" t="s">
        <v>1001</v>
      </c>
      <c r="I376" s="19" t="s">
        <v>1599</v>
      </c>
      <c r="J376" s="20">
        <v>38</v>
      </c>
      <c r="K376" t="s">
        <v>636</v>
      </c>
      <c r="L376" t="s">
        <v>737</v>
      </c>
      <c r="M376" t="s">
        <v>657</v>
      </c>
      <c r="N376" t="s">
        <v>641</v>
      </c>
      <c r="O376" t="s">
        <v>757</v>
      </c>
    </row>
    <row r="377" spans="1:15" x14ac:dyDescent="0.35">
      <c r="A377" s="77">
        <v>5.7972602739726025</v>
      </c>
      <c r="B377" s="19">
        <v>33146</v>
      </c>
      <c r="C377" s="19" t="s">
        <v>2697</v>
      </c>
      <c r="D377" s="19" t="s">
        <v>91</v>
      </c>
      <c r="E377" s="19" t="s">
        <v>92</v>
      </c>
      <c r="F377" s="19" t="s">
        <v>1113</v>
      </c>
      <c r="G377" s="19" t="s">
        <v>1034</v>
      </c>
      <c r="H377" s="19" t="s">
        <v>1001</v>
      </c>
      <c r="I377" s="19" t="s">
        <v>1599</v>
      </c>
      <c r="J377" s="20">
        <v>38</v>
      </c>
      <c r="K377" t="s">
        <v>636</v>
      </c>
      <c r="L377" t="s">
        <v>634</v>
      </c>
      <c r="M377" t="s">
        <v>629</v>
      </c>
      <c r="N377" t="s">
        <v>630</v>
      </c>
      <c r="O377" t="s">
        <v>734</v>
      </c>
    </row>
    <row r="378" spans="1:15" x14ac:dyDescent="0.35">
      <c r="A378" s="77">
        <v>9.1945205479452063</v>
      </c>
      <c r="B378" s="19">
        <v>33172</v>
      </c>
      <c r="C378" s="19" t="s">
        <v>2698</v>
      </c>
      <c r="D378" s="19" t="s">
        <v>250</v>
      </c>
      <c r="E378" s="19" t="s">
        <v>251</v>
      </c>
      <c r="F378" s="19" t="s">
        <v>1126</v>
      </c>
      <c r="G378" s="19" t="s">
        <v>1045</v>
      </c>
      <c r="H378" s="19" t="s">
        <v>1001</v>
      </c>
      <c r="I378" s="19" t="s">
        <v>1575</v>
      </c>
      <c r="J378" s="20">
        <v>30</v>
      </c>
      <c r="K378" t="s">
        <v>668</v>
      </c>
      <c r="L378" t="s">
        <v>634</v>
      </c>
      <c r="M378" t="s">
        <v>629</v>
      </c>
      <c r="N378" t="s">
        <v>635</v>
      </c>
      <c r="O378" t="s">
        <v>637</v>
      </c>
    </row>
    <row r="379" spans="1:15" x14ac:dyDescent="0.35">
      <c r="A379" s="77">
        <v>9.169863013698631</v>
      </c>
      <c r="B379" s="19">
        <v>33346</v>
      </c>
      <c r="C379" s="19" t="s">
        <v>2699</v>
      </c>
      <c r="D379" s="19" t="s">
        <v>35</v>
      </c>
      <c r="E379" s="19" t="s">
        <v>35</v>
      </c>
      <c r="F379" s="19" t="s">
        <v>1657</v>
      </c>
      <c r="G379" s="19" t="s">
        <v>1045</v>
      </c>
      <c r="H379" s="19" t="s">
        <v>1001</v>
      </c>
      <c r="I379" s="19" t="s">
        <v>1575</v>
      </c>
      <c r="J379" s="20">
        <v>27</v>
      </c>
      <c r="K379" t="s">
        <v>654</v>
      </c>
      <c r="L379" t="s">
        <v>684</v>
      </c>
      <c r="M379" t="s">
        <v>623</v>
      </c>
      <c r="N379" t="s">
        <v>662</v>
      </c>
      <c r="O379" t="s">
        <v>685</v>
      </c>
    </row>
    <row r="380" spans="1:15" x14ac:dyDescent="0.35">
      <c r="A380" s="77">
        <v>9.161643835616438</v>
      </c>
      <c r="B380" s="19">
        <v>33493</v>
      </c>
      <c r="C380" s="19" t="s">
        <v>2700</v>
      </c>
      <c r="D380" s="19" t="s">
        <v>393</v>
      </c>
      <c r="E380" s="19" t="s">
        <v>394</v>
      </c>
      <c r="F380" s="19" t="s">
        <v>865</v>
      </c>
      <c r="G380" s="19" t="s">
        <v>1028</v>
      </c>
      <c r="H380" s="19" t="s">
        <v>1020</v>
      </c>
      <c r="I380" s="19" t="s">
        <v>1599</v>
      </c>
      <c r="J380" s="20">
        <v>33</v>
      </c>
      <c r="K380" t="s">
        <v>631</v>
      </c>
      <c r="L380" t="s">
        <v>684</v>
      </c>
      <c r="M380" t="s">
        <v>623</v>
      </c>
      <c r="N380" t="s">
        <v>662</v>
      </c>
      <c r="O380" t="s">
        <v>685</v>
      </c>
    </row>
    <row r="381" spans="1:15" x14ac:dyDescent="0.35">
      <c r="A381" s="77">
        <v>3.6273972602739728</v>
      </c>
      <c r="B381" s="19">
        <v>33672</v>
      </c>
      <c r="C381" s="19" t="s">
        <v>2701</v>
      </c>
      <c r="D381" s="19" t="s">
        <v>107</v>
      </c>
      <c r="E381" s="19" t="s">
        <v>108</v>
      </c>
      <c r="F381" s="19" t="s">
        <v>2702</v>
      </c>
      <c r="G381" s="19" t="s">
        <v>1046</v>
      </c>
      <c r="H381" s="19" t="s">
        <v>1001</v>
      </c>
      <c r="I381" s="19" t="s">
        <v>1575</v>
      </c>
      <c r="J381" s="20">
        <v>28</v>
      </c>
      <c r="K381" t="s">
        <v>668</v>
      </c>
      <c r="L381" t="s">
        <v>691</v>
      </c>
      <c r="M381" t="s">
        <v>657</v>
      </c>
      <c r="N381" t="s">
        <v>658</v>
      </c>
      <c r="O381" t="s">
        <v>632</v>
      </c>
    </row>
    <row r="382" spans="1:15" x14ac:dyDescent="0.35">
      <c r="A382" s="77">
        <v>9.1205479452054803</v>
      </c>
      <c r="B382" s="19">
        <v>33863</v>
      </c>
      <c r="C382" s="19" t="s">
        <v>2703</v>
      </c>
      <c r="D382" s="19" t="s">
        <v>375</v>
      </c>
      <c r="E382" s="19" t="s">
        <v>376</v>
      </c>
      <c r="F382" s="19" t="s">
        <v>1270</v>
      </c>
      <c r="G382" s="19" t="s">
        <v>1034</v>
      </c>
      <c r="H382" s="19" t="s">
        <v>1001</v>
      </c>
      <c r="I382" s="19" t="s">
        <v>1575</v>
      </c>
      <c r="J382" s="20">
        <v>35</v>
      </c>
      <c r="K382" t="s">
        <v>636</v>
      </c>
      <c r="L382" t="s">
        <v>678</v>
      </c>
      <c r="M382" t="s">
        <v>623</v>
      </c>
      <c r="N382" t="s">
        <v>624</v>
      </c>
      <c r="O382" t="s">
        <v>679</v>
      </c>
    </row>
    <row r="383" spans="1:15" x14ac:dyDescent="0.35">
      <c r="A383" s="77">
        <v>4.4986301369863018</v>
      </c>
      <c r="B383" s="19">
        <v>34025</v>
      </c>
      <c r="C383" s="19" t="s">
        <v>2704</v>
      </c>
      <c r="D383" s="19" t="s">
        <v>353</v>
      </c>
      <c r="E383" s="19" t="s">
        <v>354</v>
      </c>
      <c r="F383" s="19" t="s">
        <v>850</v>
      </c>
      <c r="G383" s="19" t="s">
        <v>1046</v>
      </c>
      <c r="H383" s="19" t="s">
        <v>1001</v>
      </c>
      <c r="I383" s="19" t="s">
        <v>1575</v>
      </c>
      <c r="J383" s="20">
        <v>28</v>
      </c>
      <c r="K383" t="s">
        <v>654</v>
      </c>
      <c r="L383" t="s">
        <v>640</v>
      </c>
      <c r="M383" t="s">
        <v>623</v>
      </c>
      <c r="N383" t="s">
        <v>624</v>
      </c>
      <c r="O383" t="s">
        <v>789</v>
      </c>
    </row>
    <row r="384" spans="1:15" x14ac:dyDescent="0.35">
      <c r="A384" s="77">
        <v>3.7315068493150685</v>
      </c>
      <c r="B384" s="19">
        <v>34045</v>
      </c>
      <c r="C384" s="19" t="s">
        <v>2705</v>
      </c>
      <c r="D384" s="19" t="s">
        <v>266</v>
      </c>
      <c r="E384" s="19" t="s">
        <v>267</v>
      </c>
      <c r="F384" s="19" t="s">
        <v>2070</v>
      </c>
      <c r="G384" s="19" t="s">
        <v>1046</v>
      </c>
      <c r="H384" s="19" t="s">
        <v>1001</v>
      </c>
      <c r="I384" s="19" t="s">
        <v>1575</v>
      </c>
      <c r="J384" s="20">
        <v>32</v>
      </c>
      <c r="K384" t="s">
        <v>636</v>
      </c>
      <c r="L384" t="s">
        <v>634</v>
      </c>
      <c r="M384" t="s">
        <v>629</v>
      </c>
      <c r="N384" t="s">
        <v>635</v>
      </c>
      <c r="O384" t="s">
        <v>637</v>
      </c>
    </row>
    <row r="385" spans="1:15" x14ac:dyDescent="0.35">
      <c r="A385" s="77">
        <v>9.1013698630136979</v>
      </c>
      <c r="B385" s="19">
        <v>34069</v>
      </c>
      <c r="C385" s="19" t="s">
        <v>2706</v>
      </c>
      <c r="D385" s="19" t="s">
        <v>399</v>
      </c>
      <c r="E385" s="19" t="s">
        <v>400</v>
      </c>
      <c r="F385" s="19" t="s">
        <v>868</v>
      </c>
      <c r="G385" s="19" t="s">
        <v>1034</v>
      </c>
      <c r="H385" s="19" t="s">
        <v>1001</v>
      </c>
      <c r="I385" s="19" t="s">
        <v>1575</v>
      </c>
      <c r="J385" s="20">
        <v>31</v>
      </c>
      <c r="K385" t="s">
        <v>642</v>
      </c>
      <c r="L385" t="s">
        <v>684</v>
      </c>
      <c r="M385" t="s">
        <v>623</v>
      </c>
      <c r="N385" t="s">
        <v>662</v>
      </c>
      <c r="O385" t="s">
        <v>795</v>
      </c>
    </row>
    <row r="386" spans="1:15" x14ac:dyDescent="0.35">
      <c r="A386" s="77">
        <v>9.0821917808219172</v>
      </c>
      <c r="B386" s="19">
        <v>34322</v>
      </c>
      <c r="C386" s="19" t="s">
        <v>2707</v>
      </c>
      <c r="D386" s="19" t="s">
        <v>120</v>
      </c>
      <c r="E386" s="19" t="s">
        <v>121</v>
      </c>
      <c r="F386" s="19" t="s">
        <v>1236</v>
      </c>
      <c r="G386" s="19" t="s">
        <v>1057</v>
      </c>
      <c r="H386" s="19" t="s">
        <v>1001</v>
      </c>
      <c r="I386" s="19" t="s">
        <v>1575</v>
      </c>
      <c r="J386" s="20">
        <v>38</v>
      </c>
      <c r="K386" t="s">
        <v>636</v>
      </c>
      <c r="L386" t="s">
        <v>673</v>
      </c>
      <c r="M386" t="s">
        <v>623</v>
      </c>
      <c r="N386" t="s">
        <v>641</v>
      </c>
      <c r="O386" t="s">
        <v>748</v>
      </c>
    </row>
    <row r="387" spans="1:15" x14ac:dyDescent="0.35">
      <c r="A387" s="77">
        <v>2.3287671232876712</v>
      </c>
      <c r="B387" s="19">
        <v>34331</v>
      </c>
      <c r="C387" s="19" t="s">
        <v>2708</v>
      </c>
      <c r="D387" s="19" t="s">
        <v>243</v>
      </c>
      <c r="E387" s="19" t="s">
        <v>244</v>
      </c>
      <c r="F387" s="19" t="s">
        <v>1318</v>
      </c>
      <c r="G387" s="19" t="s">
        <v>1028</v>
      </c>
      <c r="H387" s="19" t="s">
        <v>1020</v>
      </c>
      <c r="I387" s="19" t="s">
        <v>1575</v>
      </c>
      <c r="J387" s="20">
        <v>30</v>
      </c>
      <c r="K387" t="s">
        <v>631</v>
      </c>
      <c r="L387" t="s">
        <v>707</v>
      </c>
      <c r="M387" t="s">
        <v>629</v>
      </c>
      <c r="N387" t="s">
        <v>635</v>
      </c>
      <c r="O387" t="s">
        <v>710</v>
      </c>
    </row>
    <row r="388" spans="1:15" x14ac:dyDescent="0.35">
      <c r="A388" s="77">
        <v>9.0821917808219172</v>
      </c>
      <c r="B388" s="19">
        <v>34336</v>
      </c>
      <c r="C388" s="19" t="s">
        <v>2709</v>
      </c>
      <c r="D388" s="19" t="s">
        <v>311</v>
      </c>
      <c r="E388" s="19" t="s">
        <v>312</v>
      </c>
      <c r="F388" s="19" t="s">
        <v>1140</v>
      </c>
      <c r="G388" s="19" t="s">
        <v>1016</v>
      </c>
      <c r="H388" s="19" t="s">
        <v>1001</v>
      </c>
      <c r="I388" s="19" t="s">
        <v>1575</v>
      </c>
      <c r="J388" s="20">
        <v>33</v>
      </c>
      <c r="K388" t="s">
        <v>631</v>
      </c>
      <c r="L388" t="s">
        <v>628</v>
      </c>
      <c r="M388" t="s">
        <v>629</v>
      </c>
      <c r="N388" t="s">
        <v>630</v>
      </c>
      <c r="O388" t="s">
        <v>632</v>
      </c>
    </row>
    <row r="389" spans="1:15" x14ac:dyDescent="0.35">
      <c r="A389" s="77">
        <v>9.0739726027397261</v>
      </c>
      <c r="B389" s="19">
        <v>34447</v>
      </c>
      <c r="C389" s="19" t="s">
        <v>2710</v>
      </c>
      <c r="D389" s="19" t="s">
        <v>51</v>
      </c>
      <c r="E389" s="19" t="s">
        <v>52</v>
      </c>
      <c r="F389" s="19" t="s">
        <v>921</v>
      </c>
      <c r="G389" s="19" t="s">
        <v>1046</v>
      </c>
      <c r="H389" s="19" t="s">
        <v>1001</v>
      </c>
      <c r="I389" s="19" t="s">
        <v>1575</v>
      </c>
      <c r="J389" s="20">
        <v>29</v>
      </c>
      <c r="K389" t="s">
        <v>636</v>
      </c>
      <c r="L389" t="s">
        <v>656</v>
      </c>
      <c r="M389" t="s">
        <v>657</v>
      </c>
      <c r="N389" t="s">
        <v>658</v>
      </c>
      <c r="O389" t="s">
        <v>718</v>
      </c>
    </row>
    <row r="390" spans="1:15" x14ac:dyDescent="0.35">
      <c r="A390" s="77">
        <v>9.0575342465753419</v>
      </c>
      <c r="B390" s="19">
        <v>34504</v>
      </c>
      <c r="C390" s="19" t="s">
        <v>2711</v>
      </c>
      <c r="D390" s="19" t="s">
        <v>128</v>
      </c>
      <c r="E390" s="19" t="s">
        <v>129</v>
      </c>
      <c r="F390" s="19" t="s">
        <v>1075</v>
      </c>
      <c r="G390" s="19" t="s">
        <v>1034</v>
      </c>
      <c r="H390" s="19" t="s">
        <v>1001</v>
      </c>
      <c r="I390" s="19" t="s">
        <v>1599</v>
      </c>
      <c r="J390" s="20">
        <v>32</v>
      </c>
      <c r="K390" t="s">
        <v>636</v>
      </c>
      <c r="L390" t="s">
        <v>678</v>
      </c>
      <c r="M390" t="s">
        <v>623</v>
      </c>
      <c r="N390" t="s">
        <v>624</v>
      </c>
      <c r="O390" t="s">
        <v>679</v>
      </c>
    </row>
    <row r="391" spans="1:15" x14ac:dyDescent="0.35">
      <c r="A391" s="77">
        <v>9.0465753424657542</v>
      </c>
      <c r="B391" s="19">
        <v>34584</v>
      </c>
      <c r="C391" s="19" t="s">
        <v>2712</v>
      </c>
      <c r="D391" s="19" t="s">
        <v>337</v>
      </c>
      <c r="E391" s="19" t="s">
        <v>338</v>
      </c>
      <c r="F391" s="19" t="s">
        <v>2642</v>
      </c>
      <c r="G391" s="19" t="s">
        <v>1045</v>
      </c>
      <c r="H391" s="19" t="s">
        <v>1001</v>
      </c>
      <c r="I391" s="19" t="s">
        <v>1575</v>
      </c>
      <c r="J391" s="20">
        <v>36</v>
      </c>
      <c r="K391" t="s">
        <v>668</v>
      </c>
      <c r="L391" t="s">
        <v>656</v>
      </c>
      <c r="M391" t="s">
        <v>657</v>
      </c>
      <c r="N391" t="s">
        <v>658</v>
      </c>
      <c r="O391" t="s">
        <v>843</v>
      </c>
    </row>
    <row r="392" spans="1:15" x14ac:dyDescent="0.35">
      <c r="A392" s="77">
        <v>9.043835616438356</v>
      </c>
      <c r="B392" s="19">
        <v>34654</v>
      </c>
      <c r="C392" s="19" t="s">
        <v>2713</v>
      </c>
      <c r="D392" s="19" t="s">
        <v>153</v>
      </c>
      <c r="E392" s="19" t="s">
        <v>154</v>
      </c>
      <c r="F392" s="19" t="s">
        <v>2384</v>
      </c>
      <c r="G392" s="19" t="s">
        <v>1057</v>
      </c>
      <c r="H392" s="19" t="s">
        <v>1001</v>
      </c>
      <c r="I392" s="19" t="s">
        <v>1575</v>
      </c>
      <c r="J392" s="20">
        <v>38</v>
      </c>
      <c r="K392" t="s">
        <v>654</v>
      </c>
      <c r="L392" t="s">
        <v>762</v>
      </c>
      <c r="M392" t="s">
        <v>629</v>
      </c>
      <c r="N392" t="s">
        <v>646</v>
      </c>
      <c r="O392" t="s">
        <v>763</v>
      </c>
    </row>
    <row r="393" spans="1:15" x14ac:dyDescent="0.35">
      <c r="A393" s="77">
        <v>9.0465753424657542</v>
      </c>
      <c r="B393" s="19">
        <v>34701</v>
      </c>
      <c r="C393" s="19" t="s">
        <v>2714</v>
      </c>
      <c r="D393" s="19" t="s">
        <v>42</v>
      </c>
      <c r="E393" s="19" t="s">
        <v>42</v>
      </c>
      <c r="F393" s="19" t="s">
        <v>1262</v>
      </c>
      <c r="G393" s="19" t="s">
        <v>1084</v>
      </c>
      <c r="H393" s="19" t="s">
        <v>1020</v>
      </c>
      <c r="I393" s="19" t="s">
        <v>1575</v>
      </c>
      <c r="J393" s="20">
        <v>44</v>
      </c>
      <c r="K393" t="s">
        <v>625</v>
      </c>
      <c r="L393" t="s">
        <v>628</v>
      </c>
      <c r="M393" t="s">
        <v>629</v>
      </c>
      <c r="N393" t="s">
        <v>630</v>
      </c>
      <c r="O393" t="s">
        <v>632</v>
      </c>
    </row>
    <row r="394" spans="1:15" x14ac:dyDescent="0.35">
      <c r="A394" s="77">
        <v>9.0219178082191789</v>
      </c>
      <c r="B394" s="19">
        <v>34752</v>
      </c>
      <c r="C394" s="19" t="s">
        <v>2715</v>
      </c>
      <c r="D394" s="19" t="s">
        <v>143</v>
      </c>
      <c r="E394" s="19" t="s">
        <v>144</v>
      </c>
      <c r="F394" s="19" t="s">
        <v>2391</v>
      </c>
      <c r="G394" s="19" t="s">
        <v>1038</v>
      </c>
      <c r="H394" s="19" t="s">
        <v>1020</v>
      </c>
      <c r="I394" s="19" t="s">
        <v>1575</v>
      </c>
      <c r="J394" s="20">
        <v>39</v>
      </c>
      <c r="K394" t="s">
        <v>654</v>
      </c>
      <c r="L394" t="s">
        <v>640</v>
      </c>
      <c r="M394" t="s">
        <v>623</v>
      </c>
      <c r="N394" t="s">
        <v>641</v>
      </c>
      <c r="O394" t="s">
        <v>754</v>
      </c>
    </row>
    <row r="395" spans="1:15" x14ac:dyDescent="0.35">
      <c r="A395" s="77">
        <v>6.5424657534246577</v>
      </c>
      <c r="B395" s="19">
        <v>34858</v>
      </c>
      <c r="C395" s="19" t="s">
        <v>2716</v>
      </c>
      <c r="D395" s="19" t="s">
        <v>58</v>
      </c>
      <c r="E395" s="19" t="s">
        <v>59</v>
      </c>
      <c r="F395" s="19" t="s">
        <v>1650</v>
      </c>
      <c r="G395" s="19" t="s">
        <v>1045</v>
      </c>
      <c r="H395" s="19" t="s">
        <v>1001</v>
      </c>
      <c r="I395" s="19" t="s">
        <v>1575</v>
      </c>
      <c r="J395" s="20">
        <v>28</v>
      </c>
      <c r="K395" t="s">
        <v>668</v>
      </c>
      <c r="L395" t="s">
        <v>651</v>
      </c>
      <c r="M395" t="s">
        <v>629</v>
      </c>
      <c r="N395" t="s">
        <v>630</v>
      </c>
      <c r="O395" t="s">
        <v>705</v>
      </c>
    </row>
    <row r="396" spans="1:15" x14ac:dyDescent="0.35">
      <c r="A396" s="77">
        <v>9</v>
      </c>
      <c r="B396" s="19">
        <v>35016</v>
      </c>
      <c r="C396" s="19" t="s">
        <v>2717</v>
      </c>
      <c r="D396" s="19" t="s">
        <v>107</v>
      </c>
      <c r="E396" s="19" t="s">
        <v>108</v>
      </c>
      <c r="F396" s="19" t="s">
        <v>2702</v>
      </c>
      <c r="G396" s="19" t="s">
        <v>1000</v>
      </c>
      <c r="H396" s="19" t="s">
        <v>1001</v>
      </c>
      <c r="I396" s="19" t="s">
        <v>1599</v>
      </c>
      <c r="J396" s="20">
        <v>33</v>
      </c>
      <c r="K396" t="s">
        <v>668</v>
      </c>
      <c r="L396" t="s">
        <v>691</v>
      </c>
      <c r="M396" t="s">
        <v>657</v>
      </c>
      <c r="N396" t="s">
        <v>658</v>
      </c>
      <c r="O396" t="s">
        <v>632</v>
      </c>
    </row>
    <row r="397" spans="1:15" x14ac:dyDescent="0.35">
      <c r="A397" s="77">
        <v>8.9863013698630141</v>
      </c>
      <c r="B397" s="19">
        <v>35077</v>
      </c>
      <c r="C397" s="19" t="s">
        <v>2718</v>
      </c>
      <c r="D397" s="19" t="s">
        <v>42</v>
      </c>
      <c r="E397" s="19" t="s">
        <v>42</v>
      </c>
      <c r="F397" s="19" t="s">
        <v>1262</v>
      </c>
      <c r="G397" s="19" t="s">
        <v>1084</v>
      </c>
      <c r="H397" s="19" t="s">
        <v>1020</v>
      </c>
      <c r="I397" s="19" t="s">
        <v>1575</v>
      </c>
      <c r="J397" s="20">
        <v>41</v>
      </c>
      <c r="K397" t="s">
        <v>625</v>
      </c>
      <c r="L397" t="s">
        <v>628</v>
      </c>
      <c r="M397" t="s">
        <v>629</v>
      </c>
      <c r="N397" t="s">
        <v>630</v>
      </c>
      <c r="O397" t="s">
        <v>632</v>
      </c>
    </row>
    <row r="398" spans="1:15" x14ac:dyDescent="0.35">
      <c r="A398" s="77">
        <v>4.2301369863013702</v>
      </c>
      <c r="B398" s="19">
        <v>35219</v>
      </c>
      <c r="C398" s="19" t="s">
        <v>2719</v>
      </c>
      <c r="D398" s="19" t="s">
        <v>159</v>
      </c>
      <c r="E398" s="19" t="s">
        <v>160</v>
      </c>
      <c r="F398" s="19" t="s">
        <v>1488</v>
      </c>
      <c r="G398" s="19" t="s">
        <v>1057</v>
      </c>
      <c r="H398" s="19" t="s">
        <v>1001</v>
      </c>
      <c r="I398" s="19" t="s">
        <v>1575</v>
      </c>
      <c r="J398" s="20">
        <v>32</v>
      </c>
      <c r="K398" t="s">
        <v>654</v>
      </c>
      <c r="L398" t="s">
        <v>678</v>
      </c>
      <c r="M398" t="s">
        <v>623</v>
      </c>
      <c r="N398" t="s">
        <v>624</v>
      </c>
      <c r="O398" t="s">
        <v>679</v>
      </c>
    </row>
    <row r="399" spans="1:15" x14ac:dyDescent="0.35">
      <c r="A399" s="77">
        <v>8.9808219178082194</v>
      </c>
      <c r="B399" s="19">
        <v>35245</v>
      </c>
      <c r="C399" s="19" t="s">
        <v>2720</v>
      </c>
      <c r="D399" s="19" t="s">
        <v>41</v>
      </c>
      <c r="E399" s="19" t="s">
        <v>41</v>
      </c>
      <c r="F399" s="19" t="s">
        <v>1157</v>
      </c>
      <c r="G399" s="19" t="s">
        <v>1084</v>
      </c>
      <c r="H399" s="19" t="s">
        <v>1020</v>
      </c>
      <c r="I399" s="19" t="s">
        <v>1575</v>
      </c>
      <c r="J399" s="20">
        <v>47</v>
      </c>
      <c r="K399" t="s">
        <v>625</v>
      </c>
      <c r="L399" t="s">
        <v>691</v>
      </c>
      <c r="M399" t="s">
        <v>657</v>
      </c>
      <c r="N399" t="s">
        <v>658</v>
      </c>
      <c r="O399" t="s">
        <v>632</v>
      </c>
    </row>
    <row r="400" spans="1:15" x14ac:dyDescent="0.35">
      <c r="A400" s="77">
        <v>8.9698630136986299</v>
      </c>
      <c r="B400" s="19">
        <v>35345</v>
      </c>
      <c r="C400" s="19" t="s">
        <v>2721</v>
      </c>
      <c r="D400" s="19" t="s">
        <v>278</v>
      </c>
      <c r="E400" s="19" t="s">
        <v>279</v>
      </c>
      <c r="F400" s="19" t="s">
        <v>1131</v>
      </c>
      <c r="G400" s="19" t="s">
        <v>1046</v>
      </c>
      <c r="H400" s="19" t="s">
        <v>1001</v>
      </c>
      <c r="I400" s="19" t="s">
        <v>1575</v>
      </c>
      <c r="J400" s="20">
        <v>26</v>
      </c>
      <c r="K400" t="s">
        <v>625</v>
      </c>
      <c r="L400" t="s">
        <v>661</v>
      </c>
      <c r="M400" t="s">
        <v>657</v>
      </c>
      <c r="N400" t="s">
        <v>662</v>
      </c>
      <c r="O400" t="s">
        <v>632</v>
      </c>
    </row>
    <row r="401" spans="1:15" x14ac:dyDescent="0.35">
      <c r="A401" s="77">
        <v>8.75068493150685</v>
      </c>
      <c r="B401" s="19">
        <v>35883</v>
      </c>
      <c r="C401" s="19" t="s">
        <v>2722</v>
      </c>
      <c r="D401" s="19" t="s">
        <v>140</v>
      </c>
      <c r="E401" s="19" t="s">
        <v>141</v>
      </c>
      <c r="F401" s="19" t="s">
        <v>1138</v>
      </c>
      <c r="G401" s="19" t="s">
        <v>1034</v>
      </c>
      <c r="H401" s="19" t="s">
        <v>1001</v>
      </c>
      <c r="I401" s="19" t="s">
        <v>1575</v>
      </c>
      <c r="J401" s="20">
        <v>26</v>
      </c>
      <c r="K401" t="s">
        <v>636</v>
      </c>
      <c r="L401" t="s">
        <v>640</v>
      </c>
      <c r="M401" t="s">
        <v>623</v>
      </c>
      <c r="N401" t="s">
        <v>641</v>
      </c>
      <c r="O401" t="s">
        <v>754</v>
      </c>
    </row>
    <row r="402" spans="1:15" x14ac:dyDescent="0.35">
      <c r="A402" s="77">
        <v>0.9123287671232877</v>
      </c>
      <c r="B402" s="19">
        <v>35897</v>
      </c>
      <c r="C402" s="19" t="s">
        <v>2723</v>
      </c>
      <c r="D402" s="19" t="s">
        <v>137</v>
      </c>
      <c r="E402" s="19" t="s">
        <v>138</v>
      </c>
      <c r="F402" s="19" t="s">
        <v>1115</v>
      </c>
      <c r="G402" s="19" t="s">
        <v>1008</v>
      </c>
      <c r="H402" s="19" t="s">
        <v>1001</v>
      </c>
      <c r="I402" s="19" t="s">
        <v>1575</v>
      </c>
      <c r="J402" s="20">
        <v>28</v>
      </c>
      <c r="K402" t="s">
        <v>636</v>
      </c>
      <c r="L402" t="s">
        <v>684</v>
      </c>
      <c r="M402" t="s">
        <v>623</v>
      </c>
      <c r="N402" t="s">
        <v>662</v>
      </c>
      <c r="O402" t="s">
        <v>685</v>
      </c>
    </row>
    <row r="403" spans="1:15" x14ac:dyDescent="0.35">
      <c r="A403" s="77">
        <v>8.7671232876712324</v>
      </c>
      <c r="B403" s="19">
        <v>35925</v>
      </c>
      <c r="C403" s="19" t="s">
        <v>2724</v>
      </c>
      <c r="D403" s="19" t="s">
        <v>357</v>
      </c>
      <c r="E403" s="19" t="s">
        <v>358</v>
      </c>
      <c r="F403" s="19" t="s">
        <v>1161</v>
      </c>
      <c r="G403" s="19" t="s">
        <v>1019</v>
      </c>
      <c r="H403" s="19" t="s">
        <v>1020</v>
      </c>
      <c r="I403" s="19" t="s">
        <v>1575</v>
      </c>
      <c r="J403" s="20">
        <v>33</v>
      </c>
      <c r="K403" t="s">
        <v>668</v>
      </c>
      <c r="L403" t="s">
        <v>640</v>
      </c>
      <c r="M403" t="s">
        <v>623</v>
      </c>
      <c r="N403" t="s">
        <v>641</v>
      </c>
      <c r="O403" t="s">
        <v>852</v>
      </c>
    </row>
    <row r="404" spans="1:15" x14ac:dyDescent="0.35">
      <c r="A404" s="77">
        <v>8.9890410958904106</v>
      </c>
      <c r="B404" s="19">
        <v>35932</v>
      </c>
      <c r="C404" s="19" t="s">
        <v>2725</v>
      </c>
      <c r="D404" s="19" t="s">
        <v>204</v>
      </c>
      <c r="E404" s="19" t="s">
        <v>205</v>
      </c>
      <c r="F404" s="19" t="s">
        <v>1090</v>
      </c>
      <c r="G404" s="19" t="s">
        <v>1000</v>
      </c>
      <c r="H404" s="19" t="s">
        <v>1001</v>
      </c>
      <c r="I404" s="19" t="s">
        <v>1599</v>
      </c>
      <c r="J404" s="20">
        <v>31</v>
      </c>
      <c r="K404" t="s">
        <v>668</v>
      </c>
      <c r="L404" t="s">
        <v>634</v>
      </c>
      <c r="M404" t="s">
        <v>629</v>
      </c>
      <c r="N404" t="s">
        <v>635</v>
      </c>
      <c r="O404" t="s">
        <v>637</v>
      </c>
    </row>
    <row r="405" spans="1:15" x14ac:dyDescent="0.35">
      <c r="A405" s="77">
        <v>8.7315068493150694</v>
      </c>
      <c r="B405" s="19">
        <v>35948</v>
      </c>
      <c r="C405" s="19" t="s">
        <v>2726</v>
      </c>
      <c r="D405" s="19" t="s">
        <v>55</v>
      </c>
      <c r="E405" s="19" t="s">
        <v>56</v>
      </c>
      <c r="F405" s="19" t="s">
        <v>1684</v>
      </c>
      <c r="G405" s="19" t="s">
        <v>1008</v>
      </c>
      <c r="H405" s="19" t="s">
        <v>1001</v>
      </c>
      <c r="I405" s="19" t="s">
        <v>1575</v>
      </c>
      <c r="J405" s="20">
        <v>26</v>
      </c>
      <c r="K405" t="s">
        <v>668</v>
      </c>
      <c r="L405" t="s">
        <v>707</v>
      </c>
      <c r="M405" t="s">
        <v>629</v>
      </c>
      <c r="N405" t="s">
        <v>635</v>
      </c>
      <c r="O405" t="s">
        <v>708</v>
      </c>
    </row>
    <row r="406" spans="1:15" x14ac:dyDescent="0.35">
      <c r="A406" s="77">
        <v>8.786301369863013</v>
      </c>
      <c r="B406" s="19">
        <v>35969</v>
      </c>
      <c r="C406" s="19" t="s">
        <v>2727</v>
      </c>
      <c r="D406" s="19" t="s">
        <v>371</v>
      </c>
      <c r="E406" s="19" t="s">
        <v>372</v>
      </c>
      <c r="F406" s="19" t="s">
        <v>2222</v>
      </c>
      <c r="G406" s="19" t="s">
        <v>1046</v>
      </c>
      <c r="H406" s="19" t="s">
        <v>1001</v>
      </c>
      <c r="I406" s="19" t="s">
        <v>1599</v>
      </c>
      <c r="J406" s="20">
        <v>34</v>
      </c>
      <c r="K406" t="s">
        <v>668</v>
      </c>
      <c r="L406" t="s">
        <v>640</v>
      </c>
      <c r="M406" t="s">
        <v>623</v>
      </c>
      <c r="N406" t="s">
        <v>641</v>
      </c>
      <c r="O406" t="s">
        <v>859</v>
      </c>
    </row>
    <row r="407" spans="1:15" x14ac:dyDescent="0.35">
      <c r="A407" s="77">
        <v>8.668493150684931</v>
      </c>
      <c r="B407" s="19">
        <v>35976</v>
      </c>
      <c r="C407" s="19" t="s">
        <v>2728</v>
      </c>
      <c r="D407" s="19" t="s">
        <v>159</v>
      </c>
      <c r="E407" s="19" t="s">
        <v>160</v>
      </c>
      <c r="F407" s="19" t="s">
        <v>1488</v>
      </c>
      <c r="G407" s="19" t="s">
        <v>1000</v>
      </c>
      <c r="H407" s="19" t="s">
        <v>1001</v>
      </c>
      <c r="I407" s="19" t="s">
        <v>1575</v>
      </c>
      <c r="J407" s="20">
        <v>32</v>
      </c>
      <c r="K407" t="s">
        <v>654</v>
      </c>
      <c r="L407" t="s">
        <v>678</v>
      </c>
      <c r="M407" t="s">
        <v>623</v>
      </c>
      <c r="N407" t="s">
        <v>624</v>
      </c>
      <c r="O407" t="s">
        <v>679</v>
      </c>
    </row>
    <row r="408" spans="1:15" x14ac:dyDescent="0.35">
      <c r="A408" s="77">
        <v>4.1945205479452055</v>
      </c>
      <c r="B408" s="19">
        <v>35998</v>
      </c>
      <c r="C408" s="19" t="s">
        <v>2729</v>
      </c>
      <c r="D408" s="19" t="s">
        <v>151</v>
      </c>
      <c r="E408" s="19" t="s">
        <v>152</v>
      </c>
      <c r="F408" s="19" t="s">
        <v>1557</v>
      </c>
      <c r="G408" s="19" t="s">
        <v>1045</v>
      </c>
      <c r="H408" s="19" t="s">
        <v>1001</v>
      </c>
      <c r="I408" s="19" t="s">
        <v>1599</v>
      </c>
      <c r="J408" s="20">
        <v>29</v>
      </c>
      <c r="K408" t="s">
        <v>654</v>
      </c>
      <c r="L408" t="s">
        <v>691</v>
      </c>
      <c r="M408" t="s">
        <v>657</v>
      </c>
      <c r="N408" t="s">
        <v>658</v>
      </c>
      <c r="O408" t="s">
        <v>632</v>
      </c>
    </row>
    <row r="409" spans="1:15" x14ac:dyDescent="0.35">
      <c r="A409" s="77">
        <v>1.2931506849315069</v>
      </c>
      <c r="B409" s="19">
        <v>36160</v>
      </c>
      <c r="C409" s="19" t="s">
        <v>2730</v>
      </c>
      <c r="D409" s="19" t="s">
        <v>230</v>
      </c>
      <c r="E409" s="19" t="s">
        <v>231</v>
      </c>
      <c r="F409" s="19" t="s">
        <v>2112</v>
      </c>
      <c r="G409" s="19" t="s">
        <v>1008</v>
      </c>
      <c r="H409" s="19" t="s">
        <v>1001</v>
      </c>
      <c r="I409" s="19" t="s">
        <v>1599</v>
      </c>
      <c r="J409" s="20">
        <v>32</v>
      </c>
      <c r="K409" t="s">
        <v>668</v>
      </c>
      <c r="L409" t="s">
        <v>684</v>
      </c>
      <c r="M409" t="s">
        <v>623</v>
      </c>
      <c r="N409" t="s">
        <v>662</v>
      </c>
      <c r="O409" t="s">
        <v>795</v>
      </c>
    </row>
    <row r="410" spans="1:15" x14ac:dyDescent="0.35">
      <c r="A410" s="77">
        <v>8.912328767123288</v>
      </c>
      <c r="B410" s="19">
        <v>36339</v>
      </c>
      <c r="C410" s="19" t="s">
        <v>2731</v>
      </c>
      <c r="D410" s="19" t="s">
        <v>220</v>
      </c>
      <c r="E410" s="19" t="s">
        <v>221</v>
      </c>
      <c r="F410" s="19" t="s">
        <v>2309</v>
      </c>
      <c r="G410" s="19" t="s">
        <v>1084</v>
      </c>
      <c r="H410" s="19" t="s">
        <v>1001</v>
      </c>
      <c r="I410" s="19" t="s">
        <v>1599</v>
      </c>
      <c r="J410" s="20">
        <v>40</v>
      </c>
      <c r="K410" t="s">
        <v>668</v>
      </c>
      <c r="L410" t="s">
        <v>648</v>
      </c>
      <c r="M410" t="s">
        <v>623</v>
      </c>
      <c r="N410" t="s">
        <v>624</v>
      </c>
      <c r="O410" t="s">
        <v>649</v>
      </c>
    </row>
    <row r="411" spans="1:15" x14ac:dyDescent="0.35">
      <c r="A411" s="77">
        <v>0.44383561643835617</v>
      </c>
      <c r="B411" s="19">
        <v>36438</v>
      </c>
      <c r="C411" s="19" t="s">
        <v>2732</v>
      </c>
      <c r="D411" s="19" t="s">
        <v>13</v>
      </c>
      <c r="E411" s="19" t="s">
        <v>13</v>
      </c>
      <c r="F411" s="19" t="s">
        <v>1467</v>
      </c>
      <c r="G411" s="19" t="s">
        <v>1028</v>
      </c>
      <c r="H411" s="19" t="s">
        <v>1020</v>
      </c>
      <c r="I411" s="19" t="s">
        <v>1575</v>
      </c>
      <c r="J411" s="20">
        <v>36</v>
      </c>
      <c r="K411" t="s">
        <v>631</v>
      </c>
      <c r="L411" t="s">
        <v>628</v>
      </c>
      <c r="M411" t="s">
        <v>629</v>
      </c>
      <c r="N411" t="s">
        <v>630</v>
      </c>
      <c r="O411" t="s">
        <v>639</v>
      </c>
    </row>
    <row r="412" spans="1:15" x14ac:dyDescent="0.35">
      <c r="A412" s="77">
        <v>7.7068493150684931</v>
      </c>
      <c r="B412" s="19">
        <v>36712</v>
      </c>
      <c r="C412" s="19" t="s">
        <v>2733</v>
      </c>
      <c r="D412" s="19" t="s">
        <v>135</v>
      </c>
      <c r="E412" s="19" t="s">
        <v>136</v>
      </c>
      <c r="F412" s="19" t="s">
        <v>2393</v>
      </c>
      <c r="G412" s="19" t="s">
        <v>1028</v>
      </c>
      <c r="H412" s="19" t="s">
        <v>1020</v>
      </c>
      <c r="I412" s="19" t="s">
        <v>1575</v>
      </c>
      <c r="J412" s="20">
        <v>36</v>
      </c>
      <c r="K412" t="s">
        <v>668</v>
      </c>
      <c r="L412" t="s">
        <v>651</v>
      </c>
      <c r="M412" t="s">
        <v>629</v>
      </c>
      <c r="N412" t="s">
        <v>630</v>
      </c>
      <c r="O412" t="s">
        <v>652</v>
      </c>
    </row>
    <row r="413" spans="1:15" x14ac:dyDescent="0.35">
      <c r="A413" s="77">
        <v>8.8630136986301373</v>
      </c>
      <c r="B413" s="19">
        <v>36775</v>
      </c>
      <c r="C413" s="19" t="s">
        <v>2734</v>
      </c>
      <c r="D413" s="19" t="s">
        <v>222</v>
      </c>
      <c r="E413" s="19" t="s">
        <v>223</v>
      </c>
      <c r="F413" s="19" t="s">
        <v>1660</v>
      </c>
      <c r="G413" s="19" t="s">
        <v>1084</v>
      </c>
      <c r="H413" s="19" t="s">
        <v>1001</v>
      </c>
      <c r="I413" s="19" t="s">
        <v>1599</v>
      </c>
      <c r="J413" s="20">
        <v>36</v>
      </c>
      <c r="K413" t="s">
        <v>642</v>
      </c>
      <c r="L413" t="s">
        <v>684</v>
      </c>
      <c r="M413" t="s">
        <v>623</v>
      </c>
      <c r="N413" t="s">
        <v>662</v>
      </c>
      <c r="O413" t="s">
        <v>792</v>
      </c>
    </row>
    <row r="414" spans="1:15" x14ac:dyDescent="0.35">
      <c r="A414" s="77">
        <v>8.868493150684932</v>
      </c>
      <c r="B414" s="19">
        <v>36831</v>
      </c>
      <c r="C414" s="19" t="s">
        <v>2735</v>
      </c>
      <c r="D414" s="19" t="s">
        <v>377</v>
      </c>
      <c r="E414" s="19" t="s">
        <v>378</v>
      </c>
      <c r="F414" s="19" t="s">
        <v>862</v>
      </c>
      <c r="G414" s="19" t="s">
        <v>1016</v>
      </c>
      <c r="H414" s="19" t="s">
        <v>1001</v>
      </c>
      <c r="I414" s="19" t="s">
        <v>1599</v>
      </c>
      <c r="J414" s="20">
        <v>39</v>
      </c>
      <c r="K414" t="s">
        <v>631</v>
      </c>
      <c r="L414" t="s">
        <v>661</v>
      </c>
      <c r="M414" t="s">
        <v>657</v>
      </c>
      <c r="N414" t="s">
        <v>662</v>
      </c>
      <c r="O414" t="s">
        <v>632</v>
      </c>
    </row>
    <row r="415" spans="1:15" x14ac:dyDescent="0.35">
      <c r="A415" s="77">
        <v>8.830136986301369</v>
      </c>
      <c r="B415" s="19">
        <v>37356</v>
      </c>
      <c r="C415" s="19" t="s">
        <v>2736</v>
      </c>
      <c r="D415" s="19" t="s">
        <v>427</v>
      </c>
      <c r="E415" s="19" t="s">
        <v>427</v>
      </c>
      <c r="F415" s="19" t="s">
        <v>1290</v>
      </c>
      <c r="G415" s="19" t="s">
        <v>1028</v>
      </c>
      <c r="H415" s="19" t="s">
        <v>1020</v>
      </c>
      <c r="I415" s="19" t="s">
        <v>1575</v>
      </c>
      <c r="J415" s="20">
        <v>37</v>
      </c>
      <c r="K415" t="s">
        <v>654</v>
      </c>
      <c r="L415" t="s">
        <v>651</v>
      </c>
      <c r="M415" t="s">
        <v>629</v>
      </c>
      <c r="N415" t="s">
        <v>630</v>
      </c>
      <c r="O415" t="s">
        <v>652</v>
      </c>
    </row>
    <row r="416" spans="1:15" x14ac:dyDescent="0.35">
      <c r="A416" s="77">
        <v>8.8328767123287673</v>
      </c>
      <c r="B416" s="19">
        <v>37394</v>
      </c>
      <c r="C416" s="19" t="s">
        <v>2737</v>
      </c>
      <c r="D416" s="19" t="s">
        <v>36</v>
      </c>
      <c r="E416" s="19" t="s">
        <v>36</v>
      </c>
      <c r="F416" s="19" t="s">
        <v>1403</v>
      </c>
      <c r="G416" s="19" t="s">
        <v>1084</v>
      </c>
      <c r="H416" s="19" t="s">
        <v>1001</v>
      </c>
      <c r="I416" s="19" t="s">
        <v>1575</v>
      </c>
      <c r="J416" s="20">
        <v>48</v>
      </c>
      <c r="K416" t="s">
        <v>668</v>
      </c>
      <c r="L416" t="s">
        <v>691</v>
      </c>
      <c r="M416" t="s">
        <v>657</v>
      </c>
      <c r="N416" t="s">
        <v>658</v>
      </c>
      <c r="O416" t="s">
        <v>632</v>
      </c>
    </row>
    <row r="417" spans="1:15" x14ac:dyDescent="0.35">
      <c r="A417" s="77">
        <v>3.9397260273972603</v>
      </c>
      <c r="B417" s="19">
        <v>37633</v>
      </c>
      <c r="C417" s="19" t="s">
        <v>2738</v>
      </c>
      <c r="D417" s="19" t="s">
        <v>191</v>
      </c>
      <c r="E417" s="19" t="s">
        <v>192</v>
      </c>
      <c r="F417" s="19" t="s">
        <v>1626</v>
      </c>
      <c r="G417" s="19" t="s">
        <v>1034</v>
      </c>
      <c r="H417" s="19" t="s">
        <v>1001</v>
      </c>
      <c r="I417" s="19" t="s">
        <v>1599</v>
      </c>
      <c r="J417" s="20">
        <v>28</v>
      </c>
      <c r="K417" t="s">
        <v>654</v>
      </c>
      <c r="L417" t="s">
        <v>673</v>
      </c>
      <c r="M417" t="s">
        <v>623</v>
      </c>
      <c r="N417" t="s">
        <v>641</v>
      </c>
      <c r="O417" t="s">
        <v>779</v>
      </c>
    </row>
    <row r="418" spans="1:15" x14ac:dyDescent="0.35">
      <c r="A418" s="77">
        <v>8.7780821917808218</v>
      </c>
      <c r="B418" s="19">
        <v>37684</v>
      </c>
      <c r="C418" s="19" t="s">
        <v>2739</v>
      </c>
      <c r="D418" s="19" t="s">
        <v>250</v>
      </c>
      <c r="E418" s="19" t="s">
        <v>251</v>
      </c>
      <c r="F418" s="19" t="s">
        <v>1126</v>
      </c>
      <c r="G418" s="19" t="s">
        <v>1046</v>
      </c>
      <c r="H418" s="19" t="s">
        <v>1001</v>
      </c>
      <c r="I418" s="19" t="s">
        <v>1575</v>
      </c>
      <c r="J418" s="20">
        <v>32</v>
      </c>
      <c r="K418" t="s">
        <v>668</v>
      </c>
      <c r="L418" t="s">
        <v>634</v>
      </c>
      <c r="M418" t="s">
        <v>629</v>
      </c>
      <c r="N418" t="s">
        <v>635</v>
      </c>
      <c r="O418" t="s">
        <v>637</v>
      </c>
    </row>
    <row r="419" spans="1:15" x14ac:dyDescent="0.35">
      <c r="A419" s="77">
        <v>4.1315068493150688</v>
      </c>
      <c r="B419" s="19">
        <v>37699</v>
      </c>
      <c r="C419" s="19" t="s">
        <v>2740</v>
      </c>
      <c r="D419" s="19" t="s">
        <v>302</v>
      </c>
      <c r="E419" s="19" t="s">
        <v>303</v>
      </c>
      <c r="F419" s="19" t="s">
        <v>1053</v>
      </c>
      <c r="G419" s="19" t="s">
        <v>1045</v>
      </c>
      <c r="H419" s="19" t="s">
        <v>1001</v>
      </c>
      <c r="I419" s="19" t="s">
        <v>1575</v>
      </c>
      <c r="J419" s="20">
        <v>35</v>
      </c>
      <c r="K419" t="s">
        <v>668</v>
      </c>
      <c r="L419" t="s">
        <v>737</v>
      </c>
      <c r="M419" t="s">
        <v>657</v>
      </c>
      <c r="N419" t="s">
        <v>641</v>
      </c>
      <c r="O419" t="s">
        <v>738</v>
      </c>
    </row>
    <row r="420" spans="1:15" x14ac:dyDescent="0.35">
      <c r="A420" s="77">
        <v>8.7917808219178077</v>
      </c>
      <c r="B420" s="19">
        <v>37797</v>
      </c>
      <c r="C420" s="19" t="s">
        <v>2741</v>
      </c>
      <c r="D420" s="19" t="s">
        <v>84</v>
      </c>
      <c r="E420" s="19" t="s">
        <v>85</v>
      </c>
      <c r="F420" s="19" t="s">
        <v>2606</v>
      </c>
      <c r="G420" s="19" t="s">
        <v>1057</v>
      </c>
      <c r="H420" s="19" t="s">
        <v>1001</v>
      </c>
      <c r="I420" s="19" t="s">
        <v>1575</v>
      </c>
      <c r="J420" s="20">
        <v>31</v>
      </c>
      <c r="K420" t="s">
        <v>642</v>
      </c>
      <c r="L420" t="s">
        <v>622</v>
      </c>
      <c r="M420" t="s">
        <v>623</v>
      </c>
      <c r="N420" t="s">
        <v>624</v>
      </c>
      <c r="O420" t="s">
        <v>730</v>
      </c>
    </row>
    <row r="421" spans="1:15" x14ac:dyDescent="0.35">
      <c r="A421" s="77">
        <v>8.7890410958904113</v>
      </c>
      <c r="B421" s="19">
        <v>37817</v>
      </c>
      <c r="C421" s="19" t="s">
        <v>2742</v>
      </c>
      <c r="D421" s="19" t="s">
        <v>34</v>
      </c>
      <c r="E421" s="19" t="s">
        <v>34</v>
      </c>
      <c r="F421" s="19" t="s">
        <v>1066</v>
      </c>
      <c r="G421" s="19" t="s">
        <v>1045</v>
      </c>
      <c r="H421" s="19" t="s">
        <v>1001</v>
      </c>
      <c r="I421" s="19" t="s">
        <v>1599</v>
      </c>
      <c r="J421" s="20">
        <v>27</v>
      </c>
      <c r="K421" t="s">
        <v>654</v>
      </c>
      <c r="L421" t="s">
        <v>656</v>
      </c>
      <c r="M421" t="s">
        <v>657</v>
      </c>
      <c r="N421" t="s">
        <v>658</v>
      </c>
      <c r="O421" t="s">
        <v>632</v>
      </c>
    </row>
    <row r="422" spans="1:15" x14ac:dyDescent="0.35">
      <c r="A422" s="77">
        <v>8.7726027397260271</v>
      </c>
      <c r="B422" s="19">
        <v>37875</v>
      </c>
      <c r="C422" s="19" t="s">
        <v>2743</v>
      </c>
      <c r="D422" s="19" t="s">
        <v>128</v>
      </c>
      <c r="E422" s="19" t="s">
        <v>129</v>
      </c>
      <c r="F422" s="19" t="s">
        <v>1075</v>
      </c>
      <c r="G422" s="19" t="s">
        <v>1008</v>
      </c>
      <c r="H422" s="19" t="s">
        <v>1001</v>
      </c>
      <c r="I422" s="19" t="s">
        <v>1599</v>
      </c>
      <c r="J422" s="20">
        <v>35</v>
      </c>
      <c r="K422" t="s">
        <v>636</v>
      </c>
      <c r="L422" t="s">
        <v>678</v>
      </c>
      <c r="M422" t="s">
        <v>623</v>
      </c>
      <c r="N422" t="s">
        <v>624</v>
      </c>
      <c r="O422" t="s">
        <v>679</v>
      </c>
    </row>
    <row r="423" spans="1:15" x14ac:dyDescent="0.35">
      <c r="A423" s="77">
        <v>4.1671232876712327</v>
      </c>
      <c r="B423" s="19">
        <v>37970</v>
      </c>
      <c r="C423" s="19" t="s">
        <v>2744</v>
      </c>
      <c r="D423" s="19" t="s">
        <v>407</v>
      </c>
      <c r="E423" s="19" t="s">
        <v>408</v>
      </c>
      <c r="F423" s="19" t="s">
        <v>1230</v>
      </c>
      <c r="G423" s="19" t="s">
        <v>1057</v>
      </c>
      <c r="H423" s="19" t="s">
        <v>1001</v>
      </c>
      <c r="I423" s="19" t="s">
        <v>1575</v>
      </c>
      <c r="J423" s="20">
        <v>29</v>
      </c>
      <c r="K423" t="s">
        <v>636</v>
      </c>
      <c r="L423" t="s">
        <v>622</v>
      </c>
      <c r="M423" t="s">
        <v>623</v>
      </c>
      <c r="N423" t="s">
        <v>624</v>
      </c>
      <c r="O423" t="s">
        <v>730</v>
      </c>
    </row>
    <row r="424" spans="1:15" x14ac:dyDescent="0.35">
      <c r="A424" s="77">
        <v>8.5561643835616437</v>
      </c>
      <c r="B424" s="19">
        <v>37988</v>
      </c>
      <c r="C424" s="19" t="s">
        <v>2745</v>
      </c>
      <c r="D424" s="19" t="s">
        <v>300</v>
      </c>
      <c r="E424" s="19" t="s">
        <v>301</v>
      </c>
      <c r="F424" s="19" t="s">
        <v>1719</v>
      </c>
      <c r="G424" s="19" t="s">
        <v>1008</v>
      </c>
      <c r="H424" s="19" t="s">
        <v>1001</v>
      </c>
      <c r="I424" s="19" t="s">
        <v>1599</v>
      </c>
      <c r="J424" s="20">
        <v>26</v>
      </c>
      <c r="K424" t="s">
        <v>668</v>
      </c>
      <c r="L424" t="s">
        <v>737</v>
      </c>
      <c r="M424" t="s">
        <v>657</v>
      </c>
      <c r="N424" t="s">
        <v>641</v>
      </c>
      <c r="O424" t="s">
        <v>738</v>
      </c>
    </row>
    <row r="425" spans="1:15" x14ac:dyDescent="0.35">
      <c r="A425" s="77">
        <v>8.7698630136986306</v>
      </c>
      <c r="B425" s="19">
        <v>38010</v>
      </c>
      <c r="C425" s="19" t="s">
        <v>2746</v>
      </c>
      <c r="D425" s="19" t="s">
        <v>393</v>
      </c>
      <c r="E425" s="19" t="s">
        <v>394</v>
      </c>
      <c r="F425" s="19" t="s">
        <v>865</v>
      </c>
      <c r="G425" s="19" t="s">
        <v>1034</v>
      </c>
      <c r="H425" s="19" t="s">
        <v>1001</v>
      </c>
      <c r="I425" s="19" t="s">
        <v>1599</v>
      </c>
      <c r="J425" s="20">
        <v>33</v>
      </c>
      <c r="K425" t="s">
        <v>631</v>
      </c>
      <c r="L425" t="s">
        <v>684</v>
      </c>
      <c r="M425" t="s">
        <v>623</v>
      </c>
      <c r="N425" t="s">
        <v>662</v>
      </c>
      <c r="O425" t="s">
        <v>685</v>
      </c>
    </row>
    <row r="426" spans="1:15" x14ac:dyDescent="0.35">
      <c r="A426" s="77">
        <v>8.7698630136986306</v>
      </c>
      <c r="B426" s="19">
        <v>38032</v>
      </c>
      <c r="C426" s="19" t="s">
        <v>2747</v>
      </c>
      <c r="D426" s="19" t="s">
        <v>297</v>
      </c>
      <c r="E426" s="19" t="s">
        <v>298</v>
      </c>
      <c r="F426" s="19" t="s">
        <v>904</v>
      </c>
      <c r="G426" s="19" t="s">
        <v>1008</v>
      </c>
      <c r="H426" s="19" t="s">
        <v>1001</v>
      </c>
      <c r="I426" s="19" t="s">
        <v>1575</v>
      </c>
      <c r="J426" s="20">
        <v>28</v>
      </c>
      <c r="K426" t="s">
        <v>654</v>
      </c>
      <c r="L426" t="s">
        <v>762</v>
      </c>
      <c r="M426" t="s">
        <v>629</v>
      </c>
      <c r="N426" t="s">
        <v>646</v>
      </c>
      <c r="O426" t="s">
        <v>823</v>
      </c>
    </row>
    <row r="427" spans="1:15" x14ac:dyDescent="0.35">
      <c r="A427" s="77">
        <v>7.5643835616438357</v>
      </c>
      <c r="B427" s="19">
        <v>38197</v>
      </c>
      <c r="C427" s="19" t="s">
        <v>2748</v>
      </c>
      <c r="D427" s="19" t="s">
        <v>105</v>
      </c>
      <c r="E427" s="19" t="s">
        <v>106</v>
      </c>
      <c r="F427" s="19" t="s">
        <v>1207</v>
      </c>
      <c r="G427" s="19" t="s">
        <v>1046</v>
      </c>
      <c r="H427" s="19" t="s">
        <v>1001</v>
      </c>
      <c r="I427" s="19" t="s">
        <v>1575</v>
      </c>
      <c r="J427" s="20">
        <v>36</v>
      </c>
      <c r="K427" t="s">
        <v>654</v>
      </c>
      <c r="L427" t="s">
        <v>622</v>
      </c>
      <c r="M427" t="s">
        <v>623</v>
      </c>
      <c r="N427" t="s">
        <v>624</v>
      </c>
      <c r="O427" t="s">
        <v>626</v>
      </c>
    </row>
    <row r="428" spans="1:15" x14ac:dyDescent="0.35">
      <c r="A428" s="77">
        <v>1.6027397260273972</v>
      </c>
      <c r="B428" s="19">
        <v>38242</v>
      </c>
      <c r="C428" s="19" t="s">
        <v>2749</v>
      </c>
      <c r="D428" s="19" t="s">
        <v>421</v>
      </c>
      <c r="E428" s="19" t="s">
        <v>421</v>
      </c>
      <c r="F428" s="19" t="s">
        <v>698</v>
      </c>
      <c r="G428" s="19" t="s">
        <v>1034</v>
      </c>
      <c r="H428" s="19" t="s">
        <v>1001</v>
      </c>
      <c r="I428" s="19" t="s">
        <v>1575</v>
      </c>
      <c r="J428" s="20">
        <v>27</v>
      </c>
      <c r="K428" t="s">
        <v>636</v>
      </c>
      <c r="L428" t="s">
        <v>678</v>
      </c>
      <c r="M428" t="s">
        <v>623</v>
      </c>
      <c r="N428" t="s">
        <v>624</v>
      </c>
      <c r="O428" t="s">
        <v>679</v>
      </c>
    </row>
    <row r="429" spans="1:15" x14ac:dyDescent="0.35">
      <c r="A429" s="77">
        <v>5.8712328767123285</v>
      </c>
      <c r="B429" s="19">
        <v>38263</v>
      </c>
      <c r="C429" s="19" t="s">
        <v>2750</v>
      </c>
      <c r="D429" s="19" t="s">
        <v>353</v>
      </c>
      <c r="E429" s="19" t="s">
        <v>354</v>
      </c>
      <c r="F429" s="19" t="s">
        <v>850</v>
      </c>
      <c r="G429" s="19" t="s">
        <v>1084</v>
      </c>
      <c r="H429" s="19" t="s">
        <v>1001</v>
      </c>
      <c r="I429" s="19" t="s">
        <v>1599</v>
      </c>
      <c r="J429" s="20">
        <v>32</v>
      </c>
      <c r="K429" t="s">
        <v>654</v>
      </c>
      <c r="L429" t="s">
        <v>640</v>
      </c>
      <c r="M429" t="s">
        <v>623</v>
      </c>
      <c r="N429" t="s">
        <v>624</v>
      </c>
      <c r="O429" t="s">
        <v>789</v>
      </c>
    </row>
    <row r="430" spans="1:15" x14ac:dyDescent="0.35">
      <c r="A430" s="77">
        <v>0.52876712328767128</v>
      </c>
      <c r="B430" s="19">
        <v>38265</v>
      </c>
      <c r="C430" s="19" t="s">
        <v>2751</v>
      </c>
      <c r="D430" s="19" t="s">
        <v>159</v>
      </c>
      <c r="E430" s="19" t="s">
        <v>160</v>
      </c>
      <c r="F430" s="19" t="s">
        <v>1488</v>
      </c>
      <c r="G430" s="19" t="s">
        <v>1008</v>
      </c>
      <c r="H430" s="19" t="s">
        <v>1001</v>
      </c>
      <c r="I430" s="19" t="s">
        <v>1575</v>
      </c>
      <c r="J430" s="20">
        <v>29</v>
      </c>
      <c r="K430" t="s">
        <v>654</v>
      </c>
      <c r="L430" t="s">
        <v>678</v>
      </c>
      <c r="M430" t="s">
        <v>623</v>
      </c>
      <c r="N430" t="s">
        <v>624</v>
      </c>
      <c r="O430" t="s">
        <v>679</v>
      </c>
    </row>
    <row r="431" spans="1:15" x14ac:dyDescent="0.35">
      <c r="A431" s="77">
        <v>8.75068493150685</v>
      </c>
      <c r="B431" s="19">
        <v>38633</v>
      </c>
      <c r="C431" s="19" t="s">
        <v>2752</v>
      </c>
      <c r="D431" s="19" t="s">
        <v>31</v>
      </c>
      <c r="E431" s="19" t="s">
        <v>31</v>
      </c>
      <c r="F431" s="19" t="s">
        <v>675</v>
      </c>
      <c r="G431" s="19" t="s">
        <v>1000</v>
      </c>
      <c r="H431" s="19" t="s">
        <v>1001</v>
      </c>
      <c r="I431" s="19" t="s">
        <v>1599</v>
      </c>
      <c r="J431" s="20">
        <v>39</v>
      </c>
      <c r="K431" t="s">
        <v>654</v>
      </c>
      <c r="L431" t="s">
        <v>670</v>
      </c>
      <c r="M431" t="s">
        <v>657</v>
      </c>
      <c r="N431" t="s">
        <v>641</v>
      </c>
      <c r="O431" t="s">
        <v>676</v>
      </c>
    </row>
    <row r="432" spans="1:15" x14ac:dyDescent="0.35">
      <c r="A432" s="77">
        <v>8.7369863013698623</v>
      </c>
      <c r="B432" s="19">
        <v>38769</v>
      </c>
      <c r="C432" s="19" t="s">
        <v>2753</v>
      </c>
      <c r="D432" s="19" t="s">
        <v>178</v>
      </c>
      <c r="E432" s="19" t="s">
        <v>179</v>
      </c>
      <c r="F432" s="19" t="s">
        <v>2407</v>
      </c>
      <c r="G432" s="19" t="s">
        <v>1008</v>
      </c>
      <c r="H432" s="19" t="s">
        <v>1001</v>
      </c>
      <c r="I432" s="19" t="s">
        <v>1575</v>
      </c>
      <c r="J432" s="20">
        <v>34</v>
      </c>
      <c r="K432" t="s">
        <v>636</v>
      </c>
      <c r="L432" t="s">
        <v>684</v>
      </c>
      <c r="M432" t="s">
        <v>623</v>
      </c>
      <c r="N432" t="s">
        <v>662</v>
      </c>
      <c r="O432" t="s">
        <v>775</v>
      </c>
    </row>
    <row r="433" spans="1:15" x14ac:dyDescent="0.35">
      <c r="A433" s="77">
        <v>8.6986301369863011</v>
      </c>
      <c r="B433" s="19">
        <v>38864</v>
      </c>
      <c r="C433" s="19" t="s">
        <v>2754</v>
      </c>
      <c r="D433" s="19" t="s">
        <v>137</v>
      </c>
      <c r="E433" s="19" t="s">
        <v>138</v>
      </c>
      <c r="F433" s="19" t="s">
        <v>1115</v>
      </c>
      <c r="G433" s="19" t="s">
        <v>1045</v>
      </c>
      <c r="H433" s="19" t="s">
        <v>1001</v>
      </c>
      <c r="I433" s="19" t="s">
        <v>1599</v>
      </c>
      <c r="J433" s="20">
        <v>44</v>
      </c>
      <c r="K433" t="s">
        <v>636</v>
      </c>
      <c r="L433" t="s">
        <v>684</v>
      </c>
      <c r="M433" t="s">
        <v>623</v>
      </c>
      <c r="N433" t="s">
        <v>662</v>
      </c>
      <c r="O433" t="s">
        <v>685</v>
      </c>
    </row>
    <row r="434" spans="1:15" x14ac:dyDescent="0.35">
      <c r="A434" s="77">
        <v>8.7287671232876711</v>
      </c>
      <c r="B434" s="19">
        <v>38901</v>
      </c>
      <c r="C434" s="19" t="s">
        <v>2755</v>
      </c>
      <c r="D434" s="19" t="s">
        <v>102</v>
      </c>
      <c r="E434" s="19" t="s">
        <v>103</v>
      </c>
      <c r="F434" s="19" t="s">
        <v>1306</v>
      </c>
      <c r="G434" s="19" t="s">
        <v>1034</v>
      </c>
      <c r="H434" s="19" t="s">
        <v>1001</v>
      </c>
      <c r="I434" s="19" t="s">
        <v>1575</v>
      </c>
      <c r="J434" s="20">
        <v>41</v>
      </c>
      <c r="K434" t="s">
        <v>654</v>
      </c>
      <c r="L434" t="s">
        <v>707</v>
      </c>
      <c r="M434" t="s">
        <v>629</v>
      </c>
      <c r="N434" t="s">
        <v>635</v>
      </c>
      <c r="O434" t="s">
        <v>708</v>
      </c>
    </row>
    <row r="435" spans="1:15" x14ac:dyDescent="0.35">
      <c r="A435" s="77">
        <v>0.87123287671232874</v>
      </c>
      <c r="B435" s="19">
        <v>39172</v>
      </c>
      <c r="C435" s="19" t="s">
        <v>2756</v>
      </c>
      <c r="D435" s="19" t="s">
        <v>405</v>
      </c>
      <c r="E435" s="19" t="s">
        <v>406</v>
      </c>
      <c r="F435" s="19" t="s">
        <v>594</v>
      </c>
      <c r="G435" s="19" t="s">
        <v>1028</v>
      </c>
      <c r="H435" s="19" t="s">
        <v>1020</v>
      </c>
      <c r="I435" s="19" t="s">
        <v>1599</v>
      </c>
      <c r="J435" s="20">
        <v>27</v>
      </c>
      <c r="K435" t="s">
        <v>654</v>
      </c>
      <c r="L435" t="s">
        <v>684</v>
      </c>
      <c r="M435" t="s">
        <v>623</v>
      </c>
      <c r="N435" t="s">
        <v>662</v>
      </c>
      <c r="O435" t="s">
        <v>872</v>
      </c>
    </row>
    <row r="436" spans="1:15" x14ac:dyDescent="0.35">
      <c r="A436" s="77">
        <v>8.7013698630136993</v>
      </c>
      <c r="B436" s="19">
        <v>39174</v>
      </c>
      <c r="C436" s="19" t="s">
        <v>2757</v>
      </c>
      <c r="D436" s="19" t="s">
        <v>27</v>
      </c>
      <c r="E436" s="19" t="s">
        <v>27</v>
      </c>
      <c r="F436" s="19" t="s">
        <v>1250</v>
      </c>
      <c r="G436" s="19" t="s">
        <v>1084</v>
      </c>
      <c r="H436" s="19" t="s">
        <v>1001</v>
      </c>
      <c r="I436" s="19" t="s">
        <v>1575</v>
      </c>
      <c r="J436" s="20">
        <v>55</v>
      </c>
      <c r="K436" t="s">
        <v>668</v>
      </c>
      <c r="L436" t="s">
        <v>645</v>
      </c>
      <c r="M436" t="s">
        <v>629</v>
      </c>
      <c r="N436" t="s">
        <v>646</v>
      </c>
      <c r="O436" t="s">
        <v>632</v>
      </c>
    </row>
    <row r="437" spans="1:15" x14ac:dyDescent="0.35">
      <c r="A437" s="77">
        <v>8.7013698630136993</v>
      </c>
      <c r="B437" s="19">
        <v>39180</v>
      </c>
      <c r="C437" s="19" t="s">
        <v>2758</v>
      </c>
      <c r="D437" s="19" t="s">
        <v>38</v>
      </c>
      <c r="E437" s="19" t="s">
        <v>38</v>
      </c>
      <c r="F437" s="19" t="s">
        <v>711</v>
      </c>
      <c r="G437" s="19" t="s">
        <v>1084</v>
      </c>
      <c r="H437" s="19" t="s">
        <v>1020</v>
      </c>
      <c r="I437" s="19" t="s">
        <v>1575</v>
      </c>
      <c r="J437" s="20">
        <v>55</v>
      </c>
      <c r="K437" t="s">
        <v>668</v>
      </c>
      <c r="L437" t="s">
        <v>691</v>
      </c>
      <c r="M437" t="s">
        <v>657</v>
      </c>
      <c r="N437" t="s">
        <v>658</v>
      </c>
      <c r="O437" t="s">
        <v>632</v>
      </c>
    </row>
    <row r="438" spans="1:15" x14ac:dyDescent="0.35">
      <c r="A438" s="77">
        <v>8.712328767123287</v>
      </c>
      <c r="B438" s="19">
        <v>39192</v>
      </c>
      <c r="C438" s="19" t="s">
        <v>2759</v>
      </c>
      <c r="D438" s="19" t="s">
        <v>302</v>
      </c>
      <c r="E438" s="19" t="s">
        <v>303</v>
      </c>
      <c r="F438" s="19" t="s">
        <v>1053</v>
      </c>
      <c r="G438" s="19" t="s">
        <v>1046</v>
      </c>
      <c r="H438" s="19" t="s">
        <v>1001</v>
      </c>
      <c r="I438" s="19" t="s">
        <v>1575</v>
      </c>
      <c r="J438" s="20">
        <v>37</v>
      </c>
      <c r="K438" t="s">
        <v>668</v>
      </c>
      <c r="L438" t="s">
        <v>737</v>
      </c>
      <c r="M438" t="s">
        <v>657</v>
      </c>
      <c r="N438" t="s">
        <v>641</v>
      </c>
      <c r="O438" t="s">
        <v>738</v>
      </c>
    </row>
    <row r="439" spans="1:15" x14ac:dyDescent="0.35">
      <c r="A439" s="77">
        <v>5.9178082191780819</v>
      </c>
      <c r="B439" s="19">
        <v>39245</v>
      </c>
      <c r="C439" s="19" t="s">
        <v>2760</v>
      </c>
      <c r="D439" s="19" t="s">
        <v>189</v>
      </c>
      <c r="E439" s="19" t="s">
        <v>190</v>
      </c>
      <c r="F439" s="19" t="s">
        <v>1369</v>
      </c>
      <c r="G439" s="19" t="s">
        <v>1034</v>
      </c>
      <c r="H439" s="19" t="s">
        <v>1001</v>
      </c>
      <c r="I439" s="19" t="s">
        <v>1599</v>
      </c>
      <c r="J439" s="20">
        <v>27</v>
      </c>
      <c r="K439" t="s">
        <v>654</v>
      </c>
      <c r="L439" t="s">
        <v>640</v>
      </c>
      <c r="M439" t="s">
        <v>623</v>
      </c>
      <c r="N439" t="s">
        <v>641</v>
      </c>
      <c r="O439" t="s">
        <v>754</v>
      </c>
    </row>
    <row r="440" spans="1:15" x14ac:dyDescent="0.35">
      <c r="A440" s="77">
        <v>8.6958904109589046</v>
      </c>
      <c r="B440" s="19">
        <v>39348</v>
      </c>
      <c r="C440" s="19" t="s">
        <v>2761</v>
      </c>
      <c r="D440" s="19" t="s">
        <v>42</v>
      </c>
      <c r="E440" s="19" t="s">
        <v>42</v>
      </c>
      <c r="F440" s="19" t="s">
        <v>1262</v>
      </c>
      <c r="G440" s="19" t="s">
        <v>1008</v>
      </c>
      <c r="H440" s="19" t="s">
        <v>1001</v>
      </c>
      <c r="I440" s="19" t="s">
        <v>1575</v>
      </c>
      <c r="J440" s="20">
        <v>29</v>
      </c>
      <c r="K440" t="s">
        <v>625</v>
      </c>
      <c r="L440" t="s">
        <v>628</v>
      </c>
      <c r="M440" t="s">
        <v>629</v>
      </c>
      <c r="N440" t="s">
        <v>630</v>
      </c>
      <c r="O440" t="s">
        <v>632</v>
      </c>
    </row>
    <row r="441" spans="1:15" x14ac:dyDescent="0.35">
      <c r="A441" s="77">
        <v>8.6630136986301363</v>
      </c>
      <c r="B441" s="19">
        <v>39447</v>
      </c>
      <c r="C441" s="19" t="s">
        <v>2762</v>
      </c>
      <c r="D441" s="19" t="s">
        <v>95</v>
      </c>
      <c r="E441" s="19" t="s">
        <v>96</v>
      </c>
      <c r="F441" s="19" t="s">
        <v>1188</v>
      </c>
      <c r="G441" s="19" t="s">
        <v>1034</v>
      </c>
      <c r="H441" s="19" t="s">
        <v>1001</v>
      </c>
      <c r="I441" s="19" t="s">
        <v>1575</v>
      </c>
      <c r="J441" s="20">
        <v>32</v>
      </c>
      <c r="K441" t="s">
        <v>636</v>
      </c>
      <c r="L441" t="s">
        <v>737</v>
      </c>
      <c r="M441" t="s">
        <v>657</v>
      </c>
      <c r="N441" t="s">
        <v>641</v>
      </c>
      <c r="O441" t="s">
        <v>738</v>
      </c>
    </row>
    <row r="442" spans="1:15" x14ac:dyDescent="0.35">
      <c r="A442" s="77">
        <v>8.6520547945205486</v>
      </c>
      <c r="B442" s="19">
        <v>39576</v>
      </c>
      <c r="C442" s="19" t="s">
        <v>2763</v>
      </c>
      <c r="D442" s="19" t="s">
        <v>228</v>
      </c>
      <c r="E442" s="19" t="s">
        <v>229</v>
      </c>
      <c r="F442" s="19" t="s">
        <v>1643</v>
      </c>
      <c r="G442" s="19" t="s">
        <v>1046</v>
      </c>
      <c r="H442" s="19" t="s">
        <v>1001</v>
      </c>
      <c r="I442" s="19" t="s">
        <v>1575</v>
      </c>
      <c r="J442" s="20">
        <v>29</v>
      </c>
      <c r="K442" t="s">
        <v>668</v>
      </c>
      <c r="L442" t="s">
        <v>762</v>
      </c>
      <c r="M442" t="s">
        <v>629</v>
      </c>
      <c r="N442" t="s">
        <v>646</v>
      </c>
      <c r="O442" t="s">
        <v>763</v>
      </c>
    </row>
    <row r="443" spans="1:15" x14ac:dyDescent="0.35">
      <c r="A443" s="77">
        <v>7.9808219178082194</v>
      </c>
      <c r="B443" s="19">
        <v>39775</v>
      </c>
      <c r="C443" s="19" t="s">
        <v>2764</v>
      </c>
      <c r="D443" s="19" t="s">
        <v>181</v>
      </c>
      <c r="E443" s="19" t="s">
        <v>182</v>
      </c>
      <c r="F443" s="19" t="s">
        <v>1374</v>
      </c>
      <c r="G443" s="19" t="s">
        <v>1046</v>
      </c>
      <c r="H443" s="19" t="s">
        <v>1001</v>
      </c>
      <c r="I443" s="19" t="s">
        <v>1575</v>
      </c>
      <c r="J443" s="20">
        <v>26</v>
      </c>
      <c r="K443" t="s">
        <v>625</v>
      </c>
      <c r="L443" t="s">
        <v>678</v>
      </c>
      <c r="M443" t="s">
        <v>623</v>
      </c>
      <c r="N443" t="s">
        <v>624</v>
      </c>
      <c r="O443" t="s">
        <v>679</v>
      </c>
    </row>
    <row r="444" spans="1:15" x14ac:dyDescent="0.35">
      <c r="A444" s="77">
        <v>4.8328767123287673</v>
      </c>
      <c r="B444" s="19">
        <v>39818</v>
      </c>
      <c r="C444" s="19" t="s">
        <v>2765</v>
      </c>
      <c r="D444" s="19" t="s">
        <v>326</v>
      </c>
      <c r="E444" s="19" t="s">
        <v>327</v>
      </c>
      <c r="F444" s="19" t="s">
        <v>1051</v>
      </c>
      <c r="G444" s="19" t="s">
        <v>1008</v>
      </c>
      <c r="H444" s="19" t="s">
        <v>1001</v>
      </c>
      <c r="I444" s="19" t="s">
        <v>1599</v>
      </c>
      <c r="J444" s="20">
        <v>26</v>
      </c>
      <c r="K444" t="s">
        <v>631</v>
      </c>
      <c r="L444" t="s">
        <v>648</v>
      </c>
      <c r="M444" t="s">
        <v>623</v>
      </c>
      <c r="N444" t="s">
        <v>624</v>
      </c>
      <c r="O444" t="s">
        <v>837</v>
      </c>
    </row>
    <row r="445" spans="1:15" x14ac:dyDescent="0.35">
      <c r="A445" s="77">
        <v>8.6356164383561644</v>
      </c>
      <c r="B445" s="19">
        <v>39880</v>
      </c>
      <c r="C445" s="19" t="s">
        <v>2766</v>
      </c>
      <c r="D445" s="19" t="s">
        <v>130</v>
      </c>
      <c r="E445" s="19" t="s">
        <v>131</v>
      </c>
      <c r="F445" s="19" t="s">
        <v>1693</v>
      </c>
      <c r="G445" s="19" t="s">
        <v>1046</v>
      </c>
      <c r="H445" s="19" t="s">
        <v>1001</v>
      </c>
      <c r="I445" s="19" t="s">
        <v>1575</v>
      </c>
      <c r="J445" s="20">
        <v>30</v>
      </c>
      <c r="K445" t="s">
        <v>654</v>
      </c>
      <c r="L445" t="s">
        <v>670</v>
      </c>
      <c r="M445" t="s">
        <v>657</v>
      </c>
      <c r="N445" t="s">
        <v>641</v>
      </c>
      <c r="O445" t="s">
        <v>752</v>
      </c>
    </row>
    <row r="446" spans="1:15" x14ac:dyDescent="0.35">
      <c r="A446" s="77">
        <v>0.18356164383561643</v>
      </c>
      <c r="B446" s="19">
        <v>39982</v>
      </c>
      <c r="C446" s="19" t="s">
        <v>2767</v>
      </c>
      <c r="D446" s="19" t="s">
        <v>113</v>
      </c>
      <c r="E446" s="19" t="s">
        <v>114</v>
      </c>
      <c r="F446" s="19" t="s">
        <v>1871</v>
      </c>
      <c r="G446" s="19" t="s">
        <v>1046</v>
      </c>
      <c r="H446" s="19" t="s">
        <v>1001</v>
      </c>
      <c r="I446" s="19" t="s">
        <v>1599</v>
      </c>
      <c r="J446" s="20">
        <v>27</v>
      </c>
      <c r="K446" t="s">
        <v>654</v>
      </c>
      <c r="L446" t="s">
        <v>661</v>
      </c>
      <c r="M446" t="s">
        <v>657</v>
      </c>
      <c r="N446" t="s">
        <v>662</v>
      </c>
      <c r="O446" t="s">
        <v>632</v>
      </c>
    </row>
    <row r="447" spans="1:15" x14ac:dyDescent="0.35">
      <c r="A447" s="77">
        <v>8.6438356164383556</v>
      </c>
      <c r="B447" s="19">
        <v>40011</v>
      </c>
      <c r="C447" s="19" t="s">
        <v>2768</v>
      </c>
      <c r="D447" s="19" t="s">
        <v>252</v>
      </c>
      <c r="E447" s="19" t="s">
        <v>253</v>
      </c>
      <c r="F447" s="19" t="s">
        <v>914</v>
      </c>
      <c r="G447" s="19" t="s">
        <v>1045</v>
      </c>
      <c r="H447" s="19" t="s">
        <v>1001</v>
      </c>
      <c r="I447" s="19" t="s">
        <v>1599</v>
      </c>
      <c r="J447" s="20">
        <v>37</v>
      </c>
      <c r="K447" t="s">
        <v>636</v>
      </c>
      <c r="L447" t="s">
        <v>656</v>
      </c>
      <c r="M447" t="s">
        <v>657</v>
      </c>
      <c r="N447" t="s">
        <v>658</v>
      </c>
      <c r="O447" t="s">
        <v>718</v>
      </c>
    </row>
    <row r="448" spans="1:15" x14ac:dyDescent="0.35">
      <c r="A448" s="77">
        <v>5.1671232876712327</v>
      </c>
      <c r="B448" s="19">
        <v>40041</v>
      </c>
      <c r="C448" s="19" t="s">
        <v>2769</v>
      </c>
      <c r="D448" s="19" t="s">
        <v>167</v>
      </c>
      <c r="E448" s="19" t="s">
        <v>168</v>
      </c>
      <c r="F448" s="19" t="s">
        <v>2009</v>
      </c>
      <c r="G448" s="19" t="s">
        <v>1046</v>
      </c>
      <c r="H448" s="19" t="s">
        <v>1001</v>
      </c>
      <c r="I448" s="19" t="s">
        <v>1575</v>
      </c>
      <c r="J448" s="20">
        <v>31</v>
      </c>
      <c r="K448" t="s">
        <v>636</v>
      </c>
      <c r="L448" t="s">
        <v>640</v>
      </c>
      <c r="M448" t="s">
        <v>623</v>
      </c>
      <c r="N448" t="s">
        <v>641</v>
      </c>
      <c r="O448" t="s">
        <v>754</v>
      </c>
    </row>
    <row r="449" spans="1:15" x14ac:dyDescent="0.35">
      <c r="A449" s="77">
        <v>2.1616438356164385</v>
      </c>
      <c r="B449" s="19">
        <v>40053</v>
      </c>
      <c r="C449" s="19" t="s">
        <v>2770</v>
      </c>
      <c r="D449" s="19" t="s">
        <v>153</v>
      </c>
      <c r="E449" s="19" t="s">
        <v>154</v>
      </c>
      <c r="F449" s="19" t="s">
        <v>2384</v>
      </c>
      <c r="G449" s="19" t="s">
        <v>1028</v>
      </c>
      <c r="H449" s="19" t="s">
        <v>1020</v>
      </c>
      <c r="I449" s="19" t="s">
        <v>1575</v>
      </c>
      <c r="J449" s="20">
        <v>32</v>
      </c>
      <c r="K449" t="s">
        <v>654</v>
      </c>
      <c r="L449" t="s">
        <v>762</v>
      </c>
      <c r="M449" t="s">
        <v>629</v>
      </c>
      <c r="N449" t="s">
        <v>646</v>
      </c>
      <c r="O449" t="s">
        <v>763</v>
      </c>
    </row>
    <row r="450" spans="1:15" x14ac:dyDescent="0.35">
      <c r="A450" s="77">
        <v>8.4547945205479458</v>
      </c>
      <c r="B450" s="19">
        <v>40068</v>
      </c>
      <c r="C450" s="19" t="s">
        <v>2771</v>
      </c>
      <c r="D450" s="19" t="s">
        <v>393</v>
      </c>
      <c r="E450" s="19" t="s">
        <v>394</v>
      </c>
      <c r="F450" s="19" t="s">
        <v>865</v>
      </c>
      <c r="G450" s="19" t="s">
        <v>1158</v>
      </c>
      <c r="H450" s="19" t="s">
        <v>1001</v>
      </c>
      <c r="I450" s="19" t="s">
        <v>1575</v>
      </c>
      <c r="J450" s="20">
        <v>31</v>
      </c>
      <c r="K450" t="s">
        <v>631</v>
      </c>
      <c r="L450" t="s">
        <v>684</v>
      </c>
      <c r="M450" t="s">
        <v>623</v>
      </c>
      <c r="N450" t="s">
        <v>662</v>
      </c>
      <c r="O450" t="s">
        <v>685</v>
      </c>
    </row>
    <row r="451" spans="1:15" x14ac:dyDescent="0.35">
      <c r="A451" s="77">
        <v>8.6438356164383556</v>
      </c>
      <c r="B451" s="19">
        <v>40234</v>
      </c>
      <c r="C451" s="19" t="s">
        <v>2772</v>
      </c>
      <c r="D451" s="19" t="s">
        <v>395</v>
      </c>
      <c r="E451" s="19" t="s">
        <v>396</v>
      </c>
      <c r="F451" s="19" t="s">
        <v>1147</v>
      </c>
      <c r="G451" s="19" t="s">
        <v>1034</v>
      </c>
      <c r="H451" s="19" t="s">
        <v>1001</v>
      </c>
      <c r="I451" s="19" t="s">
        <v>1575</v>
      </c>
      <c r="J451" s="20">
        <v>28</v>
      </c>
      <c r="K451" t="s">
        <v>642</v>
      </c>
      <c r="L451" t="s">
        <v>678</v>
      </c>
      <c r="M451" t="s">
        <v>623</v>
      </c>
      <c r="N451" t="s">
        <v>624</v>
      </c>
      <c r="O451" t="s">
        <v>679</v>
      </c>
    </row>
    <row r="452" spans="1:15" x14ac:dyDescent="0.35">
      <c r="A452" s="77">
        <v>8.2191780821917804E-2</v>
      </c>
      <c r="B452" s="19">
        <v>40350</v>
      </c>
      <c r="C452" s="19" t="s">
        <v>2773</v>
      </c>
      <c r="D452" s="19" t="s">
        <v>11</v>
      </c>
      <c r="E452" s="19" t="s">
        <v>11</v>
      </c>
      <c r="F452" s="19" t="s">
        <v>627</v>
      </c>
      <c r="G452" s="19" t="s">
        <v>1046</v>
      </c>
      <c r="H452" s="19" t="s">
        <v>1001</v>
      </c>
      <c r="I452" s="19" t="s">
        <v>1575</v>
      </c>
      <c r="J452" s="20">
        <v>26</v>
      </c>
      <c r="K452" t="s">
        <v>631</v>
      </c>
      <c r="L452" t="s">
        <v>628</v>
      </c>
      <c r="M452" t="s">
        <v>629</v>
      </c>
      <c r="N452" t="s">
        <v>630</v>
      </c>
      <c r="O452" t="s">
        <v>632</v>
      </c>
    </row>
    <row r="453" spans="1:15" x14ac:dyDescent="0.35">
      <c r="A453" s="77">
        <v>8.5013698630136982</v>
      </c>
      <c r="B453" s="19">
        <v>40423</v>
      </c>
      <c r="C453" s="19" t="s">
        <v>2774</v>
      </c>
      <c r="D453" s="19" t="s">
        <v>143</v>
      </c>
      <c r="E453" s="19" t="s">
        <v>144</v>
      </c>
      <c r="F453" s="19" t="s">
        <v>2391</v>
      </c>
      <c r="G453" s="19" t="s">
        <v>1008</v>
      </c>
      <c r="H453" s="19" t="s">
        <v>1001</v>
      </c>
      <c r="I453" s="19" t="s">
        <v>1575</v>
      </c>
      <c r="J453" s="20">
        <v>28</v>
      </c>
      <c r="K453" t="s">
        <v>654</v>
      </c>
      <c r="L453" t="s">
        <v>640</v>
      </c>
      <c r="M453" t="s">
        <v>623</v>
      </c>
      <c r="N453" t="s">
        <v>641</v>
      </c>
      <c r="O453" t="s">
        <v>754</v>
      </c>
    </row>
    <row r="454" spans="1:15" x14ac:dyDescent="0.35">
      <c r="A454" s="77">
        <v>8.5835616438356173</v>
      </c>
      <c r="B454" s="19">
        <v>40462</v>
      </c>
      <c r="C454" s="19" t="s">
        <v>2775</v>
      </c>
      <c r="D454" s="19" t="s">
        <v>165</v>
      </c>
      <c r="E454" s="19" t="s">
        <v>166</v>
      </c>
      <c r="F454" s="19" t="s">
        <v>1238</v>
      </c>
      <c r="G454" s="19" t="s">
        <v>1046</v>
      </c>
      <c r="H454" s="19" t="s">
        <v>1001</v>
      </c>
      <c r="I454" s="19" t="s">
        <v>1575</v>
      </c>
      <c r="J454" s="20">
        <v>33</v>
      </c>
      <c r="K454" t="s">
        <v>636</v>
      </c>
      <c r="L454" t="s">
        <v>648</v>
      </c>
      <c r="M454" t="s">
        <v>623</v>
      </c>
      <c r="N454" t="s">
        <v>624</v>
      </c>
      <c r="O454" t="s">
        <v>649</v>
      </c>
    </row>
    <row r="455" spans="1:15" x14ac:dyDescent="0.35">
      <c r="A455" s="77">
        <v>6.7726027397260271</v>
      </c>
      <c r="B455" s="19">
        <v>40465</v>
      </c>
      <c r="C455" s="19" t="s">
        <v>2776</v>
      </c>
      <c r="D455" s="19" t="s">
        <v>165</v>
      </c>
      <c r="E455" s="19" t="s">
        <v>166</v>
      </c>
      <c r="F455" s="19" t="s">
        <v>1238</v>
      </c>
      <c r="G455" s="19" t="s">
        <v>1084</v>
      </c>
      <c r="H455" s="19" t="s">
        <v>1001</v>
      </c>
      <c r="I455" s="19" t="s">
        <v>1599</v>
      </c>
      <c r="J455" s="20">
        <v>27</v>
      </c>
      <c r="K455" t="s">
        <v>636</v>
      </c>
      <c r="L455" t="s">
        <v>648</v>
      </c>
      <c r="M455" t="s">
        <v>623</v>
      </c>
      <c r="N455" t="s">
        <v>624</v>
      </c>
      <c r="O455" t="s">
        <v>649</v>
      </c>
    </row>
    <row r="456" spans="1:15" x14ac:dyDescent="0.35">
      <c r="A456" s="77">
        <v>8.5589041095890419</v>
      </c>
      <c r="B456" s="19">
        <v>40612</v>
      </c>
      <c r="C456" s="19" t="s">
        <v>2777</v>
      </c>
      <c r="D456" s="19" t="s">
        <v>38</v>
      </c>
      <c r="E456" s="19" t="s">
        <v>38</v>
      </c>
      <c r="F456" s="19" t="s">
        <v>711</v>
      </c>
      <c r="G456" s="19" t="s">
        <v>1084</v>
      </c>
      <c r="H456" s="19" t="s">
        <v>1020</v>
      </c>
      <c r="I456" s="19" t="s">
        <v>1575</v>
      </c>
      <c r="J456" s="20">
        <v>57</v>
      </c>
      <c r="K456" t="s">
        <v>668</v>
      </c>
      <c r="L456" t="s">
        <v>691</v>
      </c>
      <c r="M456" t="s">
        <v>657</v>
      </c>
      <c r="N456" t="s">
        <v>658</v>
      </c>
      <c r="O456" t="s">
        <v>632</v>
      </c>
    </row>
    <row r="457" spans="1:15" x14ac:dyDescent="0.35">
      <c r="A457" s="77">
        <v>8.580821917808219</v>
      </c>
      <c r="B457" s="19">
        <v>40658</v>
      </c>
      <c r="C457" s="19" t="s">
        <v>2778</v>
      </c>
      <c r="D457" s="19" t="s">
        <v>208</v>
      </c>
      <c r="E457" s="19" t="s">
        <v>209</v>
      </c>
      <c r="F457" s="19" t="s">
        <v>1444</v>
      </c>
      <c r="G457" s="19" t="s">
        <v>1034</v>
      </c>
      <c r="H457" s="19" t="s">
        <v>1001</v>
      </c>
      <c r="I457" s="19" t="s">
        <v>1575</v>
      </c>
      <c r="J457" s="20">
        <v>32</v>
      </c>
      <c r="K457" t="s">
        <v>636</v>
      </c>
      <c r="L457" t="s">
        <v>640</v>
      </c>
      <c r="M457" t="s">
        <v>623</v>
      </c>
      <c r="N457" t="s">
        <v>624</v>
      </c>
      <c r="O457" t="s">
        <v>787</v>
      </c>
    </row>
    <row r="458" spans="1:15" x14ac:dyDescent="0.35">
      <c r="A458" s="77">
        <v>8.5780821917808225</v>
      </c>
      <c r="B458" s="19">
        <v>40670</v>
      </c>
      <c r="C458" s="19" t="s">
        <v>2779</v>
      </c>
      <c r="D458" s="19" t="s">
        <v>208</v>
      </c>
      <c r="E458" s="19" t="s">
        <v>209</v>
      </c>
      <c r="F458" s="19" t="s">
        <v>1444</v>
      </c>
      <c r="G458" s="19" t="s">
        <v>1045</v>
      </c>
      <c r="H458" s="19" t="s">
        <v>1001</v>
      </c>
      <c r="I458" s="19" t="s">
        <v>1575</v>
      </c>
      <c r="J458" s="20">
        <v>32</v>
      </c>
      <c r="K458" t="s">
        <v>636</v>
      </c>
      <c r="L458" t="s">
        <v>640</v>
      </c>
      <c r="M458" t="s">
        <v>623</v>
      </c>
      <c r="N458" t="s">
        <v>624</v>
      </c>
      <c r="O458" t="s">
        <v>787</v>
      </c>
    </row>
    <row r="459" spans="1:15" x14ac:dyDescent="0.35">
      <c r="A459" s="77">
        <v>8.5232876712328771</v>
      </c>
      <c r="B459" s="19">
        <v>40989</v>
      </c>
      <c r="C459" s="19" t="s">
        <v>2780</v>
      </c>
      <c r="D459" s="19" t="s">
        <v>218</v>
      </c>
      <c r="E459" s="19" t="s">
        <v>219</v>
      </c>
      <c r="F459" s="19" t="s">
        <v>1372</v>
      </c>
      <c r="G459" s="19" t="s">
        <v>1084</v>
      </c>
      <c r="H459" s="19" t="s">
        <v>1001</v>
      </c>
      <c r="I459" s="19" t="s">
        <v>1599</v>
      </c>
      <c r="J459" s="20">
        <v>26</v>
      </c>
      <c r="K459" t="s">
        <v>625</v>
      </c>
      <c r="L459" t="s">
        <v>661</v>
      </c>
      <c r="M459" t="s">
        <v>657</v>
      </c>
      <c r="N459" t="s">
        <v>662</v>
      </c>
      <c r="O459" t="s">
        <v>632</v>
      </c>
    </row>
    <row r="460" spans="1:15" x14ac:dyDescent="0.35">
      <c r="A460" s="77">
        <v>8.4821917808219176</v>
      </c>
      <c r="B460" s="19">
        <v>41398</v>
      </c>
      <c r="C460" s="19" t="s">
        <v>2781</v>
      </c>
      <c r="D460" s="19" t="s">
        <v>43</v>
      </c>
      <c r="E460" s="19" t="s">
        <v>44</v>
      </c>
      <c r="F460" s="19" t="s">
        <v>2355</v>
      </c>
      <c r="G460" s="19" t="s">
        <v>1000</v>
      </c>
      <c r="H460" s="19" t="s">
        <v>1001</v>
      </c>
      <c r="I460" s="19" t="s">
        <v>1575</v>
      </c>
      <c r="J460" s="20">
        <v>32</v>
      </c>
      <c r="K460" t="s">
        <v>654</v>
      </c>
      <c r="L460" t="s">
        <v>634</v>
      </c>
      <c r="M460" t="s">
        <v>629</v>
      </c>
      <c r="N460" t="s">
        <v>635</v>
      </c>
      <c r="O460" t="s">
        <v>637</v>
      </c>
    </row>
    <row r="461" spans="1:15" x14ac:dyDescent="0.35">
      <c r="A461" s="77">
        <v>8.4164383561643827</v>
      </c>
      <c r="B461" s="19">
        <v>41659</v>
      </c>
      <c r="C461" s="19" t="s">
        <v>2782</v>
      </c>
      <c r="D461" s="19" t="s">
        <v>330</v>
      </c>
      <c r="E461" s="19" t="s">
        <v>331</v>
      </c>
      <c r="F461" s="19" t="s">
        <v>332</v>
      </c>
      <c r="G461" s="19" t="s">
        <v>1084</v>
      </c>
      <c r="H461" s="19" t="s">
        <v>1001</v>
      </c>
      <c r="I461" s="19" t="s">
        <v>1599</v>
      </c>
      <c r="J461" s="20">
        <v>33</v>
      </c>
      <c r="K461" t="s">
        <v>636</v>
      </c>
      <c r="L461" t="s">
        <v>762</v>
      </c>
      <c r="M461" t="s">
        <v>629</v>
      </c>
      <c r="N461" t="s">
        <v>646</v>
      </c>
      <c r="O461" t="s">
        <v>839</v>
      </c>
    </row>
    <row r="462" spans="1:15" x14ac:dyDescent="0.35">
      <c r="A462" s="77">
        <v>8.3972602739726021</v>
      </c>
      <c r="B462" s="19">
        <v>41727</v>
      </c>
      <c r="C462" s="19" t="s">
        <v>2783</v>
      </c>
      <c r="D462" s="19" t="s">
        <v>8</v>
      </c>
      <c r="E462" s="19" t="s">
        <v>8</v>
      </c>
      <c r="F462" s="19" t="s">
        <v>1176</v>
      </c>
      <c r="G462" s="19" t="s">
        <v>1034</v>
      </c>
      <c r="H462" s="19" t="s">
        <v>1001</v>
      </c>
      <c r="I462" s="19" t="s">
        <v>1575</v>
      </c>
      <c r="J462" s="20">
        <v>30</v>
      </c>
      <c r="K462" t="s">
        <v>625</v>
      </c>
      <c r="L462" t="s">
        <v>622</v>
      </c>
      <c r="M462" t="s">
        <v>623</v>
      </c>
      <c r="N462" t="s">
        <v>624</v>
      </c>
      <c r="O462" t="s">
        <v>626</v>
      </c>
    </row>
    <row r="463" spans="1:15" x14ac:dyDescent="0.35">
      <c r="A463" s="77">
        <v>8.4027397260273968</v>
      </c>
      <c r="B463" s="19">
        <v>41927</v>
      </c>
      <c r="C463" s="19" t="s">
        <v>2784</v>
      </c>
      <c r="D463" s="19" t="s">
        <v>330</v>
      </c>
      <c r="E463" s="19" t="s">
        <v>331</v>
      </c>
      <c r="F463" s="19" t="s">
        <v>332</v>
      </c>
      <c r="G463" s="19" t="s">
        <v>1084</v>
      </c>
      <c r="H463" s="19" t="s">
        <v>1001</v>
      </c>
      <c r="I463" s="19" t="s">
        <v>1599</v>
      </c>
      <c r="J463" s="20">
        <v>48</v>
      </c>
      <c r="K463" t="s">
        <v>636</v>
      </c>
      <c r="L463" t="s">
        <v>762</v>
      </c>
      <c r="M463" t="s">
        <v>629</v>
      </c>
      <c r="N463" t="s">
        <v>646</v>
      </c>
      <c r="O463" t="s">
        <v>839</v>
      </c>
    </row>
    <row r="464" spans="1:15" x14ac:dyDescent="0.35">
      <c r="A464" s="77">
        <v>8.4027397260273968</v>
      </c>
      <c r="B464" s="19">
        <v>41978</v>
      </c>
      <c r="C464" s="19" t="s">
        <v>2785</v>
      </c>
      <c r="D464" s="19" t="s">
        <v>100</v>
      </c>
      <c r="E464" s="19" t="s">
        <v>101</v>
      </c>
      <c r="F464" s="19" t="s">
        <v>2786</v>
      </c>
      <c r="G464" s="19" t="s">
        <v>1045</v>
      </c>
      <c r="H464" s="19" t="s">
        <v>1001</v>
      </c>
      <c r="I464" s="19" t="s">
        <v>1575</v>
      </c>
      <c r="J464" s="20">
        <v>44</v>
      </c>
      <c r="K464" t="s">
        <v>654</v>
      </c>
      <c r="L464" t="s">
        <v>651</v>
      </c>
      <c r="M464" t="s">
        <v>629</v>
      </c>
      <c r="N464" t="s">
        <v>630</v>
      </c>
      <c r="O464" t="s">
        <v>705</v>
      </c>
    </row>
    <row r="465" spans="1:15" x14ac:dyDescent="0.35">
      <c r="A465" s="77">
        <v>1.0821917808219179</v>
      </c>
      <c r="B465" s="19">
        <v>41996</v>
      </c>
      <c r="C465" s="19" t="s">
        <v>2787</v>
      </c>
      <c r="D465" s="19" t="s">
        <v>415</v>
      </c>
      <c r="E465" s="19" t="s">
        <v>416</v>
      </c>
      <c r="F465" s="19" t="s">
        <v>1199</v>
      </c>
      <c r="G465" s="19" t="s">
        <v>1046</v>
      </c>
      <c r="H465" s="19" t="s">
        <v>1001</v>
      </c>
      <c r="I465" s="19" t="s">
        <v>1575</v>
      </c>
      <c r="J465" s="20">
        <v>39</v>
      </c>
      <c r="K465" t="s">
        <v>668</v>
      </c>
      <c r="L465" t="s">
        <v>666</v>
      </c>
      <c r="M465" t="s">
        <v>629</v>
      </c>
      <c r="N465" t="s">
        <v>635</v>
      </c>
      <c r="O465" t="s">
        <v>637</v>
      </c>
    </row>
    <row r="466" spans="1:15" x14ac:dyDescent="0.35">
      <c r="A466" s="77">
        <v>4.0383561643835613</v>
      </c>
      <c r="B466" s="19">
        <v>42071</v>
      </c>
      <c r="C466" s="19" t="s">
        <v>2788</v>
      </c>
      <c r="D466" s="19" t="s">
        <v>47</v>
      </c>
      <c r="E466" s="19" t="s">
        <v>48</v>
      </c>
      <c r="F466" s="19" t="s">
        <v>1232</v>
      </c>
      <c r="G466" s="19" t="s">
        <v>1008</v>
      </c>
      <c r="H466" s="19" t="s">
        <v>1001</v>
      </c>
      <c r="I466" s="19" t="s">
        <v>1575</v>
      </c>
      <c r="J466" s="20">
        <v>38</v>
      </c>
      <c r="K466" t="s">
        <v>636</v>
      </c>
      <c r="L466" t="s">
        <v>622</v>
      </c>
      <c r="M466" t="s">
        <v>623</v>
      </c>
      <c r="N466" t="s">
        <v>624</v>
      </c>
      <c r="O466" t="s">
        <v>649</v>
      </c>
    </row>
    <row r="467" spans="1:15" x14ac:dyDescent="0.35">
      <c r="A467" s="77">
        <v>8.3698630136986303</v>
      </c>
      <c r="B467" s="19">
        <v>42107</v>
      </c>
      <c r="C467" s="19" t="s">
        <v>2789</v>
      </c>
      <c r="D467" s="19" t="s">
        <v>243</v>
      </c>
      <c r="E467" s="19" t="s">
        <v>244</v>
      </c>
      <c r="F467" s="19" t="s">
        <v>1318</v>
      </c>
      <c r="G467" s="19" t="s">
        <v>1045</v>
      </c>
      <c r="H467" s="19" t="s">
        <v>1001</v>
      </c>
      <c r="I467" s="19" t="s">
        <v>1575</v>
      </c>
      <c r="J467" s="20">
        <v>39</v>
      </c>
      <c r="K467" t="s">
        <v>631</v>
      </c>
      <c r="L467" t="s">
        <v>707</v>
      </c>
      <c r="M467" t="s">
        <v>629</v>
      </c>
      <c r="N467" t="s">
        <v>635</v>
      </c>
      <c r="O467" t="s">
        <v>710</v>
      </c>
    </row>
    <row r="468" spans="1:15" x14ac:dyDescent="0.35">
      <c r="A468" s="77">
        <v>8.331506849315069</v>
      </c>
      <c r="B468" s="19">
        <v>42231</v>
      </c>
      <c r="C468" s="19" t="s">
        <v>2790</v>
      </c>
      <c r="D468" s="19" t="s">
        <v>115</v>
      </c>
      <c r="E468" s="19" t="s">
        <v>116</v>
      </c>
      <c r="F468" s="19" t="s">
        <v>1383</v>
      </c>
      <c r="G468" s="19" t="s">
        <v>1158</v>
      </c>
      <c r="H468" s="19" t="s">
        <v>1001</v>
      </c>
      <c r="I468" s="19" t="s">
        <v>1575</v>
      </c>
      <c r="J468" s="20">
        <v>28</v>
      </c>
      <c r="K468" t="s">
        <v>631</v>
      </c>
      <c r="L468" t="s">
        <v>670</v>
      </c>
      <c r="M468" t="s">
        <v>657</v>
      </c>
      <c r="N468" t="s">
        <v>641</v>
      </c>
      <c r="O468" t="s">
        <v>671</v>
      </c>
    </row>
    <row r="469" spans="1:15" x14ac:dyDescent="0.35">
      <c r="A469" s="77">
        <v>8.331506849315069</v>
      </c>
      <c r="B469" s="19">
        <v>42233</v>
      </c>
      <c r="C469" s="19" t="s">
        <v>2791</v>
      </c>
      <c r="D469" s="19" t="s">
        <v>26</v>
      </c>
      <c r="E469" s="19" t="s">
        <v>26</v>
      </c>
      <c r="F469" s="19" t="s">
        <v>1124</v>
      </c>
      <c r="G469" s="19" t="s">
        <v>1046</v>
      </c>
      <c r="H469" s="19" t="s">
        <v>1001</v>
      </c>
      <c r="I469" s="19" t="s">
        <v>1575</v>
      </c>
      <c r="J469" s="20">
        <v>38</v>
      </c>
      <c r="K469" t="s">
        <v>636</v>
      </c>
      <c r="L469" t="s">
        <v>666</v>
      </c>
      <c r="M469" t="s">
        <v>629</v>
      </c>
      <c r="N469" t="s">
        <v>635</v>
      </c>
      <c r="O469" t="s">
        <v>637</v>
      </c>
    </row>
    <row r="470" spans="1:15" x14ac:dyDescent="0.35">
      <c r="A470" s="77">
        <v>7.9808219178082194</v>
      </c>
      <c r="B470" s="19">
        <v>42471</v>
      </c>
      <c r="C470" s="19" t="s">
        <v>2792</v>
      </c>
      <c r="D470" s="19" t="s">
        <v>118</v>
      </c>
      <c r="E470" s="19" t="s">
        <v>119</v>
      </c>
      <c r="F470" s="19" t="s">
        <v>1360</v>
      </c>
      <c r="G470" s="19" t="s">
        <v>1045</v>
      </c>
      <c r="H470" s="19" t="s">
        <v>1001</v>
      </c>
      <c r="I470" s="19" t="s">
        <v>1575</v>
      </c>
      <c r="J470" s="20">
        <v>35</v>
      </c>
      <c r="K470" t="s">
        <v>625</v>
      </c>
      <c r="L470" t="s">
        <v>656</v>
      </c>
      <c r="M470" t="s">
        <v>657</v>
      </c>
      <c r="N470" t="s">
        <v>658</v>
      </c>
      <c r="O470" t="s">
        <v>632</v>
      </c>
    </row>
    <row r="471" spans="1:15" x14ac:dyDescent="0.35">
      <c r="A471" s="77">
        <v>0.92876712328767119</v>
      </c>
      <c r="B471" s="19">
        <v>42818</v>
      </c>
      <c r="C471" s="19" t="s">
        <v>2793</v>
      </c>
      <c r="D471" s="19" t="s">
        <v>420</v>
      </c>
      <c r="E471" s="19" t="s">
        <v>420</v>
      </c>
      <c r="F471" s="19" t="s">
        <v>686</v>
      </c>
      <c r="G471" s="19" t="s">
        <v>1084</v>
      </c>
      <c r="H471" s="19" t="s">
        <v>1020</v>
      </c>
      <c r="I471" s="19" t="s">
        <v>1599</v>
      </c>
      <c r="J471" s="20">
        <v>44</v>
      </c>
      <c r="K471" t="s">
        <v>631</v>
      </c>
      <c r="L471" t="s">
        <v>634</v>
      </c>
      <c r="M471" t="s">
        <v>629</v>
      </c>
      <c r="N471" t="s">
        <v>635</v>
      </c>
      <c r="O471" t="s">
        <v>637</v>
      </c>
    </row>
    <row r="472" spans="1:15" x14ac:dyDescent="0.35">
      <c r="A472" s="77">
        <v>8.2547945205479447</v>
      </c>
      <c r="B472" s="19">
        <v>42920</v>
      </c>
      <c r="C472" s="19" t="s">
        <v>2794</v>
      </c>
      <c r="D472" s="19" t="s">
        <v>330</v>
      </c>
      <c r="E472" s="19" t="s">
        <v>331</v>
      </c>
      <c r="F472" s="19" t="s">
        <v>332</v>
      </c>
      <c r="G472" s="19" t="s">
        <v>1008</v>
      </c>
      <c r="H472" s="19" t="s">
        <v>1001</v>
      </c>
      <c r="I472" s="19" t="s">
        <v>1575</v>
      </c>
      <c r="J472" s="20">
        <v>41</v>
      </c>
      <c r="K472" t="s">
        <v>636</v>
      </c>
      <c r="L472" t="s">
        <v>762</v>
      </c>
      <c r="M472" t="s">
        <v>629</v>
      </c>
      <c r="N472" t="s">
        <v>646</v>
      </c>
      <c r="O472" t="s">
        <v>839</v>
      </c>
    </row>
    <row r="473" spans="1:15" x14ac:dyDescent="0.35">
      <c r="A473" s="77">
        <v>8.1999999999999993</v>
      </c>
      <c r="B473" s="19">
        <v>43091</v>
      </c>
      <c r="C473" s="19" t="s">
        <v>2795</v>
      </c>
      <c r="D473" s="19" t="s">
        <v>36</v>
      </c>
      <c r="E473" s="19" t="s">
        <v>36</v>
      </c>
      <c r="F473" s="19" t="s">
        <v>1403</v>
      </c>
      <c r="G473" s="19" t="s">
        <v>1028</v>
      </c>
      <c r="H473" s="19" t="s">
        <v>1020</v>
      </c>
      <c r="I473" s="19" t="s">
        <v>1575</v>
      </c>
      <c r="J473" s="20">
        <v>49</v>
      </c>
      <c r="K473" t="s">
        <v>668</v>
      </c>
      <c r="L473" t="s">
        <v>691</v>
      </c>
      <c r="M473" t="s">
        <v>657</v>
      </c>
      <c r="N473" t="s">
        <v>658</v>
      </c>
      <c r="O473" t="s">
        <v>632</v>
      </c>
    </row>
    <row r="474" spans="1:15" x14ac:dyDescent="0.35">
      <c r="A474" s="77">
        <v>8.213698630136987</v>
      </c>
      <c r="B474" s="19">
        <v>43127</v>
      </c>
      <c r="C474" s="19" t="s">
        <v>2796</v>
      </c>
      <c r="D474" s="19" t="s">
        <v>120</v>
      </c>
      <c r="E474" s="19" t="s">
        <v>121</v>
      </c>
      <c r="F474" s="19" t="s">
        <v>1236</v>
      </c>
      <c r="G474" s="19" t="s">
        <v>1084</v>
      </c>
      <c r="H474" s="19" t="s">
        <v>1001</v>
      </c>
      <c r="I474" s="19" t="s">
        <v>1575</v>
      </c>
      <c r="J474" s="20">
        <v>35</v>
      </c>
      <c r="K474" t="s">
        <v>636</v>
      </c>
      <c r="L474" t="s">
        <v>673</v>
      </c>
      <c r="M474" t="s">
        <v>623</v>
      </c>
      <c r="N474" t="s">
        <v>641</v>
      </c>
      <c r="O474" t="s">
        <v>748</v>
      </c>
    </row>
    <row r="475" spans="1:15" x14ac:dyDescent="0.35">
      <c r="A475" s="77">
        <v>1.5068493150684932</v>
      </c>
      <c r="B475" s="19">
        <v>43375</v>
      </c>
      <c r="C475" s="19" t="s">
        <v>2797</v>
      </c>
      <c r="D475" s="19" t="s">
        <v>161</v>
      </c>
      <c r="E475" s="19" t="s">
        <v>162</v>
      </c>
      <c r="F475" s="19" t="s">
        <v>1027</v>
      </c>
      <c r="G475" s="19" t="s">
        <v>1008</v>
      </c>
      <c r="H475" s="19" t="s">
        <v>1001</v>
      </c>
      <c r="I475" s="19" t="s">
        <v>1599</v>
      </c>
      <c r="J475" s="20">
        <v>27</v>
      </c>
      <c r="K475" t="s">
        <v>654</v>
      </c>
      <c r="L475" t="s">
        <v>622</v>
      </c>
      <c r="M475" t="s">
        <v>623</v>
      </c>
      <c r="N475" t="s">
        <v>624</v>
      </c>
      <c r="O475" t="s">
        <v>649</v>
      </c>
    </row>
    <row r="476" spans="1:15" x14ac:dyDescent="0.35">
      <c r="A476" s="77">
        <v>8.1671232876712327</v>
      </c>
      <c r="B476" s="19">
        <v>43427</v>
      </c>
      <c r="C476" s="19" t="s">
        <v>2798</v>
      </c>
      <c r="D476" s="19" t="s">
        <v>120</v>
      </c>
      <c r="E476" s="19" t="s">
        <v>121</v>
      </c>
      <c r="F476" s="19" t="s">
        <v>1236</v>
      </c>
      <c r="G476" s="19" t="s">
        <v>1084</v>
      </c>
      <c r="H476" s="19" t="s">
        <v>1001</v>
      </c>
      <c r="I476" s="19" t="s">
        <v>1599</v>
      </c>
      <c r="J476" s="20">
        <v>34</v>
      </c>
      <c r="K476" t="s">
        <v>636</v>
      </c>
      <c r="L476" t="s">
        <v>673</v>
      </c>
      <c r="M476" t="s">
        <v>623</v>
      </c>
      <c r="N476" t="s">
        <v>641</v>
      </c>
      <c r="O476" t="s">
        <v>748</v>
      </c>
    </row>
    <row r="477" spans="1:15" x14ac:dyDescent="0.35">
      <c r="A477" s="77">
        <v>8.1534246575342468</v>
      </c>
      <c r="B477" s="19">
        <v>43508</v>
      </c>
      <c r="C477" s="19" t="s">
        <v>2799</v>
      </c>
      <c r="D477" s="19" t="s">
        <v>264</v>
      </c>
      <c r="E477" s="19" t="s">
        <v>265</v>
      </c>
      <c r="F477" s="19" t="s">
        <v>2526</v>
      </c>
      <c r="G477" s="19" t="s">
        <v>1000</v>
      </c>
      <c r="H477" s="19" t="s">
        <v>1001</v>
      </c>
      <c r="I477" s="19" t="s">
        <v>1599</v>
      </c>
      <c r="J477" s="20">
        <v>39</v>
      </c>
      <c r="K477" t="s">
        <v>654</v>
      </c>
      <c r="L477" t="s">
        <v>678</v>
      </c>
      <c r="M477" t="s">
        <v>623</v>
      </c>
      <c r="N477" t="s">
        <v>624</v>
      </c>
      <c r="O477" t="s">
        <v>689</v>
      </c>
    </row>
    <row r="478" spans="1:15" x14ac:dyDescent="0.35">
      <c r="A478" s="77">
        <v>8.1561643835616433</v>
      </c>
      <c r="B478" s="19">
        <v>43584</v>
      </c>
      <c r="C478" s="19" t="s">
        <v>2800</v>
      </c>
      <c r="D478" s="19" t="s">
        <v>430</v>
      </c>
      <c r="E478" s="19" t="e">
        <v>#N/A</v>
      </c>
      <c r="F478" s="19" t="s">
        <v>1105</v>
      </c>
      <c r="G478" s="19" t="s">
        <v>1000</v>
      </c>
      <c r="H478" s="19" t="s">
        <v>1001</v>
      </c>
      <c r="I478" s="19" t="s">
        <v>1575</v>
      </c>
      <c r="J478" s="20">
        <v>29</v>
      </c>
      <c r="K478" t="s">
        <v>654</v>
      </c>
      <c r="L478" t="s">
        <v>645</v>
      </c>
      <c r="M478" t="s">
        <v>629</v>
      </c>
      <c r="N478" t="s">
        <v>646</v>
      </c>
      <c r="O478" t="s">
        <v>632</v>
      </c>
    </row>
    <row r="479" spans="1:15" x14ac:dyDescent="0.35">
      <c r="A479" s="77">
        <v>8.1232876712328768</v>
      </c>
      <c r="B479" s="19">
        <v>43592</v>
      </c>
      <c r="C479" s="19" t="s">
        <v>2801</v>
      </c>
      <c r="D479" s="19" t="s">
        <v>305</v>
      </c>
      <c r="E479" s="19" t="s">
        <v>306</v>
      </c>
      <c r="F479" s="19" t="s">
        <v>1086</v>
      </c>
      <c r="G479" s="19" t="s">
        <v>1057</v>
      </c>
      <c r="H479" s="19" t="s">
        <v>1001</v>
      </c>
      <c r="I479" s="19" t="s">
        <v>1575</v>
      </c>
      <c r="J479" s="20">
        <v>34</v>
      </c>
      <c r="K479" t="s">
        <v>654</v>
      </c>
      <c r="L479" t="s">
        <v>622</v>
      </c>
      <c r="M479" t="s">
        <v>623</v>
      </c>
      <c r="N479" t="s">
        <v>624</v>
      </c>
      <c r="O479" t="s">
        <v>826</v>
      </c>
    </row>
    <row r="480" spans="1:15" x14ac:dyDescent="0.35">
      <c r="A480" s="77">
        <v>8.117808219178082</v>
      </c>
      <c r="B480" s="19">
        <v>43658</v>
      </c>
      <c r="C480" s="19" t="s">
        <v>2802</v>
      </c>
      <c r="D480" s="19" t="s">
        <v>32</v>
      </c>
      <c r="E480" s="19" t="s">
        <v>33</v>
      </c>
      <c r="F480" s="19" t="s">
        <v>1154</v>
      </c>
      <c r="G480" s="19" t="s">
        <v>1045</v>
      </c>
      <c r="H480" s="19" t="s">
        <v>1001</v>
      </c>
      <c r="I480" s="19" t="s">
        <v>1575</v>
      </c>
      <c r="J480" s="20">
        <v>31</v>
      </c>
      <c r="K480" t="s">
        <v>654</v>
      </c>
      <c r="L480" t="s">
        <v>622</v>
      </c>
      <c r="M480" t="s">
        <v>623</v>
      </c>
      <c r="N480" t="s">
        <v>624</v>
      </c>
      <c r="O480" t="s">
        <v>681</v>
      </c>
    </row>
    <row r="481" spans="1:15" x14ac:dyDescent="0.35">
      <c r="A481" s="77">
        <v>3.8657534246575342</v>
      </c>
      <c r="B481" s="19">
        <v>43664</v>
      </c>
      <c r="C481" s="19" t="s">
        <v>2803</v>
      </c>
      <c r="D481" s="19" t="s">
        <v>42</v>
      </c>
      <c r="E481" s="19" t="s">
        <v>42</v>
      </c>
      <c r="F481" s="19" t="s">
        <v>1262</v>
      </c>
      <c r="G481" s="19" t="s">
        <v>1084</v>
      </c>
      <c r="H481" s="19" t="s">
        <v>1020</v>
      </c>
      <c r="I481" s="19" t="s">
        <v>1575</v>
      </c>
      <c r="J481" s="20">
        <v>52</v>
      </c>
      <c r="K481" t="s">
        <v>625</v>
      </c>
      <c r="L481" t="s">
        <v>628</v>
      </c>
      <c r="M481" t="s">
        <v>629</v>
      </c>
      <c r="N481" t="s">
        <v>630</v>
      </c>
      <c r="O481" t="s">
        <v>632</v>
      </c>
    </row>
    <row r="482" spans="1:15" x14ac:dyDescent="0.35">
      <c r="A482" s="77">
        <v>8.1342465753424662</v>
      </c>
      <c r="B482" s="19">
        <v>43731</v>
      </c>
      <c r="C482" s="19" t="s">
        <v>2804</v>
      </c>
      <c r="D482" s="19" t="s">
        <v>307</v>
      </c>
      <c r="E482" s="19" t="s">
        <v>308</v>
      </c>
      <c r="F482" s="19" t="s">
        <v>1524</v>
      </c>
      <c r="G482" s="19" t="s">
        <v>1045</v>
      </c>
      <c r="H482" s="19" t="s">
        <v>1001</v>
      </c>
      <c r="I482" s="19" t="s">
        <v>1575</v>
      </c>
      <c r="J482" s="20">
        <v>29</v>
      </c>
      <c r="K482" t="s">
        <v>668</v>
      </c>
      <c r="L482" t="s">
        <v>656</v>
      </c>
      <c r="M482" t="s">
        <v>657</v>
      </c>
      <c r="N482" t="s">
        <v>658</v>
      </c>
      <c r="O482" t="s">
        <v>718</v>
      </c>
    </row>
    <row r="483" spans="1:15" x14ac:dyDescent="0.35">
      <c r="A483" s="77">
        <v>8.1041095890410961</v>
      </c>
      <c r="B483" s="19">
        <v>43855</v>
      </c>
      <c r="C483" s="19" t="s">
        <v>2805</v>
      </c>
      <c r="D483" s="19" t="s">
        <v>118</v>
      </c>
      <c r="E483" s="19" t="s">
        <v>119</v>
      </c>
      <c r="F483" s="19" t="s">
        <v>1360</v>
      </c>
      <c r="G483" s="19" t="s">
        <v>1046</v>
      </c>
      <c r="H483" s="19" t="s">
        <v>1001</v>
      </c>
      <c r="I483" s="19" t="s">
        <v>1575</v>
      </c>
      <c r="J483" s="20">
        <v>36</v>
      </c>
      <c r="K483" t="s">
        <v>625</v>
      </c>
      <c r="L483" t="s">
        <v>656</v>
      </c>
      <c r="M483" t="s">
        <v>657</v>
      </c>
      <c r="N483" t="s">
        <v>658</v>
      </c>
      <c r="O483" t="s">
        <v>632</v>
      </c>
    </row>
    <row r="484" spans="1:15" x14ac:dyDescent="0.35">
      <c r="A484" s="77">
        <v>1.3260273972602741</v>
      </c>
      <c r="B484" s="19">
        <v>43926</v>
      </c>
      <c r="C484" s="19" t="s">
        <v>2806</v>
      </c>
      <c r="D484" s="19" t="s">
        <v>97</v>
      </c>
      <c r="E484" s="19" t="s">
        <v>98</v>
      </c>
      <c r="F484" s="19" t="s">
        <v>2395</v>
      </c>
      <c r="G484" s="19" t="s">
        <v>1034</v>
      </c>
      <c r="H484" s="19" t="s">
        <v>1001</v>
      </c>
      <c r="I484" s="19" t="s">
        <v>1599</v>
      </c>
      <c r="J484" s="20">
        <v>30</v>
      </c>
      <c r="K484" t="s">
        <v>654</v>
      </c>
      <c r="L484" t="s">
        <v>666</v>
      </c>
      <c r="M484" t="s">
        <v>629</v>
      </c>
      <c r="N484" t="s">
        <v>635</v>
      </c>
      <c r="O484" t="s">
        <v>739</v>
      </c>
    </row>
    <row r="485" spans="1:15" x14ac:dyDescent="0.35">
      <c r="A485" s="77">
        <v>8.1150684931506856</v>
      </c>
      <c r="B485" s="19">
        <v>43928</v>
      </c>
      <c r="C485" s="19" t="s">
        <v>2807</v>
      </c>
      <c r="D485" s="19" t="s">
        <v>64</v>
      </c>
      <c r="E485" s="19" t="s">
        <v>65</v>
      </c>
      <c r="F485" s="19" t="s">
        <v>1197</v>
      </c>
      <c r="G485" s="19" t="s">
        <v>1000</v>
      </c>
      <c r="H485" s="19" t="s">
        <v>1001</v>
      </c>
      <c r="I485" s="19" t="s">
        <v>1575</v>
      </c>
      <c r="J485" s="20">
        <v>32</v>
      </c>
      <c r="K485" t="s">
        <v>654</v>
      </c>
      <c r="L485" t="s">
        <v>651</v>
      </c>
      <c r="M485" t="s">
        <v>629</v>
      </c>
      <c r="N485" t="s">
        <v>630</v>
      </c>
      <c r="O485" t="s">
        <v>705</v>
      </c>
    </row>
    <row r="486" spans="1:15" x14ac:dyDescent="0.35">
      <c r="A486" s="77">
        <v>2.7178082191780821</v>
      </c>
      <c r="B486" s="19">
        <v>44020</v>
      </c>
      <c r="C486" s="19" t="s">
        <v>2808</v>
      </c>
      <c r="D486" s="19" t="s">
        <v>600</v>
      </c>
      <c r="E486" s="19" t="e">
        <v>#N/A</v>
      </c>
      <c r="F486" s="19" t="s">
        <v>1201</v>
      </c>
      <c r="G486" s="19" t="s">
        <v>1034</v>
      </c>
      <c r="H486" s="19" t="s">
        <v>1001</v>
      </c>
      <c r="I486" s="19" t="s">
        <v>1575</v>
      </c>
      <c r="J486" s="20">
        <v>30</v>
      </c>
      <c r="K486" t="s">
        <v>668</v>
      </c>
      <c r="L486" t="s">
        <v>622</v>
      </c>
      <c r="M486" t="s">
        <v>623</v>
      </c>
      <c r="N486" t="s">
        <v>624</v>
      </c>
      <c r="O486" t="s">
        <v>649</v>
      </c>
    </row>
    <row r="487" spans="1:15" x14ac:dyDescent="0.35">
      <c r="A487" s="77">
        <v>8.0794520547945208</v>
      </c>
      <c r="B487" s="19">
        <v>44036</v>
      </c>
      <c r="C487" s="19" t="s">
        <v>2809</v>
      </c>
      <c r="D487" s="19" t="s">
        <v>305</v>
      </c>
      <c r="E487" s="19" t="s">
        <v>306</v>
      </c>
      <c r="F487" s="19" t="s">
        <v>1086</v>
      </c>
      <c r="G487" s="19" t="s">
        <v>1045</v>
      </c>
      <c r="H487" s="19" t="s">
        <v>1001</v>
      </c>
      <c r="I487" s="19" t="s">
        <v>1575</v>
      </c>
      <c r="J487" s="20">
        <v>31</v>
      </c>
      <c r="K487" t="s">
        <v>654</v>
      </c>
      <c r="L487" t="s">
        <v>622</v>
      </c>
      <c r="M487" t="s">
        <v>623</v>
      </c>
      <c r="N487" t="s">
        <v>624</v>
      </c>
      <c r="O487" t="s">
        <v>826</v>
      </c>
    </row>
    <row r="488" spans="1:15" x14ac:dyDescent="0.35">
      <c r="A488" s="77">
        <v>8.0767123287671225</v>
      </c>
      <c r="B488" s="19">
        <v>44068</v>
      </c>
      <c r="C488" s="19" t="s">
        <v>2810</v>
      </c>
      <c r="D488" s="19" t="s">
        <v>42</v>
      </c>
      <c r="E488" s="19" t="s">
        <v>42</v>
      </c>
      <c r="F488" s="19" t="s">
        <v>1262</v>
      </c>
      <c r="G488" s="19" t="s">
        <v>1008</v>
      </c>
      <c r="H488" s="19" t="s">
        <v>1001</v>
      </c>
      <c r="I488" s="19" t="s">
        <v>1575</v>
      </c>
      <c r="J488" s="20">
        <v>35</v>
      </c>
      <c r="K488" t="s">
        <v>625</v>
      </c>
      <c r="L488" t="s">
        <v>628</v>
      </c>
      <c r="M488" t="s">
        <v>629</v>
      </c>
      <c r="N488" t="s">
        <v>630</v>
      </c>
      <c r="O488" t="s">
        <v>632</v>
      </c>
    </row>
    <row r="489" spans="1:15" x14ac:dyDescent="0.35">
      <c r="A489" s="77">
        <v>8.087671232876712</v>
      </c>
      <c r="B489" s="19">
        <v>44086</v>
      </c>
      <c r="C489" s="19" t="s">
        <v>2811</v>
      </c>
      <c r="D489" s="19" t="s">
        <v>371</v>
      </c>
      <c r="E489" s="19" t="s">
        <v>372</v>
      </c>
      <c r="F489" s="19" t="s">
        <v>2222</v>
      </c>
      <c r="G489" s="19" t="s">
        <v>1000</v>
      </c>
      <c r="H489" s="19" t="s">
        <v>1001</v>
      </c>
      <c r="I489" s="19" t="s">
        <v>1599</v>
      </c>
      <c r="J489" s="20">
        <v>40</v>
      </c>
      <c r="K489" t="s">
        <v>668</v>
      </c>
      <c r="L489" t="s">
        <v>640</v>
      </c>
      <c r="M489" t="s">
        <v>623</v>
      </c>
      <c r="N489" t="s">
        <v>641</v>
      </c>
      <c r="O489" t="s">
        <v>859</v>
      </c>
    </row>
    <row r="490" spans="1:15" x14ac:dyDescent="0.35">
      <c r="A490" s="77">
        <v>8.0630136986301366</v>
      </c>
      <c r="B490" s="19">
        <v>44240</v>
      </c>
      <c r="C490" s="19" t="s">
        <v>2812</v>
      </c>
      <c r="D490" s="19" t="s">
        <v>58</v>
      </c>
      <c r="E490" s="19" t="s">
        <v>59</v>
      </c>
      <c r="F490" s="19" t="s">
        <v>1650</v>
      </c>
      <c r="G490" s="19" t="s">
        <v>1057</v>
      </c>
      <c r="H490" s="19" t="s">
        <v>1001</v>
      </c>
      <c r="I490" s="19" t="s">
        <v>1575</v>
      </c>
      <c r="J490" s="20">
        <v>38</v>
      </c>
      <c r="K490" t="s">
        <v>668</v>
      </c>
      <c r="L490" t="s">
        <v>651</v>
      </c>
      <c r="M490" t="s">
        <v>629</v>
      </c>
      <c r="N490" t="s">
        <v>630</v>
      </c>
      <c r="O490" t="s">
        <v>705</v>
      </c>
    </row>
    <row r="491" spans="1:15" x14ac:dyDescent="0.35">
      <c r="A491" s="77">
        <v>8.0630136986301366</v>
      </c>
      <c r="B491" s="19">
        <v>44243</v>
      </c>
      <c r="C491" s="19" t="s">
        <v>2813</v>
      </c>
      <c r="D491" s="19" t="s">
        <v>73</v>
      </c>
      <c r="E491" s="19" t="s">
        <v>74</v>
      </c>
      <c r="F491" s="19" t="s">
        <v>1178</v>
      </c>
      <c r="G491" s="19" t="s">
        <v>1046</v>
      </c>
      <c r="H491" s="19" t="s">
        <v>1001</v>
      </c>
      <c r="I491" s="19" t="s">
        <v>1575</v>
      </c>
      <c r="J491" s="20">
        <v>28</v>
      </c>
      <c r="K491" t="s">
        <v>654</v>
      </c>
      <c r="L491" t="s">
        <v>648</v>
      </c>
      <c r="M491" t="s">
        <v>623</v>
      </c>
      <c r="N491" t="s">
        <v>624</v>
      </c>
      <c r="O491" t="s">
        <v>725</v>
      </c>
    </row>
    <row r="492" spans="1:15" x14ac:dyDescent="0.35">
      <c r="A492" s="77">
        <v>8.0575342465753419</v>
      </c>
      <c r="B492" s="19">
        <v>44263</v>
      </c>
      <c r="C492" s="19" t="s">
        <v>2814</v>
      </c>
      <c r="D492" s="19" t="s">
        <v>243</v>
      </c>
      <c r="E492" s="19" t="s">
        <v>244</v>
      </c>
      <c r="F492" s="19" t="s">
        <v>1318</v>
      </c>
      <c r="G492" s="19" t="s">
        <v>1034</v>
      </c>
      <c r="H492" s="19" t="s">
        <v>1001</v>
      </c>
      <c r="I492" s="19" t="s">
        <v>1599</v>
      </c>
      <c r="J492" s="20">
        <v>45</v>
      </c>
      <c r="K492" t="s">
        <v>631</v>
      </c>
      <c r="L492" t="s">
        <v>707</v>
      </c>
      <c r="M492" t="s">
        <v>629</v>
      </c>
      <c r="N492" t="s">
        <v>635</v>
      </c>
      <c r="O492" t="s">
        <v>710</v>
      </c>
    </row>
    <row r="493" spans="1:15" x14ac:dyDescent="0.35">
      <c r="A493" s="77">
        <v>8.0027397260273965</v>
      </c>
      <c r="B493" s="19">
        <v>44728</v>
      </c>
      <c r="C493" s="19" t="s">
        <v>2815</v>
      </c>
      <c r="D493" s="19" t="s">
        <v>161</v>
      </c>
      <c r="E493" s="19" t="s">
        <v>162</v>
      </c>
      <c r="F493" s="19" t="s">
        <v>1027</v>
      </c>
      <c r="G493" s="19" t="s">
        <v>1019</v>
      </c>
      <c r="H493" s="19" t="s">
        <v>1020</v>
      </c>
      <c r="I493" s="19" t="s">
        <v>1599</v>
      </c>
      <c r="J493" s="20">
        <v>30</v>
      </c>
      <c r="K493" t="s">
        <v>654</v>
      </c>
      <c r="L493" t="s">
        <v>622</v>
      </c>
      <c r="M493" t="s">
        <v>623</v>
      </c>
      <c r="N493" t="s">
        <v>624</v>
      </c>
      <c r="O493" t="s">
        <v>649</v>
      </c>
    </row>
    <row r="494" spans="1:15" x14ac:dyDescent="0.35">
      <c r="A494" s="77">
        <v>8.0027397260273965</v>
      </c>
      <c r="B494" s="19">
        <v>44756</v>
      </c>
      <c r="C494" s="19" t="s">
        <v>2816</v>
      </c>
      <c r="D494" s="19" t="s">
        <v>601</v>
      </c>
      <c r="E494" s="19" t="e">
        <v>#N/A</v>
      </c>
      <c r="F494" s="19" t="s">
        <v>1136</v>
      </c>
      <c r="G494" s="19" t="s">
        <v>1019</v>
      </c>
      <c r="H494" s="19" t="s">
        <v>1020</v>
      </c>
      <c r="I494" s="19" t="s">
        <v>1575</v>
      </c>
      <c r="J494" s="20">
        <v>29</v>
      </c>
      <c r="K494" t="s">
        <v>654</v>
      </c>
      <c r="L494" t="s">
        <v>651</v>
      </c>
      <c r="M494" t="s">
        <v>629</v>
      </c>
      <c r="N494" t="s">
        <v>630</v>
      </c>
      <c r="O494" t="s">
        <v>715</v>
      </c>
    </row>
    <row r="495" spans="1:15" x14ac:dyDescent="0.35">
      <c r="A495" s="77">
        <v>0.11780821917808219</v>
      </c>
      <c r="B495" s="19">
        <v>44761</v>
      </c>
      <c r="C495" s="19" t="s">
        <v>2817</v>
      </c>
      <c r="D495" s="19" t="s">
        <v>84</v>
      </c>
      <c r="E495" s="19" t="s">
        <v>85</v>
      </c>
      <c r="F495" s="19" t="s">
        <v>2606</v>
      </c>
      <c r="G495" s="19" t="s">
        <v>1028</v>
      </c>
      <c r="H495" s="19" t="s">
        <v>1020</v>
      </c>
      <c r="I495" s="19" t="s">
        <v>1575</v>
      </c>
      <c r="J495" s="20">
        <v>33</v>
      </c>
      <c r="K495" t="s">
        <v>642</v>
      </c>
      <c r="L495" t="s">
        <v>622</v>
      </c>
      <c r="M495" t="s">
        <v>623</v>
      </c>
      <c r="N495" t="s">
        <v>624</v>
      </c>
      <c r="O495" t="s">
        <v>730</v>
      </c>
    </row>
    <row r="496" spans="1:15" x14ac:dyDescent="0.35">
      <c r="A496" s="77">
        <v>7.9917808219178079</v>
      </c>
      <c r="B496" s="19">
        <v>44789</v>
      </c>
      <c r="C496" s="19" t="s">
        <v>2818</v>
      </c>
      <c r="D496" s="19" t="s">
        <v>181</v>
      </c>
      <c r="E496" s="19" t="s">
        <v>182</v>
      </c>
      <c r="F496" s="19" t="s">
        <v>1374</v>
      </c>
      <c r="G496" s="19" t="s">
        <v>1084</v>
      </c>
      <c r="H496" s="19" t="s">
        <v>1001</v>
      </c>
      <c r="I496" s="19" t="s">
        <v>1599</v>
      </c>
      <c r="J496" s="20">
        <v>28</v>
      </c>
      <c r="K496" t="s">
        <v>625</v>
      </c>
      <c r="L496" t="s">
        <v>678</v>
      </c>
      <c r="M496" t="s">
        <v>623</v>
      </c>
      <c r="N496" t="s">
        <v>624</v>
      </c>
      <c r="O496" t="s">
        <v>679</v>
      </c>
    </row>
    <row r="497" spans="1:15" x14ac:dyDescent="0.35">
      <c r="A497" s="77">
        <v>3.9068493150684933</v>
      </c>
      <c r="B497" s="19">
        <v>44903</v>
      </c>
      <c r="C497" s="19" t="s">
        <v>2819</v>
      </c>
      <c r="D497" s="19" t="s">
        <v>357</v>
      </c>
      <c r="E497" s="19" t="s">
        <v>358</v>
      </c>
      <c r="F497" s="19" t="s">
        <v>1161</v>
      </c>
      <c r="G497" s="19" t="s">
        <v>1008</v>
      </c>
      <c r="H497" s="19" t="s">
        <v>1001</v>
      </c>
      <c r="I497" s="19" t="s">
        <v>1599</v>
      </c>
      <c r="J497" s="20">
        <v>32</v>
      </c>
      <c r="K497" t="s">
        <v>668</v>
      </c>
      <c r="L497" t="s">
        <v>640</v>
      </c>
      <c r="M497" t="s">
        <v>623</v>
      </c>
      <c r="N497" t="s">
        <v>641</v>
      </c>
      <c r="O497" t="s">
        <v>852</v>
      </c>
    </row>
    <row r="498" spans="1:15" x14ac:dyDescent="0.35">
      <c r="A498" s="77">
        <v>6.9369863013698634</v>
      </c>
      <c r="B498" s="19">
        <v>45183</v>
      </c>
      <c r="C498" s="19" t="s">
        <v>2820</v>
      </c>
      <c r="D498" s="19" t="s">
        <v>276</v>
      </c>
      <c r="E498" s="19" t="s">
        <v>277</v>
      </c>
      <c r="F498" s="19" t="s">
        <v>893</v>
      </c>
      <c r="G498" s="19" t="s">
        <v>1008</v>
      </c>
      <c r="H498" s="19" t="s">
        <v>1001</v>
      </c>
      <c r="I498" s="19" t="s">
        <v>1575</v>
      </c>
      <c r="J498" s="20">
        <v>27</v>
      </c>
      <c r="K498" t="s">
        <v>631</v>
      </c>
      <c r="L498" t="s">
        <v>707</v>
      </c>
      <c r="M498" t="s">
        <v>629</v>
      </c>
      <c r="N498" t="s">
        <v>635</v>
      </c>
      <c r="O498" t="s">
        <v>710</v>
      </c>
    </row>
    <row r="499" spans="1:15" x14ac:dyDescent="0.35">
      <c r="A499" s="77">
        <v>1.6164383561643836</v>
      </c>
      <c r="B499" s="19">
        <v>45288</v>
      </c>
      <c r="C499" s="19" t="s">
        <v>2821</v>
      </c>
      <c r="D499" s="19" t="s">
        <v>387</v>
      </c>
      <c r="E499" s="19" t="s">
        <v>388</v>
      </c>
      <c r="F499" s="19" t="s">
        <v>1142</v>
      </c>
      <c r="G499" s="19" t="s">
        <v>1028</v>
      </c>
      <c r="H499" s="19" t="s">
        <v>1020</v>
      </c>
      <c r="I499" s="19" t="s">
        <v>1575</v>
      </c>
      <c r="J499" s="20">
        <v>36</v>
      </c>
      <c r="K499" t="s">
        <v>642</v>
      </c>
      <c r="L499" t="s">
        <v>634</v>
      </c>
      <c r="M499" t="s">
        <v>629</v>
      </c>
      <c r="N499" t="s">
        <v>630</v>
      </c>
      <c r="O499" t="s">
        <v>734</v>
      </c>
    </row>
    <row r="500" spans="1:15" x14ac:dyDescent="0.35">
      <c r="A500" s="77">
        <v>0.46849315068493153</v>
      </c>
      <c r="B500" s="19">
        <v>45306</v>
      </c>
      <c r="C500" s="19" t="s">
        <v>2822</v>
      </c>
      <c r="D500" s="19" t="s">
        <v>8</v>
      </c>
      <c r="E500" s="19" t="s">
        <v>8</v>
      </c>
      <c r="F500" s="19" t="s">
        <v>1176</v>
      </c>
      <c r="G500" s="19" t="s">
        <v>1008</v>
      </c>
      <c r="H500" s="19" t="s">
        <v>1001</v>
      </c>
      <c r="I500" s="19" t="s">
        <v>1599</v>
      </c>
      <c r="J500" s="20">
        <v>37</v>
      </c>
      <c r="K500" t="s">
        <v>625</v>
      </c>
      <c r="L500" t="s">
        <v>622</v>
      </c>
      <c r="M500" t="s">
        <v>623</v>
      </c>
      <c r="N500" t="s">
        <v>624</v>
      </c>
      <c r="O500" t="s">
        <v>626</v>
      </c>
    </row>
    <row r="501" spans="1:15" x14ac:dyDescent="0.35">
      <c r="A501" s="77">
        <v>7.9150684931506845</v>
      </c>
      <c r="B501" s="19">
        <v>45475</v>
      </c>
      <c r="C501" s="19" t="s">
        <v>2823</v>
      </c>
      <c r="D501" s="19" t="s">
        <v>41</v>
      </c>
      <c r="E501" s="19" t="s">
        <v>41</v>
      </c>
      <c r="F501" s="19" t="s">
        <v>1157</v>
      </c>
      <c r="G501" s="19" t="s">
        <v>1046</v>
      </c>
      <c r="H501" s="19" t="s">
        <v>1001</v>
      </c>
      <c r="I501" s="19" t="s">
        <v>1575</v>
      </c>
      <c r="J501" s="20">
        <v>26</v>
      </c>
      <c r="K501" t="s">
        <v>625</v>
      </c>
      <c r="L501" t="s">
        <v>691</v>
      </c>
      <c r="M501" t="s">
        <v>657</v>
      </c>
      <c r="N501" t="s">
        <v>658</v>
      </c>
      <c r="O501" t="s">
        <v>632</v>
      </c>
    </row>
    <row r="502" spans="1:15" x14ac:dyDescent="0.35">
      <c r="A502" s="77">
        <v>3.0849315068493151</v>
      </c>
      <c r="B502" s="19">
        <v>45616</v>
      </c>
      <c r="C502" s="19" t="s">
        <v>2824</v>
      </c>
      <c r="D502" s="19" t="s">
        <v>371</v>
      </c>
      <c r="E502" s="19" t="s">
        <v>372</v>
      </c>
      <c r="F502" s="19" t="s">
        <v>2222</v>
      </c>
      <c r="G502" s="19" t="s">
        <v>1057</v>
      </c>
      <c r="H502" s="19" t="s">
        <v>1001</v>
      </c>
      <c r="I502" s="19" t="s">
        <v>1575</v>
      </c>
      <c r="J502" s="20">
        <v>26</v>
      </c>
      <c r="K502" t="s">
        <v>668</v>
      </c>
      <c r="L502" t="s">
        <v>640</v>
      </c>
      <c r="M502" t="s">
        <v>623</v>
      </c>
      <c r="N502" t="s">
        <v>641</v>
      </c>
      <c r="O502" t="s">
        <v>859</v>
      </c>
    </row>
    <row r="503" spans="1:15" x14ac:dyDescent="0.35">
      <c r="A503" s="77">
        <v>7.9671232876712326</v>
      </c>
      <c r="B503" s="19">
        <v>45715</v>
      </c>
      <c r="C503" s="19" t="s">
        <v>2825</v>
      </c>
      <c r="D503" s="19" t="s">
        <v>230</v>
      </c>
      <c r="E503" s="19" t="s">
        <v>231</v>
      </c>
      <c r="F503" s="19" t="s">
        <v>2112</v>
      </c>
      <c r="G503" s="19" t="s">
        <v>1028</v>
      </c>
      <c r="H503" s="19" t="s">
        <v>1020</v>
      </c>
      <c r="I503" s="19" t="s">
        <v>1575</v>
      </c>
      <c r="J503" s="20">
        <v>35</v>
      </c>
      <c r="K503" t="s">
        <v>668</v>
      </c>
      <c r="L503" t="s">
        <v>684</v>
      </c>
      <c r="M503" t="s">
        <v>623</v>
      </c>
      <c r="N503" t="s">
        <v>662</v>
      </c>
      <c r="O503" t="s">
        <v>795</v>
      </c>
    </row>
    <row r="504" spans="1:15" x14ac:dyDescent="0.35">
      <c r="A504" s="77">
        <v>1.9726027397260273</v>
      </c>
      <c r="B504" s="19">
        <v>45752</v>
      </c>
      <c r="C504" s="19" t="s">
        <v>2826</v>
      </c>
      <c r="D504" s="19" t="s">
        <v>284</v>
      </c>
      <c r="E504" s="19" t="s">
        <v>285</v>
      </c>
      <c r="F504" s="19" t="s">
        <v>1150</v>
      </c>
      <c r="G504" s="19" t="s">
        <v>1034</v>
      </c>
      <c r="H504" s="19" t="s">
        <v>1001</v>
      </c>
      <c r="I504" s="19" t="s">
        <v>1575</v>
      </c>
      <c r="J504" s="20">
        <v>29</v>
      </c>
      <c r="K504" t="s">
        <v>625</v>
      </c>
      <c r="L504" t="s">
        <v>661</v>
      </c>
      <c r="M504" t="s">
        <v>657</v>
      </c>
      <c r="N504" t="s">
        <v>662</v>
      </c>
      <c r="O504" t="s">
        <v>632</v>
      </c>
    </row>
    <row r="505" spans="1:15" x14ac:dyDescent="0.35">
      <c r="A505" s="77">
        <v>7.9534246575342467</v>
      </c>
      <c r="B505" s="19">
        <v>45846</v>
      </c>
      <c r="C505" s="19" t="s">
        <v>2827</v>
      </c>
      <c r="D505" s="19" t="s">
        <v>420</v>
      </c>
      <c r="E505" s="19" t="s">
        <v>420</v>
      </c>
      <c r="F505" s="19" t="s">
        <v>686</v>
      </c>
      <c r="G505" s="19" t="s">
        <v>1000</v>
      </c>
      <c r="H505" s="19" t="s">
        <v>1001</v>
      </c>
      <c r="I505" s="19" t="s">
        <v>1575</v>
      </c>
      <c r="J505" s="20">
        <v>37</v>
      </c>
      <c r="K505" t="s">
        <v>631</v>
      </c>
      <c r="L505" t="s">
        <v>634</v>
      </c>
      <c r="M505" t="s">
        <v>629</v>
      </c>
      <c r="N505" t="s">
        <v>635</v>
      </c>
      <c r="O505" t="s">
        <v>637</v>
      </c>
    </row>
    <row r="506" spans="1:15" x14ac:dyDescent="0.35">
      <c r="A506" s="77">
        <v>6.4109589041095889</v>
      </c>
      <c r="B506" s="19">
        <v>45876</v>
      </c>
      <c r="C506" s="19" t="s">
        <v>2828</v>
      </c>
      <c r="D506" s="19" t="s">
        <v>420</v>
      </c>
      <c r="E506" s="19" t="s">
        <v>420</v>
      </c>
      <c r="F506" s="19" t="s">
        <v>686</v>
      </c>
      <c r="G506" s="19" t="s">
        <v>1034</v>
      </c>
      <c r="H506" s="19" t="s">
        <v>1001</v>
      </c>
      <c r="I506" s="19" t="s">
        <v>1575</v>
      </c>
      <c r="J506" s="20">
        <v>27</v>
      </c>
      <c r="K506" t="s">
        <v>631</v>
      </c>
      <c r="L506" t="s">
        <v>634</v>
      </c>
      <c r="M506" t="s">
        <v>629</v>
      </c>
      <c r="N506" t="s">
        <v>635</v>
      </c>
      <c r="O506" t="s">
        <v>637</v>
      </c>
    </row>
    <row r="507" spans="1:15" x14ac:dyDescent="0.35">
      <c r="A507" s="77">
        <v>0.99178082191780825</v>
      </c>
      <c r="B507" s="19">
        <v>45952</v>
      </c>
      <c r="C507" s="19" t="s">
        <v>2829</v>
      </c>
      <c r="D507" s="19" t="s">
        <v>58</v>
      </c>
      <c r="E507" s="19" t="s">
        <v>59</v>
      </c>
      <c r="F507" s="19" t="s">
        <v>1650</v>
      </c>
      <c r="G507" s="19" t="s">
        <v>1019</v>
      </c>
      <c r="H507" s="19" t="s">
        <v>1020</v>
      </c>
      <c r="I507" s="19" t="s">
        <v>1575</v>
      </c>
      <c r="J507" s="20">
        <v>27</v>
      </c>
      <c r="K507" t="s">
        <v>668</v>
      </c>
      <c r="L507" t="s">
        <v>651</v>
      </c>
      <c r="M507" t="s">
        <v>629</v>
      </c>
      <c r="N507" t="s">
        <v>630</v>
      </c>
      <c r="O507" t="s">
        <v>705</v>
      </c>
    </row>
    <row r="508" spans="1:15" x14ac:dyDescent="0.35">
      <c r="A508" s="77">
        <v>8</v>
      </c>
      <c r="B508" s="19">
        <v>45964</v>
      </c>
      <c r="C508" s="19" t="s">
        <v>2830</v>
      </c>
      <c r="D508" s="19" t="s">
        <v>397</v>
      </c>
      <c r="E508" s="19" t="s">
        <v>398</v>
      </c>
      <c r="F508" s="19" t="s">
        <v>867</v>
      </c>
      <c r="G508" s="19" t="s">
        <v>1034</v>
      </c>
      <c r="H508" s="19" t="s">
        <v>1001</v>
      </c>
      <c r="I508" s="19" t="s">
        <v>1599</v>
      </c>
      <c r="J508" s="20">
        <v>40</v>
      </c>
      <c r="K508" t="s">
        <v>625</v>
      </c>
      <c r="L508" t="s">
        <v>634</v>
      </c>
      <c r="M508" t="s">
        <v>629</v>
      </c>
      <c r="N508" t="s">
        <v>635</v>
      </c>
      <c r="O508" t="s">
        <v>637</v>
      </c>
    </row>
    <row r="509" spans="1:15" x14ac:dyDescent="0.35">
      <c r="A509" s="77">
        <v>0.95616438356164379</v>
      </c>
      <c r="B509" s="19">
        <v>45995</v>
      </c>
      <c r="C509" s="19" t="s">
        <v>2831</v>
      </c>
      <c r="D509" s="19" t="s">
        <v>181</v>
      </c>
      <c r="E509" s="19" t="s">
        <v>182</v>
      </c>
      <c r="F509" s="19" t="s">
        <v>1374</v>
      </c>
      <c r="G509" s="19" t="s">
        <v>1045</v>
      </c>
      <c r="H509" s="19" t="s">
        <v>1001</v>
      </c>
      <c r="I509" s="19" t="s">
        <v>1575</v>
      </c>
      <c r="J509" s="20">
        <v>31</v>
      </c>
      <c r="K509" t="s">
        <v>625</v>
      </c>
      <c r="L509" t="s">
        <v>678</v>
      </c>
      <c r="M509" t="s">
        <v>623</v>
      </c>
      <c r="N509" t="s">
        <v>624</v>
      </c>
      <c r="O509" t="s">
        <v>679</v>
      </c>
    </row>
    <row r="510" spans="1:15" x14ac:dyDescent="0.35">
      <c r="A510" s="77">
        <v>3.9643835616438357</v>
      </c>
      <c r="B510" s="19">
        <v>46184</v>
      </c>
      <c r="C510" s="19" t="s">
        <v>2832</v>
      </c>
      <c r="D510" s="19" t="s">
        <v>355</v>
      </c>
      <c r="E510" s="19" t="s">
        <v>356</v>
      </c>
      <c r="F510" s="19" t="s">
        <v>1100</v>
      </c>
      <c r="G510" s="19" t="s">
        <v>1046</v>
      </c>
      <c r="H510" s="19" t="s">
        <v>1001</v>
      </c>
      <c r="I510" s="19" t="s">
        <v>1599</v>
      </c>
      <c r="J510" s="20">
        <v>26</v>
      </c>
      <c r="K510" t="s">
        <v>625</v>
      </c>
      <c r="L510" t="s">
        <v>622</v>
      </c>
      <c r="M510" t="s">
        <v>623</v>
      </c>
      <c r="N510" t="s">
        <v>624</v>
      </c>
      <c r="O510" t="s">
        <v>649</v>
      </c>
    </row>
    <row r="511" spans="1:15" x14ac:dyDescent="0.35">
      <c r="A511" s="77">
        <v>7.9150684931506845</v>
      </c>
      <c r="B511" s="19">
        <v>46202</v>
      </c>
      <c r="C511" s="19" t="s">
        <v>2833</v>
      </c>
      <c r="D511" s="19" t="s">
        <v>222</v>
      </c>
      <c r="E511" s="19" t="s">
        <v>223</v>
      </c>
      <c r="F511" s="19" t="s">
        <v>1660</v>
      </c>
      <c r="G511" s="19" t="s">
        <v>1008</v>
      </c>
      <c r="H511" s="19" t="s">
        <v>1001</v>
      </c>
      <c r="I511" s="19" t="s">
        <v>1575</v>
      </c>
      <c r="J511" s="20">
        <v>31</v>
      </c>
      <c r="K511" t="s">
        <v>642</v>
      </c>
      <c r="L511" t="s">
        <v>684</v>
      </c>
      <c r="M511" t="s">
        <v>623</v>
      </c>
      <c r="N511" t="s">
        <v>662</v>
      </c>
      <c r="O511" t="s">
        <v>792</v>
      </c>
    </row>
    <row r="512" spans="1:15" x14ac:dyDescent="0.35">
      <c r="A512" s="77">
        <v>2.8465753424657536</v>
      </c>
      <c r="B512" s="19">
        <v>46256</v>
      </c>
      <c r="C512" s="19" t="s">
        <v>2834</v>
      </c>
      <c r="D512" s="19" t="s">
        <v>51</v>
      </c>
      <c r="E512" s="19" t="s">
        <v>52</v>
      </c>
      <c r="F512" s="19" t="s">
        <v>921</v>
      </c>
      <c r="G512" s="19" t="s">
        <v>1034</v>
      </c>
      <c r="H512" s="19" t="s">
        <v>1001</v>
      </c>
      <c r="I512" s="19" t="s">
        <v>1575</v>
      </c>
      <c r="J512" s="20">
        <v>26</v>
      </c>
      <c r="K512" t="s">
        <v>636</v>
      </c>
      <c r="L512" t="s">
        <v>656</v>
      </c>
      <c r="M512" t="s">
        <v>657</v>
      </c>
      <c r="N512" t="s">
        <v>658</v>
      </c>
      <c r="O512" t="s">
        <v>718</v>
      </c>
    </row>
    <row r="513" spans="1:15" x14ac:dyDescent="0.35">
      <c r="A513" s="77">
        <v>7.8876712328767127</v>
      </c>
      <c r="B513" s="19">
        <v>46378</v>
      </c>
      <c r="C513" s="19" t="s">
        <v>2835</v>
      </c>
      <c r="D513" s="19" t="s">
        <v>43</v>
      </c>
      <c r="E513" s="19" t="s">
        <v>44</v>
      </c>
      <c r="F513" s="19" t="s">
        <v>2355</v>
      </c>
      <c r="G513" s="19" t="s">
        <v>1028</v>
      </c>
      <c r="H513" s="19" t="s">
        <v>1020</v>
      </c>
      <c r="I513" s="19" t="s">
        <v>1575</v>
      </c>
      <c r="J513" s="20">
        <v>41</v>
      </c>
      <c r="K513" t="s">
        <v>654</v>
      </c>
      <c r="L513" t="s">
        <v>634</v>
      </c>
      <c r="M513" t="s">
        <v>629</v>
      </c>
      <c r="N513" t="s">
        <v>635</v>
      </c>
      <c r="O513" t="s">
        <v>637</v>
      </c>
    </row>
    <row r="514" spans="1:15" x14ac:dyDescent="0.35">
      <c r="A514" s="77">
        <v>7.8849315068493153</v>
      </c>
      <c r="B514" s="19">
        <v>46399</v>
      </c>
      <c r="C514" s="19" t="s">
        <v>2836</v>
      </c>
      <c r="D514" s="19" t="s">
        <v>41</v>
      </c>
      <c r="E514" s="19" t="s">
        <v>41</v>
      </c>
      <c r="F514" s="19" t="s">
        <v>1157</v>
      </c>
      <c r="G514" s="19" t="s">
        <v>1008</v>
      </c>
      <c r="H514" s="19" t="s">
        <v>1001</v>
      </c>
      <c r="I514" s="19" t="s">
        <v>1575</v>
      </c>
      <c r="J514" s="20">
        <v>30</v>
      </c>
      <c r="K514" t="s">
        <v>625</v>
      </c>
      <c r="L514" t="s">
        <v>691</v>
      </c>
      <c r="M514" t="s">
        <v>657</v>
      </c>
      <c r="N514" t="s">
        <v>658</v>
      </c>
      <c r="O514" t="s">
        <v>632</v>
      </c>
    </row>
    <row r="515" spans="1:15" x14ac:dyDescent="0.35">
      <c r="A515" s="77">
        <v>4.7972602739726025</v>
      </c>
      <c r="B515" s="19">
        <v>46570</v>
      </c>
      <c r="C515" s="19" t="s">
        <v>2837</v>
      </c>
      <c r="D515" s="19" t="s">
        <v>397</v>
      </c>
      <c r="E515" s="19" t="s">
        <v>398</v>
      </c>
      <c r="F515" s="19" t="s">
        <v>867</v>
      </c>
      <c r="G515" s="19" t="s">
        <v>1045</v>
      </c>
      <c r="H515" s="19" t="s">
        <v>1001</v>
      </c>
      <c r="I515" s="19" t="s">
        <v>1575</v>
      </c>
      <c r="J515" s="20">
        <v>26</v>
      </c>
      <c r="K515" t="s">
        <v>625</v>
      </c>
      <c r="L515" t="s">
        <v>634</v>
      </c>
      <c r="M515" t="s">
        <v>629</v>
      </c>
      <c r="N515" t="s">
        <v>635</v>
      </c>
      <c r="O515" t="s">
        <v>637</v>
      </c>
    </row>
    <row r="516" spans="1:15" x14ac:dyDescent="0.35">
      <c r="A516" s="77">
        <v>0.57808219178082187</v>
      </c>
      <c r="B516" s="19">
        <v>46783</v>
      </c>
      <c r="C516" s="19" t="s">
        <v>2838</v>
      </c>
      <c r="D516" s="19" t="s">
        <v>252</v>
      </c>
      <c r="E516" s="19" t="s">
        <v>253</v>
      </c>
      <c r="F516" s="19" t="s">
        <v>914</v>
      </c>
      <c r="G516" s="19" t="s">
        <v>1084</v>
      </c>
      <c r="H516" s="19" t="s">
        <v>1020</v>
      </c>
      <c r="I516" s="19" t="s">
        <v>1575</v>
      </c>
      <c r="J516" s="20">
        <v>34</v>
      </c>
      <c r="K516" t="s">
        <v>636</v>
      </c>
      <c r="L516" t="s">
        <v>656</v>
      </c>
      <c r="M516" t="s">
        <v>657</v>
      </c>
      <c r="N516" t="s">
        <v>658</v>
      </c>
      <c r="O516" t="s">
        <v>718</v>
      </c>
    </row>
    <row r="517" spans="1:15" x14ac:dyDescent="0.35">
      <c r="A517" s="77">
        <v>7.8301369863013699</v>
      </c>
      <c r="B517" s="19">
        <v>47062</v>
      </c>
      <c r="C517" s="19" t="s">
        <v>2839</v>
      </c>
      <c r="D517" s="19" t="s">
        <v>76</v>
      </c>
      <c r="E517" s="19" t="s">
        <v>77</v>
      </c>
      <c r="F517" s="19" t="s">
        <v>899</v>
      </c>
      <c r="G517" s="19" t="s">
        <v>1046</v>
      </c>
      <c r="H517" s="19" t="s">
        <v>1001</v>
      </c>
      <c r="I517" s="19" t="s">
        <v>1575</v>
      </c>
      <c r="J517" s="20">
        <v>26</v>
      </c>
      <c r="K517" t="s">
        <v>636</v>
      </c>
      <c r="L517" t="s">
        <v>645</v>
      </c>
      <c r="M517" t="s">
        <v>629</v>
      </c>
      <c r="N517" t="s">
        <v>646</v>
      </c>
      <c r="O517" t="s">
        <v>632</v>
      </c>
    </row>
    <row r="518" spans="1:15" x14ac:dyDescent="0.35">
      <c r="A518" s="77">
        <v>7.8356164383561646</v>
      </c>
      <c r="B518" s="19">
        <v>47083</v>
      </c>
      <c r="C518" s="19" t="s">
        <v>2840</v>
      </c>
      <c r="D518" s="19" t="s">
        <v>149</v>
      </c>
      <c r="E518" s="19" t="s">
        <v>150</v>
      </c>
      <c r="F518" s="19" t="s">
        <v>1548</v>
      </c>
      <c r="G518" s="19" t="s">
        <v>1000</v>
      </c>
      <c r="H518" s="19" t="s">
        <v>1001</v>
      </c>
      <c r="I518" s="19" t="s">
        <v>1599</v>
      </c>
      <c r="J518" s="20">
        <v>36</v>
      </c>
      <c r="K518" t="s">
        <v>654</v>
      </c>
      <c r="L518" t="s">
        <v>648</v>
      </c>
      <c r="M518" t="s">
        <v>623</v>
      </c>
      <c r="N518" t="s">
        <v>624</v>
      </c>
      <c r="O518" t="s">
        <v>725</v>
      </c>
    </row>
    <row r="519" spans="1:15" x14ac:dyDescent="0.35">
      <c r="A519" s="77">
        <v>7.8328767123287673</v>
      </c>
      <c r="B519" s="19">
        <v>47092</v>
      </c>
      <c r="C519" s="19" t="s">
        <v>2841</v>
      </c>
      <c r="D519" s="19" t="s">
        <v>193</v>
      </c>
      <c r="E519" s="19" t="s">
        <v>194</v>
      </c>
      <c r="F519" s="19" t="s">
        <v>2422</v>
      </c>
      <c r="G519" s="19" t="s">
        <v>1084</v>
      </c>
      <c r="H519" s="19" t="s">
        <v>1001</v>
      </c>
      <c r="I519" s="19" t="s">
        <v>1599</v>
      </c>
      <c r="J519" s="20">
        <v>33</v>
      </c>
      <c r="K519" t="s">
        <v>654</v>
      </c>
      <c r="L519" t="s">
        <v>670</v>
      </c>
      <c r="M519" t="s">
        <v>657</v>
      </c>
      <c r="N519" t="s">
        <v>641</v>
      </c>
      <c r="O519" t="s">
        <v>676</v>
      </c>
    </row>
    <row r="520" spans="1:15" x14ac:dyDescent="0.35">
      <c r="A520" s="77">
        <v>7.8191780821917805</v>
      </c>
      <c r="B520" s="19">
        <v>47164</v>
      </c>
      <c r="C520" s="19" t="s">
        <v>2842</v>
      </c>
      <c r="D520" s="19" t="s">
        <v>34</v>
      </c>
      <c r="E520" s="19" t="s">
        <v>34</v>
      </c>
      <c r="F520" s="19" t="s">
        <v>1066</v>
      </c>
      <c r="G520" s="19" t="s">
        <v>1008</v>
      </c>
      <c r="H520" s="19" t="s">
        <v>1001</v>
      </c>
      <c r="I520" s="19" t="s">
        <v>1575</v>
      </c>
      <c r="J520" s="20">
        <v>40</v>
      </c>
      <c r="K520" t="s">
        <v>654</v>
      </c>
      <c r="L520" t="s">
        <v>656</v>
      </c>
      <c r="M520" t="s">
        <v>657</v>
      </c>
      <c r="N520" t="s">
        <v>658</v>
      </c>
      <c r="O520" t="s">
        <v>632</v>
      </c>
    </row>
    <row r="521" spans="1:15" x14ac:dyDescent="0.35">
      <c r="A521" s="77">
        <v>1.789041095890411</v>
      </c>
      <c r="B521" s="19">
        <v>47203</v>
      </c>
      <c r="C521" s="19" t="s">
        <v>2843</v>
      </c>
      <c r="D521" s="19" t="s">
        <v>262</v>
      </c>
      <c r="E521" s="19" t="s">
        <v>263</v>
      </c>
      <c r="F521" s="19" t="s">
        <v>2336</v>
      </c>
      <c r="G521" s="19" t="s">
        <v>1008</v>
      </c>
      <c r="H521" s="19" t="s">
        <v>1001</v>
      </c>
      <c r="I521" s="19" t="s">
        <v>1575</v>
      </c>
      <c r="J521" s="20">
        <v>29</v>
      </c>
      <c r="K521" t="s">
        <v>668</v>
      </c>
      <c r="L521" t="s">
        <v>663</v>
      </c>
      <c r="M521" t="s">
        <v>629</v>
      </c>
      <c r="N521" t="s">
        <v>646</v>
      </c>
      <c r="O521" t="s">
        <v>810</v>
      </c>
    </row>
    <row r="522" spans="1:15" x14ac:dyDescent="0.35">
      <c r="A522" s="77">
        <v>3.9452054794520546</v>
      </c>
      <c r="B522" s="19">
        <v>47265</v>
      </c>
      <c r="C522" s="19" t="s">
        <v>2844</v>
      </c>
      <c r="D522" s="19" t="s">
        <v>118</v>
      </c>
      <c r="E522" s="19" t="s">
        <v>119</v>
      </c>
      <c r="F522" s="19" t="s">
        <v>1360</v>
      </c>
      <c r="G522" s="19" t="s">
        <v>1589</v>
      </c>
      <c r="H522" s="19" t="s">
        <v>1001</v>
      </c>
      <c r="I522" s="19" t="s">
        <v>1575</v>
      </c>
      <c r="J522" s="20">
        <v>26</v>
      </c>
      <c r="K522" t="s">
        <v>625</v>
      </c>
      <c r="L522" t="s">
        <v>656</v>
      </c>
      <c r="M522" t="s">
        <v>657</v>
      </c>
      <c r="N522" t="s">
        <v>658</v>
      </c>
      <c r="O522" t="s">
        <v>632</v>
      </c>
    </row>
    <row r="523" spans="1:15" x14ac:dyDescent="0.35">
      <c r="A523" s="77">
        <v>7.8109589041095893</v>
      </c>
      <c r="B523" s="19">
        <v>47344</v>
      </c>
      <c r="C523" s="19" t="s">
        <v>2845</v>
      </c>
      <c r="D523" s="19" t="s">
        <v>341</v>
      </c>
      <c r="E523" s="19" t="s">
        <v>342</v>
      </c>
      <c r="F523" s="19" t="s">
        <v>1264</v>
      </c>
      <c r="G523" s="19" t="s">
        <v>1045</v>
      </c>
      <c r="H523" s="19" t="s">
        <v>1001</v>
      </c>
      <c r="I523" s="19" t="s">
        <v>1575</v>
      </c>
      <c r="J523" s="20">
        <v>31</v>
      </c>
      <c r="K523" t="s">
        <v>636</v>
      </c>
      <c r="L523" t="s">
        <v>678</v>
      </c>
      <c r="M523" t="s">
        <v>623</v>
      </c>
      <c r="N523" t="s">
        <v>624</v>
      </c>
      <c r="O523" t="s">
        <v>679</v>
      </c>
    </row>
    <row r="524" spans="1:15" x14ac:dyDescent="0.35">
      <c r="A524" s="77">
        <v>7.8082191780821919</v>
      </c>
      <c r="B524" s="19">
        <v>47359</v>
      </c>
      <c r="C524" s="19" t="s">
        <v>2846</v>
      </c>
      <c r="D524" s="19" t="s">
        <v>8</v>
      </c>
      <c r="E524" s="19" t="s">
        <v>8</v>
      </c>
      <c r="F524" s="19" t="s">
        <v>1176</v>
      </c>
      <c r="G524" s="19" t="s">
        <v>1034</v>
      </c>
      <c r="H524" s="19" t="s">
        <v>1001</v>
      </c>
      <c r="I524" s="19" t="s">
        <v>1575</v>
      </c>
      <c r="J524" s="20">
        <v>30</v>
      </c>
      <c r="K524" t="s">
        <v>625</v>
      </c>
      <c r="L524" t="s">
        <v>622</v>
      </c>
      <c r="M524" t="s">
        <v>623</v>
      </c>
      <c r="N524" t="s">
        <v>624</v>
      </c>
      <c r="O524" t="s">
        <v>626</v>
      </c>
    </row>
    <row r="525" spans="1:15" x14ac:dyDescent="0.35">
      <c r="A525" s="77">
        <v>7.8082191780821919</v>
      </c>
      <c r="B525" s="19">
        <v>47454</v>
      </c>
      <c r="C525" s="19" t="s">
        <v>2847</v>
      </c>
      <c r="D525" s="19" t="s">
        <v>230</v>
      </c>
      <c r="E525" s="19" t="s">
        <v>231</v>
      </c>
      <c r="F525" s="19" t="s">
        <v>2112</v>
      </c>
      <c r="G525" s="19" t="s">
        <v>1034</v>
      </c>
      <c r="H525" s="19" t="s">
        <v>1001</v>
      </c>
      <c r="I525" s="19" t="s">
        <v>1599</v>
      </c>
      <c r="J525" s="20">
        <v>35</v>
      </c>
      <c r="K525" t="s">
        <v>668</v>
      </c>
      <c r="L525" t="s">
        <v>684</v>
      </c>
      <c r="M525" t="s">
        <v>623</v>
      </c>
      <c r="N525" t="s">
        <v>662</v>
      </c>
      <c r="O525" t="s">
        <v>795</v>
      </c>
    </row>
    <row r="526" spans="1:15" x14ac:dyDescent="0.35">
      <c r="A526" s="77">
        <v>0.57808219178082187</v>
      </c>
      <c r="B526" s="19">
        <v>47652</v>
      </c>
      <c r="C526" s="19" t="s">
        <v>2848</v>
      </c>
      <c r="D526" s="19" t="s">
        <v>76</v>
      </c>
      <c r="E526" s="19" t="s">
        <v>77</v>
      </c>
      <c r="F526" s="19" t="s">
        <v>899</v>
      </c>
      <c r="G526" s="19" t="s">
        <v>1019</v>
      </c>
      <c r="H526" s="19" t="s">
        <v>1020</v>
      </c>
      <c r="I526" s="19" t="s">
        <v>1599</v>
      </c>
      <c r="J526" s="20">
        <v>26</v>
      </c>
      <c r="K526" t="s">
        <v>636</v>
      </c>
      <c r="L526" t="s">
        <v>645</v>
      </c>
      <c r="M526" t="s">
        <v>629</v>
      </c>
      <c r="N526" t="s">
        <v>646</v>
      </c>
      <c r="O526" t="s">
        <v>632</v>
      </c>
    </row>
    <row r="527" spans="1:15" x14ac:dyDescent="0.35">
      <c r="A527" s="77">
        <v>7.8136986301369866</v>
      </c>
      <c r="B527" s="19">
        <v>47659</v>
      </c>
      <c r="C527" s="19" t="s">
        <v>2849</v>
      </c>
      <c r="D527" s="19" t="s">
        <v>222</v>
      </c>
      <c r="E527" s="19" t="s">
        <v>223</v>
      </c>
      <c r="F527" s="19" t="s">
        <v>1660</v>
      </c>
      <c r="G527" s="19" t="s">
        <v>1045</v>
      </c>
      <c r="H527" s="19" t="s">
        <v>1001</v>
      </c>
      <c r="I527" s="19" t="s">
        <v>1599</v>
      </c>
      <c r="J527" s="20">
        <v>43</v>
      </c>
      <c r="K527" t="s">
        <v>642</v>
      </c>
      <c r="L527" t="s">
        <v>684</v>
      </c>
      <c r="M527" t="s">
        <v>623</v>
      </c>
      <c r="N527" t="s">
        <v>662</v>
      </c>
      <c r="O527" t="s">
        <v>792</v>
      </c>
    </row>
    <row r="528" spans="1:15" x14ac:dyDescent="0.35">
      <c r="A528" s="77">
        <v>7.7972602739726025</v>
      </c>
      <c r="B528" s="19">
        <v>47772</v>
      </c>
      <c r="C528" s="19" t="s">
        <v>2850</v>
      </c>
      <c r="D528" s="19" t="s">
        <v>397</v>
      </c>
      <c r="E528" s="19" t="s">
        <v>398</v>
      </c>
      <c r="F528" s="19" t="s">
        <v>867</v>
      </c>
      <c r="G528" s="19" t="s">
        <v>1008</v>
      </c>
      <c r="H528" s="19" t="s">
        <v>1001</v>
      </c>
      <c r="I528" s="19" t="s">
        <v>1575</v>
      </c>
      <c r="J528" s="20">
        <v>34</v>
      </c>
      <c r="K528" t="s">
        <v>625</v>
      </c>
      <c r="L528" t="s">
        <v>634</v>
      </c>
      <c r="M528" t="s">
        <v>629</v>
      </c>
      <c r="N528" t="s">
        <v>635</v>
      </c>
      <c r="O528" t="s">
        <v>637</v>
      </c>
    </row>
    <row r="529" spans="1:15" x14ac:dyDescent="0.35">
      <c r="A529" s="77">
        <v>7.7972602739726025</v>
      </c>
      <c r="B529" s="19">
        <v>47774</v>
      </c>
      <c r="C529" s="19" t="s">
        <v>2851</v>
      </c>
      <c r="D529" s="19" t="s">
        <v>397</v>
      </c>
      <c r="E529" s="19" t="s">
        <v>398</v>
      </c>
      <c r="F529" s="19" t="s">
        <v>867</v>
      </c>
      <c r="G529" s="19" t="s">
        <v>1057</v>
      </c>
      <c r="H529" s="19" t="s">
        <v>1001</v>
      </c>
      <c r="I529" s="19" t="s">
        <v>1575</v>
      </c>
      <c r="J529" s="20">
        <v>27</v>
      </c>
      <c r="K529" t="s">
        <v>625</v>
      </c>
      <c r="L529" t="s">
        <v>634</v>
      </c>
      <c r="M529" t="s">
        <v>629</v>
      </c>
      <c r="N529" t="s">
        <v>635</v>
      </c>
      <c r="O529" t="s">
        <v>637</v>
      </c>
    </row>
    <row r="530" spans="1:15" x14ac:dyDescent="0.35">
      <c r="A530" s="77">
        <v>2.1452054794520548</v>
      </c>
      <c r="B530" s="19">
        <v>47810</v>
      </c>
      <c r="C530" s="19" t="s">
        <v>2852</v>
      </c>
      <c r="D530" s="19" t="s">
        <v>218</v>
      </c>
      <c r="E530" s="19" t="s">
        <v>219</v>
      </c>
      <c r="F530" s="19" t="s">
        <v>1372</v>
      </c>
      <c r="G530" s="19" t="s">
        <v>1000</v>
      </c>
      <c r="H530" s="19" t="s">
        <v>1001</v>
      </c>
      <c r="I530" s="19" t="s">
        <v>1599</v>
      </c>
      <c r="J530" s="20">
        <v>27</v>
      </c>
      <c r="K530" t="s">
        <v>625</v>
      </c>
      <c r="L530" t="s">
        <v>661</v>
      </c>
      <c r="M530" t="s">
        <v>657</v>
      </c>
      <c r="N530" t="s">
        <v>662</v>
      </c>
      <c r="O530" t="s">
        <v>632</v>
      </c>
    </row>
    <row r="531" spans="1:15" x14ac:dyDescent="0.35">
      <c r="A531" s="77">
        <v>7.7945205479452051</v>
      </c>
      <c r="B531" s="19">
        <v>47816</v>
      </c>
      <c r="C531" s="19" t="s">
        <v>2853</v>
      </c>
      <c r="D531" s="19" t="s">
        <v>420</v>
      </c>
      <c r="E531" s="19" t="s">
        <v>420</v>
      </c>
      <c r="F531" s="19" t="s">
        <v>686</v>
      </c>
      <c r="G531" s="19" t="s">
        <v>1045</v>
      </c>
      <c r="H531" s="19" t="s">
        <v>1001</v>
      </c>
      <c r="I531" s="19" t="s">
        <v>1575</v>
      </c>
      <c r="J531" s="20">
        <v>36</v>
      </c>
      <c r="K531" t="s">
        <v>631</v>
      </c>
      <c r="L531" t="s">
        <v>634</v>
      </c>
      <c r="M531" t="s">
        <v>629</v>
      </c>
      <c r="N531" t="s">
        <v>635</v>
      </c>
      <c r="O531" t="s">
        <v>637</v>
      </c>
    </row>
    <row r="532" spans="1:15" x14ac:dyDescent="0.35">
      <c r="A532" s="77">
        <v>6.2219178082191782</v>
      </c>
      <c r="B532" s="19">
        <v>47836</v>
      </c>
      <c r="C532" s="19" t="s">
        <v>2854</v>
      </c>
      <c r="D532" s="19" t="s">
        <v>62</v>
      </c>
      <c r="E532" s="19" t="s">
        <v>63</v>
      </c>
      <c r="F532" s="19" t="s">
        <v>1228</v>
      </c>
      <c r="G532" s="19" t="s">
        <v>1046</v>
      </c>
      <c r="H532" s="19" t="s">
        <v>1001</v>
      </c>
      <c r="I532" s="19" t="s">
        <v>1575</v>
      </c>
      <c r="J532" s="20">
        <v>26</v>
      </c>
      <c r="K532" t="s">
        <v>636</v>
      </c>
      <c r="L532" t="s">
        <v>645</v>
      </c>
      <c r="M532" t="s">
        <v>629</v>
      </c>
      <c r="N532" t="s">
        <v>646</v>
      </c>
      <c r="O532" t="s">
        <v>632</v>
      </c>
    </row>
    <row r="533" spans="1:15" x14ac:dyDescent="0.35">
      <c r="A533" s="77">
        <v>7.7890410958904113</v>
      </c>
      <c r="B533" s="19">
        <v>48176</v>
      </c>
      <c r="C533" s="19" t="s">
        <v>2855</v>
      </c>
      <c r="D533" s="19" t="s">
        <v>266</v>
      </c>
      <c r="E533" s="19" t="s">
        <v>267</v>
      </c>
      <c r="F533" s="19" t="s">
        <v>2070</v>
      </c>
      <c r="G533" s="19" t="s">
        <v>1045</v>
      </c>
      <c r="H533" s="19" t="s">
        <v>1001</v>
      </c>
      <c r="I533" s="19" t="s">
        <v>1575</v>
      </c>
      <c r="J533" s="20">
        <v>33</v>
      </c>
      <c r="K533" t="s">
        <v>636</v>
      </c>
      <c r="L533" t="s">
        <v>634</v>
      </c>
      <c r="M533" t="s">
        <v>629</v>
      </c>
      <c r="N533" t="s">
        <v>635</v>
      </c>
      <c r="O533" t="s">
        <v>637</v>
      </c>
    </row>
    <row r="534" spans="1:15" x14ac:dyDescent="0.35">
      <c r="A534" s="77">
        <v>7.5479452054794525</v>
      </c>
      <c r="B534" s="19">
        <v>48192</v>
      </c>
      <c r="C534" s="19" t="s">
        <v>2856</v>
      </c>
      <c r="D534" s="19" t="s">
        <v>339</v>
      </c>
      <c r="E534" s="19" t="s">
        <v>340</v>
      </c>
      <c r="F534" s="19" t="s">
        <v>1024</v>
      </c>
      <c r="G534" s="19" t="s">
        <v>1008</v>
      </c>
      <c r="H534" s="19" t="s">
        <v>1001</v>
      </c>
      <c r="I534" s="19" t="s">
        <v>1575</v>
      </c>
      <c r="J534" s="20">
        <v>27</v>
      </c>
      <c r="K534" t="s">
        <v>631</v>
      </c>
      <c r="L534" t="s">
        <v>651</v>
      </c>
      <c r="M534" t="s">
        <v>629</v>
      </c>
      <c r="N534" t="s">
        <v>630</v>
      </c>
      <c r="O534" t="s">
        <v>705</v>
      </c>
    </row>
    <row r="535" spans="1:15" x14ac:dyDescent="0.35">
      <c r="A535" s="77">
        <v>7.7972602739726025</v>
      </c>
      <c r="B535" s="19">
        <v>48213</v>
      </c>
      <c r="C535" s="19" t="s">
        <v>2857</v>
      </c>
      <c r="D535" s="19" t="s">
        <v>157</v>
      </c>
      <c r="E535" s="19" t="s">
        <v>158</v>
      </c>
      <c r="F535" s="19" t="s">
        <v>1012</v>
      </c>
      <c r="G535" s="19" t="s">
        <v>1057</v>
      </c>
      <c r="H535" s="19" t="s">
        <v>1001</v>
      </c>
      <c r="I535" s="19" t="s">
        <v>1599</v>
      </c>
      <c r="J535" s="20">
        <v>33</v>
      </c>
      <c r="K535" t="s">
        <v>668</v>
      </c>
      <c r="L535" t="s">
        <v>670</v>
      </c>
      <c r="M535" t="s">
        <v>657</v>
      </c>
      <c r="N535" t="s">
        <v>641</v>
      </c>
      <c r="O535" t="s">
        <v>671</v>
      </c>
    </row>
    <row r="536" spans="1:15" x14ac:dyDescent="0.35">
      <c r="A536" s="77">
        <v>0.53972602739726028</v>
      </c>
      <c r="B536" s="19">
        <v>48227</v>
      </c>
      <c r="C536" s="19" t="s">
        <v>2858</v>
      </c>
      <c r="D536" s="19" t="s">
        <v>258</v>
      </c>
      <c r="E536" s="19" t="s">
        <v>259</v>
      </c>
      <c r="F536" s="19" t="s">
        <v>1349</v>
      </c>
      <c r="G536" s="19" t="s">
        <v>1000</v>
      </c>
      <c r="H536" s="19" t="s">
        <v>1001</v>
      </c>
      <c r="I536" s="19" t="s">
        <v>1599</v>
      </c>
      <c r="J536" s="20">
        <v>26</v>
      </c>
      <c r="K536" t="s">
        <v>668</v>
      </c>
      <c r="L536" t="s">
        <v>691</v>
      </c>
      <c r="M536" t="s">
        <v>657</v>
      </c>
      <c r="N536" t="s">
        <v>658</v>
      </c>
      <c r="O536" t="s">
        <v>632</v>
      </c>
    </row>
    <row r="537" spans="1:15" x14ac:dyDescent="0.35">
      <c r="A537" s="77">
        <v>4.5726027397260278</v>
      </c>
      <c r="B537" s="19">
        <v>48260</v>
      </c>
      <c r="C537" s="19" t="s">
        <v>2859</v>
      </c>
      <c r="D537" s="19" t="s">
        <v>80</v>
      </c>
      <c r="E537" s="19" t="s">
        <v>81</v>
      </c>
      <c r="F537" s="19" t="s">
        <v>1022</v>
      </c>
      <c r="G537" s="19" t="s">
        <v>1046</v>
      </c>
      <c r="H537" s="19" t="s">
        <v>1001</v>
      </c>
      <c r="I537" s="19" t="s">
        <v>1599</v>
      </c>
      <c r="J537" s="20">
        <v>29</v>
      </c>
      <c r="K537" t="s">
        <v>654</v>
      </c>
      <c r="L537" t="s">
        <v>628</v>
      </c>
      <c r="M537" t="s">
        <v>629</v>
      </c>
      <c r="N537" t="s">
        <v>630</v>
      </c>
      <c r="O537" t="s">
        <v>632</v>
      </c>
    </row>
    <row r="538" spans="1:15" x14ac:dyDescent="0.35">
      <c r="A538" s="77">
        <v>7.7506849315068491</v>
      </c>
      <c r="B538" s="19">
        <v>48349</v>
      </c>
      <c r="C538" s="19" t="s">
        <v>2860</v>
      </c>
      <c r="D538" s="19" t="s">
        <v>11</v>
      </c>
      <c r="E538" s="19" t="s">
        <v>11</v>
      </c>
      <c r="F538" s="19" t="s">
        <v>627</v>
      </c>
      <c r="G538" s="19" t="s">
        <v>1046</v>
      </c>
      <c r="H538" s="19" t="s">
        <v>1001</v>
      </c>
      <c r="I538" s="19" t="s">
        <v>1575</v>
      </c>
      <c r="J538" s="20">
        <v>29</v>
      </c>
      <c r="K538" t="s">
        <v>631</v>
      </c>
      <c r="L538" t="s">
        <v>628</v>
      </c>
      <c r="M538" t="s">
        <v>629</v>
      </c>
      <c r="N538" t="s">
        <v>630</v>
      </c>
      <c r="O538" t="s">
        <v>632</v>
      </c>
    </row>
    <row r="539" spans="1:15" x14ac:dyDescent="0.35">
      <c r="A539" s="77">
        <v>7.7424657534246579</v>
      </c>
      <c r="B539" s="19">
        <v>48391</v>
      </c>
      <c r="C539" s="19" t="s">
        <v>2861</v>
      </c>
      <c r="D539" s="19" t="s">
        <v>341</v>
      </c>
      <c r="E539" s="19" t="s">
        <v>342</v>
      </c>
      <c r="F539" s="19" t="s">
        <v>1264</v>
      </c>
      <c r="G539" s="19" t="s">
        <v>1046</v>
      </c>
      <c r="H539" s="19" t="s">
        <v>1001</v>
      </c>
      <c r="I539" s="19" t="s">
        <v>1575</v>
      </c>
      <c r="J539" s="20">
        <v>37</v>
      </c>
      <c r="K539" t="s">
        <v>636</v>
      </c>
      <c r="L539" t="s">
        <v>678</v>
      </c>
      <c r="M539" t="s">
        <v>623</v>
      </c>
      <c r="N539" t="s">
        <v>624</v>
      </c>
      <c r="O539" t="s">
        <v>679</v>
      </c>
    </row>
    <row r="540" spans="1:15" x14ac:dyDescent="0.35">
      <c r="A540" s="77">
        <v>7.7397260273972606</v>
      </c>
      <c r="B540" s="19">
        <v>49468</v>
      </c>
      <c r="C540" s="19" t="s">
        <v>2862</v>
      </c>
      <c r="D540" s="19" t="s">
        <v>165</v>
      </c>
      <c r="E540" s="19" t="s">
        <v>166</v>
      </c>
      <c r="F540" s="19" t="s">
        <v>1238</v>
      </c>
      <c r="G540" s="19" t="s">
        <v>1008</v>
      </c>
      <c r="H540" s="19" t="s">
        <v>1001</v>
      </c>
      <c r="I540" s="19" t="s">
        <v>1575</v>
      </c>
      <c r="J540" s="20">
        <v>36</v>
      </c>
      <c r="K540" t="s">
        <v>636</v>
      </c>
      <c r="L540" t="s">
        <v>648</v>
      </c>
      <c r="M540" t="s">
        <v>623</v>
      </c>
      <c r="N540" t="s">
        <v>624</v>
      </c>
      <c r="O540" t="s">
        <v>649</v>
      </c>
    </row>
    <row r="541" spans="1:15" x14ac:dyDescent="0.35">
      <c r="A541" s="77">
        <v>7.7315068493150685</v>
      </c>
      <c r="B541" s="19">
        <v>49596</v>
      </c>
      <c r="C541" s="19" t="s">
        <v>2863</v>
      </c>
      <c r="D541" s="19" t="s">
        <v>305</v>
      </c>
      <c r="E541" s="19" t="s">
        <v>306</v>
      </c>
      <c r="F541" s="19" t="s">
        <v>1086</v>
      </c>
      <c r="G541" s="19" t="s">
        <v>1008</v>
      </c>
      <c r="H541" s="19" t="s">
        <v>1001</v>
      </c>
      <c r="I541" s="19" t="s">
        <v>1575</v>
      </c>
      <c r="J541" s="20">
        <v>29</v>
      </c>
      <c r="K541" t="s">
        <v>654</v>
      </c>
      <c r="L541" t="s">
        <v>622</v>
      </c>
      <c r="M541" t="s">
        <v>623</v>
      </c>
      <c r="N541" t="s">
        <v>624</v>
      </c>
      <c r="O541" t="s">
        <v>826</v>
      </c>
    </row>
    <row r="542" spans="1:15" x14ac:dyDescent="0.35">
      <c r="A542" s="77">
        <v>5.7369863013698632</v>
      </c>
      <c r="B542" s="19">
        <v>49632</v>
      </c>
      <c r="C542" s="19" t="s">
        <v>2864</v>
      </c>
      <c r="D542" s="19" t="s">
        <v>290</v>
      </c>
      <c r="E542" s="19" t="s">
        <v>291</v>
      </c>
      <c r="F542" s="19" t="s">
        <v>1182</v>
      </c>
      <c r="G542" s="19" t="s">
        <v>1000</v>
      </c>
      <c r="H542" s="19" t="s">
        <v>1001</v>
      </c>
      <c r="I542" s="19" t="s">
        <v>1599</v>
      </c>
      <c r="J542" s="20">
        <v>34</v>
      </c>
      <c r="K542" t="s">
        <v>668</v>
      </c>
      <c r="L542" t="s">
        <v>663</v>
      </c>
      <c r="M542" t="s">
        <v>629</v>
      </c>
      <c r="N542" t="s">
        <v>646</v>
      </c>
      <c r="O542" t="s">
        <v>639</v>
      </c>
    </row>
    <row r="543" spans="1:15" x14ac:dyDescent="0.35">
      <c r="A543" s="77">
        <v>7.7232876712328764</v>
      </c>
      <c r="B543" s="19">
        <v>49673</v>
      </c>
      <c r="C543" s="19" t="s">
        <v>2865</v>
      </c>
      <c r="D543" s="19" t="s">
        <v>429</v>
      </c>
      <c r="E543" s="19" t="s">
        <v>429</v>
      </c>
      <c r="F543" s="19" t="s">
        <v>1240</v>
      </c>
      <c r="G543" s="19" t="s">
        <v>1000</v>
      </c>
      <c r="H543" s="19" t="s">
        <v>1001</v>
      </c>
      <c r="I543" s="19" t="s">
        <v>1575</v>
      </c>
      <c r="J543" s="20">
        <v>26</v>
      </c>
      <c r="K543" t="s">
        <v>654</v>
      </c>
      <c r="L543" t="s">
        <v>678</v>
      </c>
      <c r="M543" t="s">
        <v>623</v>
      </c>
      <c r="N543" t="s">
        <v>624</v>
      </c>
      <c r="O543" t="s">
        <v>679</v>
      </c>
    </row>
    <row r="544" spans="1:15" x14ac:dyDescent="0.35">
      <c r="A544" s="77">
        <v>1.0821917808219179</v>
      </c>
      <c r="B544" s="19">
        <v>50003</v>
      </c>
      <c r="C544" s="19" t="s">
        <v>2866</v>
      </c>
      <c r="D544" s="19" t="s">
        <v>237</v>
      </c>
      <c r="E544" s="19" t="s">
        <v>238</v>
      </c>
      <c r="F544" s="19" t="s">
        <v>1070</v>
      </c>
      <c r="G544" s="19" t="s">
        <v>1045</v>
      </c>
      <c r="H544" s="19" t="s">
        <v>1001</v>
      </c>
      <c r="I544" s="19" t="s">
        <v>1599</v>
      </c>
      <c r="J544" s="20">
        <v>28</v>
      </c>
      <c r="K544" t="s">
        <v>631</v>
      </c>
      <c r="L544" t="s">
        <v>661</v>
      </c>
      <c r="M544" t="s">
        <v>657</v>
      </c>
      <c r="N544" t="s">
        <v>662</v>
      </c>
      <c r="O544" t="s">
        <v>632</v>
      </c>
    </row>
    <row r="545" spans="1:15" x14ac:dyDescent="0.35">
      <c r="A545" s="77">
        <v>7.7013698630136984</v>
      </c>
      <c r="B545" s="19">
        <v>50032</v>
      </c>
      <c r="C545" s="19" t="s">
        <v>2867</v>
      </c>
      <c r="D545" s="19" t="s">
        <v>403</v>
      </c>
      <c r="E545" s="19" t="s">
        <v>404</v>
      </c>
      <c r="F545" s="19" t="s">
        <v>870</v>
      </c>
      <c r="G545" s="19" t="s">
        <v>1589</v>
      </c>
      <c r="H545" s="19" t="s">
        <v>1001</v>
      </c>
      <c r="I545" s="19" t="s">
        <v>1599</v>
      </c>
      <c r="J545" s="20">
        <v>27</v>
      </c>
      <c r="K545" t="s">
        <v>631</v>
      </c>
      <c r="L545" t="s">
        <v>691</v>
      </c>
      <c r="M545" t="s">
        <v>657</v>
      </c>
      <c r="N545" t="s">
        <v>658</v>
      </c>
      <c r="O545" t="s">
        <v>632</v>
      </c>
    </row>
    <row r="546" spans="1:15" x14ac:dyDescent="0.35">
      <c r="A546" s="77">
        <v>2.9479452054794519</v>
      </c>
      <c r="B546" s="19">
        <v>50055</v>
      </c>
      <c r="C546" s="19" t="s">
        <v>2868</v>
      </c>
      <c r="D546" s="19" t="s">
        <v>341</v>
      </c>
      <c r="E546" s="19" t="s">
        <v>342</v>
      </c>
      <c r="F546" s="19" t="s">
        <v>1264</v>
      </c>
      <c r="G546" s="19" t="s">
        <v>1084</v>
      </c>
      <c r="H546" s="19" t="s">
        <v>1001</v>
      </c>
      <c r="I546" s="19" t="s">
        <v>1599</v>
      </c>
      <c r="J546" s="20">
        <v>44</v>
      </c>
      <c r="K546" t="s">
        <v>636</v>
      </c>
      <c r="L546" t="s">
        <v>678</v>
      </c>
      <c r="M546" t="s">
        <v>623</v>
      </c>
      <c r="N546" t="s">
        <v>624</v>
      </c>
      <c r="O546" t="s">
        <v>679</v>
      </c>
    </row>
    <row r="547" spans="1:15" x14ac:dyDescent="0.35">
      <c r="A547" s="77">
        <v>4.117808219178082</v>
      </c>
      <c r="B547" s="19">
        <v>50089</v>
      </c>
      <c r="C547" s="19" t="s">
        <v>2869</v>
      </c>
      <c r="D547" s="19" t="s">
        <v>421</v>
      </c>
      <c r="E547" s="19" t="s">
        <v>421</v>
      </c>
      <c r="F547" s="19" t="s">
        <v>698</v>
      </c>
      <c r="G547" s="19" t="s">
        <v>1008</v>
      </c>
      <c r="H547" s="19" t="s">
        <v>1001</v>
      </c>
      <c r="I547" s="19" t="s">
        <v>1575</v>
      </c>
      <c r="J547" s="20">
        <v>46</v>
      </c>
      <c r="K547" t="s">
        <v>636</v>
      </c>
      <c r="L547" t="s">
        <v>678</v>
      </c>
      <c r="M547" t="s">
        <v>623</v>
      </c>
      <c r="N547" t="s">
        <v>624</v>
      </c>
      <c r="O547" t="s">
        <v>679</v>
      </c>
    </row>
    <row r="548" spans="1:15" x14ac:dyDescent="0.35">
      <c r="A548" s="77">
        <v>7.6821917808219178</v>
      </c>
      <c r="B548" s="19">
        <v>50092</v>
      </c>
      <c r="C548" s="19" t="s">
        <v>2870</v>
      </c>
      <c r="D548" s="19" t="s">
        <v>181</v>
      </c>
      <c r="E548" s="19" t="s">
        <v>182</v>
      </c>
      <c r="F548" s="19" t="s">
        <v>1374</v>
      </c>
      <c r="G548" s="19" t="s">
        <v>1028</v>
      </c>
      <c r="H548" s="19" t="s">
        <v>1020</v>
      </c>
      <c r="I548" s="19" t="s">
        <v>1575</v>
      </c>
      <c r="J548" s="20">
        <v>34</v>
      </c>
      <c r="K548" t="s">
        <v>625</v>
      </c>
      <c r="L548" t="s">
        <v>678</v>
      </c>
      <c r="M548" t="s">
        <v>623</v>
      </c>
      <c r="N548" t="s">
        <v>624</v>
      </c>
      <c r="O548" t="s">
        <v>679</v>
      </c>
    </row>
    <row r="549" spans="1:15" x14ac:dyDescent="0.35">
      <c r="A549" s="77">
        <v>7.6958904109589037</v>
      </c>
      <c r="B549" s="19">
        <v>50135</v>
      </c>
      <c r="C549" s="19" t="s">
        <v>2871</v>
      </c>
      <c r="D549" s="19" t="s">
        <v>42</v>
      </c>
      <c r="E549" s="19" t="s">
        <v>42</v>
      </c>
      <c r="F549" s="19" t="s">
        <v>1262</v>
      </c>
      <c r="G549" s="19" t="s">
        <v>1084</v>
      </c>
      <c r="H549" s="19" t="s">
        <v>1020</v>
      </c>
      <c r="I549" s="19" t="s">
        <v>1575</v>
      </c>
      <c r="J549" s="20">
        <v>48</v>
      </c>
      <c r="K549" t="s">
        <v>625</v>
      </c>
      <c r="L549" t="s">
        <v>628</v>
      </c>
      <c r="M549" t="s">
        <v>629</v>
      </c>
      <c r="N549" t="s">
        <v>630</v>
      </c>
      <c r="O549" t="s">
        <v>632</v>
      </c>
    </row>
    <row r="550" spans="1:15" x14ac:dyDescent="0.35">
      <c r="A550" s="77">
        <v>7.6821917808219178</v>
      </c>
      <c r="B550" s="19">
        <v>50185</v>
      </c>
      <c r="C550" s="19" t="s">
        <v>2872</v>
      </c>
      <c r="D550" s="19" t="s">
        <v>284</v>
      </c>
      <c r="E550" s="19" t="s">
        <v>285</v>
      </c>
      <c r="F550" s="19" t="s">
        <v>1150</v>
      </c>
      <c r="G550" s="19" t="s">
        <v>1084</v>
      </c>
      <c r="H550" s="19" t="s">
        <v>1020</v>
      </c>
      <c r="I550" s="19" t="s">
        <v>1575</v>
      </c>
      <c r="J550" s="20">
        <v>51</v>
      </c>
      <c r="K550" t="s">
        <v>625</v>
      </c>
      <c r="L550" t="s">
        <v>661</v>
      </c>
      <c r="M550" t="s">
        <v>657</v>
      </c>
      <c r="N550" t="s">
        <v>662</v>
      </c>
      <c r="O550" t="s">
        <v>632</v>
      </c>
    </row>
    <row r="551" spans="1:15" x14ac:dyDescent="0.35">
      <c r="A551" s="77">
        <v>7.6821917808219178</v>
      </c>
      <c r="B551" s="19">
        <v>50187</v>
      </c>
      <c r="C551" s="19" t="s">
        <v>2873</v>
      </c>
      <c r="D551" s="19" t="s">
        <v>284</v>
      </c>
      <c r="E551" s="19" t="s">
        <v>285</v>
      </c>
      <c r="F551" s="19" t="s">
        <v>1150</v>
      </c>
      <c r="G551" s="19" t="s">
        <v>1084</v>
      </c>
      <c r="H551" s="19" t="s">
        <v>1001</v>
      </c>
      <c r="I551" s="19" t="s">
        <v>1575</v>
      </c>
      <c r="J551" s="20">
        <v>44</v>
      </c>
      <c r="K551" t="s">
        <v>625</v>
      </c>
      <c r="L551" t="s">
        <v>661</v>
      </c>
      <c r="M551" t="s">
        <v>657</v>
      </c>
      <c r="N551" t="s">
        <v>662</v>
      </c>
      <c r="O551" t="s">
        <v>632</v>
      </c>
    </row>
    <row r="552" spans="1:15" x14ac:dyDescent="0.35">
      <c r="A552" s="77">
        <v>0.80821917808219179</v>
      </c>
      <c r="B552" s="19">
        <v>50262</v>
      </c>
      <c r="C552" s="19" t="s">
        <v>2874</v>
      </c>
      <c r="D552" s="19" t="s">
        <v>169</v>
      </c>
      <c r="E552" s="19" t="s">
        <v>170</v>
      </c>
      <c r="F552" s="19" t="s">
        <v>1274</v>
      </c>
      <c r="G552" s="19" t="s">
        <v>1008</v>
      </c>
      <c r="H552" s="19" t="s">
        <v>1001</v>
      </c>
      <c r="I552" s="19" t="s">
        <v>1599</v>
      </c>
      <c r="J552" s="20">
        <v>26</v>
      </c>
      <c r="K552" t="s">
        <v>631</v>
      </c>
      <c r="L552" t="s">
        <v>670</v>
      </c>
      <c r="M552" t="s">
        <v>657</v>
      </c>
      <c r="N552" t="s">
        <v>641</v>
      </c>
      <c r="O552" t="s">
        <v>772</v>
      </c>
    </row>
    <row r="553" spans="1:15" x14ac:dyDescent="0.35">
      <c r="A553" s="77">
        <v>4.4986301369863018</v>
      </c>
      <c r="B553" s="19">
        <v>50356</v>
      </c>
      <c r="C553" s="19" t="s">
        <v>2875</v>
      </c>
      <c r="D553" s="19" t="s">
        <v>218</v>
      </c>
      <c r="E553" s="19" t="s">
        <v>219</v>
      </c>
      <c r="F553" s="19" t="s">
        <v>1372</v>
      </c>
      <c r="G553" s="19" t="s">
        <v>1034</v>
      </c>
      <c r="H553" s="19" t="s">
        <v>1001</v>
      </c>
      <c r="I553" s="19" t="s">
        <v>1599</v>
      </c>
      <c r="J553" s="20">
        <v>25</v>
      </c>
      <c r="K553" t="s">
        <v>625</v>
      </c>
      <c r="L553" t="s">
        <v>661</v>
      </c>
      <c r="M553" t="s">
        <v>657</v>
      </c>
      <c r="N553" t="s">
        <v>662</v>
      </c>
      <c r="O553" t="s">
        <v>632</v>
      </c>
    </row>
    <row r="554" spans="1:15" x14ac:dyDescent="0.35">
      <c r="A554" s="77">
        <v>6.9479452054794519</v>
      </c>
      <c r="B554" s="19">
        <v>50376</v>
      </c>
      <c r="C554" s="19" t="s">
        <v>2876</v>
      </c>
      <c r="D554" s="19" t="s">
        <v>181</v>
      </c>
      <c r="E554" s="19" t="s">
        <v>182</v>
      </c>
      <c r="F554" s="19" t="s">
        <v>1374</v>
      </c>
      <c r="G554" s="19" t="s">
        <v>1034</v>
      </c>
      <c r="H554" s="19" t="s">
        <v>1001</v>
      </c>
      <c r="I554" s="19" t="s">
        <v>1599</v>
      </c>
      <c r="J554" s="20">
        <v>25</v>
      </c>
      <c r="K554" t="s">
        <v>625</v>
      </c>
      <c r="L554" t="s">
        <v>678</v>
      </c>
      <c r="M554" t="s">
        <v>623</v>
      </c>
      <c r="N554" t="s">
        <v>624</v>
      </c>
      <c r="O554" t="s">
        <v>679</v>
      </c>
    </row>
    <row r="555" spans="1:15" x14ac:dyDescent="0.35">
      <c r="A555" s="77">
        <v>7.4328767123287669</v>
      </c>
      <c r="B555" s="19">
        <v>50459</v>
      </c>
      <c r="C555" s="19" t="s">
        <v>2877</v>
      </c>
      <c r="D555" s="19" t="s">
        <v>60</v>
      </c>
      <c r="E555" s="19" t="s">
        <v>61</v>
      </c>
      <c r="F555" s="19" t="s">
        <v>1119</v>
      </c>
      <c r="G555" s="19" t="s">
        <v>1046</v>
      </c>
      <c r="H555" s="19" t="s">
        <v>1001</v>
      </c>
      <c r="I555" s="19" t="s">
        <v>1575</v>
      </c>
      <c r="J555" s="20">
        <v>27</v>
      </c>
      <c r="K555" t="s">
        <v>654</v>
      </c>
      <c r="L555" t="s">
        <v>651</v>
      </c>
      <c r="M555" t="s">
        <v>629</v>
      </c>
      <c r="N555" t="s">
        <v>630</v>
      </c>
      <c r="O555" t="s">
        <v>705</v>
      </c>
    </row>
    <row r="556" spans="1:15" x14ac:dyDescent="0.35">
      <c r="A556" s="77">
        <v>7.6630136986301371</v>
      </c>
      <c r="B556" s="19">
        <v>50654</v>
      </c>
      <c r="C556" s="19" t="s">
        <v>2878</v>
      </c>
      <c r="D556" s="19" t="s">
        <v>37</v>
      </c>
      <c r="E556" s="19" t="s">
        <v>37</v>
      </c>
      <c r="F556" s="19" t="s">
        <v>1480</v>
      </c>
      <c r="G556" s="19" t="s">
        <v>1008</v>
      </c>
      <c r="H556" s="19" t="s">
        <v>1001</v>
      </c>
      <c r="I556" s="19" t="s">
        <v>1575</v>
      </c>
      <c r="J556" s="20">
        <v>27</v>
      </c>
      <c r="K556" t="s">
        <v>654</v>
      </c>
      <c r="L556" t="s">
        <v>648</v>
      </c>
      <c r="M556" t="s">
        <v>623</v>
      </c>
      <c r="N556" t="s">
        <v>624</v>
      </c>
      <c r="O556" t="s">
        <v>649</v>
      </c>
    </row>
    <row r="557" spans="1:15" x14ac:dyDescent="0.35">
      <c r="A557" s="77">
        <v>7.6602739726027398</v>
      </c>
      <c r="B557" s="19">
        <v>50659</v>
      </c>
      <c r="C557" s="19" t="s">
        <v>2879</v>
      </c>
      <c r="D557" s="19" t="s">
        <v>167</v>
      </c>
      <c r="E557" s="19" t="s">
        <v>168</v>
      </c>
      <c r="F557" s="19" t="s">
        <v>2009</v>
      </c>
      <c r="G557" s="19" t="s">
        <v>1045</v>
      </c>
      <c r="H557" s="19" t="s">
        <v>1001</v>
      </c>
      <c r="I557" s="19" t="s">
        <v>1575</v>
      </c>
      <c r="J557" s="20">
        <v>28</v>
      </c>
      <c r="K557" t="s">
        <v>636</v>
      </c>
      <c r="L557" t="s">
        <v>640</v>
      </c>
      <c r="M557" t="s">
        <v>623</v>
      </c>
      <c r="N557" t="s">
        <v>641</v>
      </c>
      <c r="O557" t="s">
        <v>754</v>
      </c>
    </row>
    <row r="558" spans="1:15" x14ac:dyDescent="0.35">
      <c r="A558" s="77">
        <v>7.6630136986301371</v>
      </c>
      <c r="B558" s="19">
        <v>50671</v>
      </c>
      <c r="C558" s="19" t="s">
        <v>2880</v>
      </c>
      <c r="D558" s="19" t="s">
        <v>14</v>
      </c>
      <c r="E558" s="19" t="s">
        <v>14</v>
      </c>
      <c r="F558" s="19" t="s">
        <v>15</v>
      </c>
      <c r="G558" s="19" t="s">
        <v>1000</v>
      </c>
      <c r="H558" s="19" t="s">
        <v>1001</v>
      </c>
      <c r="I558" s="19" t="s">
        <v>1599</v>
      </c>
      <c r="J558" s="20">
        <v>34</v>
      </c>
      <c r="K558" t="s">
        <v>642</v>
      </c>
      <c r="L558" t="s">
        <v>640</v>
      </c>
      <c r="M558" t="s">
        <v>623</v>
      </c>
      <c r="N558" t="s">
        <v>641</v>
      </c>
      <c r="O558" t="s">
        <v>643</v>
      </c>
    </row>
    <row r="559" spans="1:15" x14ac:dyDescent="0.35">
      <c r="A559" s="77">
        <v>0.89315068493150684</v>
      </c>
      <c r="B559" s="19">
        <v>50717</v>
      </c>
      <c r="C559" s="19" t="s">
        <v>2881</v>
      </c>
      <c r="D559" s="19" t="s">
        <v>12</v>
      </c>
      <c r="E559" s="19" t="s">
        <v>12</v>
      </c>
      <c r="F559" s="19" t="s">
        <v>1145</v>
      </c>
      <c r="G559" s="19" t="s">
        <v>1034</v>
      </c>
      <c r="H559" s="19" t="s">
        <v>1001</v>
      </c>
      <c r="I559" s="19" t="s">
        <v>1599</v>
      </c>
      <c r="J559" s="20">
        <v>31</v>
      </c>
      <c r="K559" t="s">
        <v>636</v>
      </c>
      <c r="L559" t="s">
        <v>634</v>
      </c>
      <c r="M559" t="s">
        <v>629</v>
      </c>
      <c r="N559" t="s">
        <v>635</v>
      </c>
      <c r="O559" t="s">
        <v>637</v>
      </c>
    </row>
    <row r="560" spans="1:15" x14ac:dyDescent="0.35">
      <c r="A560" s="77">
        <v>7.6575342465753424</v>
      </c>
      <c r="B560" s="19">
        <v>50812</v>
      </c>
      <c r="C560" s="19" t="s">
        <v>2882</v>
      </c>
      <c r="D560" s="19" t="s">
        <v>34</v>
      </c>
      <c r="E560" s="19" t="s">
        <v>34</v>
      </c>
      <c r="F560" s="19" t="s">
        <v>1066</v>
      </c>
      <c r="G560" s="19" t="s">
        <v>1028</v>
      </c>
      <c r="H560" s="19" t="s">
        <v>1020</v>
      </c>
      <c r="I560" s="19" t="s">
        <v>1575</v>
      </c>
      <c r="J560" s="20">
        <v>47</v>
      </c>
      <c r="K560" t="s">
        <v>654</v>
      </c>
      <c r="L560" t="s">
        <v>656</v>
      </c>
      <c r="M560" t="s">
        <v>657</v>
      </c>
      <c r="N560" t="s">
        <v>658</v>
      </c>
      <c r="O560" t="s">
        <v>632</v>
      </c>
    </row>
    <row r="561" spans="1:15" x14ac:dyDescent="0.35">
      <c r="A561" s="77">
        <v>7.6438356164383565</v>
      </c>
      <c r="B561" s="19">
        <v>50881</v>
      </c>
      <c r="C561" s="19" t="s">
        <v>2883</v>
      </c>
      <c r="D561" s="19" t="s">
        <v>47</v>
      </c>
      <c r="E561" s="19" t="s">
        <v>48</v>
      </c>
      <c r="F561" s="19" t="s">
        <v>1232</v>
      </c>
      <c r="G561" s="19" t="s">
        <v>1046</v>
      </c>
      <c r="H561" s="19" t="s">
        <v>1001</v>
      </c>
      <c r="I561" s="19" t="s">
        <v>1575</v>
      </c>
      <c r="J561" s="20">
        <v>39</v>
      </c>
      <c r="K561" t="s">
        <v>636</v>
      </c>
      <c r="L561" t="s">
        <v>622</v>
      </c>
      <c r="M561" t="s">
        <v>623</v>
      </c>
      <c r="N561" t="s">
        <v>624</v>
      </c>
      <c r="O561" t="s">
        <v>649</v>
      </c>
    </row>
    <row r="562" spans="1:15" x14ac:dyDescent="0.35">
      <c r="A562" s="77">
        <v>7.6383561643835618</v>
      </c>
      <c r="B562" s="19">
        <v>51060</v>
      </c>
      <c r="C562" s="19" t="s">
        <v>2884</v>
      </c>
      <c r="D562" s="19" t="s">
        <v>232</v>
      </c>
      <c r="E562" s="19" t="s">
        <v>233</v>
      </c>
      <c r="F562" s="19" t="s">
        <v>1040</v>
      </c>
      <c r="G562" s="19" t="s">
        <v>1008</v>
      </c>
      <c r="H562" s="19" t="s">
        <v>1001</v>
      </c>
      <c r="I562" s="19" t="s">
        <v>1575</v>
      </c>
      <c r="J562" s="20">
        <v>29</v>
      </c>
      <c r="K562" t="s">
        <v>654</v>
      </c>
      <c r="L562" t="s">
        <v>684</v>
      </c>
      <c r="M562" t="s">
        <v>623</v>
      </c>
      <c r="N562" t="s">
        <v>662</v>
      </c>
      <c r="O562" t="s">
        <v>795</v>
      </c>
    </row>
    <row r="563" spans="1:15" x14ac:dyDescent="0.35">
      <c r="A563" s="77">
        <v>7.6356164383561644</v>
      </c>
      <c r="B563" s="19">
        <v>51078</v>
      </c>
      <c r="C563" s="19" t="s">
        <v>2885</v>
      </c>
      <c r="D563" s="19" t="s">
        <v>260</v>
      </c>
      <c r="E563" s="19" t="s">
        <v>261</v>
      </c>
      <c r="F563" s="19" t="s">
        <v>1109</v>
      </c>
      <c r="G563" s="19" t="s">
        <v>1019</v>
      </c>
      <c r="H563" s="19" t="s">
        <v>1020</v>
      </c>
      <c r="I563" s="19" t="s">
        <v>1575</v>
      </c>
      <c r="J563" s="20">
        <v>37</v>
      </c>
      <c r="K563" t="s">
        <v>636</v>
      </c>
      <c r="L563" t="s">
        <v>656</v>
      </c>
      <c r="M563" t="s">
        <v>657</v>
      </c>
      <c r="N563" t="s">
        <v>658</v>
      </c>
      <c r="O563" t="s">
        <v>808</v>
      </c>
    </row>
    <row r="564" spans="1:15" x14ac:dyDescent="0.35">
      <c r="A564" s="77">
        <v>7.6164383561643838</v>
      </c>
      <c r="B564" s="19">
        <v>51204</v>
      </c>
      <c r="C564" s="19" t="s">
        <v>2886</v>
      </c>
      <c r="D564" s="19" t="s">
        <v>42</v>
      </c>
      <c r="E564" s="19" t="s">
        <v>42</v>
      </c>
      <c r="F564" s="19" t="s">
        <v>1262</v>
      </c>
      <c r="G564" s="19" t="s">
        <v>1084</v>
      </c>
      <c r="H564" s="19" t="s">
        <v>1020</v>
      </c>
      <c r="I564" s="19" t="s">
        <v>1575</v>
      </c>
      <c r="J564" s="20">
        <v>60</v>
      </c>
      <c r="K564" t="s">
        <v>625</v>
      </c>
      <c r="L564" t="s">
        <v>628</v>
      </c>
      <c r="M564" t="s">
        <v>629</v>
      </c>
      <c r="N564" t="s">
        <v>630</v>
      </c>
      <c r="O564" t="s">
        <v>632</v>
      </c>
    </row>
    <row r="565" spans="1:15" x14ac:dyDescent="0.35">
      <c r="A565" s="77">
        <v>6.6575342465753424</v>
      </c>
      <c r="B565" s="19">
        <v>51228</v>
      </c>
      <c r="C565" s="19" t="s">
        <v>2887</v>
      </c>
      <c r="D565" s="19" t="s">
        <v>113</v>
      </c>
      <c r="E565" s="19" t="s">
        <v>114</v>
      </c>
      <c r="F565" s="19" t="s">
        <v>1871</v>
      </c>
      <c r="G565" s="19" t="s">
        <v>1045</v>
      </c>
      <c r="H565" s="19" t="s">
        <v>1001</v>
      </c>
      <c r="I565" s="19" t="s">
        <v>1575</v>
      </c>
      <c r="J565" s="20">
        <v>35</v>
      </c>
      <c r="K565" t="s">
        <v>654</v>
      </c>
      <c r="L565" t="s">
        <v>661</v>
      </c>
      <c r="M565" t="s">
        <v>657</v>
      </c>
      <c r="N565" t="s">
        <v>662</v>
      </c>
      <c r="O565" t="s">
        <v>632</v>
      </c>
    </row>
    <row r="566" spans="1:15" x14ac:dyDescent="0.35">
      <c r="A566" s="77">
        <v>7.6054794520547944</v>
      </c>
      <c r="B566" s="19">
        <v>51382</v>
      </c>
      <c r="C566" s="19" t="s">
        <v>2888</v>
      </c>
      <c r="D566" s="19" t="s">
        <v>278</v>
      </c>
      <c r="E566" s="19" t="s">
        <v>279</v>
      </c>
      <c r="F566" s="19" t="s">
        <v>1131</v>
      </c>
      <c r="G566" s="19" t="s">
        <v>1046</v>
      </c>
      <c r="H566" s="19" t="s">
        <v>1001</v>
      </c>
      <c r="I566" s="19" t="s">
        <v>1599</v>
      </c>
      <c r="J566" s="20">
        <v>25</v>
      </c>
      <c r="K566" t="s">
        <v>625</v>
      </c>
      <c r="L566" t="s">
        <v>661</v>
      </c>
      <c r="M566" t="s">
        <v>657</v>
      </c>
      <c r="N566" t="s">
        <v>662</v>
      </c>
      <c r="O566" t="s">
        <v>632</v>
      </c>
    </row>
    <row r="567" spans="1:15" x14ac:dyDescent="0.35">
      <c r="A567" s="77">
        <v>7.2767123287671236</v>
      </c>
      <c r="B567" s="19">
        <v>51448</v>
      </c>
      <c r="C567" s="19" t="s">
        <v>2889</v>
      </c>
      <c r="D567" s="19" t="s">
        <v>413</v>
      </c>
      <c r="E567" s="19" t="s">
        <v>414</v>
      </c>
      <c r="F567" s="19" t="s">
        <v>1699</v>
      </c>
      <c r="G567" s="19" t="s">
        <v>1046</v>
      </c>
      <c r="H567" s="19" t="s">
        <v>1001</v>
      </c>
      <c r="I567" s="19" t="s">
        <v>1575</v>
      </c>
      <c r="J567" s="20">
        <v>30</v>
      </c>
      <c r="K567" t="s">
        <v>668</v>
      </c>
      <c r="L567" t="s">
        <v>691</v>
      </c>
      <c r="M567" t="s">
        <v>657</v>
      </c>
      <c r="N567" t="s">
        <v>658</v>
      </c>
      <c r="O567" t="s">
        <v>632</v>
      </c>
    </row>
    <row r="568" spans="1:15" x14ac:dyDescent="0.35">
      <c r="A568" s="77">
        <v>7.3945205479452056</v>
      </c>
      <c r="B568" s="19">
        <v>51482</v>
      </c>
      <c r="C568" s="19" t="s">
        <v>2890</v>
      </c>
      <c r="D568" s="19" t="s">
        <v>322</v>
      </c>
      <c r="E568" s="19" t="s">
        <v>323</v>
      </c>
      <c r="F568" s="19" t="s">
        <v>834</v>
      </c>
      <c r="G568" s="19" t="s">
        <v>1046</v>
      </c>
      <c r="H568" s="19" t="s">
        <v>1001</v>
      </c>
      <c r="I568" s="19" t="s">
        <v>1575</v>
      </c>
      <c r="J568" s="20">
        <v>25</v>
      </c>
      <c r="K568" t="s">
        <v>668</v>
      </c>
      <c r="L568" t="s">
        <v>628</v>
      </c>
      <c r="M568" t="s">
        <v>629</v>
      </c>
      <c r="N568" t="s">
        <v>630</v>
      </c>
      <c r="O568" t="s">
        <v>632</v>
      </c>
    </row>
    <row r="569" spans="1:15" x14ac:dyDescent="0.35">
      <c r="A569" s="77">
        <v>7.5835616438356164</v>
      </c>
      <c r="B569" s="19">
        <v>51585</v>
      </c>
      <c r="C569" s="19" t="s">
        <v>2891</v>
      </c>
      <c r="D569" s="19" t="s">
        <v>89</v>
      </c>
      <c r="E569" s="19" t="s">
        <v>90</v>
      </c>
      <c r="F569" s="19" t="s">
        <v>1217</v>
      </c>
      <c r="G569" s="19" t="s">
        <v>1045</v>
      </c>
      <c r="H569" s="19" t="s">
        <v>1001</v>
      </c>
      <c r="I569" s="19" t="s">
        <v>1599</v>
      </c>
      <c r="J569" s="20">
        <v>36</v>
      </c>
      <c r="K569" t="s">
        <v>636</v>
      </c>
      <c r="L569" t="s">
        <v>666</v>
      </c>
      <c r="M569" t="s">
        <v>629</v>
      </c>
      <c r="N569" t="s">
        <v>635</v>
      </c>
      <c r="O569" t="s">
        <v>637</v>
      </c>
    </row>
    <row r="570" spans="1:15" x14ac:dyDescent="0.35">
      <c r="A570" s="77">
        <v>7.5835616438356164</v>
      </c>
      <c r="B570" s="19">
        <v>51600</v>
      </c>
      <c r="C570" s="19" t="s">
        <v>2892</v>
      </c>
      <c r="D570" s="19" t="s">
        <v>407</v>
      </c>
      <c r="E570" s="19" t="s">
        <v>408</v>
      </c>
      <c r="F570" s="19" t="s">
        <v>1230</v>
      </c>
      <c r="G570" s="19" t="s">
        <v>1008</v>
      </c>
      <c r="H570" s="19" t="s">
        <v>1001</v>
      </c>
      <c r="I570" s="19" t="s">
        <v>1575</v>
      </c>
      <c r="J570" s="20">
        <v>30</v>
      </c>
      <c r="K570" t="s">
        <v>636</v>
      </c>
      <c r="L570" t="s">
        <v>622</v>
      </c>
      <c r="M570" t="s">
        <v>623</v>
      </c>
      <c r="N570" t="s">
        <v>624</v>
      </c>
      <c r="O570" t="s">
        <v>730</v>
      </c>
    </row>
    <row r="571" spans="1:15" x14ac:dyDescent="0.35">
      <c r="A571" s="77">
        <v>7.5780821917808217</v>
      </c>
      <c r="B571" s="19">
        <v>51752</v>
      </c>
      <c r="C571" s="19" t="s">
        <v>2893</v>
      </c>
      <c r="D571" s="19" t="s">
        <v>76</v>
      </c>
      <c r="E571" s="19" t="s">
        <v>77</v>
      </c>
      <c r="F571" s="19" t="s">
        <v>899</v>
      </c>
      <c r="G571" s="19" t="s">
        <v>1028</v>
      </c>
      <c r="H571" s="19" t="s">
        <v>1020</v>
      </c>
      <c r="I571" s="19" t="s">
        <v>1575</v>
      </c>
      <c r="J571" s="20">
        <v>45</v>
      </c>
      <c r="K571" t="s">
        <v>636</v>
      </c>
      <c r="L571" t="s">
        <v>645</v>
      </c>
      <c r="M571" t="s">
        <v>629</v>
      </c>
      <c r="N571" t="s">
        <v>646</v>
      </c>
      <c r="O571" t="s">
        <v>632</v>
      </c>
    </row>
    <row r="572" spans="1:15" x14ac:dyDescent="0.35">
      <c r="A572" s="77">
        <v>4.1506849315068495</v>
      </c>
      <c r="B572" s="19">
        <v>51796</v>
      </c>
      <c r="C572" s="19" t="s">
        <v>2894</v>
      </c>
      <c r="D572" s="19" t="s">
        <v>124</v>
      </c>
      <c r="E572" s="19" t="s">
        <v>125</v>
      </c>
      <c r="F572" s="19" t="s">
        <v>1398</v>
      </c>
      <c r="G572" s="19" t="s">
        <v>1000</v>
      </c>
      <c r="H572" s="19" t="s">
        <v>1001</v>
      </c>
      <c r="I572" s="19" t="s">
        <v>1599</v>
      </c>
      <c r="J572" s="20">
        <v>30</v>
      </c>
      <c r="K572" t="s">
        <v>654</v>
      </c>
      <c r="L572" t="s">
        <v>661</v>
      </c>
      <c r="M572" t="s">
        <v>657</v>
      </c>
      <c r="N572" t="s">
        <v>662</v>
      </c>
      <c r="O572" t="s">
        <v>632</v>
      </c>
    </row>
    <row r="573" spans="1:15" x14ac:dyDescent="0.35">
      <c r="A573" s="77">
        <v>7.5671232876712331</v>
      </c>
      <c r="B573" s="19">
        <v>51801</v>
      </c>
      <c r="C573" s="19" t="s">
        <v>2895</v>
      </c>
      <c r="D573" s="19" t="s">
        <v>237</v>
      </c>
      <c r="E573" s="19" t="s">
        <v>238</v>
      </c>
      <c r="F573" s="19" t="s">
        <v>1070</v>
      </c>
      <c r="G573" s="19" t="s">
        <v>1038</v>
      </c>
      <c r="H573" s="19" t="s">
        <v>1020</v>
      </c>
      <c r="I573" s="19" t="s">
        <v>1575</v>
      </c>
      <c r="J573" s="20">
        <v>53</v>
      </c>
      <c r="K573" t="s">
        <v>631</v>
      </c>
      <c r="L573" t="s">
        <v>661</v>
      </c>
      <c r="M573" t="s">
        <v>657</v>
      </c>
      <c r="N573" t="s">
        <v>662</v>
      </c>
      <c r="O573" t="s">
        <v>632</v>
      </c>
    </row>
    <row r="574" spans="1:15" x14ac:dyDescent="0.35">
      <c r="A574" s="77">
        <v>7.5671232876712331</v>
      </c>
      <c r="B574" s="19">
        <v>51887</v>
      </c>
      <c r="C574" s="19" t="s">
        <v>2896</v>
      </c>
      <c r="D574" s="19" t="s">
        <v>284</v>
      </c>
      <c r="E574" s="19" t="s">
        <v>285</v>
      </c>
      <c r="F574" s="19" t="s">
        <v>1150</v>
      </c>
      <c r="G574" s="19" t="s">
        <v>1084</v>
      </c>
      <c r="H574" s="19" t="s">
        <v>1020</v>
      </c>
      <c r="I574" s="19" t="s">
        <v>1575</v>
      </c>
      <c r="J574" s="20">
        <v>46</v>
      </c>
      <c r="K574" t="s">
        <v>625</v>
      </c>
      <c r="L574" t="s">
        <v>661</v>
      </c>
      <c r="M574" t="s">
        <v>657</v>
      </c>
      <c r="N574" t="s">
        <v>662</v>
      </c>
      <c r="O574" t="s">
        <v>632</v>
      </c>
    </row>
    <row r="575" spans="1:15" x14ac:dyDescent="0.35">
      <c r="A575" s="77">
        <v>7.558904109589041</v>
      </c>
      <c r="B575" s="19">
        <v>52030</v>
      </c>
      <c r="C575" s="19" t="s">
        <v>2897</v>
      </c>
      <c r="D575" s="19" t="s">
        <v>135</v>
      </c>
      <c r="E575" s="19" t="s">
        <v>136</v>
      </c>
      <c r="F575" s="19" t="s">
        <v>2393</v>
      </c>
      <c r="G575" s="19" t="s">
        <v>1057</v>
      </c>
      <c r="H575" s="19" t="s">
        <v>1001</v>
      </c>
      <c r="I575" s="19" t="s">
        <v>1575</v>
      </c>
      <c r="J575" s="20">
        <v>29</v>
      </c>
      <c r="K575" t="s">
        <v>668</v>
      </c>
      <c r="L575" t="s">
        <v>651</v>
      </c>
      <c r="M575" t="s">
        <v>629</v>
      </c>
      <c r="N575" t="s">
        <v>630</v>
      </c>
      <c r="O575" t="s">
        <v>652</v>
      </c>
    </row>
    <row r="576" spans="1:15" x14ac:dyDescent="0.35">
      <c r="A576" s="77">
        <v>7.5479452054794525</v>
      </c>
      <c r="B576" s="19">
        <v>52106</v>
      </c>
      <c r="C576" s="19" t="s">
        <v>2898</v>
      </c>
      <c r="D576" s="19" t="s">
        <v>284</v>
      </c>
      <c r="E576" s="19" t="s">
        <v>285</v>
      </c>
      <c r="F576" s="19" t="s">
        <v>1150</v>
      </c>
      <c r="G576" s="19" t="s">
        <v>1084</v>
      </c>
      <c r="H576" s="19" t="s">
        <v>1020</v>
      </c>
      <c r="I576" s="19" t="s">
        <v>1575</v>
      </c>
      <c r="J576" s="20">
        <v>45</v>
      </c>
      <c r="K576" t="s">
        <v>625</v>
      </c>
      <c r="L576" t="s">
        <v>661</v>
      </c>
      <c r="M576" t="s">
        <v>657</v>
      </c>
      <c r="N576" t="s">
        <v>662</v>
      </c>
      <c r="O576" t="s">
        <v>632</v>
      </c>
    </row>
    <row r="577" spans="1:15" x14ac:dyDescent="0.35">
      <c r="A577" s="77">
        <v>7.5342465753424657</v>
      </c>
      <c r="B577" s="19">
        <v>52182</v>
      </c>
      <c r="C577" s="19" t="s">
        <v>2899</v>
      </c>
      <c r="D577" s="19" t="s">
        <v>328</v>
      </c>
      <c r="E577" s="19" t="s">
        <v>329</v>
      </c>
      <c r="F577" s="19" t="s">
        <v>838</v>
      </c>
      <c r="G577" s="19" t="s">
        <v>1084</v>
      </c>
      <c r="H577" s="19" t="s">
        <v>1001</v>
      </c>
      <c r="I577" s="19" t="s">
        <v>1575</v>
      </c>
      <c r="J577" s="20">
        <v>60</v>
      </c>
      <c r="K577" t="s">
        <v>631</v>
      </c>
      <c r="L577" t="s">
        <v>645</v>
      </c>
      <c r="M577" t="s">
        <v>629</v>
      </c>
      <c r="N577" t="s">
        <v>646</v>
      </c>
      <c r="O577" t="s">
        <v>632</v>
      </c>
    </row>
    <row r="578" spans="1:15" x14ac:dyDescent="0.35">
      <c r="A578" s="77">
        <v>7.5013698630136982</v>
      </c>
      <c r="B578" s="19">
        <v>52686</v>
      </c>
      <c r="C578" s="19" t="s">
        <v>2900</v>
      </c>
      <c r="D578" s="19" t="s">
        <v>120</v>
      </c>
      <c r="E578" s="19" t="s">
        <v>121</v>
      </c>
      <c r="F578" s="19" t="s">
        <v>1236</v>
      </c>
      <c r="G578" s="19" t="s">
        <v>1046</v>
      </c>
      <c r="H578" s="19" t="s">
        <v>1001</v>
      </c>
      <c r="I578" s="19" t="s">
        <v>1575</v>
      </c>
      <c r="J578" s="20">
        <v>29</v>
      </c>
      <c r="K578" t="s">
        <v>636</v>
      </c>
      <c r="L578" t="s">
        <v>673</v>
      </c>
      <c r="M578" t="s">
        <v>623</v>
      </c>
      <c r="N578" t="s">
        <v>641</v>
      </c>
      <c r="O578" t="s">
        <v>748</v>
      </c>
    </row>
    <row r="579" spans="1:15" x14ac:dyDescent="0.35">
      <c r="A579" s="77">
        <v>6.3315068493150681</v>
      </c>
      <c r="B579" s="19">
        <v>52705</v>
      </c>
      <c r="C579" s="19" t="s">
        <v>2901</v>
      </c>
      <c r="D579" s="19" t="s">
        <v>157</v>
      </c>
      <c r="E579" s="19" t="s">
        <v>158</v>
      </c>
      <c r="F579" s="19" t="s">
        <v>1012</v>
      </c>
      <c r="G579" s="19" t="s">
        <v>1034</v>
      </c>
      <c r="H579" s="19" t="s">
        <v>1001</v>
      </c>
      <c r="I579" s="19" t="s">
        <v>1575</v>
      </c>
      <c r="J579" s="20">
        <v>25</v>
      </c>
      <c r="K579" t="s">
        <v>668</v>
      </c>
      <c r="L579" t="s">
        <v>670</v>
      </c>
      <c r="M579" t="s">
        <v>657</v>
      </c>
      <c r="N579" t="s">
        <v>641</v>
      </c>
      <c r="O579" t="s">
        <v>671</v>
      </c>
    </row>
    <row r="580" spans="1:15" x14ac:dyDescent="0.35">
      <c r="A580" s="77">
        <v>3.3287671232876712</v>
      </c>
      <c r="B580" s="19">
        <v>52716</v>
      </c>
      <c r="C580" s="19" t="s">
        <v>2902</v>
      </c>
      <c r="D580" s="19" t="s">
        <v>211</v>
      </c>
      <c r="E580" s="19" t="s">
        <v>212</v>
      </c>
      <c r="F580" s="19" t="s">
        <v>1049</v>
      </c>
      <c r="G580" s="19" t="s">
        <v>1034</v>
      </c>
      <c r="H580" s="19" t="s">
        <v>1001</v>
      </c>
      <c r="I580" s="19" t="s">
        <v>1599</v>
      </c>
      <c r="J580" s="20">
        <v>26</v>
      </c>
      <c r="K580" t="s">
        <v>654</v>
      </c>
      <c r="L580" t="s">
        <v>691</v>
      </c>
      <c r="M580" t="s">
        <v>657</v>
      </c>
      <c r="N580" t="s">
        <v>658</v>
      </c>
      <c r="O580" t="s">
        <v>632</v>
      </c>
    </row>
    <row r="581" spans="1:15" x14ac:dyDescent="0.35">
      <c r="A581" s="77">
        <v>7.4356164383561643</v>
      </c>
      <c r="B581" s="19">
        <v>52823</v>
      </c>
      <c r="C581" s="19" t="s">
        <v>2903</v>
      </c>
      <c r="D581" s="19" t="s">
        <v>297</v>
      </c>
      <c r="E581" s="19" t="s">
        <v>298</v>
      </c>
      <c r="F581" s="19" t="s">
        <v>904</v>
      </c>
      <c r="G581" s="19" t="s">
        <v>1000</v>
      </c>
      <c r="H581" s="19" t="s">
        <v>1001</v>
      </c>
      <c r="I581" s="19" t="s">
        <v>1575</v>
      </c>
      <c r="J581" s="20">
        <v>31</v>
      </c>
      <c r="K581" t="s">
        <v>654</v>
      </c>
      <c r="L581" t="s">
        <v>762</v>
      </c>
      <c r="M581" t="s">
        <v>629</v>
      </c>
      <c r="N581" t="s">
        <v>646</v>
      </c>
      <c r="O581" t="s">
        <v>823</v>
      </c>
    </row>
    <row r="582" spans="1:15" x14ac:dyDescent="0.35">
      <c r="A582" s="77">
        <v>7.4273972602739722</v>
      </c>
      <c r="B582" s="19">
        <v>52848</v>
      </c>
      <c r="C582" s="19" t="s">
        <v>2904</v>
      </c>
      <c r="D582" s="19" t="s">
        <v>335</v>
      </c>
      <c r="E582" s="19" t="s">
        <v>336</v>
      </c>
      <c r="F582" s="19" t="s">
        <v>841</v>
      </c>
      <c r="G582" s="19" t="s">
        <v>1000</v>
      </c>
      <c r="H582" s="19" t="s">
        <v>1001</v>
      </c>
      <c r="I582" s="19" t="s">
        <v>1599</v>
      </c>
      <c r="J582" s="20">
        <v>37</v>
      </c>
      <c r="K582" t="s">
        <v>636</v>
      </c>
      <c r="L582" t="s">
        <v>622</v>
      </c>
      <c r="M582" t="s">
        <v>623</v>
      </c>
      <c r="N582" t="s">
        <v>624</v>
      </c>
      <c r="O582" t="s">
        <v>649</v>
      </c>
    </row>
    <row r="583" spans="1:15" x14ac:dyDescent="0.35">
      <c r="A583" s="77">
        <v>7.3890410958904109</v>
      </c>
      <c r="B583" s="19">
        <v>52935</v>
      </c>
      <c r="C583" s="19" t="s">
        <v>2905</v>
      </c>
      <c r="D583" s="19" t="s">
        <v>243</v>
      </c>
      <c r="E583" s="19" t="s">
        <v>244</v>
      </c>
      <c r="F583" s="19" t="s">
        <v>1318</v>
      </c>
      <c r="G583" s="19" t="s">
        <v>1084</v>
      </c>
      <c r="H583" s="19" t="s">
        <v>1001</v>
      </c>
      <c r="I583" s="19" t="s">
        <v>1599</v>
      </c>
      <c r="J583" s="20">
        <v>28</v>
      </c>
      <c r="K583" t="s">
        <v>631</v>
      </c>
      <c r="L583" t="s">
        <v>707</v>
      </c>
      <c r="M583" t="s">
        <v>629</v>
      </c>
      <c r="N583" t="s">
        <v>635</v>
      </c>
      <c r="O583" t="s">
        <v>710</v>
      </c>
    </row>
    <row r="584" spans="1:15" x14ac:dyDescent="0.35">
      <c r="A584" s="77">
        <v>4.6630136986301371</v>
      </c>
      <c r="B584" s="19">
        <v>53027</v>
      </c>
      <c r="C584" s="19" t="s">
        <v>2906</v>
      </c>
      <c r="D584" s="19" t="s">
        <v>19</v>
      </c>
      <c r="E584" s="19" t="s">
        <v>19</v>
      </c>
      <c r="F584" s="19" t="s">
        <v>1255</v>
      </c>
      <c r="G584" s="19" t="s">
        <v>1038</v>
      </c>
      <c r="H584" s="19" t="s">
        <v>1020</v>
      </c>
      <c r="I584" s="19" t="s">
        <v>1575</v>
      </c>
      <c r="J584" s="20">
        <v>36</v>
      </c>
      <c r="K584" t="s">
        <v>654</v>
      </c>
      <c r="L584" t="s">
        <v>645</v>
      </c>
      <c r="M584" t="s">
        <v>629</v>
      </c>
      <c r="N584" t="s">
        <v>646</v>
      </c>
      <c r="O584" t="s">
        <v>632</v>
      </c>
    </row>
    <row r="585" spans="1:15" x14ac:dyDescent="0.35">
      <c r="A585" s="77">
        <v>7.3671232876712329</v>
      </c>
      <c r="B585" s="19">
        <v>53054</v>
      </c>
      <c r="C585" s="19" t="s">
        <v>2907</v>
      </c>
      <c r="D585" s="19" t="s">
        <v>367</v>
      </c>
      <c r="E585" s="19" t="s">
        <v>368</v>
      </c>
      <c r="F585" s="19" t="s">
        <v>1604</v>
      </c>
      <c r="G585" s="19" t="s">
        <v>1028</v>
      </c>
      <c r="H585" s="19" t="s">
        <v>1020</v>
      </c>
      <c r="I585" s="19" t="s">
        <v>1575</v>
      </c>
      <c r="J585" s="20">
        <v>35</v>
      </c>
      <c r="K585" t="s">
        <v>636</v>
      </c>
      <c r="L585" t="s">
        <v>737</v>
      </c>
      <c r="M585" t="s">
        <v>657</v>
      </c>
      <c r="N585" t="s">
        <v>641</v>
      </c>
      <c r="O585" t="s">
        <v>738</v>
      </c>
    </row>
    <row r="586" spans="1:15" x14ac:dyDescent="0.35">
      <c r="A586" s="77">
        <v>5</v>
      </c>
      <c r="B586" s="19">
        <v>53102</v>
      </c>
      <c r="C586" s="19" t="s">
        <v>2908</v>
      </c>
      <c r="D586" s="19" t="s">
        <v>245</v>
      </c>
      <c r="E586" s="19" t="s">
        <v>246</v>
      </c>
      <c r="F586" s="19" t="s">
        <v>1365</v>
      </c>
      <c r="G586" s="19" t="s">
        <v>1045</v>
      </c>
      <c r="H586" s="19" t="s">
        <v>1001</v>
      </c>
      <c r="I586" s="19" t="s">
        <v>1575</v>
      </c>
      <c r="J586" s="20">
        <v>27</v>
      </c>
      <c r="K586" t="s">
        <v>654</v>
      </c>
      <c r="L586" t="s">
        <v>678</v>
      </c>
      <c r="M586" t="s">
        <v>623</v>
      </c>
      <c r="N586" t="s">
        <v>624</v>
      </c>
      <c r="O586" t="s">
        <v>679</v>
      </c>
    </row>
    <row r="587" spans="1:15" x14ac:dyDescent="0.35">
      <c r="A587" s="77">
        <v>6.6</v>
      </c>
      <c r="B587" s="19">
        <v>53155</v>
      </c>
      <c r="C587" s="19" t="s">
        <v>2909</v>
      </c>
      <c r="D587" s="19" t="s">
        <v>45</v>
      </c>
      <c r="E587" s="19" t="s">
        <v>46</v>
      </c>
      <c r="F587" s="19" t="s">
        <v>1122</v>
      </c>
      <c r="G587" s="19" t="s">
        <v>1084</v>
      </c>
      <c r="H587" s="19" t="s">
        <v>1001</v>
      </c>
      <c r="I587" s="19" t="s">
        <v>1599</v>
      </c>
      <c r="J587" s="20">
        <v>50</v>
      </c>
      <c r="K587" t="s">
        <v>631</v>
      </c>
      <c r="L587" t="s">
        <v>651</v>
      </c>
      <c r="M587" t="s">
        <v>629</v>
      </c>
      <c r="N587" t="s">
        <v>630</v>
      </c>
      <c r="O587" t="s">
        <v>705</v>
      </c>
    </row>
    <row r="588" spans="1:15" x14ac:dyDescent="0.35">
      <c r="A588" s="77">
        <v>4.7287671232876711</v>
      </c>
      <c r="B588" s="19">
        <v>53180</v>
      </c>
      <c r="C588" s="19" t="s">
        <v>2910</v>
      </c>
      <c r="D588" s="19" t="s">
        <v>186</v>
      </c>
      <c r="E588" s="19" t="s">
        <v>187</v>
      </c>
      <c r="F588" s="19" t="s">
        <v>1164</v>
      </c>
      <c r="G588" s="19" t="s">
        <v>1000</v>
      </c>
      <c r="H588" s="19" t="s">
        <v>1001</v>
      </c>
      <c r="I588" s="19" t="s">
        <v>1599</v>
      </c>
      <c r="J588" s="20">
        <v>29</v>
      </c>
      <c r="K588" t="s">
        <v>642</v>
      </c>
      <c r="L588" t="s">
        <v>648</v>
      </c>
      <c r="M588" t="s">
        <v>623</v>
      </c>
      <c r="N588" t="s">
        <v>624</v>
      </c>
      <c r="O588" t="s">
        <v>649</v>
      </c>
    </row>
    <row r="589" spans="1:15" x14ac:dyDescent="0.35">
      <c r="A589" s="77">
        <v>7.0821917808219181</v>
      </c>
      <c r="B589" s="19">
        <v>53281</v>
      </c>
      <c r="C589" s="19" t="s">
        <v>2911</v>
      </c>
      <c r="D589" s="19" t="s">
        <v>49</v>
      </c>
      <c r="E589" s="19" t="s">
        <v>50</v>
      </c>
      <c r="F589" s="19" t="s">
        <v>1213</v>
      </c>
      <c r="G589" s="19" t="s">
        <v>1008</v>
      </c>
      <c r="H589" s="19" t="s">
        <v>1001</v>
      </c>
      <c r="I589" s="19" t="s">
        <v>1599</v>
      </c>
      <c r="J589" s="20">
        <v>36</v>
      </c>
      <c r="K589" t="s">
        <v>625</v>
      </c>
      <c r="L589" t="s">
        <v>648</v>
      </c>
      <c r="M589" t="s">
        <v>623</v>
      </c>
      <c r="N589" t="s">
        <v>624</v>
      </c>
      <c r="O589" t="s">
        <v>649</v>
      </c>
    </row>
    <row r="590" spans="1:15" x14ac:dyDescent="0.35">
      <c r="A590" s="77">
        <v>7.2821917808219174</v>
      </c>
      <c r="B590" s="19">
        <v>53415</v>
      </c>
      <c r="C590" s="19" t="s">
        <v>2912</v>
      </c>
      <c r="D590" s="19" t="s">
        <v>351</v>
      </c>
      <c r="E590" s="19" t="s">
        <v>352</v>
      </c>
      <c r="F590" s="19" t="s">
        <v>1507</v>
      </c>
      <c r="G590" s="19" t="s">
        <v>1008</v>
      </c>
      <c r="H590" s="19" t="s">
        <v>1001</v>
      </c>
      <c r="I590" s="19" t="s">
        <v>1575</v>
      </c>
      <c r="J590" s="20">
        <v>28</v>
      </c>
      <c r="K590" t="s">
        <v>636</v>
      </c>
      <c r="L590" t="s">
        <v>661</v>
      </c>
      <c r="M590" t="s">
        <v>657</v>
      </c>
      <c r="N590" t="s">
        <v>662</v>
      </c>
      <c r="O590" t="s">
        <v>632</v>
      </c>
    </row>
    <row r="591" spans="1:15" x14ac:dyDescent="0.35">
      <c r="A591" s="77">
        <v>1.021917808219178</v>
      </c>
      <c r="B591" s="19">
        <v>53560</v>
      </c>
      <c r="C591" s="19" t="s">
        <v>2913</v>
      </c>
      <c r="D591" s="19" t="s">
        <v>16</v>
      </c>
      <c r="E591" s="19" t="s">
        <v>16</v>
      </c>
      <c r="F591" s="19" t="s">
        <v>1211</v>
      </c>
      <c r="G591" s="19" t="s">
        <v>1046</v>
      </c>
      <c r="H591" s="19" t="s">
        <v>1001</v>
      </c>
      <c r="I591" s="19" t="s">
        <v>1575</v>
      </c>
      <c r="J591" s="20">
        <v>27</v>
      </c>
      <c r="K591" t="s">
        <v>631</v>
      </c>
      <c r="L591" t="s">
        <v>645</v>
      </c>
      <c r="M591" t="s">
        <v>629</v>
      </c>
      <c r="N591" t="s">
        <v>646</v>
      </c>
      <c r="O591" t="s">
        <v>632</v>
      </c>
    </row>
    <row r="592" spans="1:15" x14ac:dyDescent="0.35">
      <c r="A592" s="77">
        <v>1.9232876712328768</v>
      </c>
      <c r="B592" s="19">
        <v>53600</v>
      </c>
      <c r="C592" s="19" t="s">
        <v>2914</v>
      </c>
      <c r="D592" s="19" t="s">
        <v>38</v>
      </c>
      <c r="E592" s="19" t="s">
        <v>38</v>
      </c>
      <c r="F592" s="19" t="s">
        <v>711</v>
      </c>
      <c r="G592" s="19" t="s">
        <v>1028</v>
      </c>
      <c r="H592" s="19" t="s">
        <v>1020</v>
      </c>
      <c r="I592" s="19" t="s">
        <v>1575</v>
      </c>
      <c r="J592" s="20">
        <v>43</v>
      </c>
      <c r="K592" t="s">
        <v>668</v>
      </c>
      <c r="L592" t="s">
        <v>691</v>
      </c>
      <c r="M592" t="s">
        <v>657</v>
      </c>
      <c r="N592" t="s">
        <v>658</v>
      </c>
      <c r="O592" t="s">
        <v>632</v>
      </c>
    </row>
    <row r="593" spans="1:15" x14ac:dyDescent="0.35">
      <c r="A593" s="77">
        <v>7.2547945205479456</v>
      </c>
      <c r="B593" s="19">
        <v>53710</v>
      </c>
      <c r="C593" s="19" t="s">
        <v>2915</v>
      </c>
      <c r="D593" s="19" t="s">
        <v>82</v>
      </c>
      <c r="E593" s="19" t="s">
        <v>83</v>
      </c>
      <c r="F593" s="19" t="s">
        <v>1103</v>
      </c>
      <c r="G593" s="19" t="s">
        <v>1034</v>
      </c>
      <c r="H593" s="19" t="s">
        <v>1001</v>
      </c>
      <c r="I593" s="19" t="s">
        <v>1575</v>
      </c>
      <c r="J593" s="20">
        <v>29</v>
      </c>
      <c r="K593" t="s">
        <v>642</v>
      </c>
      <c r="L593" t="s">
        <v>661</v>
      </c>
      <c r="M593" t="s">
        <v>657</v>
      </c>
      <c r="N593" t="s">
        <v>662</v>
      </c>
      <c r="O593" t="s">
        <v>632</v>
      </c>
    </row>
    <row r="594" spans="1:15" x14ac:dyDescent="0.35">
      <c r="A594" s="77">
        <v>7.2520547945205482</v>
      </c>
      <c r="B594" s="19">
        <v>53731</v>
      </c>
      <c r="C594" s="19" t="s">
        <v>2916</v>
      </c>
      <c r="D594" s="19" t="s">
        <v>149</v>
      </c>
      <c r="E594" s="19" t="s">
        <v>150</v>
      </c>
      <c r="F594" s="19" t="s">
        <v>1548</v>
      </c>
      <c r="G594" s="19" t="s">
        <v>1046</v>
      </c>
      <c r="H594" s="19" t="s">
        <v>1001</v>
      </c>
      <c r="I594" s="19" t="s">
        <v>1575</v>
      </c>
      <c r="J594" s="20">
        <v>29</v>
      </c>
      <c r="K594" t="s">
        <v>654</v>
      </c>
      <c r="L594" t="s">
        <v>648</v>
      </c>
      <c r="M594" t="s">
        <v>623</v>
      </c>
      <c r="N594" t="s">
        <v>624</v>
      </c>
      <c r="O594" t="s">
        <v>725</v>
      </c>
    </row>
    <row r="595" spans="1:15" x14ac:dyDescent="0.35">
      <c r="A595" s="77">
        <v>1.4657534246575343</v>
      </c>
      <c r="B595" s="19">
        <v>53749</v>
      </c>
      <c r="C595" s="19" t="s">
        <v>2917</v>
      </c>
      <c r="D595" s="19" t="s">
        <v>124</v>
      </c>
      <c r="E595" s="19" t="s">
        <v>125</v>
      </c>
      <c r="F595" s="19" t="s">
        <v>1398</v>
      </c>
      <c r="G595" s="19" t="s">
        <v>1008</v>
      </c>
      <c r="H595" s="19" t="s">
        <v>1001</v>
      </c>
      <c r="I595" s="19" t="s">
        <v>1575</v>
      </c>
      <c r="J595" s="20">
        <v>26</v>
      </c>
      <c r="K595" t="s">
        <v>654</v>
      </c>
      <c r="L595" t="s">
        <v>661</v>
      </c>
      <c r="M595" t="s">
        <v>657</v>
      </c>
      <c r="N595" t="s">
        <v>662</v>
      </c>
      <c r="O595" t="s">
        <v>632</v>
      </c>
    </row>
    <row r="596" spans="1:15" x14ac:dyDescent="0.35">
      <c r="A596" s="77">
        <v>4.6575342465753428E-2</v>
      </c>
      <c r="B596" s="19">
        <v>53809</v>
      </c>
      <c r="C596" s="19" t="s">
        <v>2918</v>
      </c>
      <c r="D596" s="19" t="s">
        <v>45</v>
      </c>
      <c r="E596" s="19" t="s">
        <v>46</v>
      </c>
      <c r="F596" s="19" t="s">
        <v>1122</v>
      </c>
      <c r="G596" s="19" t="s">
        <v>1057</v>
      </c>
      <c r="H596" s="19" t="s">
        <v>1001</v>
      </c>
      <c r="I596" s="19" t="s">
        <v>1599</v>
      </c>
      <c r="J596" s="20">
        <v>30</v>
      </c>
      <c r="K596" t="s">
        <v>631</v>
      </c>
      <c r="L596" t="s">
        <v>651</v>
      </c>
      <c r="M596" t="s">
        <v>629</v>
      </c>
      <c r="N596" t="s">
        <v>630</v>
      </c>
      <c r="O596" t="s">
        <v>705</v>
      </c>
    </row>
    <row r="597" spans="1:15" x14ac:dyDescent="0.35">
      <c r="A597" s="77">
        <v>7</v>
      </c>
      <c r="B597" s="19">
        <v>53831</v>
      </c>
      <c r="C597" s="19" t="s">
        <v>2919</v>
      </c>
      <c r="D597" s="19" t="s">
        <v>367</v>
      </c>
      <c r="E597" s="19" t="s">
        <v>368</v>
      </c>
      <c r="F597" s="19" t="s">
        <v>1604</v>
      </c>
      <c r="G597" s="19" t="s">
        <v>1008</v>
      </c>
      <c r="H597" s="19" t="s">
        <v>1001</v>
      </c>
      <c r="I597" s="19" t="s">
        <v>1575</v>
      </c>
      <c r="J597" s="20">
        <v>27</v>
      </c>
      <c r="K597" t="s">
        <v>636</v>
      </c>
      <c r="L597" t="s">
        <v>737</v>
      </c>
      <c r="M597" t="s">
        <v>657</v>
      </c>
      <c r="N597" t="s">
        <v>641</v>
      </c>
      <c r="O597" t="s">
        <v>738</v>
      </c>
    </row>
    <row r="598" spans="1:15" x14ac:dyDescent="0.35">
      <c r="A598" s="77">
        <v>7</v>
      </c>
      <c r="B598" s="19">
        <v>53833</v>
      </c>
      <c r="C598" s="19" t="s">
        <v>2920</v>
      </c>
      <c r="D598" s="19" t="s">
        <v>367</v>
      </c>
      <c r="E598" s="19" t="s">
        <v>368</v>
      </c>
      <c r="F598" s="19" t="s">
        <v>1604</v>
      </c>
      <c r="G598" s="19" t="s">
        <v>1008</v>
      </c>
      <c r="H598" s="19" t="s">
        <v>1001</v>
      </c>
      <c r="I598" s="19" t="s">
        <v>1575</v>
      </c>
      <c r="J598" s="20">
        <v>27</v>
      </c>
      <c r="K598" t="s">
        <v>636</v>
      </c>
      <c r="L598" t="s">
        <v>737</v>
      </c>
      <c r="M598" t="s">
        <v>657</v>
      </c>
      <c r="N598" t="s">
        <v>641</v>
      </c>
      <c r="O598" t="s">
        <v>738</v>
      </c>
    </row>
    <row r="599" spans="1:15" x14ac:dyDescent="0.35">
      <c r="A599" s="77">
        <v>7</v>
      </c>
      <c r="B599" s="19">
        <v>53838</v>
      </c>
      <c r="C599" s="19" t="s">
        <v>2921</v>
      </c>
      <c r="D599" s="19" t="s">
        <v>300</v>
      </c>
      <c r="E599" s="19" t="s">
        <v>301</v>
      </c>
      <c r="F599" s="19" t="s">
        <v>1719</v>
      </c>
      <c r="G599" s="19" t="s">
        <v>1028</v>
      </c>
      <c r="H599" s="19" t="s">
        <v>1020</v>
      </c>
      <c r="I599" s="19" t="s">
        <v>1575</v>
      </c>
      <c r="J599" s="20">
        <v>27</v>
      </c>
      <c r="K599" t="s">
        <v>668</v>
      </c>
      <c r="L599" t="s">
        <v>737</v>
      </c>
      <c r="M599" t="s">
        <v>657</v>
      </c>
      <c r="N599" t="s">
        <v>641</v>
      </c>
      <c r="O599" t="s">
        <v>738</v>
      </c>
    </row>
    <row r="600" spans="1:15" x14ac:dyDescent="0.35">
      <c r="A600" s="77">
        <v>6.9726027397260273</v>
      </c>
      <c r="B600" s="19">
        <v>53968</v>
      </c>
      <c r="C600" s="19" t="s">
        <v>2922</v>
      </c>
      <c r="D600" s="19" t="s">
        <v>320</v>
      </c>
      <c r="E600" s="19" t="s">
        <v>321</v>
      </c>
      <c r="F600" s="19" t="s">
        <v>1205</v>
      </c>
      <c r="G600" s="19" t="s">
        <v>1057</v>
      </c>
      <c r="H600" s="19" t="s">
        <v>1001</v>
      </c>
      <c r="I600" s="19" t="s">
        <v>1575</v>
      </c>
      <c r="J600" s="20">
        <v>27</v>
      </c>
      <c r="K600" t="s">
        <v>668</v>
      </c>
      <c r="L600" t="s">
        <v>707</v>
      </c>
      <c r="M600" t="s">
        <v>629</v>
      </c>
      <c r="N600" t="s">
        <v>635</v>
      </c>
      <c r="O600" t="s">
        <v>708</v>
      </c>
    </row>
    <row r="601" spans="1:15" x14ac:dyDescent="0.35">
      <c r="A601" s="77">
        <v>2.021917808219178</v>
      </c>
      <c r="B601" s="19">
        <v>53970</v>
      </c>
      <c r="C601" s="19" t="s">
        <v>2923</v>
      </c>
      <c r="D601" s="19" t="s">
        <v>320</v>
      </c>
      <c r="E601" s="19" t="s">
        <v>321</v>
      </c>
      <c r="F601" s="19" t="s">
        <v>1205</v>
      </c>
      <c r="G601" s="19" t="s">
        <v>1034</v>
      </c>
      <c r="H601" s="19" t="s">
        <v>1001</v>
      </c>
      <c r="I601" s="19" t="s">
        <v>1575</v>
      </c>
      <c r="J601" s="20">
        <v>27</v>
      </c>
      <c r="K601" t="s">
        <v>668</v>
      </c>
      <c r="L601" t="s">
        <v>707</v>
      </c>
      <c r="M601" t="s">
        <v>629</v>
      </c>
      <c r="N601" t="s">
        <v>635</v>
      </c>
      <c r="O601" t="s">
        <v>708</v>
      </c>
    </row>
    <row r="602" spans="1:15" x14ac:dyDescent="0.35">
      <c r="A602" s="77">
        <v>1.9589041095890412</v>
      </c>
      <c r="B602" s="19">
        <v>54110</v>
      </c>
      <c r="C602" s="19" t="s">
        <v>2924</v>
      </c>
      <c r="D602" s="19" t="s">
        <v>215</v>
      </c>
      <c r="E602" s="19" t="s">
        <v>216</v>
      </c>
      <c r="F602" s="19" t="s">
        <v>1081</v>
      </c>
      <c r="G602" s="19" t="s">
        <v>1045</v>
      </c>
      <c r="H602" s="19" t="s">
        <v>1001</v>
      </c>
      <c r="I602" s="19" t="s">
        <v>1599</v>
      </c>
      <c r="J602" s="20">
        <v>30</v>
      </c>
      <c r="K602" t="s">
        <v>654</v>
      </c>
      <c r="L602" t="s">
        <v>640</v>
      </c>
      <c r="M602" t="s">
        <v>623</v>
      </c>
      <c r="N602" t="s">
        <v>624</v>
      </c>
      <c r="O602" t="s">
        <v>789</v>
      </c>
    </row>
    <row r="603" spans="1:15" x14ac:dyDescent="0.35">
      <c r="A603" s="77">
        <v>6.934246575342466</v>
      </c>
      <c r="B603" s="19">
        <v>54172</v>
      </c>
      <c r="C603" s="19" t="s">
        <v>2925</v>
      </c>
      <c r="D603" s="19" t="s">
        <v>413</v>
      </c>
      <c r="E603" s="19" t="s">
        <v>414</v>
      </c>
      <c r="F603" s="19" t="s">
        <v>1699</v>
      </c>
      <c r="G603" s="19" t="s">
        <v>1084</v>
      </c>
      <c r="H603" s="19" t="s">
        <v>1020</v>
      </c>
      <c r="I603" s="19" t="s">
        <v>1575</v>
      </c>
      <c r="J603" s="20">
        <v>27</v>
      </c>
      <c r="K603" t="s">
        <v>668</v>
      </c>
      <c r="L603" t="s">
        <v>691</v>
      </c>
      <c r="M603" t="s">
        <v>657</v>
      </c>
      <c r="N603" t="s">
        <v>658</v>
      </c>
      <c r="O603" t="s">
        <v>632</v>
      </c>
    </row>
    <row r="604" spans="1:15" x14ac:dyDescent="0.35">
      <c r="A604" s="77">
        <v>6.7068493150684931</v>
      </c>
      <c r="B604" s="19">
        <v>54175</v>
      </c>
      <c r="C604" s="19" t="s">
        <v>2926</v>
      </c>
      <c r="D604" s="19" t="s">
        <v>41</v>
      </c>
      <c r="E604" s="19" t="s">
        <v>41</v>
      </c>
      <c r="F604" s="19" t="s">
        <v>1157</v>
      </c>
      <c r="G604" s="19" t="s">
        <v>1084</v>
      </c>
      <c r="H604" s="19" t="s">
        <v>1020</v>
      </c>
      <c r="I604" s="19" t="s">
        <v>1575</v>
      </c>
      <c r="J604" s="20">
        <v>43</v>
      </c>
      <c r="K604" t="s">
        <v>625</v>
      </c>
      <c r="L604" t="s">
        <v>691</v>
      </c>
      <c r="M604" t="s">
        <v>657</v>
      </c>
      <c r="N604" t="s">
        <v>658</v>
      </c>
      <c r="O604" t="s">
        <v>632</v>
      </c>
    </row>
    <row r="605" spans="1:15" x14ac:dyDescent="0.35">
      <c r="A605" s="77">
        <v>6.7068493150684931</v>
      </c>
      <c r="B605" s="19">
        <v>54176</v>
      </c>
      <c r="C605" s="19" t="s">
        <v>2927</v>
      </c>
      <c r="D605" s="19" t="s">
        <v>41</v>
      </c>
      <c r="E605" s="19" t="s">
        <v>41</v>
      </c>
      <c r="F605" s="19" t="s">
        <v>1157</v>
      </c>
      <c r="G605" s="19" t="s">
        <v>1598</v>
      </c>
      <c r="H605" s="19" t="s">
        <v>1001</v>
      </c>
      <c r="I605" s="19" t="s">
        <v>1575</v>
      </c>
      <c r="J605" s="20">
        <v>49</v>
      </c>
      <c r="K605" t="s">
        <v>625</v>
      </c>
      <c r="L605" t="s">
        <v>691</v>
      </c>
      <c r="M605" t="s">
        <v>657</v>
      </c>
      <c r="N605" t="s">
        <v>658</v>
      </c>
      <c r="O605" t="s">
        <v>632</v>
      </c>
    </row>
    <row r="606" spans="1:15" x14ac:dyDescent="0.35">
      <c r="A606" s="77">
        <v>7.1479452054794521</v>
      </c>
      <c r="B606" s="19">
        <v>54394</v>
      </c>
      <c r="C606" s="19" t="s">
        <v>2928</v>
      </c>
      <c r="D606" s="19" t="s">
        <v>140</v>
      </c>
      <c r="E606" s="19" t="s">
        <v>141</v>
      </c>
      <c r="F606" s="19" t="s">
        <v>1138</v>
      </c>
      <c r="G606" s="19" t="s">
        <v>1046</v>
      </c>
      <c r="H606" s="19" t="s">
        <v>1001</v>
      </c>
      <c r="I606" s="19" t="s">
        <v>1599</v>
      </c>
      <c r="J606" s="20">
        <v>39</v>
      </c>
      <c r="K606" t="s">
        <v>636</v>
      </c>
      <c r="L606" t="s">
        <v>640</v>
      </c>
      <c r="M606" t="s">
        <v>623</v>
      </c>
      <c r="N606" t="s">
        <v>641</v>
      </c>
      <c r="O606" t="s">
        <v>754</v>
      </c>
    </row>
    <row r="607" spans="1:15" x14ac:dyDescent="0.35">
      <c r="A607" s="77">
        <v>7.1479452054794521</v>
      </c>
      <c r="B607" s="19">
        <v>54407</v>
      </c>
      <c r="C607" s="19" t="s">
        <v>2929</v>
      </c>
      <c r="D607" s="19" t="s">
        <v>371</v>
      </c>
      <c r="E607" s="19" t="s">
        <v>372</v>
      </c>
      <c r="F607" s="19" t="s">
        <v>2222</v>
      </c>
      <c r="G607" s="19" t="s">
        <v>1008</v>
      </c>
      <c r="H607" s="19" t="s">
        <v>1001</v>
      </c>
      <c r="I607" s="19" t="s">
        <v>1575</v>
      </c>
      <c r="J607" s="20">
        <v>32</v>
      </c>
      <c r="K607" t="s">
        <v>668</v>
      </c>
      <c r="L607" t="s">
        <v>640</v>
      </c>
      <c r="M607" t="s">
        <v>623</v>
      </c>
      <c r="N607" t="s">
        <v>641</v>
      </c>
      <c r="O607" t="s">
        <v>859</v>
      </c>
    </row>
    <row r="608" spans="1:15" x14ac:dyDescent="0.35">
      <c r="A608" s="77">
        <v>4.8109589041095893</v>
      </c>
      <c r="B608" s="19">
        <v>54425</v>
      </c>
      <c r="C608" s="19" t="s">
        <v>2930</v>
      </c>
      <c r="D608" s="19" t="s">
        <v>191</v>
      </c>
      <c r="E608" s="19" t="s">
        <v>192</v>
      </c>
      <c r="F608" s="19" t="s">
        <v>1626</v>
      </c>
      <c r="G608" s="19" t="s">
        <v>1046</v>
      </c>
      <c r="H608" s="19" t="s">
        <v>1001</v>
      </c>
      <c r="I608" s="19" t="s">
        <v>1575</v>
      </c>
      <c r="J608" s="20">
        <v>27</v>
      </c>
      <c r="K608" t="s">
        <v>654</v>
      </c>
      <c r="L608" t="s">
        <v>673</v>
      </c>
      <c r="M608" t="s">
        <v>623</v>
      </c>
      <c r="N608" t="s">
        <v>641</v>
      </c>
      <c r="O608" t="s">
        <v>779</v>
      </c>
    </row>
    <row r="609" spans="1:15" x14ac:dyDescent="0.35">
      <c r="A609" s="77">
        <v>7.1452054794520548</v>
      </c>
      <c r="B609" s="19">
        <v>54440</v>
      </c>
      <c r="C609" s="19" t="s">
        <v>2931</v>
      </c>
      <c r="D609" s="19" t="s">
        <v>47</v>
      </c>
      <c r="E609" s="19" t="s">
        <v>48</v>
      </c>
      <c r="F609" s="19" t="s">
        <v>1232</v>
      </c>
      <c r="G609" s="19" t="s">
        <v>1000</v>
      </c>
      <c r="H609" s="19" t="s">
        <v>1001</v>
      </c>
      <c r="I609" s="19" t="s">
        <v>1575</v>
      </c>
      <c r="J609" s="20">
        <v>36</v>
      </c>
      <c r="K609" t="s">
        <v>636</v>
      </c>
      <c r="L609" t="s">
        <v>622</v>
      </c>
      <c r="M609" t="s">
        <v>623</v>
      </c>
      <c r="N609" t="s">
        <v>624</v>
      </c>
      <c r="O609" t="s">
        <v>649</v>
      </c>
    </row>
    <row r="610" spans="1:15" x14ac:dyDescent="0.35">
      <c r="A610" s="77">
        <v>7.1369863013698627</v>
      </c>
      <c r="B610" s="19">
        <v>54503</v>
      </c>
      <c r="C610" s="19" t="s">
        <v>2932</v>
      </c>
      <c r="D610" s="19" t="s">
        <v>206</v>
      </c>
      <c r="E610" s="19" t="s">
        <v>207</v>
      </c>
      <c r="F610" s="19" t="s">
        <v>2447</v>
      </c>
      <c r="G610" s="19" t="s">
        <v>1084</v>
      </c>
      <c r="H610" s="19" t="s">
        <v>1001</v>
      </c>
      <c r="I610" s="19" t="s">
        <v>1575</v>
      </c>
      <c r="J610" s="20">
        <v>46</v>
      </c>
      <c r="K610" t="s">
        <v>668</v>
      </c>
      <c r="L610" t="s">
        <v>666</v>
      </c>
      <c r="M610" t="s">
        <v>629</v>
      </c>
      <c r="N610" t="s">
        <v>630</v>
      </c>
      <c r="O610" t="s">
        <v>652</v>
      </c>
    </row>
    <row r="611" spans="1:15" x14ac:dyDescent="0.35">
      <c r="A611" s="77">
        <v>4.7424657534246579</v>
      </c>
      <c r="B611" s="19">
        <v>54567</v>
      </c>
      <c r="C611" s="19" t="s">
        <v>2933</v>
      </c>
      <c r="D611" s="19" t="s">
        <v>191</v>
      </c>
      <c r="E611" s="19" t="s">
        <v>192</v>
      </c>
      <c r="F611" s="19" t="s">
        <v>1626</v>
      </c>
      <c r="G611" s="19" t="s">
        <v>1057</v>
      </c>
      <c r="H611" s="19" t="s">
        <v>1001</v>
      </c>
      <c r="I611" s="19" t="s">
        <v>1599</v>
      </c>
      <c r="J611" s="20">
        <v>29</v>
      </c>
      <c r="K611" t="s">
        <v>654</v>
      </c>
      <c r="L611" t="s">
        <v>673</v>
      </c>
      <c r="M611" t="s">
        <v>623</v>
      </c>
      <c r="N611" t="s">
        <v>641</v>
      </c>
      <c r="O611" t="s">
        <v>779</v>
      </c>
    </row>
    <row r="612" spans="1:15" x14ac:dyDescent="0.35">
      <c r="A612" s="77">
        <v>7.1232876712328768</v>
      </c>
      <c r="B612" s="19">
        <v>54578</v>
      </c>
      <c r="C612" s="19" t="s">
        <v>2934</v>
      </c>
      <c r="D612" s="19" t="s">
        <v>137</v>
      </c>
      <c r="E612" s="19" t="s">
        <v>138</v>
      </c>
      <c r="F612" s="19" t="s">
        <v>1115</v>
      </c>
      <c r="G612" s="19" t="s">
        <v>1046</v>
      </c>
      <c r="H612" s="19" t="s">
        <v>1001</v>
      </c>
      <c r="I612" s="19" t="s">
        <v>1575</v>
      </c>
      <c r="J612" s="20">
        <v>31</v>
      </c>
      <c r="K612" t="s">
        <v>636</v>
      </c>
      <c r="L612" t="s">
        <v>684</v>
      </c>
      <c r="M612" t="s">
        <v>623</v>
      </c>
      <c r="N612" t="s">
        <v>662</v>
      </c>
      <c r="O612" t="s">
        <v>685</v>
      </c>
    </row>
    <row r="613" spans="1:15" x14ac:dyDescent="0.35">
      <c r="A613" s="77">
        <v>7.087671232876712</v>
      </c>
      <c r="B613" s="19">
        <v>54712</v>
      </c>
      <c r="C613" s="19" t="s">
        <v>2935</v>
      </c>
      <c r="D613" s="19" t="s">
        <v>62</v>
      </c>
      <c r="E613" s="19" t="s">
        <v>63</v>
      </c>
      <c r="F613" s="19" t="s">
        <v>1228</v>
      </c>
      <c r="G613" s="19" t="s">
        <v>1084</v>
      </c>
      <c r="H613" s="19" t="s">
        <v>1020</v>
      </c>
      <c r="I613" s="19" t="s">
        <v>1575</v>
      </c>
      <c r="J613" s="20">
        <v>67</v>
      </c>
      <c r="K613" t="s">
        <v>636</v>
      </c>
      <c r="L613" t="s">
        <v>645</v>
      </c>
      <c r="M613" t="s">
        <v>629</v>
      </c>
      <c r="N613" t="s">
        <v>646</v>
      </c>
      <c r="O613" t="s">
        <v>632</v>
      </c>
    </row>
    <row r="614" spans="1:15" x14ac:dyDescent="0.35">
      <c r="A614" s="77">
        <v>0.32328767123287672</v>
      </c>
      <c r="B614" s="19">
        <v>54776</v>
      </c>
      <c r="C614" s="19" t="s">
        <v>2936</v>
      </c>
      <c r="D614" s="19" t="s">
        <v>19</v>
      </c>
      <c r="E614" s="19" t="s">
        <v>19</v>
      </c>
      <c r="F614" s="19" t="s">
        <v>1255</v>
      </c>
      <c r="G614" s="19" t="s">
        <v>1046</v>
      </c>
      <c r="H614" s="19" t="s">
        <v>1001</v>
      </c>
      <c r="I614" s="19" t="s">
        <v>1575</v>
      </c>
      <c r="J614" s="20">
        <v>29</v>
      </c>
      <c r="K614" t="s">
        <v>654</v>
      </c>
      <c r="L614" t="s">
        <v>645</v>
      </c>
      <c r="M614" t="s">
        <v>629</v>
      </c>
      <c r="N614" t="s">
        <v>646</v>
      </c>
      <c r="O614" t="s">
        <v>632</v>
      </c>
    </row>
    <row r="615" spans="1:15" x14ac:dyDescent="0.35">
      <c r="A615" s="77">
        <v>7.0712328767123287</v>
      </c>
      <c r="B615" s="19">
        <v>54839</v>
      </c>
      <c r="C615" s="19" t="s">
        <v>2937</v>
      </c>
      <c r="D615" s="19" t="s">
        <v>276</v>
      </c>
      <c r="E615" s="19" t="s">
        <v>277</v>
      </c>
      <c r="F615" s="19" t="s">
        <v>893</v>
      </c>
      <c r="G615" s="19" t="s">
        <v>1008</v>
      </c>
      <c r="H615" s="19" t="s">
        <v>1001</v>
      </c>
      <c r="I615" s="19" t="s">
        <v>1575</v>
      </c>
      <c r="J615" s="20">
        <v>44</v>
      </c>
      <c r="K615" t="s">
        <v>631</v>
      </c>
      <c r="L615" t="s">
        <v>707</v>
      </c>
      <c r="M615" t="s">
        <v>629</v>
      </c>
      <c r="N615" t="s">
        <v>635</v>
      </c>
      <c r="O615" t="s">
        <v>710</v>
      </c>
    </row>
    <row r="616" spans="1:15" x14ac:dyDescent="0.35">
      <c r="A616" s="77">
        <v>7.0712328767123287</v>
      </c>
      <c r="B616" s="19">
        <v>54862</v>
      </c>
      <c r="C616" s="19" t="s">
        <v>2938</v>
      </c>
      <c r="D616" s="19" t="s">
        <v>347</v>
      </c>
      <c r="E616" s="19" t="s">
        <v>348</v>
      </c>
      <c r="F616" s="19" t="s">
        <v>910</v>
      </c>
      <c r="G616" s="19" t="s">
        <v>1028</v>
      </c>
      <c r="H616" s="19" t="s">
        <v>1020</v>
      </c>
      <c r="I616" s="19" t="s">
        <v>1575</v>
      </c>
      <c r="J616" s="20">
        <v>48</v>
      </c>
      <c r="K616" t="s">
        <v>654</v>
      </c>
      <c r="L616" t="s">
        <v>707</v>
      </c>
      <c r="M616" t="s">
        <v>629</v>
      </c>
      <c r="N616" t="s">
        <v>635</v>
      </c>
      <c r="O616" t="s">
        <v>710</v>
      </c>
    </row>
    <row r="617" spans="1:15" x14ac:dyDescent="0.35">
      <c r="A617" s="77">
        <v>1.7397260273972603</v>
      </c>
      <c r="B617" s="19">
        <v>54863</v>
      </c>
      <c r="C617" s="19" t="s">
        <v>2939</v>
      </c>
      <c r="D617" s="19" t="s">
        <v>347</v>
      </c>
      <c r="E617" s="19" t="s">
        <v>348</v>
      </c>
      <c r="F617" s="19" t="s">
        <v>910</v>
      </c>
      <c r="G617" s="19" t="s">
        <v>1028</v>
      </c>
      <c r="H617" s="19" t="s">
        <v>1020</v>
      </c>
      <c r="I617" s="19" t="s">
        <v>1575</v>
      </c>
      <c r="J617" s="20">
        <v>49</v>
      </c>
      <c r="K617" t="s">
        <v>654</v>
      </c>
      <c r="L617" t="s">
        <v>707</v>
      </c>
      <c r="M617" t="s">
        <v>629</v>
      </c>
      <c r="N617" t="s">
        <v>635</v>
      </c>
      <c r="O617" t="s">
        <v>710</v>
      </c>
    </row>
    <row r="618" spans="1:15" x14ac:dyDescent="0.35">
      <c r="A618" s="77">
        <v>7.0684931506849313</v>
      </c>
      <c r="B618" s="19">
        <v>54901</v>
      </c>
      <c r="C618" s="19" t="s">
        <v>2940</v>
      </c>
      <c r="D618" s="19" t="s">
        <v>30</v>
      </c>
      <c r="E618" s="19" t="s">
        <v>30</v>
      </c>
      <c r="F618" s="19" t="s">
        <v>672</v>
      </c>
      <c r="G618" s="19" t="s">
        <v>1084</v>
      </c>
      <c r="H618" s="19" t="s">
        <v>1001</v>
      </c>
      <c r="I618" s="19" t="s">
        <v>1599</v>
      </c>
      <c r="J618" s="20">
        <v>26</v>
      </c>
      <c r="K618" t="s">
        <v>636</v>
      </c>
      <c r="L618" t="s">
        <v>673</v>
      </c>
      <c r="M618" t="s">
        <v>623</v>
      </c>
      <c r="N618" t="s">
        <v>641</v>
      </c>
      <c r="O618" t="s">
        <v>674</v>
      </c>
    </row>
    <row r="619" spans="1:15" x14ac:dyDescent="0.35">
      <c r="A619" s="77">
        <v>7.0630136986301366</v>
      </c>
      <c r="B619" s="19">
        <v>54949</v>
      </c>
      <c r="C619" s="19" t="s">
        <v>2941</v>
      </c>
      <c r="D619" s="19" t="s">
        <v>324</v>
      </c>
      <c r="E619" s="19" t="s">
        <v>325</v>
      </c>
      <c r="F619" s="19" t="s">
        <v>1284</v>
      </c>
      <c r="G619" s="19" t="s">
        <v>1000</v>
      </c>
      <c r="H619" s="19" t="s">
        <v>1001</v>
      </c>
      <c r="I619" s="19" t="s">
        <v>1599</v>
      </c>
      <c r="J619" s="20">
        <v>36</v>
      </c>
      <c r="K619" t="s">
        <v>631</v>
      </c>
      <c r="L619" t="s">
        <v>663</v>
      </c>
      <c r="M619" t="s">
        <v>629</v>
      </c>
      <c r="N619" t="s">
        <v>646</v>
      </c>
      <c r="O619" t="s">
        <v>639</v>
      </c>
    </row>
    <row r="620" spans="1:15" x14ac:dyDescent="0.35">
      <c r="A620" s="77">
        <v>0.56986301369863013</v>
      </c>
      <c r="B620" s="19">
        <v>54958</v>
      </c>
      <c r="C620" s="19" t="s">
        <v>2942</v>
      </c>
      <c r="D620" s="19" t="s">
        <v>286</v>
      </c>
      <c r="E620" s="19" t="s">
        <v>287</v>
      </c>
      <c r="F620" s="19" t="s">
        <v>1675</v>
      </c>
      <c r="G620" s="19" t="s">
        <v>1008</v>
      </c>
      <c r="H620" s="19" t="s">
        <v>1001</v>
      </c>
      <c r="I620" s="19" t="s">
        <v>1575</v>
      </c>
      <c r="J620" s="20">
        <v>28</v>
      </c>
      <c r="K620" t="s">
        <v>668</v>
      </c>
      <c r="L620" t="s">
        <v>640</v>
      </c>
      <c r="M620" t="s">
        <v>623</v>
      </c>
      <c r="N620" t="s">
        <v>641</v>
      </c>
      <c r="O620" t="s">
        <v>754</v>
      </c>
    </row>
    <row r="621" spans="1:15" x14ac:dyDescent="0.35">
      <c r="A621" s="77">
        <v>7.0493150684931507</v>
      </c>
      <c r="B621" s="19">
        <v>55035</v>
      </c>
      <c r="C621" s="19" t="s">
        <v>2943</v>
      </c>
      <c r="D621" s="19" t="s">
        <v>339</v>
      </c>
      <c r="E621" s="19" t="s">
        <v>340</v>
      </c>
      <c r="F621" s="19" t="s">
        <v>1024</v>
      </c>
      <c r="G621" s="19" t="s">
        <v>1008</v>
      </c>
      <c r="H621" s="19" t="s">
        <v>1001</v>
      </c>
      <c r="I621" s="19" t="s">
        <v>1575</v>
      </c>
      <c r="J621" s="20">
        <v>31</v>
      </c>
      <c r="K621" t="s">
        <v>631</v>
      </c>
      <c r="L621" t="s">
        <v>651</v>
      </c>
      <c r="M621" t="s">
        <v>629</v>
      </c>
      <c r="N621" t="s">
        <v>630</v>
      </c>
      <c r="O621" t="s">
        <v>705</v>
      </c>
    </row>
    <row r="622" spans="1:15" x14ac:dyDescent="0.35">
      <c r="A622" s="77">
        <v>0.77534246575342469</v>
      </c>
      <c r="B622" s="19">
        <v>55134</v>
      </c>
      <c r="C622" s="19" t="s">
        <v>2944</v>
      </c>
      <c r="D622" s="19" t="s">
        <v>413</v>
      </c>
      <c r="E622" s="19" t="s">
        <v>414</v>
      </c>
      <c r="F622" s="19" t="s">
        <v>1699</v>
      </c>
      <c r="G622" s="19" t="s">
        <v>1034</v>
      </c>
      <c r="H622" s="19" t="s">
        <v>1001</v>
      </c>
      <c r="I622" s="19" t="s">
        <v>1599</v>
      </c>
      <c r="J622" s="20">
        <v>27</v>
      </c>
      <c r="K622" t="s">
        <v>668</v>
      </c>
      <c r="L622" t="s">
        <v>691</v>
      </c>
      <c r="M622" t="s">
        <v>657</v>
      </c>
      <c r="N622" t="s">
        <v>658</v>
      </c>
      <c r="O622" t="s">
        <v>632</v>
      </c>
    </row>
    <row r="623" spans="1:15" x14ac:dyDescent="0.35">
      <c r="A623" s="77">
        <v>7.0273972602739727</v>
      </c>
      <c r="B623" s="19">
        <v>55164</v>
      </c>
      <c r="C623" s="19" t="s">
        <v>2945</v>
      </c>
      <c r="D623" s="19" t="s">
        <v>17</v>
      </c>
      <c r="E623" s="19" t="s">
        <v>17</v>
      </c>
      <c r="F623" s="19" t="s">
        <v>906</v>
      </c>
      <c r="G623" s="19" t="s">
        <v>1057</v>
      </c>
      <c r="H623" s="19" t="s">
        <v>1001</v>
      </c>
      <c r="I623" s="19" t="s">
        <v>1575</v>
      </c>
      <c r="J623" s="20">
        <v>26</v>
      </c>
      <c r="K623" t="s">
        <v>636</v>
      </c>
      <c r="L623" t="s">
        <v>648</v>
      </c>
      <c r="M623" t="s">
        <v>623</v>
      </c>
      <c r="N623" t="s">
        <v>624</v>
      </c>
      <c r="O623" t="s">
        <v>649</v>
      </c>
    </row>
    <row r="624" spans="1:15" x14ac:dyDescent="0.35">
      <c r="A624" s="77">
        <v>2.1917808219178082E-2</v>
      </c>
      <c r="B624" s="19">
        <v>55201</v>
      </c>
      <c r="C624" s="19" t="s">
        <v>2946</v>
      </c>
      <c r="D624" s="19" t="s">
        <v>339</v>
      </c>
      <c r="E624" s="19" t="s">
        <v>340</v>
      </c>
      <c r="F624" s="19" t="s">
        <v>1024</v>
      </c>
      <c r="G624" s="19" t="s">
        <v>1008</v>
      </c>
      <c r="H624" s="19" t="s">
        <v>1001</v>
      </c>
      <c r="I624" s="19" t="s">
        <v>1575</v>
      </c>
      <c r="J624" s="20">
        <v>35</v>
      </c>
      <c r="K624" t="s">
        <v>631</v>
      </c>
      <c r="L624" t="s">
        <v>651</v>
      </c>
      <c r="M624" t="s">
        <v>629</v>
      </c>
      <c r="N624" t="s">
        <v>630</v>
      </c>
      <c r="O624" t="s">
        <v>705</v>
      </c>
    </row>
    <row r="625" spans="1:15" x14ac:dyDescent="0.35">
      <c r="A625" s="77">
        <v>3.8986301369863012</v>
      </c>
      <c r="B625" s="19">
        <v>55221</v>
      </c>
      <c r="C625" s="19" t="s">
        <v>2947</v>
      </c>
      <c r="D625" s="19" t="s">
        <v>20</v>
      </c>
      <c r="E625" s="19" t="s">
        <v>20</v>
      </c>
      <c r="F625" s="19" t="s">
        <v>1133</v>
      </c>
      <c r="G625" s="19" t="s">
        <v>1008</v>
      </c>
      <c r="H625" s="19" t="s">
        <v>1001</v>
      </c>
      <c r="I625" s="19" t="s">
        <v>1575</v>
      </c>
      <c r="J625" s="20">
        <v>27</v>
      </c>
      <c r="K625" t="s">
        <v>654</v>
      </c>
      <c r="L625" t="s">
        <v>634</v>
      </c>
      <c r="M625" t="s">
        <v>629</v>
      </c>
      <c r="N625" t="s">
        <v>635</v>
      </c>
      <c r="O625" t="s">
        <v>637</v>
      </c>
    </row>
    <row r="626" spans="1:15" x14ac:dyDescent="0.35">
      <c r="A626" s="77">
        <v>1.295890410958904</v>
      </c>
      <c r="B626" s="19">
        <v>55326</v>
      </c>
      <c r="C626" s="19" t="s">
        <v>2948</v>
      </c>
      <c r="D626" s="19" t="s">
        <v>135</v>
      </c>
      <c r="E626" s="19" t="s">
        <v>136</v>
      </c>
      <c r="F626" s="19" t="s">
        <v>2393</v>
      </c>
      <c r="G626" s="19" t="s">
        <v>1028</v>
      </c>
      <c r="H626" s="19" t="s">
        <v>1020</v>
      </c>
      <c r="I626" s="19" t="s">
        <v>1575</v>
      </c>
      <c r="J626" s="20">
        <v>26</v>
      </c>
      <c r="K626" t="s">
        <v>668</v>
      </c>
      <c r="L626" t="s">
        <v>651</v>
      </c>
      <c r="M626" t="s">
        <v>629</v>
      </c>
      <c r="N626" t="s">
        <v>630</v>
      </c>
      <c r="O626" t="s">
        <v>652</v>
      </c>
    </row>
    <row r="627" spans="1:15" x14ac:dyDescent="0.35">
      <c r="A627" s="77">
        <v>6.646575342465753</v>
      </c>
      <c r="B627" s="19">
        <v>55556</v>
      </c>
      <c r="C627" s="19" t="s">
        <v>2949</v>
      </c>
      <c r="D627" s="19" t="s">
        <v>55</v>
      </c>
      <c r="E627" s="19" t="s">
        <v>56</v>
      </c>
      <c r="F627" s="19" t="s">
        <v>1684</v>
      </c>
      <c r="G627" s="19" t="s">
        <v>1046</v>
      </c>
      <c r="H627" s="19" t="s">
        <v>1001</v>
      </c>
      <c r="I627" s="19" t="s">
        <v>1575</v>
      </c>
      <c r="J627" s="20">
        <v>25</v>
      </c>
      <c r="K627" t="s">
        <v>668</v>
      </c>
      <c r="L627" t="s">
        <v>707</v>
      </c>
      <c r="M627" t="s">
        <v>629</v>
      </c>
      <c r="N627" t="s">
        <v>635</v>
      </c>
      <c r="O627" t="s">
        <v>708</v>
      </c>
    </row>
    <row r="628" spans="1:15" x14ac:dyDescent="0.35">
      <c r="A628" s="77">
        <v>6.9671232876712326</v>
      </c>
      <c r="B628" s="19">
        <v>55590</v>
      </c>
      <c r="C628" s="19" t="s">
        <v>2950</v>
      </c>
      <c r="D628" s="19" t="s">
        <v>23</v>
      </c>
      <c r="E628" s="19" t="s">
        <v>23</v>
      </c>
      <c r="F628" s="19" t="s">
        <v>660</v>
      </c>
      <c r="G628" s="19" t="s">
        <v>1008</v>
      </c>
      <c r="H628" s="19" t="s">
        <v>1001</v>
      </c>
      <c r="I628" s="19" t="s">
        <v>1575</v>
      </c>
      <c r="J628" s="20">
        <v>48</v>
      </c>
      <c r="K628" t="s">
        <v>631</v>
      </c>
      <c r="L628" t="s">
        <v>661</v>
      </c>
      <c r="M628" t="s">
        <v>657</v>
      </c>
      <c r="N628" t="s">
        <v>662</v>
      </c>
      <c r="O628" t="s">
        <v>632</v>
      </c>
    </row>
    <row r="629" spans="1:15" x14ac:dyDescent="0.35">
      <c r="A629" s="77">
        <v>6.934246575342466</v>
      </c>
      <c r="B629" s="19">
        <v>55593</v>
      </c>
      <c r="C629" s="19" t="s">
        <v>2951</v>
      </c>
      <c r="D629" s="19" t="s">
        <v>382</v>
      </c>
      <c r="E629" s="19" t="s">
        <v>383</v>
      </c>
      <c r="F629" s="19" t="s">
        <v>384</v>
      </c>
      <c r="G629" s="19" t="s">
        <v>1046</v>
      </c>
      <c r="H629" s="19" t="s">
        <v>1001</v>
      </c>
      <c r="I629" s="19" t="s">
        <v>1575</v>
      </c>
      <c r="J629" s="20">
        <v>34</v>
      </c>
      <c r="K629" t="s">
        <v>636</v>
      </c>
      <c r="L629" t="s">
        <v>656</v>
      </c>
      <c r="M629" t="s">
        <v>657</v>
      </c>
      <c r="N629" t="s">
        <v>658</v>
      </c>
      <c r="O629" t="s">
        <v>843</v>
      </c>
    </row>
    <row r="630" spans="1:15" x14ac:dyDescent="0.35">
      <c r="A630" s="77">
        <v>7.0027397260273974</v>
      </c>
      <c r="B630" s="19">
        <v>56021</v>
      </c>
      <c r="C630" s="19" t="s">
        <v>2952</v>
      </c>
      <c r="D630" s="19" t="s">
        <v>262</v>
      </c>
      <c r="E630" s="19" t="s">
        <v>263</v>
      </c>
      <c r="F630" s="19" t="s">
        <v>2336</v>
      </c>
      <c r="G630" s="19" t="s">
        <v>1046</v>
      </c>
      <c r="H630" s="19" t="s">
        <v>1001</v>
      </c>
      <c r="I630" s="19" t="s">
        <v>1575</v>
      </c>
      <c r="J630" s="20">
        <v>26</v>
      </c>
      <c r="K630" t="s">
        <v>668</v>
      </c>
      <c r="L630" t="s">
        <v>663</v>
      </c>
      <c r="M630" t="s">
        <v>629</v>
      </c>
      <c r="N630" t="s">
        <v>646</v>
      </c>
      <c r="O630" t="s">
        <v>810</v>
      </c>
    </row>
    <row r="631" spans="1:15" x14ac:dyDescent="0.35">
      <c r="A631" s="77">
        <v>7.0027397260273974</v>
      </c>
      <c r="B631" s="19">
        <v>56044</v>
      </c>
      <c r="C631" s="19" t="s">
        <v>2953</v>
      </c>
      <c r="D631" s="19" t="s">
        <v>401</v>
      </c>
      <c r="E631" s="19" t="s">
        <v>402</v>
      </c>
      <c r="F631" s="19" t="s">
        <v>1314</v>
      </c>
      <c r="G631" s="19" t="s">
        <v>1046</v>
      </c>
      <c r="H631" s="19" t="s">
        <v>1001</v>
      </c>
      <c r="I631" s="19" t="s">
        <v>1575</v>
      </c>
      <c r="J631" s="20">
        <v>31</v>
      </c>
      <c r="K631" t="s">
        <v>668</v>
      </c>
      <c r="L631" t="s">
        <v>691</v>
      </c>
      <c r="M631" t="s">
        <v>657</v>
      </c>
      <c r="N631" t="s">
        <v>658</v>
      </c>
      <c r="O631" t="s">
        <v>632</v>
      </c>
    </row>
    <row r="632" spans="1:15" x14ac:dyDescent="0.35">
      <c r="A632" s="77">
        <v>1.1643835616438356</v>
      </c>
      <c r="B632" s="19">
        <v>56127</v>
      </c>
      <c r="C632" s="19" t="s">
        <v>2954</v>
      </c>
      <c r="D632" s="19" t="s">
        <v>431</v>
      </c>
      <c r="E632" s="19" t="e">
        <v>#N/A</v>
      </c>
      <c r="F632" s="19" t="s">
        <v>709</v>
      </c>
      <c r="G632" s="19" t="s">
        <v>1046</v>
      </c>
      <c r="H632" s="19" t="s">
        <v>1001</v>
      </c>
      <c r="I632" s="19" t="s">
        <v>1575</v>
      </c>
      <c r="J632" s="20">
        <v>33</v>
      </c>
      <c r="K632" t="s">
        <v>654</v>
      </c>
      <c r="L632" t="s">
        <v>707</v>
      </c>
      <c r="M632" t="s">
        <v>629</v>
      </c>
      <c r="N632" t="s">
        <v>635</v>
      </c>
      <c r="O632" t="s">
        <v>710</v>
      </c>
    </row>
    <row r="633" spans="1:15" x14ac:dyDescent="0.35">
      <c r="A633" s="77">
        <v>7.0027397260273974</v>
      </c>
      <c r="B633" s="19">
        <v>56149</v>
      </c>
      <c r="C633" s="19" t="s">
        <v>2955</v>
      </c>
      <c r="D633" s="19" t="s">
        <v>395</v>
      </c>
      <c r="E633" s="19" t="s">
        <v>396</v>
      </c>
      <c r="F633" s="19" t="s">
        <v>1147</v>
      </c>
      <c r="G633" s="19" t="s">
        <v>1057</v>
      </c>
      <c r="H633" s="19" t="s">
        <v>1001</v>
      </c>
      <c r="I633" s="19" t="s">
        <v>1575</v>
      </c>
      <c r="J633" s="20">
        <v>28</v>
      </c>
      <c r="K633" t="s">
        <v>642</v>
      </c>
      <c r="L633" t="s">
        <v>678</v>
      </c>
      <c r="M633" t="s">
        <v>623</v>
      </c>
      <c r="N633" t="s">
        <v>624</v>
      </c>
      <c r="O633" t="s">
        <v>679</v>
      </c>
    </row>
    <row r="634" spans="1:15" x14ac:dyDescent="0.35">
      <c r="A634" s="77">
        <v>1.7095890410958905</v>
      </c>
      <c r="B634" s="19">
        <v>56165</v>
      </c>
      <c r="C634" s="19" t="s">
        <v>2956</v>
      </c>
      <c r="D634" s="19" t="s">
        <v>93</v>
      </c>
      <c r="E634" s="19" t="s">
        <v>94</v>
      </c>
      <c r="F634" s="19" t="s">
        <v>919</v>
      </c>
      <c r="G634" s="19" t="s">
        <v>1034</v>
      </c>
      <c r="H634" s="19" t="s">
        <v>1001</v>
      </c>
      <c r="I634" s="19" t="s">
        <v>1599</v>
      </c>
      <c r="J634" s="20">
        <v>27</v>
      </c>
      <c r="K634" t="s">
        <v>654</v>
      </c>
      <c r="L634" t="s">
        <v>691</v>
      </c>
      <c r="M634" t="s">
        <v>657</v>
      </c>
      <c r="N634" t="s">
        <v>658</v>
      </c>
      <c r="O634" t="s">
        <v>632</v>
      </c>
    </row>
    <row r="635" spans="1:15" x14ac:dyDescent="0.35">
      <c r="A635" s="77">
        <v>1.893150684931507</v>
      </c>
      <c r="B635" s="19">
        <v>56179</v>
      </c>
      <c r="C635" s="19" t="s">
        <v>2957</v>
      </c>
      <c r="D635" s="19" t="s">
        <v>26</v>
      </c>
      <c r="E635" s="19" t="s">
        <v>26</v>
      </c>
      <c r="F635" s="19" t="s">
        <v>1124</v>
      </c>
      <c r="G635" s="19" t="s">
        <v>1084</v>
      </c>
      <c r="H635" s="19" t="s">
        <v>1001</v>
      </c>
      <c r="I635" s="19" t="s">
        <v>1575</v>
      </c>
      <c r="J635" s="20">
        <v>35</v>
      </c>
      <c r="K635" t="s">
        <v>636</v>
      </c>
      <c r="L635" t="s">
        <v>666</v>
      </c>
      <c r="M635" t="s">
        <v>629</v>
      </c>
      <c r="N635" t="s">
        <v>635</v>
      </c>
      <c r="O635" t="s">
        <v>637</v>
      </c>
    </row>
    <row r="636" spans="1:15" x14ac:dyDescent="0.35">
      <c r="A636" s="77">
        <v>2.1917808219178082E-2</v>
      </c>
      <c r="B636" s="19">
        <v>56195</v>
      </c>
      <c r="C636" s="19" t="s">
        <v>2958</v>
      </c>
      <c r="D636" s="19" t="s">
        <v>276</v>
      </c>
      <c r="E636" s="19" t="s">
        <v>277</v>
      </c>
      <c r="F636" s="19" t="s">
        <v>893</v>
      </c>
      <c r="G636" s="19" t="s">
        <v>1008</v>
      </c>
      <c r="H636" s="19" t="s">
        <v>1001</v>
      </c>
      <c r="I636" s="19" t="s">
        <v>1575</v>
      </c>
      <c r="J636" s="20">
        <v>27</v>
      </c>
      <c r="K636" t="s">
        <v>631</v>
      </c>
      <c r="L636" t="s">
        <v>707</v>
      </c>
      <c r="M636" t="s">
        <v>629</v>
      </c>
      <c r="N636" t="s">
        <v>635</v>
      </c>
      <c r="O636" t="s">
        <v>710</v>
      </c>
    </row>
    <row r="637" spans="1:15" x14ac:dyDescent="0.35">
      <c r="A637" s="77">
        <v>7.0027397260273974</v>
      </c>
      <c r="B637" s="19">
        <v>56196</v>
      </c>
      <c r="C637" s="19" t="s">
        <v>2959</v>
      </c>
      <c r="D637" s="19" t="s">
        <v>95</v>
      </c>
      <c r="E637" s="19" t="s">
        <v>96</v>
      </c>
      <c r="F637" s="19" t="s">
        <v>1188</v>
      </c>
      <c r="G637" s="19" t="s">
        <v>1046</v>
      </c>
      <c r="H637" s="19" t="s">
        <v>1001</v>
      </c>
      <c r="I637" s="19" t="s">
        <v>1575</v>
      </c>
      <c r="J637" s="20">
        <v>36</v>
      </c>
      <c r="K637" t="s">
        <v>636</v>
      </c>
      <c r="L637" t="s">
        <v>737</v>
      </c>
      <c r="M637" t="s">
        <v>657</v>
      </c>
      <c r="N637" t="s">
        <v>641</v>
      </c>
      <c r="O637" t="s">
        <v>738</v>
      </c>
    </row>
    <row r="638" spans="1:15" x14ac:dyDescent="0.35">
      <c r="A638" s="77">
        <v>6.9698630136986299</v>
      </c>
      <c r="B638" s="19">
        <v>56225</v>
      </c>
      <c r="C638" s="19" t="s">
        <v>2960</v>
      </c>
      <c r="D638" s="19" t="s">
        <v>307</v>
      </c>
      <c r="E638" s="19" t="s">
        <v>308</v>
      </c>
      <c r="F638" s="19" t="s">
        <v>1524</v>
      </c>
      <c r="G638" s="19" t="s">
        <v>1000</v>
      </c>
      <c r="H638" s="19" t="s">
        <v>1001</v>
      </c>
      <c r="I638" s="19" t="s">
        <v>1599</v>
      </c>
      <c r="J638" s="20">
        <v>37</v>
      </c>
      <c r="K638" t="s">
        <v>668</v>
      </c>
      <c r="L638" t="s">
        <v>656</v>
      </c>
      <c r="M638" t="s">
        <v>657</v>
      </c>
      <c r="N638" t="s">
        <v>658</v>
      </c>
      <c r="O638" t="s">
        <v>718</v>
      </c>
    </row>
    <row r="639" spans="1:15" x14ac:dyDescent="0.35">
      <c r="A639" s="77">
        <v>6.9753424657534246</v>
      </c>
      <c r="B639" s="19">
        <v>56239</v>
      </c>
      <c r="C639" s="19" t="s">
        <v>2961</v>
      </c>
      <c r="D639" s="19" t="s">
        <v>330</v>
      </c>
      <c r="E639" s="19" t="s">
        <v>331</v>
      </c>
      <c r="F639" s="19" t="s">
        <v>332</v>
      </c>
      <c r="G639" s="19" t="s">
        <v>1000</v>
      </c>
      <c r="H639" s="19" t="s">
        <v>1001</v>
      </c>
      <c r="I639" s="19" t="s">
        <v>1599</v>
      </c>
      <c r="J639" s="20">
        <v>38</v>
      </c>
      <c r="K639" t="s">
        <v>636</v>
      </c>
      <c r="L639" t="s">
        <v>762</v>
      </c>
      <c r="M639" t="s">
        <v>629</v>
      </c>
      <c r="N639" t="s">
        <v>646</v>
      </c>
      <c r="O639" t="s">
        <v>839</v>
      </c>
    </row>
    <row r="640" spans="1:15" x14ac:dyDescent="0.35">
      <c r="A640" s="77">
        <v>1.9123287671232876</v>
      </c>
      <c r="B640" s="19">
        <v>56272</v>
      </c>
      <c r="C640" s="19" t="s">
        <v>2962</v>
      </c>
      <c r="D640" s="19" t="s">
        <v>169</v>
      </c>
      <c r="E640" s="19" t="s">
        <v>170</v>
      </c>
      <c r="F640" s="19" t="s">
        <v>1274</v>
      </c>
      <c r="G640" s="19" t="s">
        <v>1034</v>
      </c>
      <c r="H640" s="19" t="s">
        <v>1001</v>
      </c>
      <c r="I640" s="19" t="s">
        <v>1575</v>
      </c>
      <c r="J640" s="20">
        <v>36</v>
      </c>
      <c r="K640" t="s">
        <v>631</v>
      </c>
      <c r="L640" t="s">
        <v>670</v>
      </c>
      <c r="M640" t="s">
        <v>657</v>
      </c>
      <c r="N640" t="s">
        <v>641</v>
      </c>
      <c r="O640" t="s">
        <v>772</v>
      </c>
    </row>
    <row r="641" spans="1:15" x14ac:dyDescent="0.35">
      <c r="A641" s="77">
        <v>6.9534246575342467</v>
      </c>
      <c r="B641" s="19">
        <v>56363</v>
      </c>
      <c r="C641" s="19" t="s">
        <v>2963</v>
      </c>
      <c r="D641" s="19" t="s">
        <v>193</v>
      </c>
      <c r="E641" s="19" t="s">
        <v>194</v>
      </c>
      <c r="F641" s="19" t="s">
        <v>2422</v>
      </c>
      <c r="G641" s="19" t="s">
        <v>1046</v>
      </c>
      <c r="H641" s="19" t="s">
        <v>1001</v>
      </c>
      <c r="I641" s="19" t="s">
        <v>1575</v>
      </c>
      <c r="J641" s="20">
        <v>30</v>
      </c>
      <c r="K641" t="s">
        <v>654</v>
      </c>
      <c r="L641" t="s">
        <v>670</v>
      </c>
      <c r="M641" t="s">
        <v>657</v>
      </c>
      <c r="N641" t="s">
        <v>641</v>
      </c>
      <c r="O641" t="s">
        <v>676</v>
      </c>
    </row>
    <row r="642" spans="1:15" x14ac:dyDescent="0.35">
      <c r="A642" s="77">
        <v>6.956164383561644</v>
      </c>
      <c r="B642" s="19">
        <v>56378</v>
      </c>
      <c r="C642" s="19" t="s">
        <v>2964</v>
      </c>
      <c r="D642" s="19" t="s">
        <v>397</v>
      </c>
      <c r="E642" s="19" t="s">
        <v>398</v>
      </c>
      <c r="F642" s="19" t="s">
        <v>867</v>
      </c>
      <c r="G642" s="19" t="s">
        <v>1034</v>
      </c>
      <c r="H642" s="19" t="s">
        <v>1001</v>
      </c>
      <c r="I642" s="19" t="s">
        <v>1575</v>
      </c>
      <c r="J642" s="20">
        <v>27</v>
      </c>
      <c r="K642" t="s">
        <v>625</v>
      </c>
      <c r="L642" t="s">
        <v>634</v>
      </c>
      <c r="M642" t="s">
        <v>629</v>
      </c>
      <c r="N642" t="s">
        <v>635</v>
      </c>
      <c r="O642" t="s">
        <v>637</v>
      </c>
    </row>
    <row r="643" spans="1:15" x14ac:dyDescent="0.35">
      <c r="A643" s="77">
        <v>0.54794520547945202</v>
      </c>
      <c r="B643" s="19">
        <v>56418</v>
      </c>
      <c r="C643" s="19" t="s">
        <v>2965</v>
      </c>
      <c r="D643" s="19" t="s">
        <v>403</v>
      </c>
      <c r="E643" s="19" t="s">
        <v>404</v>
      </c>
      <c r="F643" s="19" t="s">
        <v>870</v>
      </c>
      <c r="G643" s="19" t="s">
        <v>1034</v>
      </c>
      <c r="H643" s="19" t="s">
        <v>1001</v>
      </c>
      <c r="I643" s="19" t="s">
        <v>1599</v>
      </c>
      <c r="J643" s="20">
        <v>24</v>
      </c>
      <c r="K643" t="s">
        <v>631</v>
      </c>
      <c r="L643" t="s">
        <v>691</v>
      </c>
      <c r="M643" t="s">
        <v>657</v>
      </c>
      <c r="N643" t="s">
        <v>658</v>
      </c>
      <c r="O643" t="s">
        <v>632</v>
      </c>
    </row>
    <row r="644" spans="1:15" x14ac:dyDescent="0.35">
      <c r="A644" s="77">
        <v>6.9452054794520546</v>
      </c>
      <c r="B644" s="19">
        <v>56469</v>
      </c>
      <c r="C644" s="19" t="s">
        <v>2966</v>
      </c>
      <c r="D644" s="19" t="s">
        <v>145</v>
      </c>
      <c r="E644" s="19" t="s">
        <v>146</v>
      </c>
      <c r="F644" s="19" t="s">
        <v>1015</v>
      </c>
      <c r="G644" s="19" t="s">
        <v>1046</v>
      </c>
      <c r="H644" s="19" t="s">
        <v>1001</v>
      </c>
      <c r="I644" s="19" t="s">
        <v>1575</v>
      </c>
      <c r="J644" s="20">
        <v>43</v>
      </c>
      <c r="K644" t="s">
        <v>636</v>
      </c>
      <c r="L644" t="s">
        <v>737</v>
      </c>
      <c r="M644" t="s">
        <v>657</v>
      </c>
      <c r="N644" t="s">
        <v>641</v>
      </c>
      <c r="O644" t="s">
        <v>757</v>
      </c>
    </row>
    <row r="645" spans="1:15" x14ac:dyDescent="0.35">
      <c r="A645" s="77">
        <v>6.9452054794520546</v>
      </c>
      <c r="B645" s="19">
        <v>56480</v>
      </c>
      <c r="C645" s="19" t="s">
        <v>2967</v>
      </c>
      <c r="D645" s="19" t="s">
        <v>278</v>
      </c>
      <c r="E645" s="19" t="s">
        <v>279</v>
      </c>
      <c r="F645" s="19" t="s">
        <v>1131</v>
      </c>
      <c r="G645" s="19" t="s">
        <v>1589</v>
      </c>
      <c r="H645" s="19" t="s">
        <v>1001</v>
      </c>
      <c r="I645" s="19" t="s">
        <v>1599</v>
      </c>
      <c r="J645" s="20">
        <v>31</v>
      </c>
      <c r="K645" t="s">
        <v>625</v>
      </c>
      <c r="L645" t="s">
        <v>661</v>
      </c>
      <c r="M645" t="s">
        <v>657</v>
      </c>
      <c r="N645" t="s">
        <v>662</v>
      </c>
      <c r="O645" t="s">
        <v>632</v>
      </c>
    </row>
    <row r="646" spans="1:15" x14ac:dyDescent="0.35">
      <c r="A646" s="77">
        <v>1.5178082191780822</v>
      </c>
      <c r="B646" s="19">
        <v>56494</v>
      </c>
      <c r="C646" s="19" t="s">
        <v>2968</v>
      </c>
      <c r="D646" s="19" t="s">
        <v>284</v>
      </c>
      <c r="E646" s="19" t="s">
        <v>285</v>
      </c>
      <c r="F646" s="19" t="s">
        <v>1150</v>
      </c>
      <c r="G646" s="19" t="s">
        <v>1046</v>
      </c>
      <c r="H646" s="19" t="s">
        <v>1001</v>
      </c>
      <c r="I646" s="19" t="s">
        <v>1599</v>
      </c>
      <c r="J646" s="20">
        <v>26</v>
      </c>
      <c r="K646" t="s">
        <v>625</v>
      </c>
      <c r="L646" t="s">
        <v>661</v>
      </c>
      <c r="M646" t="s">
        <v>657</v>
      </c>
      <c r="N646" t="s">
        <v>662</v>
      </c>
      <c r="O646" t="s">
        <v>632</v>
      </c>
    </row>
    <row r="647" spans="1:15" x14ac:dyDescent="0.35">
      <c r="A647" s="77">
        <v>0.41095890410958902</v>
      </c>
      <c r="B647" s="19">
        <v>56515</v>
      </c>
      <c r="C647" s="19" t="s">
        <v>2969</v>
      </c>
      <c r="D647" s="19" t="s">
        <v>16</v>
      </c>
      <c r="E647" s="19" t="s">
        <v>16</v>
      </c>
      <c r="F647" s="19" t="s">
        <v>1211</v>
      </c>
      <c r="G647" s="19" t="s">
        <v>1028</v>
      </c>
      <c r="H647" s="19" t="s">
        <v>1020</v>
      </c>
      <c r="I647" s="19" t="s">
        <v>1575</v>
      </c>
      <c r="J647" s="20">
        <v>27</v>
      </c>
      <c r="K647" t="s">
        <v>631</v>
      </c>
      <c r="L647" t="s">
        <v>645</v>
      </c>
      <c r="M647" t="s">
        <v>629</v>
      </c>
      <c r="N647" t="s">
        <v>646</v>
      </c>
      <c r="O647" t="s">
        <v>632</v>
      </c>
    </row>
    <row r="648" spans="1:15" x14ac:dyDescent="0.35">
      <c r="A648" s="77">
        <v>6.9452054794520546</v>
      </c>
      <c r="B648" s="19">
        <v>56529</v>
      </c>
      <c r="C648" s="19" t="s">
        <v>2970</v>
      </c>
      <c r="D648" s="19" t="s">
        <v>278</v>
      </c>
      <c r="E648" s="19" t="s">
        <v>279</v>
      </c>
      <c r="F648" s="19" t="s">
        <v>1131</v>
      </c>
      <c r="G648" s="19" t="s">
        <v>1046</v>
      </c>
      <c r="H648" s="19" t="s">
        <v>1001</v>
      </c>
      <c r="I648" s="19" t="s">
        <v>1575</v>
      </c>
      <c r="J648" s="20">
        <v>26</v>
      </c>
      <c r="K648" t="s">
        <v>625</v>
      </c>
      <c r="L648" t="s">
        <v>661</v>
      </c>
      <c r="M648" t="s">
        <v>657</v>
      </c>
      <c r="N648" t="s">
        <v>662</v>
      </c>
      <c r="O648" t="s">
        <v>632</v>
      </c>
    </row>
    <row r="649" spans="1:15" x14ac:dyDescent="0.35">
      <c r="A649" s="77">
        <v>6.9369863013698634</v>
      </c>
      <c r="B649" s="19">
        <v>56548</v>
      </c>
      <c r="C649" s="19" t="s">
        <v>2971</v>
      </c>
      <c r="D649" s="19" t="s">
        <v>395</v>
      </c>
      <c r="E649" s="19" t="s">
        <v>396</v>
      </c>
      <c r="F649" s="19" t="s">
        <v>1147</v>
      </c>
      <c r="G649" s="19" t="s">
        <v>1057</v>
      </c>
      <c r="H649" s="19" t="s">
        <v>1001</v>
      </c>
      <c r="I649" s="19" t="s">
        <v>1575</v>
      </c>
      <c r="J649" s="20">
        <v>24</v>
      </c>
      <c r="K649" t="s">
        <v>642</v>
      </c>
      <c r="L649" t="s">
        <v>678</v>
      </c>
      <c r="M649" t="s">
        <v>623</v>
      </c>
      <c r="N649" t="s">
        <v>624</v>
      </c>
      <c r="O649" t="s">
        <v>679</v>
      </c>
    </row>
    <row r="650" spans="1:15" x14ac:dyDescent="0.35">
      <c r="A650" s="77">
        <v>0.77260273972602744</v>
      </c>
      <c r="B650" s="19">
        <v>56551</v>
      </c>
      <c r="C650" s="19" t="s">
        <v>2972</v>
      </c>
      <c r="D650" s="19" t="s">
        <v>365</v>
      </c>
      <c r="E650" s="19" t="s">
        <v>366</v>
      </c>
      <c r="F650" s="19" t="s">
        <v>1117</v>
      </c>
      <c r="G650" s="19" t="s">
        <v>1028</v>
      </c>
      <c r="H650" s="19" t="s">
        <v>1020</v>
      </c>
      <c r="I650" s="19" t="s">
        <v>1575</v>
      </c>
      <c r="J650" s="20">
        <v>26</v>
      </c>
      <c r="K650" t="s">
        <v>668</v>
      </c>
      <c r="L650" t="s">
        <v>691</v>
      </c>
      <c r="M650" t="s">
        <v>657</v>
      </c>
      <c r="N650" t="s">
        <v>658</v>
      </c>
      <c r="O650" t="s">
        <v>632</v>
      </c>
    </row>
    <row r="651" spans="1:15" x14ac:dyDescent="0.35">
      <c r="A651" s="77">
        <v>6.934246575342466</v>
      </c>
      <c r="B651" s="19">
        <v>56554</v>
      </c>
      <c r="C651" s="19" t="s">
        <v>2973</v>
      </c>
      <c r="D651" s="19" t="s">
        <v>341</v>
      </c>
      <c r="E651" s="19" t="s">
        <v>342</v>
      </c>
      <c r="F651" s="19" t="s">
        <v>1264</v>
      </c>
      <c r="G651" s="19" t="s">
        <v>1034</v>
      </c>
      <c r="H651" s="19" t="s">
        <v>1001</v>
      </c>
      <c r="I651" s="19" t="s">
        <v>1575</v>
      </c>
      <c r="J651" s="20">
        <v>28</v>
      </c>
      <c r="K651" t="s">
        <v>636</v>
      </c>
      <c r="L651" t="s">
        <v>678</v>
      </c>
      <c r="M651" t="s">
        <v>623</v>
      </c>
      <c r="N651" t="s">
        <v>624</v>
      </c>
      <c r="O651" t="s">
        <v>679</v>
      </c>
    </row>
    <row r="652" spans="1:15" x14ac:dyDescent="0.35">
      <c r="A652" s="77">
        <v>6.934246575342466</v>
      </c>
      <c r="B652" s="19">
        <v>56560</v>
      </c>
      <c r="C652" s="19" t="s">
        <v>2974</v>
      </c>
      <c r="D652" s="19" t="s">
        <v>349</v>
      </c>
      <c r="E652" s="19" t="s">
        <v>350</v>
      </c>
      <c r="F652" s="19" t="s">
        <v>912</v>
      </c>
      <c r="G652" s="19" t="s">
        <v>1034</v>
      </c>
      <c r="H652" s="19" t="s">
        <v>1001</v>
      </c>
      <c r="I652" s="19" t="s">
        <v>1599</v>
      </c>
      <c r="J652" s="20">
        <v>28</v>
      </c>
      <c r="K652" t="s">
        <v>625</v>
      </c>
      <c r="L652" t="s">
        <v>648</v>
      </c>
      <c r="M652" t="s">
        <v>623</v>
      </c>
      <c r="N652" t="s">
        <v>624</v>
      </c>
      <c r="O652" t="s">
        <v>649</v>
      </c>
    </row>
    <row r="653" spans="1:15" x14ac:dyDescent="0.35">
      <c r="A653" s="77">
        <v>6.9315068493150687</v>
      </c>
      <c r="B653" s="19">
        <v>56612</v>
      </c>
      <c r="C653" s="19" t="s">
        <v>2975</v>
      </c>
      <c r="D653" s="19" t="s">
        <v>347</v>
      </c>
      <c r="E653" s="19" t="s">
        <v>348</v>
      </c>
      <c r="F653" s="19" t="s">
        <v>910</v>
      </c>
      <c r="G653" s="19" t="s">
        <v>1008</v>
      </c>
      <c r="H653" s="19" t="s">
        <v>1001</v>
      </c>
      <c r="I653" s="19" t="s">
        <v>1575</v>
      </c>
      <c r="J653" s="20">
        <v>33</v>
      </c>
      <c r="K653" t="s">
        <v>654</v>
      </c>
      <c r="L653" t="s">
        <v>707</v>
      </c>
      <c r="M653" t="s">
        <v>629</v>
      </c>
      <c r="N653" t="s">
        <v>635</v>
      </c>
      <c r="O653" t="s">
        <v>710</v>
      </c>
    </row>
    <row r="654" spans="1:15" x14ac:dyDescent="0.35">
      <c r="A654" s="77">
        <v>6.9205479452054792</v>
      </c>
      <c r="B654" s="19">
        <v>56696</v>
      </c>
      <c r="C654" s="19" t="s">
        <v>2976</v>
      </c>
      <c r="D654" s="19" t="s">
        <v>41</v>
      </c>
      <c r="E654" s="19" t="s">
        <v>41</v>
      </c>
      <c r="F654" s="19" t="s">
        <v>1157</v>
      </c>
      <c r="G654" s="19" t="s">
        <v>1045</v>
      </c>
      <c r="H654" s="19" t="s">
        <v>1001</v>
      </c>
      <c r="I654" s="19" t="s">
        <v>1575</v>
      </c>
      <c r="J654" s="20">
        <v>25</v>
      </c>
      <c r="K654" t="s">
        <v>625</v>
      </c>
      <c r="L654" t="s">
        <v>691</v>
      </c>
      <c r="M654" t="s">
        <v>657</v>
      </c>
      <c r="N654" t="s">
        <v>658</v>
      </c>
      <c r="O654" t="s">
        <v>632</v>
      </c>
    </row>
    <row r="655" spans="1:15" x14ac:dyDescent="0.35">
      <c r="A655" s="77">
        <v>6.912328767123288</v>
      </c>
      <c r="B655" s="19">
        <v>56853</v>
      </c>
      <c r="C655" s="19" t="s">
        <v>2977</v>
      </c>
      <c r="D655" s="19" t="s">
        <v>326</v>
      </c>
      <c r="E655" s="19" t="s">
        <v>327</v>
      </c>
      <c r="F655" s="19" t="s">
        <v>1051</v>
      </c>
      <c r="G655" s="19" t="s">
        <v>1084</v>
      </c>
      <c r="H655" s="19" t="s">
        <v>1001</v>
      </c>
      <c r="I655" s="19" t="s">
        <v>1599</v>
      </c>
      <c r="J655" s="20">
        <v>36</v>
      </c>
      <c r="K655" t="s">
        <v>631</v>
      </c>
      <c r="L655" t="s">
        <v>648</v>
      </c>
      <c r="M655" t="s">
        <v>623</v>
      </c>
      <c r="N655" t="s">
        <v>624</v>
      </c>
      <c r="O655" t="s">
        <v>837</v>
      </c>
    </row>
    <row r="656" spans="1:15" x14ac:dyDescent="0.35">
      <c r="A656" s="77">
        <v>6.8958904109589039</v>
      </c>
      <c r="B656" s="19">
        <v>57080</v>
      </c>
      <c r="C656" s="19" t="s">
        <v>2978</v>
      </c>
      <c r="D656" s="19" t="s">
        <v>411</v>
      </c>
      <c r="E656" s="19" t="s">
        <v>412</v>
      </c>
      <c r="F656" s="19" t="s">
        <v>1225</v>
      </c>
      <c r="G656" s="19" t="s">
        <v>1084</v>
      </c>
      <c r="H656" s="19" t="s">
        <v>1001</v>
      </c>
      <c r="I656" s="19" t="s">
        <v>1575</v>
      </c>
      <c r="J656" s="20">
        <v>54</v>
      </c>
      <c r="K656" t="s">
        <v>636</v>
      </c>
      <c r="L656" t="s">
        <v>691</v>
      </c>
      <c r="M656" t="s">
        <v>657</v>
      </c>
      <c r="N656" t="s">
        <v>658</v>
      </c>
      <c r="O656" t="s">
        <v>632</v>
      </c>
    </row>
    <row r="657" spans="1:15" x14ac:dyDescent="0.35">
      <c r="A657" s="77">
        <v>6.8904109589041092</v>
      </c>
      <c r="B657" s="19">
        <v>57104</v>
      </c>
      <c r="C657" s="19" t="s">
        <v>2979</v>
      </c>
      <c r="D657" s="19" t="s">
        <v>153</v>
      </c>
      <c r="E657" s="19" t="s">
        <v>154</v>
      </c>
      <c r="F657" s="19" t="s">
        <v>2384</v>
      </c>
      <c r="G657" s="19" t="s">
        <v>1008</v>
      </c>
      <c r="H657" s="19" t="s">
        <v>1001</v>
      </c>
      <c r="I657" s="19" t="s">
        <v>1575</v>
      </c>
      <c r="J657" s="20">
        <v>31</v>
      </c>
      <c r="K657" t="s">
        <v>654</v>
      </c>
      <c r="L657" t="s">
        <v>762</v>
      </c>
      <c r="M657" t="s">
        <v>629</v>
      </c>
      <c r="N657" t="s">
        <v>646</v>
      </c>
      <c r="O657" t="s">
        <v>763</v>
      </c>
    </row>
    <row r="658" spans="1:15" x14ac:dyDescent="0.35">
      <c r="A658" s="77">
        <v>6.8739726027397259</v>
      </c>
      <c r="B658" s="19">
        <v>57233</v>
      </c>
      <c r="C658" s="19" t="s">
        <v>2980</v>
      </c>
      <c r="D658" s="19" t="s">
        <v>12</v>
      </c>
      <c r="E658" s="19" t="s">
        <v>12</v>
      </c>
      <c r="F658" s="19" t="s">
        <v>1145</v>
      </c>
      <c r="G658" s="19" t="s">
        <v>1008</v>
      </c>
      <c r="H658" s="19" t="s">
        <v>1001</v>
      </c>
      <c r="I658" s="19" t="s">
        <v>1575</v>
      </c>
      <c r="J658" s="20">
        <v>35</v>
      </c>
      <c r="K658" t="s">
        <v>636</v>
      </c>
      <c r="L658" t="s">
        <v>634</v>
      </c>
      <c r="M658" t="s">
        <v>629</v>
      </c>
      <c r="N658" t="s">
        <v>635</v>
      </c>
      <c r="O658" t="s">
        <v>637</v>
      </c>
    </row>
    <row r="659" spans="1:15" x14ac:dyDescent="0.35">
      <c r="A659" s="77">
        <v>6.8712328767123285</v>
      </c>
      <c r="B659" s="19">
        <v>57304</v>
      </c>
      <c r="C659" s="19" t="s">
        <v>2981</v>
      </c>
      <c r="D659" s="19" t="s">
        <v>143</v>
      </c>
      <c r="E659" s="19" t="s">
        <v>144</v>
      </c>
      <c r="F659" s="19" t="s">
        <v>2391</v>
      </c>
      <c r="G659" s="19" t="s">
        <v>1008</v>
      </c>
      <c r="H659" s="19" t="s">
        <v>1001</v>
      </c>
      <c r="I659" s="19" t="s">
        <v>1575</v>
      </c>
      <c r="J659" s="20">
        <v>35</v>
      </c>
      <c r="K659" t="s">
        <v>654</v>
      </c>
      <c r="L659" t="s">
        <v>640</v>
      </c>
      <c r="M659" t="s">
        <v>623</v>
      </c>
      <c r="N659" t="s">
        <v>641</v>
      </c>
      <c r="O659" t="s">
        <v>754</v>
      </c>
    </row>
    <row r="660" spans="1:15" x14ac:dyDescent="0.35">
      <c r="A660" s="77">
        <v>6.86027397260274</v>
      </c>
      <c r="B660" s="19">
        <v>57344</v>
      </c>
      <c r="C660" s="19" t="s">
        <v>2982</v>
      </c>
      <c r="D660" s="19" t="s">
        <v>51</v>
      </c>
      <c r="E660" s="19" t="s">
        <v>52</v>
      </c>
      <c r="F660" s="19" t="s">
        <v>921</v>
      </c>
      <c r="G660" s="19" t="s">
        <v>1046</v>
      </c>
      <c r="H660" s="19" t="s">
        <v>1001</v>
      </c>
      <c r="I660" s="19" t="s">
        <v>1575</v>
      </c>
      <c r="J660" s="20">
        <v>30</v>
      </c>
      <c r="K660" t="s">
        <v>636</v>
      </c>
      <c r="L660" t="s">
        <v>656</v>
      </c>
      <c r="M660" t="s">
        <v>657</v>
      </c>
      <c r="N660" t="s">
        <v>658</v>
      </c>
      <c r="O660" t="s">
        <v>718</v>
      </c>
    </row>
    <row r="661" spans="1:15" x14ac:dyDescent="0.35">
      <c r="A661" s="77">
        <v>6.8575342465753426</v>
      </c>
      <c r="B661" s="19">
        <v>57398</v>
      </c>
      <c r="C661" s="19" t="s">
        <v>2983</v>
      </c>
      <c r="D661" s="19" t="s">
        <v>35</v>
      </c>
      <c r="E661" s="19" t="s">
        <v>35</v>
      </c>
      <c r="F661" s="19" t="s">
        <v>1657</v>
      </c>
      <c r="G661" s="19" t="s">
        <v>1008</v>
      </c>
      <c r="H661" s="19" t="s">
        <v>1001</v>
      </c>
      <c r="I661" s="19" t="s">
        <v>1599</v>
      </c>
      <c r="J661" s="20">
        <v>35</v>
      </c>
      <c r="K661" t="s">
        <v>654</v>
      </c>
      <c r="L661" t="s">
        <v>684</v>
      </c>
      <c r="M661" t="s">
        <v>623</v>
      </c>
      <c r="N661" t="s">
        <v>662</v>
      </c>
      <c r="O661" t="s">
        <v>685</v>
      </c>
    </row>
    <row r="662" spans="1:15" x14ac:dyDescent="0.35">
      <c r="A662" s="77">
        <v>6.8575342465753426</v>
      </c>
      <c r="B662" s="19">
        <v>57413</v>
      </c>
      <c r="C662" s="19" t="s">
        <v>2984</v>
      </c>
      <c r="D662" s="19" t="s">
        <v>393</v>
      </c>
      <c r="E662" s="19" t="s">
        <v>394</v>
      </c>
      <c r="F662" s="19" t="s">
        <v>865</v>
      </c>
      <c r="G662" s="19" t="s">
        <v>1057</v>
      </c>
      <c r="H662" s="19" t="s">
        <v>1001</v>
      </c>
      <c r="I662" s="19" t="s">
        <v>1575</v>
      </c>
      <c r="J662" s="20">
        <v>25</v>
      </c>
      <c r="K662" t="s">
        <v>631</v>
      </c>
      <c r="L662" t="s">
        <v>684</v>
      </c>
      <c r="M662" t="s">
        <v>623</v>
      </c>
      <c r="N662" t="s">
        <v>662</v>
      </c>
      <c r="O662" t="s">
        <v>685</v>
      </c>
    </row>
    <row r="663" spans="1:15" x14ac:dyDescent="0.35">
      <c r="A663" s="77">
        <v>6.7452054794520544</v>
      </c>
      <c r="B663" s="19">
        <v>57452</v>
      </c>
      <c r="C663" s="19" t="s">
        <v>2985</v>
      </c>
      <c r="D663" s="19" t="s">
        <v>38</v>
      </c>
      <c r="E663" s="19" t="s">
        <v>38</v>
      </c>
      <c r="F663" s="19" t="s">
        <v>711</v>
      </c>
      <c r="G663" s="19" t="s">
        <v>1034</v>
      </c>
      <c r="H663" s="19" t="s">
        <v>1001</v>
      </c>
      <c r="I663" s="19" t="s">
        <v>1575</v>
      </c>
      <c r="J663" s="20">
        <v>25</v>
      </c>
      <c r="K663" t="s">
        <v>668</v>
      </c>
      <c r="L663" t="s">
        <v>691</v>
      </c>
      <c r="M663" t="s">
        <v>657</v>
      </c>
      <c r="N663" t="s">
        <v>658</v>
      </c>
      <c r="O663" t="s">
        <v>632</v>
      </c>
    </row>
    <row r="664" spans="1:15" x14ac:dyDescent="0.35">
      <c r="A664" s="77">
        <v>6.6054794520547944</v>
      </c>
      <c r="B664" s="19">
        <v>57475</v>
      </c>
      <c r="C664" s="19" t="s">
        <v>2986</v>
      </c>
      <c r="D664" s="19" t="s">
        <v>143</v>
      </c>
      <c r="E664" s="19" t="s">
        <v>144</v>
      </c>
      <c r="F664" s="19" t="s">
        <v>2391</v>
      </c>
      <c r="G664" s="19" t="s">
        <v>1008</v>
      </c>
      <c r="H664" s="19" t="s">
        <v>1001</v>
      </c>
      <c r="I664" s="19" t="s">
        <v>1575</v>
      </c>
      <c r="J664" s="20">
        <v>32</v>
      </c>
      <c r="K664" t="s">
        <v>654</v>
      </c>
      <c r="L664" t="s">
        <v>640</v>
      </c>
      <c r="M664" t="s">
        <v>623</v>
      </c>
      <c r="N664" t="s">
        <v>641</v>
      </c>
      <c r="O664" t="s">
        <v>754</v>
      </c>
    </row>
    <row r="665" spans="1:15" x14ac:dyDescent="0.35">
      <c r="A665" s="77">
        <v>1.9972602739726026</v>
      </c>
      <c r="B665" s="19">
        <v>57477</v>
      </c>
      <c r="C665" s="19" t="s">
        <v>2987</v>
      </c>
      <c r="D665" s="19" t="s">
        <v>140</v>
      </c>
      <c r="E665" s="19" t="s">
        <v>141</v>
      </c>
      <c r="F665" s="19" t="s">
        <v>1138</v>
      </c>
      <c r="G665" s="19" t="s">
        <v>1008</v>
      </c>
      <c r="H665" s="19" t="s">
        <v>1001</v>
      </c>
      <c r="I665" s="19" t="s">
        <v>1575</v>
      </c>
      <c r="J665" s="20">
        <v>32</v>
      </c>
      <c r="K665" t="s">
        <v>636</v>
      </c>
      <c r="L665" t="s">
        <v>640</v>
      </c>
      <c r="M665" t="s">
        <v>623</v>
      </c>
      <c r="N665" t="s">
        <v>641</v>
      </c>
      <c r="O665" t="s">
        <v>754</v>
      </c>
    </row>
    <row r="666" spans="1:15" x14ac:dyDescent="0.35">
      <c r="A666" s="77">
        <v>1.4109589041095891</v>
      </c>
      <c r="B666" s="19">
        <v>57527</v>
      </c>
      <c r="C666" s="19" t="s">
        <v>2988</v>
      </c>
      <c r="D666" s="19" t="s">
        <v>204</v>
      </c>
      <c r="E666" s="19" t="s">
        <v>205</v>
      </c>
      <c r="F666" s="19" t="s">
        <v>1090</v>
      </c>
      <c r="G666" s="19" t="s">
        <v>1028</v>
      </c>
      <c r="H666" s="19" t="s">
        <v>1020</v>
      </c>
      <c r="I666" s="19" t="s">
        <v>1575</v>
      </c>
      <c r="J666" s="20">
        <v>51</v>
      </c>
      <c r="K666" t="s">
        <v>668</v>
      </c>
      <c r="L666" t="s">
        <v>634</v>
      </c>
      <c r="M666" t="s">
        <v>629</v>
      </c>
      <c r="N666" t="s">
        <v>635</v>
      </c>
      <c r="O666" t="s">
        <v>637</v>
      </c>
    </row>
    <row r="667" spans="1:15" x14ac:dyDescent="0.35">
      <c r="A667" s="77">
        <v>0.9452054794520548</v>
      </c>
      <c r="B667" s="19">
        <v>57542</v>
      </c>
      <c r="C667" s="19" t="s">
        <v>2989</v>
      </c>
      <c r="D667" s="19" t="s">
        <v>8</v>
      </c>
      <c r="E667" s="19" t="s">
        <v>8</v>
      </c>
      <c r="F667" s="19" t="s">
        <v>1176</v>
      </c>
      <c r="G667" s="19" t="s">
        <v>1008</v>
      </c>
      <c r="H667" s="19" t="s">
        <v>1001</v>
      </c>
      <c r="I667" s="19" t="s">
        <v>1575</v>
      </c>
      <c r="J667" s="20">
        <v>25</v>
      </c>
      <c r="K667" t="s">
        <v>625</v>
      </c>
      <c r="L667" t="s">
        <v>622</v>
      </c>
      <c r="M667" t="s">
        <v>623</v>
      </c>
      <c r="N667" t="s">
        <v>624</v>
      </c>
      <c r="O667" t="s">
        <v>626</v>
      </c>
    </row>
    <row r="668" spans="1:15" x14ac:dyDescent="0.35">
      <c r="A668" s="77">
        <v>6.8219178082191778</v>
      </c>
      <c r="B668" s="19">
        <v>57561</v>
      </c>
      <c r="C668" s="19" t="s">
        <v>2990</v>
      </c>
      <c r="D668" s="19" t="s">
        <v>282</v>
      </c>
      <c r="E668" s="19" t="s">
        <v>283</v>
      </c>
      <c r="F668" s="19" t="s">
        <v>1417</v>
      </c>
      <c r="G668" s="19" t="s">
        <v>1008</v>
      </c>
      <c r="H668" s="19" t="s">
        <v>1001</v>
      </c>
      <c r="I668" s="19" t="s">
        <v>1575</v>
      </c>
      <c r="J668" s="20">
        <v>53</v>
      </c>
      <c r="K668" t="s">
        <v>668</v>
      </c>
      <c r="L668" t="s">
        <v>645</v>
      </c>
      <c r="M668" t="s">
        <v>629</v>
      </c>
      <c r="N668" t="s">
        <v>646</v>
      </c>
      <c r="O668" t="s">
        <v>632</v>
      </c>
    </row>
    <row r="669" spans="1:15" x14ac:dyDescent="0.35">
      <c r="A669" s="77">
        <v>6.8301369863013699</v>
      </c>
      <c r="B669" s="19">
        <v>57594</v>
      </c>
      <c r="C669" s="19" t="s">
        <v>2991</v>
      </c>
      <c r="D669" s="19" t="s">
        <v>19</v>
      </c>
      <c r="E669" s="19" t="s">
        <v>19</v>
      </c>
      <c r="F669" s="19" t="s">
        <v>1255</v>
      </c>
      <c r="G669" s="19" t="s">
        <v>1084</v>
      </c>
      <c r="H669" s="19" t="s">
        <v>1001</v>
      </c>
      <c r="I669" s="19" t="s">
        <v>1599</v>
      </c>
      <c r="J669" s="20">
        <v>38</v>
      </c>
      <c r="K669" t="s">
        <v>654</v>
      </c>
      <c r="L669" t="s">
        <v>645</v>
      </c>
      <c r="M669" t="s">
        <v>629</v>
      </c>
      <c r="N669" t="s">
        <v>646</v>
      </c>
      <c r="O669" t="s">
        <v>632</v>
      </c>
    </row>
    <row r="670" spans="1:15" x14ac:dyDescent="0.35">
      <c r="A670" s="77">
        <v>6.7506849315068491</v>
      </c>
      <c r="B670" s="19">
        <v>57769</v>
      </c>
      <c r="C670" s="19" t="s">
        <v>2992</v>
      </c>
      <c r="D670" s="19" t="s">
        <v>387</v>
      </c>
      <c r="E670" s="19" t="s">
        <v>388</v>
      </c>
      <c r="F670" s="19" t="s">
        <v>1142</v>
      </c>
      <c r="G670" s="19" t="s">
        <v>1057</v>
      </c>
      <c r="H670" s="19" t="s">
        <v>1001</v>
      </c>
      <c r="I670" s="19" t="s">
        <v>1575</v>
      </c>
      <c r="J670" s="20">
        <v>37</v>
      </c>
      <c r="K670" t="s">
        <v>642</v>
      </c>
      <c r="L670" t="s">
        <v>634</v>
      </c>
      <c r="M670" t="s">
        <v>629</v>
      </c>
      <c r="N670" t="s">
        <v>630</v>
      </c>
      <c r="O670" t="s">
        <v>734</v>
      </c>
    </row>
    <row r="671" spans="1:15" x14ac:dyDescent="0.35">
      <c r="A671" s="77">
        <v>4.8931506849315065</v>
      </c>
      <c r="B671" s="19">
        <v>57886</v>
      </c>
      <c r="C671" s="19" t="s">
        <v>2993</v>
      </c>
      <c r="D671" s="19" t="s">
        <v>49</v>
      </c>
      <c r="E671" s="19" t="s">
        <v>50</v>
      </c>
      <c r="F671" s="19" t="s">
        <v>1213</v>
      </c>
      <c r="G671" s="19" t="s">
        <v>1046</v>
      </c>
      <c r="H671" s="19" t="s">
        <v>1001</v>
      </c>
      <c r="I671" s="19" t="s">
        <v>1575</v>
      </c>
      <c r="J671" s="20">
        <v>28</v>
      </c>
      <c r="K671" t="s">
        <v>625</v>
      </c>
      <c r="L671" t="s">
        <v>648</v>
      </c>
      <c r="M671" t="s">
        <v>623</v>
      </c>
      <c r="N671" t="s">
        <v>624</v>
      </c>
      <c r="O671" t="s">
        <v>649</v>
      </c>
    </row>
    <row r="672" spans="1:15" x14ac:dyDescent="0.35">
      <c r="A672" s="77">
        <v>2.9945205479452053</v>
      </c>
      <c r="B672" s="19">
        <v>57936</v>
      </c>
      <c r="C672" s="19" t="s">
        <v>2994</v>
      </c>
      <c r="D672" s="19" t="s">
        <v>230</v>
      </c>
      <c r="E672" s="19" t="s">
        <v>231</v>
      </c>
      <c r="F672" s="19" t="s">
        <v>2112</v>
      </c>
      <c r="G672" s="19" t="s">
        <v>1057</v>
      </c>
      <c r="H672" s="19" t="s">
        <v>1001</v>
      </c>
      <c r="I672" s="19" t="s">
        <v>1575</v>
      </c>
      <c r="J672" s="20">
        <v>26</v>
      </c>
      <c r="K672" t="s">
        <v>668</v>
      </c>
      <c r="L672" t="s">
        <v>684</v>
      </c>
      <c r="M672" t="s">
        <v>623</v>
      </c>
      <c r="N672" t="s">
        <v>662</v>
      </c>
      <c r="O672" t="s">
        <v>795</v>
      </c>
    </row>
    <row r="673" spans="1:15" x14ac:dyDescent="0.35">
      <c r="A673" s="77">
        <v>6.7835616438356166</v>
      </c>
      <c r="B673" s="19">
        <v>57944</v>
      </c>
      <c r="C673" s="19" t="s">
        <v>2995</v>
      </c>
      <c r="D673" s="19" t="s">
        <v>405</v>
      </c>
      <c r="E673" s="19" t="s">
        <v>406</v>
      </c>
      <c r="F673" s="19" t="s">
        <v>594</v>
      </c>
      <c r="G673" s="19" t="s">
        <v>1034</v>
      </c>
      <c r="H673" s="19" t="s">
        <v>1001</v>
      </c>
      <c r="I673" s="19" t="s">
        <v>1599</v>
      </c>
      <c r="J673" s="20">
        <v>29</v>
      </c>
      <c r="K673" t="s">
        <v>654</v>
      </c>
      <c r="L673" t="s">
        <v>684</v>
      </c>
      <c r="M673" t="s">
        <v>623</v>
      </c>
      <c r="N673" t="s">
        <v>662</v>
      </c>
      <c r="O673" t="s">
        <v>872</v>
      </c>
    </row>
    <row r="674" spans="1:15" x14ac:dyDescent="0.35">
      <c r="A674" s="77">
        <v>6.7068493150684931</v>
      </c>
      <c r="B674" s="19">
        <v>57993</v>
      </c>
      <c r="C674" s="19" t="s">
        <v>2996</v>
      </c>
      <c r="D674" s="19" t="s">
        <v>413</v>
      </c>
      <c r="E674" s="19" t="s">
        <v>414</v>
      </c>
      <c r="F674" s="19" t="s">
        <v>1699</v>
      </c>
      <c r="G674" s="19" t="s">
        <v>1045</v>
      </c>
      <c r="H674" s="19" t="s">
        <v>1001</v>
      </c>
      <c r="I674" s="19" t="s">
        <v>1575</v>
      </c>
      <c r="J674" s="20">
        <v>25</v>
      </c>
      <c r="K674" t="s">
        <v>668</v>
      </c>
      <c r="L674" t="s">
        <v>691</v>
      </c>
      <c r="M674" t="s">
        <v>657</v>
      </c>
      <c r="N674" t="s">
        <v>658</v>
      </c>
      <c r="O674" t="s">
        <v>632</v>
      </c>
    </row>
    <row r="675" spans="1:15" x14ac:dyDescent="0.35">
      <c r="A675" s="77">
        <v>5.2684931506849315</v>
      </c>
      <c r="B675" s="19">
        <v>58000</v>
      </c>
      <c r="C675" s="19" t="s">
        <v>2997</v>
      </c>
      <c r="D675" s="19" t="s">
        <v>8</v>
      </c>
      <c r="E675" s="19" t="s">
        <v>8</v>
      </c>
      <c r="F675" s="19" t="s">
        <v>1176</v>
      </c>
      <c r="G675" s="19" t="s">
        <v>1598</v>
      </c>
      <c r="H675" s="19" t="s">
        <v>1001</v>
      </c>
      <c r="I675" s="19" t="s">
        <v>1599</v>
      </c>
      <c r="J675" s="20">
        <v>26</v>
      </c>
      <c r="K675" t="s">
        <v>625</v>
      </c>
      <c r="L675" t="s">
        <v>622</v>
      </c>
      <c r="M675" t="s">
        <v>623</v>
      </c>
      <c r="N675" t="s">
        <v>624</v>
      </c>
      <c r="O675" t="s">
        <v>626</v>
      </c>
    </row>
    <row r="676" spans="1:15" x14ac:dyDescent="0.35">
      <c r="A676" s="77">
        <v>6.7260273972602738</v>
      </c>
      <c r="B676" s="19">
        <v>58259</v>
      </c>
      <c r="C676" s="19" t="s">
        <v>2998</v>
      </c>
      <c r="D676" s="19" t="s">
        <v>201</v>
      </c>
      <c r="E676" s="19" t="s">
        <v>202</v>
      </c>
      <c r="F676" s="19" t="s">
        <v>1061</v>
      </c>
      <c r="G676" s="19" t="s">
        <v>1057</v>
      </c>
      <c r="H676" s="19" t="s">
        <v>1001</v>
      </c>
      <c r="I676" s="19" t="s">
        <v>1575</v>
      </c>
      <c r="J676" s="20">
        <v>37</v>
      </c>
      <c r="K676" t="s">
        <v>631</v>
      </c>
      <c r="L676" t="s">
        <v>628</v>
      </c>
      <c r="M676" t="s">
        <v>629</v>
      </c>
      <c r="N676" t="s">
        <v>630</v>
      </c>
      <c r="O676" t="s">
        <v>784</v>
      </c>
    </row>
    <row r="677" spans="1:15" x14ac:dyDescent="0.35">
      <c r="A677" s="77">
        <v>6.2904109589041095</v>
      </c>
      <c r="B677" s="19">
        <v>58289</v>
      </c>
      <c r="C677" s="19" t="s">
        <v>2999</v>
      </c>
      <c r="D677" s="19" t="s">
        <v>18</v>
      </c>
      <c r="E677" s="19" t="s">
        <v>18</v>
      </c>
      <c r="F677" s="19" t="s">
        <v>650</v>
      </c>
      <c r="G677" s="19" t="s">
        <v>1008</v>
      </c>
      <c r="H677" s="19" t="s">
        <v>1001</v>
      </c>
      <c r="I677" s="19" t="s">
        <v>1575</v>
      </c>
      <c r="J677" s="20">
        <v>25</v>
      </c>
      <c r="K677" t="s">
        <v>636</v>
      </c>
      <c r="L677" t="s">
        <v>651</v>
      </c>
      <c r="M677" t="s">
        <v>629</v>
      </c>
      <c r="N677" t="s">
        <v>630</v>
      </c>
      <c r="O677" t="s">
        <v>652</v>
      </c>
    </row>
    <row r="678" spans="1:15" x14ac:dyDescent="0.35">
      <c r="A678" s="77">
        <v>1.5643835616438355</v>
      </c>
      <c r="B678" s="19">
        <v>58370</v>
      </c>
      <c r="C678" s="19" t="s">
        <v>3000</v>
      </c>
      <c r="D678" s="19" t="s">
        <v>322</v>
      </c>
      <c r="E678" s="19" t="s">
        <v>323</v>
      </c>
      <c r="F678" s="19" t="s">
        <v>834</v>
      </c>
      <c r="G678" s="19" t="s">
        <v>1034</v>
      </c>
      <c r="H678" s="19" t="s">
        <v>1001</v>
      </c>
      <c r="I678" s="19" t="s">
        <v>1575</v>
      </c>
      <c r="J678" s="20">
        <v>27</v>
      </c>
      <c r="K678" t="s">
        <v>668</v>
      </c>
      <c r="L678" t="s">
        <v>628</v>
      </c>
      <c r="M678" t="s">
        <v>629</v>
      </c>
      <c r="N678" t="s">
        <v>630</v>
      </c>
      <c r="O678" t="s">
        <v>632</v>
      </c>
    </row>
    <row r="679" spans="1:15" x14ac:dyDescent="0.35">
      <c r="A679" s="77">
        <v>6.7342465753424658</v>
      </c>
      <c r="B679" s="19">
        <v>58432</v>
      </c>
      <c r="C679" s="19" t="s">
        <v>3001</v>
      </c>
      <c r="D679" s="19" t="s">
        <v>260</v>
      </c>
      <c r="E679" s="19" t="s">
        <v>261</v>
      </c>
      <c r="F679" s="19" t="s">
        <v>1109</v>
      </c>
      <c r="G679" s="19" t="s">
        <v>1008</v>
      </c>
      <c r="H679" s="19" t="s">
        <v>1001</v>
      </c>
      <c r="I679" s="19" t="s">
        <v>1575</v>
      </c>
      <c r="J679" s="20">
        <v>36</v>
      </c>
      <c r="K679" t="s">
        <v>636</v>
      </c>
      <c r="L679" t="s">
        <v>656</v>
      </c>
      <c r="M679" t="s">
        <v>657</v>
      </c>
      <c r="N679" t="s">
        <v>658</v>
      </c>
      <c r="O679" t="s">
        <v>808</v>
      </c>
    </row>
    <row r="680" spans="1:15" x14ac:dyDescent="0.35">
      <c r="A680" s="77">
        <v>6.8136986301369866</v>
      </c>
      <c r="B680" s="19">
        <v>58561</v>
      </c>
      <c r="C680" s="19" t="s">
        <v>3002</v>
      </c>
      <c r="D680" s="19" t="s">
        <v>24</v>
      </c>
      <c r="E680" s="19" t="s">
        <v>24</v>
      </c>
      <c r="F680" s="19" t="s">
        <v>2097</v>
      </c>
      <c r="G680" s="19" t="s">
        <v>1008</v>
      </c>
      <c r="H680" s="19" t="s">
        <v>1001</v>
      </c>
      <c r="I680" s="19" t="s">
        <v>1575</v>
      </c>
      <c r="J680" s="20">
        <v>38</v>
      </c>
      <c r="K680" t="s">
        <v>664</v>
      </c>
      <c r="L680" t="s">
        <v>663</v>
      </c>
      <c r="M680" t="s">
        <v>629</v>
      </c>
      <c r="N680" t="s">
        <v>646</v>
      </c>
      <c r="O680" t="s">
        <v>639</v>
      </c>
    </row>
    <row r="681" spans="1:15" x14ac:dyDescent="0.35">
      <c r="A681" s="77">
        <v>6.5726027397260278</v>
      </c>
      <c r="B681" s="19">
        <v>58745</v>
      </c>
      <c r="C681" s="19" t="s">
        <v>3003</v>
      </c>
      <c r="D681" s="19" t="s">
        <v>237</v>
      </c>
      <c r="E681" s="19" t="s">
        <v>238</v>
      </c>
      <c r="F681" s="19" t="s">
        <v>1070</v>
      </c>
      <c r="G681" s="19" t="s">
        <v>1046</v>
      </c>
      <c r="H681" s="19" t="s">
        <v>1001</v>
      </c>
      <c r="I681" s="19" t="s">
        <v>1575</v>
      </c>
      <c r="J681" s="20">
        <v>25</v>
      </c>
      <c r="K681" t="s">
        <v>631</v>
      </c>
      <c r="L681" t="s">
        <v>661</v>
      </c>
      <c r="M681" t="s">
        <v>657</v>
      </c>
      <c r="N681" t="s">
        <v>662</v>
      </c>
      <c r="O681" t="s">
        <v>632</v>
      </c>
    </row>
    <row r="682" spans="1:15" x14ac:dyDescent="0.35">
      <c r="A682" s="77">
        <v>3.1671232876712327</v>
      </c>
      <c r="B682" s="19">
        <v>58815</v>
      </c>
      <c r="C682" s="19" t="s">
        <v>3004</v>
      </c>
      <c r="D682" s="19" t="s">
        <v>60</v>
      </c>
      <c r="E682" s="19" t="s">
        <v>61</v>
      </c>
      <c r="F682" s="19" t="s">
        <v>1119</v>
      </c>
      <c r="G682" s="19" t="s">
        <v>1008</v>
      </c>
      <c r="H682" s="19" t="s">
        <v>1001</v>
      </c>
      <c r="I682" s="19" t="s">
        <v>1575</v>
      </c>
      <c r="J682" s="20">
        <v>26</v>
      </c>
      <c r="K682" t="s">
        <v>654</v>
      </c>
      <c r="L682" t="s">
        <v>651</v>
      </c>
      <c r="M682" t="s">
        <v>629</v>
      </c>
      <c r="N682" t="s">
        <v>630</v>
      </c>
      <c r="O682" t="s">
        <v>705</v>
      </c>
    </row>
    <row r="683" spans="1:15" x14ac:dyDescent="0.35">
      <c r="A683" s="77">
        <v>0.83013698630136989</v>
      </c>
      <c r="B683" s="19">
        <v>59163</v>
      </c>
      <c r="C683" s="19" t="s">
        <v>3005</v>
      </c>
      <c r="D683" s="19" t="s">
        <v>393</v>
      </c>
      <c r="E683" s="19" t="s">
        <v>394</v>
      </c>
      <c r="F683" s="19" t="s">
        <v>865</v>
      </c>
      <c r="G683" s="19" t="s">
        <v>1008</v>
      </c>
      <c r="H683" s="19" t="s">
        <v>1001</v>
      </c>
      <c r="I683" s="19" t="s">
        <v>1575</v>
      </c>
      <c r="J683" s="20">
        <v>28</v>
      </c>
      <c r="K683" t="s">
        <v>631</v>
      </c>
      <c r="L683" t="s">
        <v>684</v>
      </c>
      <c r="M683" t="s">
        <v>623</v>
      </c>
      <c r="N683" t="s">
        <v>662</v>
      </c>
      <c r="O683" t="s">
        <v>685</v>
      </c>
    </row>
    <row r="684" spans="1:15" x14ac:dyDescent="0.35">
      <c r="A684" s="77">
        <v>6.7260273972602738</v>
      </c>
      <c r="B684" s="19">
        <v>59165</v>
      </c>
      <c r="C684" s="19" t="s">
        <v>3006</v>
      </c>
      <c r="D684" s="19" t="s">
        <v>149</v>
      </c>
      <c r="E684" s="19" t="s">
        <v>150</v>
      </c>
      <c r="F684" s="19" t="s">
        <v>1548</v>
      </c>
      <c r="G684" s="19" t="s">
        <v>1008</v>
      </c>
      <c r="H684" s="19" t="s">
        <v>1001</v>
      </c>
      <c r="I684" s="19" t="s">
        <v>1575</v>
      </c>
      <c r="J684" s="20">
        <v>45</v>
      </c>
      <c r="K684" t="s">
        <v>654</v>
      </c>
      <c r="L684" t="s">
        <v>648</v>
      </c>
      <c r="M684" t="s">
        <v>623</v>
      </c>
      <c r="N684" t="s">
        <v>624</v>
      </c>
      <c r="O684" t="s">
        <v>725</v>
      </c>
    </row>
    <row r="685" spans="1:15" x14ac:dyDescent="0.35">
      <c r="A685" s="77">
        <v>3.7315068493150685</v>
      </c>
      <c r="B685" s="19">
        <v>59171</v>
      </c>
      <c r="C685" s="19" t="s">
        <v>3007</v>
      </c>
      <c r="D685" s="19" t="s">
        <v>403</v>
      </c>
      <c r="E685" s="19" t="s">
        <v>404</v>
      </c>
      <c r="F685" s="19" t="s">
        <v>870</v>
      </c>
      <c r="G685" s="19" t="s">
        <v>1084</v>
      </c>
      <c r="H685" s="19" t="s">
        <v>1020</v>
      </c>
      <c r="I685" s="19" t="s">
        <v>1599</v>
      </c>
      <c r="J685" s="20">
        <v>27</v>
      </c>
      <c r="K685" t="s">
        <v>631</v>
      </c>
      <c r="L685" t="s">
        <v>691</v>
      </c>
      <c r="M685" t="s">
        <v>657</v>
      </c>
      <c r="N685" t="s">
        <v>658</v>
      </c>
      <c r="O685" t="s">
        <v>632</v>
      </c>
    </row>
    <row r="686" spans="1:15" x14ac:dyDescent="0.35">
      <c r="A686" s="77">
        <v>3.8493150684931505</v>
      </c>
      <c r="B686" s="19">
        <v>59196</v>
      </c>
      <c r="C686" s="19" t="s">
        <v>3008</v>
      </c>
      <c r="D686" s="19" t="s">
        <v>49</v>
      </c>
      <c r="E686" s="19" t="s">
        <v>50</v>
      </c>
      <c r="F686" s="19" t="s">
        <v>1213</v>
      </c>
      <c r="G686" s="19" t="s">
        <v>1016</v>
      </c>
      <c r="H686" s="19" t="s">
        <v>1001</v>
      </c>
      <c r="I686" s="19" t="s">
        <v>1599</v>
      </c>
      <c r="J686" s="20">
        <v>29</v>
      </c>
      <c r="K686" t="s">
        <v>625</v>
      </c>
      <c r="L686" t="s">
        <v>648</v>
      </c>
      <c r="M686" t="s">
        <v>623</v>
      </c>
      <c r="N686" t="s">
        <v>624</v>
      </c>
      <c r="O686" t="s">
        <v>649</v>
      </c>
    </row>
    <row r="687" spans="1:15" x14ac:dyDescent="0.35">
      <c r="A687" s="77">
        <v>5.1671232876712327</v>
      </c>
      <c r="B687" s="19">
        <v>59237</v>
      </c>
      <c r="C687" s="19" t="s">
        <v>3009</v>
      </c>
      <c r="D687" s="19" t="s">
        <v>169</v>
      </c>
      <c r="E687" s="19" t="s">
        <v>170</v>
      </c>
      <c r="F687" s="19" t="s">
        <v>1274</v>
      </c>
      <c r="G687" s="19" t="s">
        <v>1034</v>
      </c>
      <c r="H687" s="19" t="s">
        <v>1001</v>
      </c>
      <c r="I687" s="19" t="s">
        <v>1599</v>
      </c>
      <c r="J687" s="20">
        <v>28</v>
      </c>
      <c r="K687" t="s">
        <v>631</v>
      </c>
      <c r="L687" t="s">
        <v>670</v>
      </c>
      <c r="M687" t="s">
        <v>657</v>
      </c>
      <c r="N687" t="s">
        <v>641</v>
      </c>
      <c r="O687" t="s">
        <v>772</v>
      </c>
    </row>
    <row r="688" spans="1:15" x14ac:dyDescent="0.35">
      <c r="A688" s="77">
        <v>6.720547945205479</v>
      </c>
      <c r="B688" s="19">
        <v>59293</v>
      </c>
      <c r="C688" s="19" t="s">
        <v>3010</v>
      </c>
      <c r="D688" s="19" t="s">
        <v>311</v>
      </c>
      <c r="E688" s="19" t="s">
        <v>312</v>
      </c>
      <c r="F688" s="19" t="s">
        <v>1140</v>
      </c>
      <c r="G688" s="19" t="s">
        <v>1034</v>
      </c>
      <c r="H688" s="19" t="s">
        <v>1001</v>
      </c>
      <c r="I688" s="19" t="s">
        <v>1575</v>
      </c>
      <c r="J688" s="20">
        <v>29</v>
      </c>
      <c r="K688" t="s">
        <v>631</v>
      </c>
      <c r="L688" t="s">
        <v>628</v>
      </c>
      <c r="M688" t="s">
        <v>629</v>
      </c>
      <c r="N688" t="s">
        <v>630</v>
      </c>
      <c r="O688" t="s">
        <v>632</v>
      </c>
    </row>
    <row r="689" spans="1:15" x14ac:dyDescent="0.35">
      <c r="A689" s="77">
        <v>6.7150684931506852</v>
      </c>
      <c r="B689" s="19">
        <v>59327</v>
      </c>
      <c r="C689" s="19" t="s">
        <v>3011</v>
      </c>
      <c r="D689" s="19" t="s">
        <v>311</v>
      </c>
      <c r="E689" s="19" t="s">
        <v>312</v>
      </c>
      <c r="F689" s="19" t="s">
        <v>1140</v>
      </c>
      <c r="G689" s="19" t="s">
        <v>1034</v>
      </c>
      <c r="H689" s="19" t="s">
        <v>1001</v>
      </c>
      <c r="I689" s="19" t="s">
        <v>1599</v>
      </c>
      <c r="J689" s="20">
        <v>33</v>
      </c>
      <c r="K689" t="s">
        <v>631</v>
      </c>
      <c r="L689" t="s">
        <v>628</v>
      </c>
      <c r="M689" t="s">
        <v>629</v>
      </c>
      <c r="N689" t="s">
        <v>630</v>
      </c>
      <c r="O689" t="s">
        <v>632</v>
      </c>
    </row>
    <row r="690" spans="1:15" x14ac:dyDescent="0.35">
      <c r="A690" s="77">
        <v>6.7041095890410958</v>
      </c>
      <c r="B690" s="19">
        <v>59335</v>
      </c>
      <c r="C690" s="19" t="s">
        <v>3012</v>
      </c>
      <c r="D690" s="19" t="s">
        <v>337</v>
      </c>
      <c r="E690" s="19" t="s">
        <v>338</v>
      </c>
      <c r="F690" s="19" t="s">
        <v>2642</v>
      </c>
      <c r="G690" s="19" t="s">
        <v>1028</v>
      </c>
      <c r="H690" s="19" t="s">
        <v>1020</v>
      </c>
      <c r="I690" s="19" t="s">
        <v>1575</v>
      </c>
      <c r="J690" s="20">
        <v>39</v>
      </c>
      <c r="K690" t="s">
        <v>668</v>
      </c>
      <c r="L690" t="s">
        <v>656</v>
      </c>
      <c r="M690" t="s">
        <v>657</v>
      </c>
      <c r="N690" t="s">
        <v>658</v>
      </c>
      <c r="O690" t="s">
        <v>843</v>
      </c>
    </row>
    <row r="691" spans="1:15" x14ac:dyDescent="0.35">
      <c r="A691" s="77">
        <v>5.6328767123287671</v>
      </c>
      <c r="B691" s="19">
        <v>59399</v>
      </c>
      <c r="C691" s="19" t="s">
        <v>3013</v>
      </c>
      <c r="D691" s="19" t="s">
        <v>45</v>
      </c>
      <c r="E691" s="19" t="s">
        <v>46</v>
      </c>
      <c r="F691" s="19" t="s">
        <v>1122</v>
      </c>
      <c r="G691" s="19" t="s">
        <v>1034</v>
      </c>
      <c r="H691" s="19" t="s">
        <v>1001</v>
      </c>
      <c r="I691" s="19" t="s">
        <v>1599</v>
      </c>
      <c r="J691" s="20">
        <v>24</v>
      </c>
      <c r="K691" t="s">
        <v>631</v>
      </c>
      <c r="L691" t="s">
        <v>651</v>
      </c>
      <c r="M691" t="s">
        <v>629</v>
      </c>
      <c r="N691" t="s">
        <v>630</v>
      </c>
      <c r="O691" t="s">
        <v>705</v>
      </c>
    </row>
    <row r="692" spans="1:15" x14ac:dyDescent="0.35">
      <c r="A692" s="77">
        <v>4.9178082191780819</v>
      </c>
      <c r="B692" s="19">
        <v>59488</v>
      </c>
      <c r="C692" s="19" t="s">
        <v>3014</v>
      </c>
      <c r="D692" s="19" t="s">
        <v>243</v>
      </c>
      <c r="E692" s="19" t="s">
        <v>244</v>
      </c>
      <c r="F692" s="19" t="s">
        <v>1318</v>
      </c>
      <c r="G692" s="19" t="s">
        <v>1084</v>
      </c>
      <c r="H692" s="19" t="s">
        <v>1001</v>
      </c>
      <c r="I692" s="19" t="s">
        <v>1575</v>
      </c>
      <c r="J692" s="20">
        <v>23</v>
      </c>
      <c r="K692" t="s">
        <v>631</v>
      </c>
      <c r="L692" t="s">
        <v>707</v>
      </c>
      <c r="M692" t="s">
        <v>629</v>
      </c>
      <c r="N692" t="s">
        <v>635</v>
      </c>
      <c r="O692" t="s">
        <v>710</v>
      </c>
    </row>
    <row r="693" spans="1:15" x14ac:dyDescent="0.35">
      <c r="A693" s="77">
        <v>6.3013698630136991E-2</v>
      </c>
      <c r="B693" s="19">
        <v>59508</v>
      </c>
      <c r="C693" s="19" t="s">
        <v>3015</v>
      </c>
      <c r="D693" s="19" t="s">
        <v>16</v>
      </c>
      <c r="E693" s="19" t="s">
        <v>16</v>
      </c>
      <c r="F693" s="19" t="s">
        <v>1211</v>
      </c>
      <c r="G693" s="19" t="s">
        <v>1028</v>
      </c>
      <c r="H693" s="19" t="s">
        <v>1020</v>
      </c>
      <c r="I693" s="19" t="s">
        <v>1599</v>
      </c>
      <c r="J693" s="20">
        <v>24</v>
      </c>
      <c r="K693" t="s">
        <v>631</v>
      </c>
      <c r="L693" t="s">
        <v>645</v>
      </c>
      <c r="M693" t="s">
        <v>629</v>
      </c>
      <c r="N693" t="s">
        <v>646</v>
      </c>
      <c r="O693" t="s">
        <v>632</v>
      </c>
    </row>
    <row r="694" spans="1:15" x14ac:dyDescent="0.35">
      <c r="A694" s="77">
        <v>6.7041095890410958</v>
      </c>
      <c r="B694" s="19">
        <v>59562</v>
      </c>
      <c r="C694" s="19" t="s">
        <v>3016</v>
      </c>
      <c r="D694" s="19" t="s">
        <v>373</v>
      </c>
      <c r="E694" s="19" t="s">
        <v>374</v>
      </c>
      <c r="F694" s="19" t="s">
        <v>1033</v>
      </c>
      <c r="G694" s="19" t="s">
        <v>1000</v>
      </c>
      <c r="H694" s="19" t="s">
        <v>1001</v>
      </c>
      <c r="I694" s="19" t="s">
        <v>1575</v>
      </c>
      <c r="J694" s="20">
        <v>40</v>
      </c>
      <c r="K694" t="s">
        <v>654</v>
      </c>
      <c r="L694" t="s">
        <v>634</v>
      </c>
      <c r="M694" t="s">
        <v>629</v>
      </c>
      <c r="N694" t="s">
        <v>635</v>
      </c>
      <c r="O694" t="s">
        <v>637</v>
      </c>
    </row>
    <row r="695" spans="1:15" x14ac:dyDescent="0.35">
      <c r="A695" s="77">
        <v>0.99178082191780825</v>
      </c>
      <c r="B695" s="19">
        <v>59622</v>
      </c>
      <c r="C695" s="19" t="s">
        <v>3017</v>
      </c>
      <c r="D695" s="19" t="s">
        <v>120</v>
      </c>
      <c r="E695" s="19" t="s">
        <v>121</v>
      </c>
      <c r="F695" s="19" t="s">
        <v>1236</v>
      </c>
      <c r="G695" s="19" t="s">
        <v>1008</v>
      </c>
      <c r="H695" s="19" t="s">
        <v>1001</v>
      </c>
      <c r="I695" s="19" t="s">
        <v>1599</v>
      </c>
      <c r="J695" s="20">
        <v>27</v>
      </c>
      <c r="K695" t="s">
        <v>636</v>
      </c>
      <c r="L695" t="s">
        <v>673</v>
      </c>
      <c r="M695" t="s">
        <v>623</v>
      </c>
      <c r="N695" t="s">
        <v>641</v>
      </c>
      <c r="O695" t="s">
        <v>748</v>
      </c>
    </row>
    <row r="696" spans="1:15" x14ac:dyDescent="0.35">
      <c r="A696" s="77">
        <v>4.882191780821918</v>
      </c>
      <c r="B696" s="19">
        <v>59643</v>
      </c>
      <c r="C696" s="19" t="s">
        <v>3018</v>
      </c>
      <c r="D696" s="19" t="s">
        <v>120</v>
      </c>
      <c r="E696" s="19" t="s">
        <v>121</v>
      </c>
      <c r="F696" s="19" t="s">
        <v>1236</v>
      </c>
      <c r="G696" s="19" t="s">
        <v>1057</v>
      </c>
      <c r="H696" s="19" t="s">
        <v>1001</v>
      </c>
      <c r="I696" s="19" t="s">
        <v>1575</v>
      </c>
      <c r="J696" s="20">
        <v>27</v>
      </c>
      <c r="K696" t="s">
        <v>636</v>
      </c>
      <c r="L696" t="s">
        <v>673</v>
      </c>
      <c r="M696" t="s">
        <v>623</v>
      </c>
      <c r="N696" t="s">
        <v>641</v>
      </c>
      <c r="O696" t="s">
        <v>748</v>
      </c>
    </row>
    <row r="697" spans="1:15" x14ac:dyDescent="0.35">
      <c r="A697" s="77">
        <v>6.6876712328767125</v>
      </c>
      <c r="B697" s="19">
        <v>59721</v>
      </c>
      <c r="C697" s="19" t="s">
        <v>3019</v>
      </c>
      <c r="D697" s="19" t="s">
        <v>171</v>
      </c>
      <c r="E697" s="19" t="s">
        <v>172</v>
      </c>
      <c r="F697" s="19" t="s">
        <v>2239</v>
      </c>
      <c r="G697" s="19" t="s">
        <v>1034</v>
      </c>
      <c r="H697" s="19" t="s">
        <v>1001</v>
      </c>
      <c r="I697" s="19" t="s">
        <v>1599</v>
      </c>
      <c r="J697" s="20">
        <v>38</v>
      </c>
      <c r="K697" t="s">
        <v>654</v>
      </c>
      <c r="L697" t="s">
        <v>661</v>
      </c>
      <c r="M697" t="s">
        <v>657</v>
      </c>
      <c r="N697" t="s">
        <v>662</v>
      </c>
      <c r="O697" t="s">
        <v>632</v>
      </c>
    </row>
    <row r="698" spans="1:15" x14ac:dyDescent="0.35">
      <c r="A698" s="77">
        <v>1.6794520547945206</v>
      </c>
      <c r="B698" s="19">
        <v>59851</v>
      </c>
      <c r="C698" s="19" t="s">
        <v>3020</v>
      </c>
      <c r="D698" s="19" t="s">
        <v>284</v>
      </c>
      <c r="E698" s="19" t="s">
        <v>285</v>
      </c>
      <c r="F698" s="19" t="s">
        <v>1150</v>
      </c>
      <c r="G698" s="19" t="s">
        <v>1045</v>
      </c>
      <c r="H698" s="19" t="s">
        <v>1001</v>
      </c>
      <c r="I698" s="19" t="s">
        <v>1575</v>
      </c>
      <c r="J698" s="20">
        <v>26</v>
      </c>
      <c r="K698" t="s">
        <v>625</v>
      </c>
      <c r="L698" t="s">
        <v>661</v>
      </c>
      <c r="M698" t="s">
        <v>657</v>
      </c>
      <c r="N698" t="s">
        <v>662</v>
      </c>
      <c r="O698" t="s">
        <v>632</v>
      </c>
    </row>
    <row r="699" spans="1:15" x14ac:dyDescent="0.35">
      <c r="A699" s="77">
        <v>2.5232876712328767</v>
      </c>
      <c r="B699" s="19">
        <v>60025</v>
      </c>
      <c r="C699" s="19" t="s">
        <v>3021</v>
      </c>
      <c r="D699" s="19" t="s">
        <v>405</v>
      </c>
      <c r="E699" s="19" t="s">
        <v>406</v>
      </c>
      <c r="F699" s="19" t="s">
        <v>594</v>
      </c>
      <c r="G699" s="19" t="s">
        <v>1046</v>
      </c>
      <c r="H699" s="19" t="s">
        <v>1001</v>
      </c>
      <c r="I699" s="19" t="s">
        <v>1575</v>
      </c>
      <c r="J699" s="20">
        <v>24</v>
      </c>
      <c r="K699" t="s">
        <v>654</v>
      </c>
      <c r="L699" t="s">
        <v>684</v>
      </c>
      <c r="M699" t="s">
        <v>623</v>
      </c>
      <c r="N699" t="s">
        <v>662</v>
      </c>
      <c r="O699" t="s">
        <v>872</v>
      </c>
    </row>
    <row r="700" spans="1:15" x14ac:dyDescent="0.35">
      <c r="A700" s="77">
        <v>1.715068493150685</v>
      </c>
      <c r="B700" s="19">
        <v>60096</v>
      </c>
      <c r="C700" s="19" t="s">
        <v>3022</v>
      </c>
      <c r="D700" s="19" t="s">
        <v>365</v>
      </c>
      <c r="E700" s="19" t="s">
        <v>366</v>
      </c>
      <c r="F700" s="19" t="s">
        <v>1117</v>
      </c>
      <c r="G700" s="19" t="s">
        <v>1008</v>
      </c>
      <c r="H700" s="19" t="s">
        <v>1001</v>
      </c>
      <c r="I700" s="19" t="s">
        <v>1575</v>
      </c>
      <c r="J700" s="20">
        <v>27</v>
      </c>
      <c r="K700" t="s">
        <v>668</v>
      </c>
      <c r="L700" t="s">
        <v>691</v>
      </c>
      <c r="M700" t="s">
        <v>657</v>
      </c>
      <c r="N700" t="s">
        <v>658</v>
      </c>
      <c r="O700" t="s">
        <v>632</v>
      </c>
    </row>
    <row r="701" spans="1:15" x14ac:dyDescent="0.35">
      <c r="A701" s="77">
        <v>6.4109589041095889</v>
      </c>
      <c r="B701" s="19">
        <v>60126</v>
      </c>
      <c r="C701" s="19" t="s">
        <v>3023</v>
      </c>
      <c r="D701" s="19" t="s">
        <v>397</v>
      </c>
      <c r="E701" s="19" t="s">
        <v>398</v>
      </c>
      <c r="F701" s="19" t="s">
        <v>867</v>
      </c>
      <c r="G701" s="19" t="s">
        <v>1034</v>
      </c>
      <c r="H701" s="19" t="s">
        <v>1001</v>
      </c>
      <c r="I701" s="19" t="s">
        <v>1575</v>
      </c>
      <c r="J701" s="20">
        <v>25</v>
      </c>
      <c r="K701" t="s">
        <v>625</v>
      </c>
      <c r="L701" t="s">
        <v>634</v>
      </c>
      <c r="M701" t="s">
        <v>629</v>
      </c>
      <c r="N701" t="s">
        <v>635</v>
      </c>
      <c r="O701" t="s">
        <v>637</v>
      </c>
    </row>
    <row r="702" spans="1:15" x14ac:dyDescent="0.35">
      <c r="A702" s="77">
        <v>6.6657534246575345</v>
      </c>
      <c r="B702" s="19">
        <v>60249</v>
      </c>
      <c r="C702" s="19" t="s">
        <v>3024</v>
      </c>
      <c r="D702" s="19" t="s">
        <v>349</v>
      </c>
      <c r="E702" s="19" t="s">
        <v>350</v>
      </c>
      <c r="F702" s="19" t="s">
        <v>912</v>
      </c>
      <c r="G702" s="19" t="s">
        <v>1084</v>
      </c>
      <c r="H702" s="19" t="s">
        <v>1001</v>
      </c>
      <c r="I702" s="19" t="s">
        <v>1599</v>
      </c>
      <c r="J702" s="20">
        <v>32</v>
      </c>
      <c r="K702" t="s">
        <v>625</v>
      </c>
      <c r="L702" t="s">
        <v>648</v>
      </c>
      <c r="M702" t="s">
        <v>623</v>
      </c>
      <c r="N702" t="s">
        <v>624</v>
      </c>
      <c r="O702" t="s">
        <v>649</v>
      </c>
    </row>
    <row r="703" spans="1:15" x14ac:dyDescent="0.35">
      <c r="A703" s="77">
        <v>6.6602739726027398</v>
      </c>
      <c r="B703" s="19">
        <v>60289</v>
      </c>
      <c r="C703" s="19" t="s">
        <v>3025</v>
      </c>
      <c r="D703" s="19" t="s">
        <v>353</v>
      </c>
      <c r="E703" s="19" t="s">
        <v>354</v>
      </c>
      <c r="F703" s="19" t="s">
        <v>850</v>
      </c>
      <c r="G703" s="19" t="s">
        <v>1034</v>
      </c>
      <c r="H703" s="19" t="s">
        <v>1001</v>
      </c>
      <c r="I703" s="19" t="s">
        <v>1575</v>
      </c>
      <c r="J703" s="20">
        <v>28</v>
      </c>
      <c r="K703" t="s">
        <v>654</v>
      </c>
      <c r="L703" t="s">
        <v>640</v>
      </c>
      <c r="M703" t="s">
        <v>623</v>
      </c>
      <c r="N703" t="s">
        <v>624</v>
      </c>
      <c r="O703" t="s">
        <v>789</v>
      </c>
    </row>
    <row r="704" spans="1:15" x14ac:dyDescent="0.35">
      <c r="A704" s="77">
        <v>0.10136986301369863</v>
      </c>
      <c r="B704" s="19">
        <v>60498</v>
      </c>
      <c r="C704" s="19" t="s">
        <v>3026</v>
      </c>
      <c r="D704" s="19" t="s">
        <v>377</v>
      </c>
      <c r="E704" s="19" t="s">
        <v>378</v>
      </c>
      <c r="F704" s="19" t="s">
        <v>862</v>
      </c>
      <c r="G704" s="19" t="s">
        <v>1046</v>
      </c>
      <c r="H704" s="19" t="s">
        <v>1001</v>
      </c>
      <c r="I704" s="19" t="s">
        <v>1575</v>
      </c>
      <c r="J704" s="20">
        <v>26</v>
      </c>
      <c r="K704" t="s">
        <v>631</v>
      </c>
      <c r="L704" t="s">
        <v>661</v>
      </c>
      <c r="M704" t="s">
        <v>657</v>
      </c>
      <c r="N704" t="s">
        <v>662</v>
      </c>
      <c r="O704" t="s">
        <v>632</v>
      </c>
    </row>
    <row r="705" spans="1:15" x14ac:dyDescent="0.35">
      <c r="A705" s="77">
        <v>0.25753424657534246</v>
      </c>
      <c r="B705" s="19">
        <v>60503</v>
      </c>
      <c r="C705" s="19" t="s">
        <v>3027</v>
      </c>
      <c r="D705" s="19" t="s">
        <v>426</v>
      </c>
      <c r="E705" s="19" t="s">
        <v>426</v>
      </c>
      <c r="F705" s="19" t="s">
        <v>1220</v>
      </c>
      <c r="G705" s="19" t="s">
        <v>1008</v>
      </c>
      <c r="H705" s="19" t="s">
        <v>1001</v>
      </c>
      <c r="I705" s="19" t="s">
        <v>1599</v>
      </c>
      <c r="J705" s="20">
        <v>26</v>
      </c>
      <c r="K705" t="s">
        <v>654</v>
      </c>
      <c r="L705" t="s">
        <v>622</v>
      </c>
      <c r="M705" t="s">
        <v>623</v>
      </c>
      <c r="N705" t="s">
        <v>624</v>
      </c>
      <c r="O705" t="s">
        <v>649</v>
      </c>
    </row>
    <row r="706" spans="1:15" x14ac:dyDescent="0.35">
      <c r="A706" s="77">
        <v>6.6438356164383565</v>
      </c>
      <c r="B706" s="19">
        <v>60554</v>
      </c>
      <c r="C706" s="19" t="s">
        <v>3028</v>
      </c>
      <c r="D706" s="19" t="s">
        <v>178</v>
      </c>
      <c r="E706" s="19" t="s">
        <v>179</v>
      </c>
      <c r="F706" s="19" t="s">
        <v>2407</v>
      </c>
      <c r="G706" s="19" t="s">
        <v>1008</v>
      </c>
      <c r="H706" s="19" t="s">
        <v>1001</v>
      </c>
      <c r="I706" s="19" t="s">
        <v>1575</v>
      </c>
      <c r="J706" s="20">
        <v>43</v>
      </c>
      <c r="K706" t="s">
        <v>636</v>
      </c>
      <c r="L706" t="s">
        <v>684</v>
      </c>
      <c r="M706" t="s">
        <v>623</v>
      </c>
      <c r="N706" t="s">
        <v>662</v>
      </c>
      <c r="O706" t="s">
        <v>775</v>
      </c>
    </row>
    <row r="707" spans="1:15" x14ac:dyDescent="0.35">
      <c r="A707" s="77">
        <v>6.6438356164383565</v>
      </c>
      <c r="B707" s="19">
        <v>60555</v>
      </c>
      <c r="C707" s="19" t="s">
        <v>3029</v>
      </c>
      <c r="D707" s="19" t="s">
        <v>178</v>
      </c>
      <c r="E707" s="19" t="s">
        <v>179</v>
      </c>
      <c r="F707" s="19" t="s">
        <v>2407</v>
      </c>
      <c r="G707" s="19" t="s">
        <v>1084</v>
      </c>
      <c r="H707" s="19" t="s">
        <v>1020</v>
      </c>
      <c r="I707" s="19" t="s">
        <v>1575</v>
      </c>
      <c r="J707" s="20">
        <v>61</v>
      </c>
      <c r="K707" t="s">
        <v>636</v>
      </c>
      <c r="L707" t="s">
        <v>684</v>
      </c>
      <c r="M707" t="s">
        <v>623</v>
      </c>
      <c r="N707" t="s">
        <v>662</v>
      </c>
      <c r="O707" t="s">
        <v>775</v>
      </c>
    </row>
    <row r="708" spans="1:15" x14ac:dyDescent="0.35">
      <c r="A708" s="77">
        <v>6.6575342465753424</v>
      </c>
      <c r="B708" s="19">
        <v>60592</v>
      </c>
      <c r="C708" s="19" t="s">
        <v>3030</v>
      </c>
      <c r="D708" s="19" t="s">
        <v>355</v>
      </c>
      <c r="E708" s="19" t="s">
        <v>356</v>
      </c>
      <c r="F708" s="19" t="s">
        <v>1100</v>
      </c>
      <c r="G708" s="19" t="s">
        <v>1000</v>
      </c>
      <c r="H708" s="19" t="s">
        <v>1001</v>
      </c>
      <c r="I708" s="19" t="s">
        <v>1599</v>
      </c>
      <c r="J708" s="20">
        <v>36</v>
      </c>
      <c r="K708" t="s">
        <v>625</v>
      </c>
      <c r="L708" t="s">
        <v>622</v>
      </c>
      <c r="M708" t="s">
        <v>623</v>
      </c>
      <c r="N708" t="s">
        <v>624</v>
      </c>
      <c r="O708" t="s">
        <v>649</v>
      </c>
    </row>
    <row r="709" spans="1:15" x14ac:dyDescent="0.35">
      <c r="A709" s="77">
        <v>6.6383561643835618</v>
      </c>
      <c r="B709" s="19">
        <v>60649</v>
      </c>
      <c r="C709" s="19" t="s">
        <v>3031</v>
      </c>
      <c r="D709" s="19" t="s">
        <v>315</v>
      </c>
      <c r="E709" s="19" t="s">
        <v>316</v>
      </c>
      <c r="F709" s="19" t="s">
        <v>1322</v>
      </c>
      <c r="G709" s="19" t="s">
        <v>1034</v>
      </c>
      <c r="H709" s="19" t="s">
        <v>1001</v>
      </c>
      <c r="I709" s="19" t="s">
        <v>1575</v>
      </c>
      <c r="J709" s="20">
        <v>27</v>
      </c>
      <c r="K709" t="s">
        <v>654</v>
      </c>
      <c r="L709" t="s">
        <v>684</v>
      </c>
      <c r="M709" t="s">
        <v>623</v>
      </c>
      <c r="N709" t="s">
        <v>662</v>
      </c>
      <c r="O709" t="s">
        <v>831</v>
      </c>
    </row>
    <row r="710" spans="1:15" x14ac:dyDescent="0.35">
      <c r="A710" s="77">
        <v>6.6219178082191785</v>
      </c>
      <c r="B710" s="19">
        <v>60768</v>
      </c>
      <c r="C710" s="19" t="s">
        <v>3032</v>
      </c>
      <c r="D710" s="19" t="s">
        <v>337</v>
      </c>
      <c r="E710" s="19" t="s">
        <v>338</v>
      </c>
      <c r="F710" s="19" t="s">
        <v>2642</v>
      </c>
      <c r="G710" s="19" t="s">
        <v>1046</v>
      </c>
      <c r="H710" s="19" t="s">
        <v>1001</v>
      </c>
      <c r="I710" s="19" t="s">
        <v>1575</v>
      </c>
      <c r="J710" s="20">
        <v>27</v>
      </c>
      <c r="K710" t="s">
        <v>668</v>
      </c>
      <c r="L710" t="s">
        <v>656</v>
      </c>
      <c r="M710" t="s">
        <v>657</v>
      </c>
      <c r="N710" t="s">
        <v>658</v>
      </c>
      <c r="O710" t="s">
        <v>843</v>
      </c>
    </row>
    <row r="711" spans="1:15" x14ac:dyDescent="0.35">
      <c r="A711" s="77">
        <v>1.3123287671232877</v>
      </c>
      <c r="B711" s="19">
        <v>60777</v>
      </c>
      <c r="C711" s="19" t="s">
        <v>3033</v>
      </c>
      <c r="D711" s="19" t="s">
        <v>309</v>
      </c>
      <c r="E711" s="19" t="s">
        <v>310</v>
      </c>
      <c r="F711" s="19" t="s">
        <v>1234</v>
      </c>
      <c r="G711" s="19" t="s">
        <v>1046</v>
      </c>
      <c r="H711" s="19" t="s">
        <v>1001</v>
      </c>
      <c r="I711" s="19" t="s">
        <v>1599</v>
      </c>
      <c r="J711" s="20">
        <v>29</v>
      </c>
      <c r="K711" t="s">
        <v>668</v>
      </c>
      <c r="L711" t="s">
        <v>666</v>
      </c>
      <c r="M711" t="s">
        <v>629</v>
      </c>
      <c r="N711" t="s">
        <v>635</v>
      </c>
      <c r="O711" t="s">
        <v>637</v>
      </c>
    </row>
    <row r="712" spans="1:15" x14ac:dyDescent="0.35">
      <c r="A712" s="77">
        <v>6.6109589041095891</v>
      </c>
      <c r="B712" s="19">
        <v>60800</v>
      </c>
      <c r="C712" s="19" t="s">
        <v>3034</v>
      </c>
      <c r="D712" s="19" t="s">
        <v>362</v>
      </c>
      <c r="E712" s="19" t="s">
        <v>363</v>
      </c>
      <c r="F712" s="19" t="s">
        <v>1056</v>
      </c>
      <c r="G712" s="19" t="s">
        <v>1045</v>
      </c>
      <c r="H712" s="19" t="s">
        <v>1001</v>
      </c>
      <c r="I712" s="19" t="s">
        <v>1599</v>
      </c>
      <c r="J712" s="20">
        <v>26</v>
      </c>
      <c r="K712" t="s">
        <v>654</v>
      </c>
      <c r="L712" t="s">
        <v>663</v>
      </c>
      <c r="M712" t="s">
        <v>629</v>
      </c>
      <c r="N712" t="s">
        <v>646</v>
      </c>
      <c r="O712" t="s">
        <v>810</v>
      </c>
    </row>
    <row r="713" spans="1:15" x14ac:dyDescent="0.35">
      <c r="A713" s="77">
        <v>4.1150684931506847</v>
      </c>
      <c r="B713" s="19">
        <v>60827</v>
      </c>
      <c r="C713" s="19" t="s">
        <v>3035</v>
      </c>
      <c r="D713" s="19" t="s">
        <v>155</v>
      </c>
      <c r="E713" s="19" t="s">
        <v>156</v>
      </c>
      <c r="F713" s="19" t="s">
        <v>896</v>
      </c>
      <c r="G713" s="19" t="s">
        <v>1008</v>
      </c>
      <c r="H713" s="19" t="s">
        <v>1001</v>
      </c>
      <c r="I713" s="19" t="s">
        <v>1575</v>
      </c>
      <c r="J713" s="20">
        <v>23</v>
      </c>
      <c r="K713" t="s">
        <v>636</v>
      </c>
      <c r="L713" t="s">
        <v>663</v>
      </c>
      <c r="M713" t="s">
        <v>629</v>
      </c>
      <c r="N713" t="s">
        <v>646</v>
      </c>
      <c r="O713" t="s">
        <v>639</v>
      </c>
    </row>
    <row r="714" spans="1:15" x14ac:dyDescent="0.35">
      <c r="A714" s="77">
        <v>1.6630136986301369</v>
      </c>
      <c r="B714" s="19">
        <v>60867</v>
      </c>
      <c r="C714" s="19" t="s">
        <v>3036</v>
      </c>
      <c r="D714" s="19" t="s">
        <v>324</v>
      </c>
      <c r="E714" s="19" t="s">
        <v>325</v>
      </c>
      <c r="F714" s="19" t="s">
        <v>1284</v>
      </c>
      <c r="G714" s="19" t="s">
        <v>1034</v>
      </c>
      <c r="H714" s="19" t="s">
        <v>1001</v>
      </c>
      <c r="I714" s="19" t="s">
        <v>1599</v>
      </c>
      <c r="J714" s="20">
        <v>27</v>
      </c>
      <c r="K714" t="s">
        <v>631</v>
      </c>
      <c r="L714" t="s">
        <v>663</v>
      </c>
      <c r="M714" t="s">
        <v>629</v>
      </c>
      <c r="N714" t="s">
        <v>646</v>
      </c>
      <c r="O714" t="s">
        <v>639</v>
      </c>
    </row>
    <row r="715" spans="1:15" x14ac:dyDescent="0.35">
      <c r="A715" s="77">
        <v>6.3917808219178083</v>
      </c>
      <c r="B715" s="19">
        <v>60887</v>
      </c>
      <c r="C715" s="19" t="s">
        <v>3037</v>
      </c>
      <c r="D715" s="19" t="s">
        <v>367</v>
      </c>
      <c r="E715" s="19" t="s">
        <v>368</v>
      </c>
      <c r="F715" s="19" t="s">
        <v>1604</v>
      </c>
      <c r="G715" s="19" t="s">
        <v>1057</v>
      </c>
      <c r="H715" s="19" t="s">
        <v>1001</v>
      </c>
      <c r="I715" s="19" t="s">
        <v>1575</v>
      </c>
      <c r="J715" s="20">
        <v>41</v>
      </c>
      <c r="K715" t="s">
        <v>636</v>
      </c>
      <c r="L715" t="s">
        <v>737</v>
      </c>
      <c r="M715" t="s">
        <v>657</v>
      </c>
      <c r="N715" t="s">
        <v>641</v>
      </c>
      <c r="O715" t="s">
        <v>738</v>
      </c>
    </row>
    <row r="716" spans="1:15" x14ac:dyDescent="0.35">
      <c r="A716" s="77">
        <v>6.3917808219178083</v>
      </c>
      <c r="B716" s="19">
        <v>60888</v>
      </c>
      <c r="C716" s="19" t="s">
        <v>3038</v>
      </c>
      <c r="D716" s="19" t="s">
        <v>23</v>
      </c>
      <c r="E716" s="19" t="s">
        <v>23</v>
      </c>
      <c r="F716" s="19" t="s">
        <v>660</v>
      </c>
      <c r="G716" s="19" t="s">
        <v>1045</v>
      </c>
      <c r="H716" s="19" t="s">
        <v>1001</v>
      </c>
      <c r="I716" s="19" t="s">
        <v>1599</v>
      </c>
      <c r="J716" s="20">
        <v>35</v>
      </c>
      <c r="K716" t="s">
        <v>631</v>
      </c>
      <c r="L716" t="s">
        <v>661</v>
      </c>
      <c r="M716" t="s">
        <v>657</v>
      </c>
      <c r="N716" t="s">
        <v>662</v>
      </c>
      <c r="O716" t="s">
        <v>632</v>
      </c>
    </row>
    <row r="717" spans="1:15" x14ac:dyDescent="0.35">
      <c r="A717" s="77">
        <v>6.6054794520547944</v>
      </c>
      <c r="B717" s="19">
        <v>60906</v>
      </c>
      <c r="C717" s="19" t="s">
        <v>3039</v>
      </c>
      <c r="D717" s="19" t="s">
        <v>601</v>
      </c>
      <c r="E717" s="19" t="e">
        <v>#N/A</v>
      </c>
      <c r="F717" s="19" t="s">
        <v>1136</v>
      </c>
      <c r="G717" s="19" t="s">
        <v>1008</v>
      </c>
      <c r="H717" s="19" t="s">
        <v>1001</v>
      </c>
      <c r="I717" s="19" t="s">
        <v>1575</v>
      </c>
      <c r="J717" s="20">
        <v>29</v>
      </c>
      <c r="K717" t="s">
        <v>654</v>
      </c>
      <c r="L717" t="s">
        <v>651</v>
      </c>
      <c r="M717" t="s">
        <v>629</v>
      </c>
      <c r="N717" t="s">
        <v>630</v>
      </c>
      <c r="O717" t="s">
        <v>715</v>
      </c>
    </row>
    <row r="718" spans="1:15" x14ac:dyDescent="0.35">
      <c r="A718" s="77">
        <v>1.810958904109589</v>
      </c>
      <c r="B718" s="19">
        <v>60916</v>
      </c>
      <c r="C718" s="19" t="s">
        <v>3040</v>
      </c>
      <c r="D718" s="19" t="s">
        <v>284</v>
      </c>
      <c r="E718" s="19" t="s">
        <v>285</v>
      </c>
      <c r="F718" s="19" t="s">
        <v>1150</v>
      </c>
      <c r="G718" s="19" t="s">
        <v>1084</v>
      </c>
      <c r="H718" s="19" t="s">
        <v>1001</v>
      </c>
      <c r="I718" s="19" t="s">
        <v>1599</v>
      </c>
      <c r="J718" s="20">
        <v>30</v>
      </c>
      <c r="K718" t="s">
        <v>625</v>
      </c>
      <c r="L718" t="s">
        <v>661</v>
      </c>
      <c r="M718" t="s">
        <v>657</v>
      </c>
      <c r="N718" t="s">
        <v>662</v>
      </c>
      <c r="O718" t="s">
        <v>632</v>
      </c>
    </row>
    <row r="719" spans="1:15" x14ac:dyDescent="0.35">
      <c r="A719" s="77">
        <v>6.6054794520547944</v>
      </c>
      <c r="B719" s="19">
        <v>60917</v>
      </c>
      <c r="C719" s="19" t="s">
        <v>3041</v>
      </c>
      <c r="D719" s="19" t="s">
        <v>201</v>
      </c>
      <c r="E719" s="19" t="s">
        <v>202</v>
      </c>
      <c r="F719" s="19" t="s">
        <v>1061</v>
      </c>
      <c r="G719" s="19" t="s">
        <v>1046</v>
      </c>
      <c r="H719" s="19" t="s">
        <v>1001</v>
      </c>
      <c r="I719" s="19" t="s">
        <v>1575</v>
      </c>
      <c r="J719" s="20">
        <v>38</v>
      </c>
      <c r="K719" t="s">
        <v>631</v>
      </c>
      <c r="L719" t="s">
        <v>628</v>
      </c>
      <c r="M719" t="s">
        <v>629</v>
      </c>
      <c r="N719" t="s">
        <v>630</v>
      </c>
      <c r="O719" t="s">
        <v>784</v>
      </c>
    </row>
    <row r="720" spans="1:15" x14ac:dyDescent="0.35">
      <c r="A720" s="77">
        <v>6.4164383561643836</v>
      </c>
      <c r="B720" s="19">
        <v>60991</v>
      </c>
      <c r="C720" s="19" t="s">
        <v>3042</v>
      </c>
      <c r="D720" s="19" t="s">
        <v>169</v>
      </c>
      <c r="E720" s="19" t="s">
        <v>170</v>
      </c>
      <c r="F720" s="19" t="s">
        <v>1274</v>
      </c>
      <c r="G720" s="19" t="s">
        <v>1598</v>
      </c>
      <c r="H720" s="19" t="s">
        <v>1001</v>
      </c>
      <c r="I720" s="19" t="s">
        <v>1599</v>
      </c>
      <c r="J720" s="20">
        <v>28</v>
      </c>
      <c r="K720" t="s">
        <v>631</v>
      </c>
      <c r="L720" t="s">
        <v>670</v>
      </c>
      <c r="M720" t="s">
        <v>657</v>
      </c>
      <c r="N720" t="s">
        <v>641</v>
      </c>
      <c r="O720" t="s">
        <v>772</v>
      </c>
    </row>
    <row r="721" spans="1:15" x14ac:dyDescent="0.35">
      <c r="A721" s="77">
        <v>6.3506849315068497</v>
      </c>
      <c r="B721" s="19">
        <v>61007</v>
      </c>
      <c r="C721" s="19" t="s">
        <v>3043</v>
      </c>
      <c r="D721" s="19" t="s">
        <v>360</v>
      </c>
      <c r="E721" s="19" t="s">
        <v>361</v>
      </c>
      <c r="F721" s="19" t="s">
        <v>2312</v>
      </c>
      <c r="G721" s="19" t="s">
        <v>1008</v>
      </c>
      <c r="H721" s="19" t="s">
        <v>1001</v>
      </c>
      <c r="I721" s="19" t="s">
        <v>1575</v>
      </c>
      <c r="J721" s="20">
        <v>35</v>
      </c>
      <c r="K721" t="s">
        <v>642</v>
      </c>
      <c r="L721" t="s">
        <v>670</v>
      </c>
      <c r="M721" t="s">
        <v>657</v>
      </c>
      <c r="N721" t="s">
        <v>641</v>
      </c>
      <c r="O721" t="s">
        <v>671</v>
      </c>
    </row>
    <row r="722" spans="1:15" x14ac:dyDescent="0.35">
      <c r="A722" s="77">
        <v>6.5835616438356164</v>
      </c>
      <c r="B722" s="19">
        <v>61058</v>
      </c>
      <c r="C722" s="19" t="s">
        <v>3044</v>
      </c>
      <c r="D722" s="19" t="s">
        <v>237</v>
      </c>
      <c r="E722" s="19" t="s">
        <v>238</v>
      </c>
      <c r="F722" s="19" t="s">
        <v>1070</v>
      </c>
      <c r="G722" s="19" t="s">
        <v>1084</v>
      </c>
      <c r="H722" s="19" t="s">
        <v>1020</v>
      </c>
      <c r="I722" s="19" t="s">
        <v>1575</v>
      </c>
      <c r="J722" s="20">
        <v>52</v>
      </c>
      <c r="K722" t="s">
        <v>631</v>
      </c>
      <c r="L722" t="s">
        <v>661</v>
      </c>
      <c r="M722" t="s">
        <v>657</v>
      </c>
      <c r="N722" t="s">
        <v>662</v>
      </c>
      <c r="O722" t="s">
        <v>632</v>
      </c>
    </row>
    <row r="723" spans="1:15" x14ac:dyDescent="0.35">
      <c r="A723" s="77">
        <v>6.5835616438356164</v>
      </c>
      <c r="B723" s="19">
        <v>61059</v>
      </c>
      <c r="C723" s="19" t="s">
        <v>3045</v>
      </c>
      <c r="D723" s="19" t="s">
        <v>258</v>
      </c>
      <c r="E723" s="19" t="s">
        <v>259</v>
      </c>
      <c r="F723" s="19" t="s">
        <v>1349</v>
      </c>
      <c r="G723" s="19" t="s">
        <v>1046</v>
      </c>
      <c r="H723" s="19" t="s">
        <v>1001</v>
      </c>
      <c r="I723" s="19" t="s">
        <v>1575</v>
      </c>
      <c r="J723" s="20">
        <v>26</v>
      </c>
      <c r="K723" t="s">
        <v>668</v>
      </c>
      <c r="L723" t="s">
        <v>691</v>
      </c>
      <c r="M723" t="s">
        <v>657</v>
      </c>
      <c r="N723" t="s">
        <v>658</v>
      </c>
      <c r="O723" t="s">
        <v>632</v>
      </c>
    </row>
    <row r="724" spans="1:15" x14ac:dyDescent="0.35">
      <c r="A724" s="77">
        <v>6.5835616438356164</v>
      </c>
      <c r="B724" s="19">
        <v>61089</v>
      </c>
      <c r="C724" s="19" t="s">
        <v>3046</v>
      </c>
      <c r="D724" s="19" t="s">
        <v>31</v>
      </c>
      <c r="E724" s="19" t="s">
        <v>31</v>
      </c>
      <c r="F724" s="19" t="s">
        <v>675</v>
      </c>
      <c r="G724" s="19" t="s">
        <v>1084</v>
      </c>
      <c r="H724" s="19" t="s">
        <v>1001</v>
      </c>
      <c r="I724" s="19" t="s">
        <v>1599</v>
      </c>
      <c r="J724" s="20">
        <v>33</v>
      </c>
      <c r="K724" t="s">
        <v>654</v>
      </c>
      <c r="L724" t="s">
        <v>670</v>
      </c>
      <c r="M724" t="s">
        <v>657</v>
      </c>
      <c r="N724" t="s">
        <v>641</v>
      </c>
      <c r="O724" t="s">
        <v>676</v>
      </c>
    </row>
    <row r="725" spans="1:15" x14ac:dyDescent="0.35">
      <c r="A725" s="77">
        <v>6.580821917808219</v>
      </c>
      <c r="B725" s="19">
        <v>61091</v>
      </c>
      <c r="C725" s="19" t="s">
        <v>3047</v>
      </c>
      <c r="D725" s="19" t="s">
        <v>349</v>
      </c>
      <c r="E725" s="19" t="s">
        <v>350</v>
      </c>
      <c r="F725" s="19" t="s">
        <v>912</v>
      </c>
      <c r="G725" s="19" t="s">
        <v>1034</v>
      </c>
      <c r="H725" s="19" t="s">
        <v>1001</v>
      </c>
      <c r="I725" s="19" t="s">
        <v>1575</v>
      </c>
      <c r="J725" s="20">
        <v>29</v>
      </c>
      <c r="K725" t="s">
        <v>625</v>
      </c>
      <c r="L725" t="s">
        <v>648</v>
      </c>
      <c r="M725" t="s">
        <v>623</v>
      </c>
      <c r="N725" t="s">
        <v>624</v>
      </c>
      <c r="O725" t="s">
        <v>649</v>
      </c>
    </row>
    <row r="726" spans="1:15" x14ac:dyDescent="0.35">
      <c r="A726" s="77">
        <v>6.5726027397260278</v>
      </c>
      <c r="B726" s="19">
        <v>61154</v>
      </c>
      <c r="C726" s="19" t="s">
        <v>3048</v>
      </c>
      <c r="D726" s="19" t="s">
        <v>284</v>
      </c>
      <c r="E726" s="19" t="s">
        <v>285</v>
      </c>
      <c r="F726" s="19" t="s">
        <v>1150</v>
      </c>
      <c r="G726" s="19" t="s">
        <v>1598</v>
      </c>
      <c r="H726" s="19" t="s">
        <v>1001</v>
      </c>
      <c r="I726" s="19" t="s">
        <v>1575</v>
      </c>
      <c r="J726" s="20">
        <v>47</v>
      </c>
      <c r="K726" t="s">
        <v>625</v>
      </c>
      <c r="L726" t="s">
        <v>661</v>
      </c>
      <c r="M726" t="s">
        <v>657</v>
      </c>
      <c r="N726" t="s">
        <v>662</v>
      </c>
      <c r="O726" t="s">
        <v>632</v>
      </c>
    </row>
    <row r="727" spans="1:15" x14ac:dyDescent="0.35">
      <c r="A727" s="77">
        <v>6.5726027397260278</v>
      </c>
      <c r="B727" s="19">
        <v>61177</v>
      </c>
      <c r="C727" s="19" t="s">
        <v>3049</v>
      </c>
      <c r="D727" s="19" t="s">
        <v>41</v>
      </c>
      <c r="E727" s="19" t="s">
        <v>41</v>
      </c>
      <c r="F727" s="19" t="s">
        <v>1157</v>
      </c>
      <c r="G727" s="19" t="s">
        <v>1084</v>
      </c>
      <c r="H727" s="19" t="s">
        <v>1020</v>
      </c>
      <c r="I727" s="19" t="s">
        <v>1575</v>
      </c>
      <c r="J727" s="20">
        <v>43</v>
      </c>
      <c r="K727" t="s">
        <v>625</v>
      </c>
      <c r="L727" t="s">
        <v>691</v>
      </c>
      <c r="M727" t="s">
        <v>657</v>
      </c>
      <c r="N727" t="s">
        <v>658</v>
      </c>
      <c r="O727" t="s">
        <v>632</v>
      </c>
    </row>
    <row r="728" spans="1:15" x14ac:dyDescent="0.35">
      <c r="A728" s="77">
        <v>6.5726027397260278</v>
      </c>
      <c r="B728" s="19">
        <v>61209</v>
      </c>
      <c r="C728" s="19" t="s">
        <v>3050</v>
      </c>
      <c r="D728" s="19" t="s">
        <v>237</v>
      </c>
      <c r="E728" s="19" t="s">
        <v>238</v>
      </c>
      <c r="F728" s="19" t="s">
        <v>1070</v>
      </c>
      <c r="G728" s="19" t="s">
        <v>1084</v>
      </c>
      <c r="H728" s="19" t="s">
        <v>1020</v>
      </c>
      <c r="I728" s="19" t="s">
        <v>1575</v>
      </c>
      <c r="J728" s="20">
        <v>49</v>
      </c>
      <c r="K728" t="s">
        <v>631</v>
      </c>
      <c r="L728" t="s">
        <v>661</v>
      </c>
      <c r="M728" t="s">
        <v>657</v>
      </c>
      <c r="N728" t="s">
        <v>662</v>
      </c>
      <c r="O728" t="s">
        <v>632</v>
      </c>
    </row>
    <row r="729" spans="1:15" x14ac:dyDescent="0.35">
      <c r="A729" s="77">
        <v>6.5726027397260278</v>
      </c>
      <c r="B729" s="19">
        <v>61210</v>
      </c>
      <c r="C729" s="19" t="s">
        <v>3051</v>
      </c>
      <c r="D729" s="19" t="s">
        <v>237</v>
      </c>
      <c r="E729" s="19" t="s">
        <v>238</v>
      </c>
      <c r="F729" s="19" t="s">
        <v>1070</v>
      </c>
      <c r="G729" s="19" t="s">
        <v>1084</v>
      </c>
      <c r="H729" s="19" t="s">
        <v>1020</v>
      </c>
      <c r="I729" s="19" t="s">
        <v>1575</v>
      </c>
      <c r="J729" s="20">
        <v>44</v>
      </c>
      <c r="K729" t="s">
        <v>631</v>
      </c>
      <c r="L729" t="s">
        <v>661</v>
      </c>
      <c r="M729" t="s">
        <v>657</v>
      </c>
      <c r="N729" t="s">
        <v>662</v>
      </c>
      <c r="O729" t="s">
        <v>632</v>
      </c>
    </row>
    <row r="730" spans="1:15" x14ac:dyDescent="0.35">
      <c r="A730" s="77">
        <v>6.5726027397260278</v>
      </c>
      <c r="B730" s="19">
        <v>61211</v>
      </c>
      <c r="C730" s="19" t="s">
        <v>3052</v>
      </c>
      <c r="D730" s="19" t="s">
        <v>173</v>
      </c>
      <c r="E730" s="19" t="s">
        <v>174</v>
      </c>
      <c r="F730" s="19" t="s">
        <v>901</v>
      </c>
      <c r="G730" s="19" t="s">
        <v>1045</v>
      </c>
      <c r="H730" s="19" t="s">
        <v>1001</v>
      </c>
      <c r="I730" s="19" t="s">
        <v>1575</v>
      </c>
      <c r="J730" s="20">
        <v>24</v>
      </c>
      <c r="K730" t="s">
        <v>668</v>
      </c>
      <c r="L730" t="s">
        <v>656</v>
      </c>
      <c r="M730" t="s">
        <v>657</v>
      </c>
      <c r="N730" t="s">
        <v>658</v>
      </c>
      <c r="O730" t="s">
        <v>632</v>
      </c>
    </row>
    <row r="731" spans="1:15" x14ac:dyDescent="0.35">
      <c r="A731" s="77">
        <v>1.5232876712328767</v>
      </c>
      <c r="B731" s="19">
        <v>61225</v>
      </c>
      <c r="C731" s="19" t="s">
        <v>3053</v>
      </c>
      <c r="D731" s="19" t="s">
        <v>38</v>
      </c>
      <c r="E731" s="19" t="s">
        <v>38</v>
      </c>
      <c r="F731" s="19" t="s">
        <v>711</v>
      </c>
      <c r="G731" s="19" t="s">
        <v>1045</v>
      </c>
      <c r="H731" s="19" t="s">
        <v>1001</v>
      </c>
      <c r="I731" s="19" t="s">
        <v>1599</v>
      </c>
      <c r="J731" s="20">
        <v>25</v>
      </c>
      <c r="K731" t="s">
        <v>668</v>
      </c>
      <c r="L731" t="s">
        <v>691</v>
      </c>
      <c r="M731" t="s">
        <v>657</v>
      </c>
      <c r="N731" t="s">
        <v>658</v>
      </c>
      <c r="O731" t="s">
        <v>632</v>
      </c>
    </row>
    <row r="732" spans="1:15" x14ac:dyDescent="0.35">
      <c r="A732" s="77">
        <v>6.5671232876712331</v>
      </c>
      <c r="B732" s="19">
        <v>61255</v>
      </c>
      <c r="C732" s="19" t="s">
        <v>3054</v>
      </c>
      <c r="D732" s="19" t="s">
        <v>258</v>
      </c>
      <c r="E732" s="19" t="s">
        <v>259</v>
      </c>
      <c r="F732" s="19" t="s">
        <v>1349</v>
      </c>
      <c r="G732" s="19" t="s">
        <v>1045</v>
      </c>
      <c r="H732" s="19" t="s">
        <v>1001</v>
      </c>
      <c r="I732" s="19" t="s">
        <v>1575</v>
      </c>
      <c r="J732" s="20">
        <v>24</v>
      </c>
      <c r="K732" t="s">
        <v>668</v>
      </c>
      <c r="L732" t="s">
        <v>691</v>
      </c>
      <c r="M732" t="s">
        <v>657</v>
      </c>
      <c r="N732" t="s">
        <v>658</v>
      </c>
      <c r="O732" t="s">
        <v>632</v>
      </c>
    </row>
    <row r="733" spans="1:15" x14ac:dyDescent="0.35">
      <c r="A733" s="77">
        <v>6.5643835616438357</v>
      </c>
      <c r="B733" s="19">
        <v>61308</v>
      </c>
      <c r="C733" s="19" t="s">
        <v>3055</v>
      </c>
      <c r="D733" s="19" t="s">
        <v>397</v>
      </c>
      <c r="E733" s="19" t="s">
        <v>398</v>
      </c>
      <c r="F733" s="19" t="s">
        <v>867</v>
      </c>
      <c r="G733" s="19" t="s">
        <v>1046</v>
      </c>
      <c r="H733" s="19" t="s">
        <v>1001</v>
      </c>
      <c r="I733" s="19" t="s">
        <v>1575</v>
      </c>
      <c r="J733" s="20">
        <v>35</v>
      </c>
      <c r="K733" t="s">
        <v>625</v>
      </c>
      <c r="L733" t="s">
        <v>634</v>
      </c>
      <c r="M733" t="s">
        <v>629</v>
      </c>
      <c r="N733" t="s">
        <v>635</v>
      </c>
      <c r="O733" t="s">
        <v>637</v>
      </c>
    </row>
    <row r="734" spans="1:15" x14ac:dyDescent="0.35">
      <c r="A734" s="77">
        <v>6.5671232876712331</v>
      </c>
      <c r="B734" s="19">
        <v>61321</v>
      </c>
      <c r="C734" s="19" t="s">
        <v>3056</v>
      </c>
      <c r="D734" s="19" t="s">
        <v>109</v>
      </c>
      <c r="E734" s="19" t="s">
        <v>110</v>
      </c>
      <c r="F734" s="19" t="s">
        <v>2347</v>
      </c>
      <c r="G734" s="19" t="s">
        <v>1038</v>
      </c>
      <c r="H734" s="19" t="s">
        <v>1020</v>
      </c>
      <c r="I734" s="19" t="s">
        <v>1575</v>
      </c>
      <c r="J734" s="20">
        <v>47</v>
      </c>
      <c r="K734" t="s">
        <v>654</v>
      </c>
      <c r="L734" t="s">
        <v>684</v>
      </c>
      <c r="M734" t="s">
        <v>623</v>
      </c>
      <c r="N734" t="s">
        <v>662</v>
      </c>
      <c r="O734" t="s">
        <v>685</v>
      </c>
    </row>
    <row r="735" spans="1:15" x14ac:dyDescent="0.35">
      <c r="A735" s="77">
        <v>6.5671232876712331</v>
      </c>
      <c r="B735" s="19">
        <v>61324</v>
      </c>
      <c r="C735" s="19" t="s">
        <v>3057</v>
      </c>
      <c r="D735" s="19" t="s">
        <v>181</v>
      </c>
      <c r="E735" s="19" t="s">
        <v>182</v>
      </c>
      <c r="F735" s="19" t="s">
        <v>1374</v>
      </c>
      <c r="G735" s="19" t="s">
        <v>1034</v>
      </c>
      <c r="H735" s="19" t="s">
        <v>1001</v>
      </c>
      <c r="I735" s="19" t="s">
        <v>1575</v>
      </c>
      <c r="J735" s="20">
        <v>42</v>
      </c>
      <c r="K735" t="s">
        <v>625</v>
      </c>
      <c r="L735" t="s">
        <v>678</v>
      </c>
      <c r="M735" t="s">
        <v>623</v>
      </c>
      <c r="N735" t="s">
        <v>624</v>
      </c>
      <c r="O735" t="s">
        <v>679</v>
      </c>
    </row>
    <row r="736" spans="1:15" x14ac:dyDescent="0.35">
      <c r="A736" s="77">
        <v>4.9150684931506845</v>
      </c>
      <c r="B736" s="19">
        <v>61389</v>
      </c>
      <c r="C736" s="19" t="s">
        <v>3058</v>
      </c>
      <c r="D736" s="19" t="s">
        <v>419</v>
      </c>
      <c r="E736" s="19" t="s">
        <v>419</v>
      </c>
      <c r="F736" s="19" t="s">
        <v>695</v>
      </c>
      <c r="G736" s="19" t="s">
        <v>1008</v>
      </c>
      <c r="H736" s="19" t="s">
        <v>1001</v>
      </c>
      <c r="I736" s="19" t="s">
        <v>1599</v>
      </c>
      <c r="J736" s="20">
        <v>25</v>
      </c>
      <c r="K736" t="s">
        <v>654</v>
      </c>
      <c r="L736" t="s">
        <v>628</v>
      </c>
      <c r="M736" t="s">
        <v>629</v>
      </c>
      <c r="N736" t="s">
        <v>630</v>
      </c>
      <c r="O736" t="s">
        <v>632</v>
      </c>
    </row>
    <row r="737" spans="1:15" x14ac:dyDescent="0.35">
      <c r="A737" s="77">
        <v>6.397260273972603</v>
      </c>
      <c r="B737" s="19">
        <v>61413</v>
      </c>
      <c r="C737" s="19" t="s">
        <v>3059</v>
      </c>
      <c r="D737" s="19" t="s">
        <v>328</v>
      </c>
      <c r="E737" s="19" t="s">
        <v>329</v>
      </c>
      <c r="F737" s="19" t="s">
        <v>838</v>
      </c>
      <c r="G737" s="19" t="s">
        <v>1034</v>
      </c>
      <c r="H737" s="19" t="s">
        <v>1001</v>
      </c>
      <c r="I737" s="19" t="s">
        <v>1599</v>
      </c>
      <c r="J737" s="20">
        <v>29</v>
      </c>
      <c r="K737" t="s">
        <v>631</v>
      </c>
      <c r="L737" t="s">
        <v>645</v>
      </c>
      <c r="M737" t="s">
        <v>629</v>
      </c>
      <c r="N737" t="s">
        <v>646</v>
      </c>
      <c r="O737" t="s">
        <v>632</v>
      </c>
    </row>
    <row r="738" spans="1:15" x14ac:dyDescent="0.35">
      <c r="A738" s="77">
        <v>6.397260273972603</v>
      </c>
      <c r="B738" s="19">
        <v>61443</v>
      </c>
      <c r="C738" s="19" t="s">
        <v>3060</v>
      </c>
      <c r="D738" s="19" t="s">
        <v>11</v>
      </c>
      <c r="E738" s="19" t="s">
        <v>11</v>
      </c>
      <c r="F738" s="19" t="s">
        <v>627</v>
      </c>
      <c r="G738" s="19" t="s">
        <v>1008</v>
      </c>
      <c r="H738" s="19" t="s">
        <v>1001</v>
      </c>
      <c r="I738" s="19" t="s">
        <v>1575</v>
      </c>
      <c r="J738" s="20">
        <v>56</v>
      </c>
      <c r="K738" t="s">
        <v>631</v>
      </c>
      <c r="L738" t="s">
        <v>628</v>
      </c>
      <c r="M738" t="s">
        <v>629</v>
      </c>
      <c r="N738" t="s">
        <v>630</v>
      </c>
      <c r="O738" t="s">
        <v>632</v>
      </c>
    </row>
    <row r="739" spans="1:15" x14ac:dyDescent="0.35">
      <c r="A739" s="77">
        <v>6.3178082191780822</v>
      </c>
      <c r="B739" s="19">
        <v>61594</v>
      </c>
      <c r="C739" s="19" t="s">
        <v>3061</v>
      </c>
      <c r="D739" s="19" t="s">
        <v>409</v>
      </c>
      <c r="E739" s="19" t="s">
        <v>410</v>
      </c>
      <c r="F739" s="19" t="s">
        <v>874</v>
      </c>
      <c r="G739" s="19" t="s">
        <v>1045</v>
      </c>
      <c r="H739" s="19" t="s">
        <v>1001</v>
      </c>
      <c r="I739" s="19" t="s">
        <v>1575</v>
      </c>
      <c r="J739" s="20">
        <v>41</v>
      </c>
      <c r="K739" t="s">
        <v>631</v>
      </c>
      <c r="L739" t="s">
        <v>666</v>
      </c>
      <c r="M739" t="s">
        <v>629</v>
      </c>
      <c r="N739" t="s">
        <v>635</v>
      </c>
      <c r="O739" t="s">
        <v>637</v>
      </c>
    </row>
    <row r="740" spans="1:15" x14ac:dyDescent="0.35">
      <c r="A740" s="77">
        <v>6.5315068493150683</v>
      </c>
      <c r="B740" s="19">
        <v>61680</v>
      </c>
      <c r="C740" s="19" t="s">
        <v>3062</v>
      </c>
      <c r="D740" s="19" t="s">
        <v>66</v>
      </c>
      <c r="E740" s="19" t="s">
        <v>67</v>
      </c>
      <c r="F740" s="19" t="s">
        <v>1708</v>
      </c>
      <c r="G740" s="19" t="s">
        <v>1046</v>
      </c>
      <c r="H740" s="19" t="s">
        <v>1001</v>
      </c>
      <c r="I740" s="19" t="s">
        <v>1575</v>
      </c>
      <c r="J740" s="20">
        <v>27</v>
      </c>
      <c r="K740" t="s">
        <v>654</v>
      </c>
      <c r="L740" t="s">
        <v>645</v>
      </c>
      <c r="M740" t="s">
        <v>629</v>
      </c>
      <c r="N740" t="s">
        <v>646</v>
      </c>
      <c r="O740" t="s">
        <v>632</v>
      </c>
    </row>
    <row r="741" spans="1:15" x14ac:dyDescent="0.35">
      <c r="A741" s="77">
        <v>6.5232876712328771</v>
      </c>
      <c r="B741" s="19">
        <v>61720</v>
      </c>
      <c r="C741" s="19" t="s">
        <v>3063</v>
      </c>
      <c r="D741" s="19" t="s">
        <v>237</v>
      </c>
      <c r="E741" s="19" t="s">
        <v>238</v>
      </c>
      <c r="F741" s="19" t="s">
        <v>1070</v>
      </c>
      <c r="G741" s="19" t="s">
        <v>1084</v>
      </c>
      <c r="H741" s="19" t="s">
        <v>1020</v>
      </c>
      <c r="I741" s="19" t="s">
        <v>1575</v>
      </c>
      <c r="J741" s="20">
        <v>45</v>
      </c>
      <c r="K741" t="s">
        <v>631</v>
      </c>
      <c r="L741" t="s">
        <v>661</v>
      </c>
      <c r="M741" t="s">
        <v>657</v>
      </c>
      <c r="N741" t="s">
        <v>662</v>
      </c>
      <c r="O741" t="s">
        <v>632</v>
      </c>
    </row>
    <row r="742" spans="1:15" x14ac:dyDescent="0.35">
      <c r="A742" s="77">
        <v>4.5506849315068489</v>
      </c>
      <c r="B742" s="19">
        <v>61724</v>
      </c>
      <c r="C742" s="19" t="s">
        <v>3064</v>
      </c>
      <c r="D742" s="19" t="s">
        <v>130</v>
      </c>
      <c r="E742" s="19" t="s">
        <v>131</v>
      </c>
      <c r="F742" s="19" t="s">
        <v>1693</v>
      </c>
      <c r="G742" s="19" t="s">
        <v>1084</v>
      </c>
      <c r="H742" s="19" t="s">
        <v>1001</v>
      </c>
      <c r="I742" s="19" t="s">
        <v>1599</v>
      </c>
      <c r="J742" s="20">
        <v>27</v>
      </c>
      <c r="K742" t="s">
        <v>654</v>
      </c>
      <c r="L742" t="s">
        <v>670</v>
      </c>
      <c r="M742" t="s">
        <v>657</v>
      </c>
      <c r="N742" t="s">
        <v>641</v>
      </c>
      <c r="O742" t="s">
        <v>752</v>
      </c>
    </row>
    <row r="743" spans="1:15" x14ac:dyDescent="0.35">
      <c r="A743" s="77">
        <v>6.5013698630136982</v>
      </c>
      <c r="B743" s="19">
        <v>61935</v>
      </c>
      <c r="C743" s="19" t="s">
        <v>3065</v>
      </c>
      <c r="D743" s="19" t="s">
        <v>324</v>
      </c>
      <c r="E743" s="19" t="s">
        <v>325</v>
      </c>
      <c r="F743" s="19" t="s">
        <v>1284</v>
      </c>
      <c r="G743" s="19" t="s">
        <v>1046</v>
      </c>
      <c r="H743" s="19" t="s">
        <v>1001</v>
      </c>
      <c r="I743" s="19" t="s">
        <v>1575</v>
      </c>
      <c r="J743" s="20">
        <v>29</v>
      </c>
      <c r="K743" t="s">
        <v>631</v>
      </c>
      <c r="L743" t="s">
        <v>663</v>
      </c>
      <c r="M743" t="s">
        <v>629</v>
      </c>
      <c r="N743" t="s">
        <v>646</v>
      </c>
      <c r="O743" t="s">
        <v>639</v>
      </c>
    </row>
    <row r="744" spans="1:15" x14ac:dyDescent="0.35">
      <c r="A744" s="77">
        <v>6.484931506849315</v>
      </c>
      <c r="B744" s="19">
        <v>62001</v>
      </c>
      <c r="C744" s="19" t="s">
        <v>3066</v>
      </c>
      <c r="D744" s="19" t="s">
        <v>45</v>
      </c>
      <c r="E744" s="19" t="s">
        <v>46</v>
      </c>
      <c r="F744" s="19" t="s">
        <v>1122</v>
      </c>
      <c r="G744" s="19" t="s">
        <v>1008</v>
      </c>
      <c r="H744" s="19" t="s">
        <v>1001</v>
      </c>
      <c r="I744" s="19" t="s">
        <v>1575</v>
      </c>
      <c r="J744" s="20">
        <v>48</v>
      </c>
      <c r="K744" t="s">
        <v>631</v>
      </c>
      <c r="L744" t="s">
        <v>651</v>
      </c>
      <c r="M744" t="s">
        <v>629</v>
      </c>
      <c r="N744" t="s">
        <v>630</v>
      </c>
      <c r="O744" t="s">
        <v>705</v>
      </c>
    </row>
    <row r="745" spans="1:15" x14ac:dyDescent="0.35">
      <c r="A745" s="77">
        <v>6.484931506849315</v>
      </c>
      <c r="B745" s="19">
        <v>62018</v>
      </c>
      <c r="C745" s="19" t="s">
        <v>3067</v>
      </c>
      <c r="D745" s="19" t="s">
        <v>365</v>
      </c>
      <c r="E745" s="19" t="s">
        <v>366</v>
      </c>
      <c r="F745" s="19" t="s">
        <v>1117</v>
      </c>
      <c r="G745" s="19" t="s">
        <v>1000</v>
      </c>
      <c r="H745" s="19" t="s">
        <v>1001</v>
      </c>
      <c r="I745" s="19" t="s">
        <v>1599</v>
      </c>
      <c r="J745" s="20">
        <v>41</v>
      </c>
      <c r="K745" t="s">
        <v>668</v>
      </c>
      <c r="L745" t="s">
        <v>691</v>
      </c>
      <c r="M745" t="s">
        <v>657</v>
      </c>
      <c r="N745" t="s">
        <v>658</v>
      </c>
      <c r="O745" t="s">
        <v>632</v>
      </c>
    </row>
    <row r="746" spans="1:15" x14ac:dyDescent="0.35">
      <c r="A746" s="77">
        <v>6.4684931506849317</v>
      </c>
      <c r="B746" s="19">
        <v>62133</v>
      </c>
      <c r="C746" s="19" t="s">
        <v>3068</v>
      </c>
      <c r="D746" s="19" t="s">
        <v>107</v>
      </c>
      <c r="E746" s="19" t="s">
        <v>108</v>
      </c>
      <c r="F746" s="19" t="s">
        <v>2702</v>
      </c>
      <c r="G746" s="19" t="s">
        <v>1084</v>
      </c>
      <c r="H746" s="19" t="s">
        <v>1001</v>
      </c>
      <c r="I746" s="19" t="s">
        <v>1575</v>
      </c>
      <c r="J746" s="20">
        <v>40</v>
      </c>
      <c r="K746" t="s">
        <v>668</v>
      </c>
      <c r="L746" t="s">
        <v>691</v>
      </c>
      <c r="M746" t="s">
        <v>657</v>
      </c>
      <c r="N746" t="s">
        <v>658</v>
      </c>
      <c r="O746" t="s">
        <v>632</v>
      </c>
    </row>
    <row r="747" spans="1:15" x14ac:dyDescent="0.35">
      <c r="A747" s="77">
        <v>6.4684931506849317</v>
      </c>
      <c r="B747" s="19">
        <v>62135</v>
      </c>
      <c r="C747" s="19" t="s">
        <v>3069</v>
      </c>
      <c r="D747" s="19" t="s">
        <v>315</v>
      </c>
      <c r="E747" s="19" t="s">
        <v>316</v>
      </c>
      <c r="F747" s="19" t="s">
        <v>1322</v>
      </c>
      <c r="G747" s="19" t="s">
        <v>1046</v>
      </c>
      <c r="H747" s="19" t="s">
        <v>1001</v>
      </c>
      <c r="I747" s="19" t="s">
        <v>1575</v>
      </c>
      <c r="J747" s="20">
        <v>28</v>
      </c>
      <c r="K747" t="s">
        <v>654</v>
      </c>
      <c r="L747" t="s">
        <v>684</v>
      </c>
      <c r="M747" t="s">
        <v>623</v>
      </c>
      <c r="N747" t="s">
        <v>662</v>
      </c>
      <c r="O747" t="s">
        <v>831</v>
      </c>
    </row>
    <row r="748" spans="1:15" x14ac:dyDescent="0.35">
      <c r="A748" s="77">
        <v>3.4821917808219176</v>
      </c>
      <c r="B748" s="19">
        <v>62137</v>
      </c>
      <c r="C748" s="19" t="s">
        <v>3070</v>
      </c>
      <c r="D748" s="19" t="s">
        <v>41</v>
      </c>
      <c r="E748" s="19" t="s">
        <v>41</v>
      </c>
      <c r="F748" s="19" t="s">
        <v>1157</v>
      </c>
      <c r="G748" s="19" t="s">
        <v>1028</v>
      </c>
      <c r="H748" s="19" t="s">
        <v>1020</v>
      </c>
      <c r="I748" s="19" t="s">
        <v>1599</v>
      </c>
      <c r="J748" s="20">
        <v>24</v>
      </c>
      <c r="K748" t="s">
        <v>625</v>
      </c>
      <c r="L748" t="s">
        <v>691</v>
      </c>
      <c r="M748" t="s">
        <v>657</v>
      </c>
      <c r="N748" t="s">
        <v>658</v>
      </c>
      <c r="O748" t="s">
        <v>632</v>
      </c>
    </row>
    <row r="749" spans="1:15" x14ac:dyDescent="0.35">
      <c r="A749" s="77">
        <v>6.2465753424657535</v>
      </c>
      <c r="B749" s="19">
        <v>62164</v>
      </c>
      <c r="C749" s="19" t="s">
        <v>3071</v>
      </c>
      <c r="D749" s="19" t="s">
        <v>241</v>
      </c>
      <c r="E749" s="19" t="s">
        <v>242</v>
      </c>
      <c r="F749" s="19" t="s">
        <v>1030</v>
      </c>
      <c r="G749" s="19" t="s">
        <v>1057</v>
      </c>
      <c r="H749" s="19" t="s">
        <v>1001</v>
      </c>
      <c r="I749" s="19" t="s">
        <v>1575</v>
      </c>
      <c r="J749" s="20">
        <v>24</v>
      </c>
      <c r="K749" t="s">
        <v>668</v>
      </c>
      <c r="L749" t="s">
        <v>622</v>
      </c>
      <c r="M749" t="s">
        <v>623</v>
      </c>
      <c r="N749" t="s">
        <v>624</v>
      </c>
      <c r="O749" t="s">
        <v>800</v>
      </c>
    </row>
    <row r="750" spans="1:15" x14ac:dyDescent="0.35">
      <c r="A750" s="77">
        <v>6.4657534246575343</v>
      </c>
      <c r="B750" s="19">
        <v>62169</v>
      </c>
      <c r="C750" s="19" t="s">
        <v>3072</v>
      </c>
      <c r="D750" s="19" t="s">
        <v>278</v>
      </c>
      <c r="E750" s="19" t="s">
        <v>279</v>
      </c>
      <c r="F750" s="19" t="s">
        <v>1131</v>
      </c>
      <c r="G750" s="19" t="s">
        <v>1084</v>
      </c>
      <c r="H750" s="19" t="s">
        <v>1001</v>
      </c>
      <c r="I750" s="19" t="s">
        <v>1575</v>
      </c>
      <c r="J750" s="20">
        <v>49</v>
      </c>
      <c r="K750" t="s">
        <v>625</v>
      </c>
      <c r="L750" t="s">
        <v>661</v>
      </c>
      <c r="M750" t="s">
        <v>657</v>
      </c>
      <c r="N750" t="s">
        <v>662</v>
      </c>
      <c r="O750" t="s">
        <v>632</v>
      </c>
    </row>
    <row r="751" spans="1:15" x14ac:dyDescent="0.35">
      <c r="A751" s="77">
        <v>6.4657534246575343</v>
      </c>
      <c r="B751" s="19">
        <v>62180</v>
      </c>
      <c r="C751" s="19" t="s">
        <v>3073</v>
      </c>
      <c r="D751" s="19" t="s">
        <v>199</v>
      </c>
      <c r="E751" s="19" t="s">
        <v>200</v>
      </c>
      <c r="F751" s="19" t="s">
        <v>1496</v>
      </c>
      <c r="G751" s="19" t="s">
        <v>1057</v>
      </c>
      <c r="H751" s="19" t="s">
        <v>1001</v>
      </c>
      <c r="I751" s="19" t="s">
        <v>1575</v>
      </c>
      <c r="J751" s="20">
        <v>37</v>
      </c>
      <c r="K751" t="s">
        <v>654</v>
      </c>
      <c r="L751" t="s">
        <v>737</v>
      </c>
      <c r="M751" t="s">
        <v>657</v>
      </c>
      <c r="N751" t="s">
        <v>641</v>
      </c>
      <c r="O751" t="s">
        <v>738</v>
      </c>
    </row>
    <row r="752" spans="1:15" x14ac:dyDescent="0.35">
      <c r="A752" s="77">
        <v>4.1369863013698627</v>
      </c>
      <c r="B752" s="19">
        <v>62186</v>
      </c>
      <c r="C752" s="19" t="s">
        <v>3074</v>
      </c>
      <c r="D752" s="19" t="s">
        <v>377</v>
      </c>
      <c r="E752" s="19" t="s">
        <v>378</v>
      </c>
      <c r="F752" s="19" t="s">
        <v>862</v>
      </c>
      <c r="G752" s="19" t="s">
        <v>1084</v>
      </c>
      <c r="H752" s="19" t="s">
        <v>1001</v>
      </c>
      <c r="I752" s="19" t="s">
        <v>1575</v>
      </c>
      <c r="J752" s="20">
        <v>39</v>
      </c>
      <c r="K752" t="s">
        <v>631</v>
      </c>
      <c r="L752" t="s">
        <v>661</v>
      </c>
      <c r="M752" t="s">
        <v>657</v>
      </c>
      <c r="N752" t="s">
        <v>662</v>
      </c>
      <c r="O752" t="s">
        <v>632</v>
      </c>
    </row>
    <row r="753" spans="1:15" x14ac:dyDescent="0.35">
      <c r="A753" s="77">
        <v>6.4575342465753423</v>
      </c>
      <c r="B753" s="19">
        <v>62243</v>
      </c>
      <c r="C753" s="19" t="s">
        <v>3075</v>
      </c>
      <c r="D753" s="19" t="s">
        <v>278</v>
      </c>
      <c r="E753" s="19" t="s">
        <v>279</v>
      </c>
      <c r="F753" s="19" t="s">
        <v>1131</v>
      </c>
      <c r="G753" s="19" t="s">
        <v>1084</v>
      </c>
      <c r="H753" s="19" t="s">
        <v>1001</v>
      </c>
      <c r="I753" s="19" t="s">
        <v>1575</v>
      </c>
      <c r="J753" s="20">
        <v>47</v>
      </c>
      <c r="K753" t="s">
        <v>625</v>
      </c>
      <c r="L753" t="s">
        <v>661</v>
      </c>
      <c r="M753" t="s">
        <v>657</v>
      </c>
      <c r="N753" t="s">
        <v>662</v>
      </c>
      <c r="O753" t="s">
        <v>632</v>
      </c>
    </row>
    <row r="754" spans="1:15" x14ac:dyDescent="0.35">
      <c r="A754" s="77">
        <v>6.4520547945205475</v>
      </c>
      <c r="B754" s="19">
        <v>62249</v>
      </c>
      <c r="C754" s="19" t="s">
        <v>3076</v>
      </c>
      <c r="D754" s="19" t="s">
        <v>97</v>
      </c>
      <c r="E754" s="19" t="s">
        <v>98</v>
      </c>
      <c r="F754" s="19" t="s">
        <v>2395</v>
      </c>
      <c r="G754" s="19" t="s">
        <v>1084</v>
      </c>
      <c r="H754" s="19" t="s">
        <v>1020</v>
      </c>
      <c r="I754" s="19" t="s">
        <v>1575</v>
      </c>
      <c r="J754" s="20">
        <v>39</v>
      </c>
      <c r="K754" t="s">
        <v>654</v>
      </c>
      <c r="L754" t="s">
        <v>666</v>
      </c>
      <c r="M754" t="s">
        <v>629</v>
      </c>
      <c r="N754" t="s">
        <v>635</v>
      </c>
      <c r="O754" t="s">
        <v>739</v>
      </c>
    </row>
    <row r="755" spans="1:15" x14ac:dyDescent="0.35">
      <c r="A755" s="77">
        <v>6.4465753424657537</v>
      </c>
      <c r="B755" s="19">
        <v>62266</v>
      </c>
      <c r="C755" s="19" t="s">
        <v>3077</v>
      </c>
      <c r="D755" s="19" t="s">
        <v>97</v>
      </c>
      <c r="E755" s="19" t="s">
        <v>98</v>
      </c>
      <c r="F755" s="19" t="s">
        <v>2395</v>
      </c>
      <c r="G755" s="19" t="s">
        <v>1084</v>
      </c>
      <c r="H755" s="19" t="s">
        <v>1020</v>
      </c>
      <c r="I755" s="19" t="s">
        <v>1575</v>
      </c>
      <c r="J755" s="20">
        <v>44</v>
      </c>
      <c r="K755" t="s">
        <v>654</v>
      </c>
      <c r="L755" t="s">
        <v>666</v>
      </c>
      <c r="M755" t="s">
        <v>629</v>
      </c>
      <c r="N755" t="s">
        <v>635</v>
      </c>
      <c r="O755" t="s">
        <v>739</v>
      </c>
    </row>
    <row r="756" spans="1:15" x14ac:dyDescent="0.35">
      <c r="A756" s="77">
        <v>6.4465753424657537</v>
      </c>
      <c r="B756" s="19">
        <v>62277</v>
      </c>
      <c r="C756" s="19" t="s">
        <v>3078</v>
      </c>
      <c r="D756" s="19" t="s">
        <v>211</v>
      </c>
      <c r="E756" s="19" t="s">
        <v>212</v>
      </c>
      <c r="F756" s="19" t="s">
        <v>1049</v>
      </c>
      <c r="G756" s="19" t="s">
        <v>1038</v>
      </c>
      <c r="H756" s="19" t="s">
        <v>1020</v>
      </c>
      <c r="I756" s="19" t="s">
        <v>1575</v>
      </c>
      <c r="J756" s="20">
        <v>52</v>
      </c>
      <c r="K756" t="s">
        <v>654</v>
      </c>
      <c r="L756" t="s">
        <v>691</v>
      </c>
      <c r="M756" t="s">
        <v>657</v>
      </c>
      <c r="N756" t="s">
        <v>658</v>
      </c>
      <c r="O756" t="s">
        <v>632</v>
      </c>
    </row>
    <row r="757" spans="1:15" x14ac:dyDescent="0.35">
      <c r="A757" s="77">
        <v>6.4465753424657537</v>
      </c>
      <c r="B757" s="19">
        <v>62280</v>
      </c>
      <c r="C757" s="19" t="s">
        <v>3079</v>
      </c>
      <c r="D757" s="19" t="s">
        <v>211</v>
      </c>
      <c r="E757" s="19" t="s">
        <v>212</v>
      </c>
      <c r="F757" s="19" t="s">
        <v>1049</v>
      </c>
      <c r="G757" s="19" t="s">
        <v>1038</v>
      </c>
      <c r="H757" s="19" t="s">
        <v>1020</v>
      </c>
      <c r="I757" s="19" t="s">
        <v>1575</v>
      </c>
      <c r="J757" s="20">
        <v>47</v>
      </c>
      <c r="K757" t="s">
        <v>654</v>
      </c>
      <c r="L757" t="s">
        <v>691</v>
      </c>
      <c r="M757" t="s">
        <v>657</v>
      </c>
      <c r="N757" t="s">
        <v>658</v>
      </c>
      <c r="O757" t="s">
        <v>632</v>
      </c>
    </row>
    <row r="758" spans="1:15" x14ac:dyDescent="0.35">
      <c r="A758" s="77">
        <v>6.441095890410959</v>
      </c>
      <c r="B758" s="19">
        <v>62284</v>
      </c>
      <c r="C758" s="19" t="s">
        <v>3080</v>
      </c>
      <c r="D758" s="19" t="s">
        <v>393</v>
      </c>
      <c r="E758" s="19" t="s">
        <v>394</v>
      </c>
      <c r="F758" s="19" t="s">
        <v>865</v>
      </c>
      <c r="G758" s="19" t="s">
        <v>1084</v>
      </c>
      <c r="H758" s="19" t="s">
        <v>1020</v>
      </c>
      <c r="I758" s="19" t="s">
        <v>1575</v>
      </c>
      <c r="J758" s="20">
        <v>40</v>
      </c>
      <c r="K758" t="s">
        <v>631</v>
      </c>
      <c r="L758" t="s">
        <v>684</v>
      </c>
      <c r="M758" t="s">
        <v>623</v>
      </c>
      <c r="N758" t="s">
        <v>662</v>
      </c>
      <c r="O758" t="s">
        <v>685</v>
      </c>
    </row>
    <row r="759" spans="1:15" x14ac:dyDescent="0.35">
      <c r="A759" s="77">
        <v>6.4493150684931511</v>
      </c>
      <c r="B759" s="19">
        <v>62299</v>
      </c>
      <c r="C759" s="19" t="s">
        <v>3081</v>
      </c>
      <c r="D759" s="19" t="s">
        <v>17</v>
      </c>
      <c r="E759" s="19" t="s">
        <v>17</v>
      </c>
      <c r="F759" s="19" t="s">
        <v>906</v>
      </c>
      <c r="G759" s="19" t="s">
        <v>1057</v>
      </c>
      <c r="H759" s="19" t="s">
        <v>1001</v>
      </c>
      <c r="I759" s="19" t="s">
        <v>1575</v>
      </c>
      <c r="J759" s="20">
        <v>27</v>
      </c>
      <c r="K759" t="s">
        <v>636</v>
      </c>
      <c r="L759" t="s">
        <v>648</v>
      </c>
      <c r="M759" t="s">
        <v>623</v>
      </c>
      <c r="N759" t="s">
        <v>624</v>
      </c>
      <c r="O759" t="s">
        <v>649</v>
      </c>
    </row>
    <row r="760" spans="1:15" x14ac:dyDescent="0.35">
      <c r="A760" s="77">
        <v>6.2520547945205482</v>
      </c>
      <c r="B760" s="19">
        <v>62325</v>
      </c>
      <c r="C760" s="19" t="s">
        <v>3082</v>
      </c>
      <c r="D760" s="19" t="s">
        <v>407</v>
      </c>
      <c r="E760" s="19" t="s">
        <v>408</v>
      </c>
      <c r="F760" s="19" t="s">
        <v>1230</v>
      </c>
      <c r="G760" s="19" t="s">
        <v>1034</v>
      </c>
      <c r="H760" s="19" t="s">
        <v>1001</v>
      </c>
      <c r="I760" s="19" t="s">
        <v>1599</v>
      </c>
      <c r="J760" s="20">
        <v>26</v>
      </c>
      <c r="K760" t="s">
        <v>636</v>
      </c>
      <c r="L760" t="s">
        <v>622</v>
      </c>
      <c r="M760" t="s">
        <v>623</v>
      </c>
      <c r="N760" t="s">
        <v>624</v>
      </c>
      <c r="O760" t="s">
        <v>730</v>
      </c>
    </row>
    <row r="761" spans="1:15" x14ac:dyDescent="0.35">
      <c r="A761" s="77">
        <v>6.4328767123287669</v>
      </c>
      <c r="B761" s="19">
        <v>62345</v>
      </c>
      <c r="C761" s="19" t="s">
        <v>3083</v>
      </c>
      <c r="D761" s="19" t="s">
        <v>60</v>
      </c>
      <c r="E761" s="19" t="s">
        <v>61</v>
      </c>
      <c r="F761" s="19" t="s">
        <v>1119</v>
      </c>
      <c r="G761" s="19" t="s">
        <v>1084</v>
      </c>
      <c r="H761" s="19" t="s">
        <v>1020</v>
      </c>
      <c r="I761" s="19" t="s">
        <v>1575</v>
      </c>
      <c r="J761" s="20">
        <v>51</v>
      </c>
      <c r="K761" t="s">
        <v>654</v>
      </c>
      <c r="L761" t="s">
        <v>651</v>
      </c>
      <c r="M761" t="s">
        <v>629</v>
      </c>
      <c r="N761" t="s">
        <v>630</v>
      </c>
      <c r="O761" t="s">
        <v>705</v>
      </c>
    </row>
    <row r="762" spans="1:15" x14ac:dyDescent="0.35">
      <c r="A762" s="77">
        <v>6.4328767123287669</v>
      </c>
      <c r="B762" s="19">
        <v>62376</v>
      </c>
      <c r="C762" s="19" t="s">
        <v>3084</v>
      </c>
      <c r="D762" s="19" t="s">
        <v>14</v>
      </c>
      <c r="E762" s="19" t="s">
        <v>14</v>
      </c>
      <c r="F762" s="19" t="s">
        <v>15</v>
      </c>
      <c r="G762" s="19" t="s">
        <v>1046</v>
      </c>
      <c r="H762" s="19" t="s">
        <v>1001</v>
      </c>
      <c r="I762" s="19" t="s">
        <v>1575</v>
      </c>
      <c r="J762" s="20">
        <v>29</v>
      </c>
      <c r="K762" t="s">
        <v>642</v>
      </c>
      <c r="L762" t="s">
        <v>640</v>
      </c>
      <c r="M762" t="s">
        <v>623</v>
      </c>
      <c r="N762" t="s">
        <v>641</v>
      </c>
      <c r="O762" t="s">
        <v>643</v>
      </c>
    </row>
    <row r="763" spans="1:15" x14ac:dyDescent="0.35">
      <c r="A763" s="77">
        <v>6.4383561643835616</v>
      </c>
      <c r="B763" s="19">
        <v>62402</v>
      </c>
      <c r="C763" s="19" t="s">
        <v>3085</v>
      </c>
      <c r="D763" s="19" t="s">
        <v>211</v>
      </c>
      <c r="E763" s="19" t="s">
        <v>212</v>
      </c>
      <c r="F763" s="19" t="s">
        <v>1049</v>
      </c>
      <c r="G763" s="19" t="s">
        <v>1038</v>
      </c>
      <c r="H763" s="19" t="s">
        <v>1020</v>
      </c>
      <c r="I763" s="19" t="s">
        <v>1575</v>
      </c>
      <c r="J763" s="20">
        <v>46</v>
      </c>
      <c r="K763" t="s">
        <v>654</v>
      </c>
      <c r="L763" t="s">
        <v>691</v>
      </c>
      <c r="M763" t="s">
        <v>657</v>
      </c>
      <c r="N763" t="s">
        <v>658</v>
      </c>
      <c r="O763" t="s">
        <v>632</v>
      </c>
    </row>
    <row r="764" spans="1:15" x14ac:dyDescent="0.35">
      <c r="A764" s="77">
        <v>6.4328767123287669</v>
      </c>
      <c r="B764" s="19">
        <v>62410</v>
      </c>
      <c r="C764" s="19" t="s">
        <v>3086</v>
      </c>
      <c r="D764" s="19" t="s">
        <v>243</v>
      </c>
      <c r="E764" s="19" t="s">
        <v>244</v>
      </c>
      <c r="F764" s="19" t="s">
        <v>1318</v>
      </c>
      <c r="G764" s="19" t="s">
        <v>1000</v>
      </c>
      <c r="H764" s="19" t="s">
        <v>1001</v>
      </c>
      <c r="I764" s="19" t="s">
        <v>1599</v>
      </c>
      <c r="J764" s="20">
        <v>51</v>
      </c>
      <c r="K764" t="s">
        <v>631</v>
      </c>
      <c r="L764" t="s">
        <v>707</v>
      </c>
      <c r="M764" t="s">
        <v>629</v>
      </c>
      <c r="N764" t="s">
        <v>635</v>
      </c>
      <c r="O764" t="s">
        <v>710</v>
      </c>
    </row>
    <row r="765" spans="1:15" x14ac:dyDescent="0.35">
      <c r="A765" s="77">
        <v>6.4164383561643836</v>
      </c>
      <c r="B765" s="19">
        <v>62451</v>
      </c>
      <c r="C765" s="19" t="s">
        <v>3087</v>
      </c>
      <c r="D765" s="19" t="s">
        <v>426</v>
      </c>
      <c r="E765" s="19" t="s">
        <v>426</v>
      </c>
      <c r="F765" s="19" t="s">
        <v>1220</v>
      </c>
      <c r="G765" s="19" t="s">
        <v>1000</v>
      </c>
      <c r="H765" s="19" t="s">
        <v>1001</v>
      </c>
      <c r="I765" s="19" t="s">
        <v>1599</v>
      </c>
      <c r="J765" s="20">
        <v>47</v>
      </c>
      <c r="K765" t="s">
        <v>654</v>
      </c>
      <c r="L765" t="s">
        <v>622</v>
      </c>
      <c r="M765" t="s">
        <v>623</v>
      </c>
      <c r="N765" t="s">
        <v>624</v>
      </c>
      <c r="O765" t="s">
        <v>649</v>
      </c>
    </row>
    <row r="766" spans="1:15" x14ac:dyDescent="0.35">
      <c r="A766" s="77">
        <v>6.4164383561643836</v>
      </c>
      <c r="B766" s="19">
        <v>62452</v>
      </c>
      <c r="C766" s="19" t="s">
        <v>3088</v>
      </c>
      <c r="D766" s="19" t="s">
        <v>351</v>
      </c>
      <c r="E766" s="19" t="s">
        <v>352</v>
      </c>
      <c r="F766" s="19" t="s">
        <v>1507</v>
      </c>
      <c r="G766" s="19" t="s">
        <v>1084</v>
      </c>
      <c r="H766" s="19" t="s">
        <v>1001</v>
      </c>
      <c r="I766" s="19" t="s">
        <v>1599</v>
      </c>
      <c r="J766" s="20">
        <v>43</v>
      </c>
      <c r="K766" t="s">
        <v>636</v>
      </c>
      <c r="L766" t="s">
        <v>661</v>
      </c>
      <c r="M766" t="s">
        <v>657</v>
      </c>
      <c r="N766" t="s">
        <v>662</v>
      </c>
      <c r="O766" t="s">
        <v>632</v>
      </c>
    </row>
    <row r="767" spans="1:15" x14ac:dyDescent="0.35">
      <c r="A767" s="77">
        <v>6.3945205479452056</v>
      </c>
      <c r="B767" s="19">
        <v>62489</v>
      </c>
      <c r="C767" s="19" t="s">
        <v>3089</v>
      </c>
      <c r="D767" s="19" t="s">
        <v>204</v>
      </c>
      <c r="E767" s="19" t="s">
        <v>205</v>
      </c>
      <c r="F767" s="19" t="s">
        <v>1090</v>
      </c>
      <c r="G767" s="19" t="s">
        <v>1008</v>
      </c>
      <c r="H767" s="19" t="s">
        <v>1001</v>
      </c>
      <c r="I767" s="19" t="s">
        <v>1575</v>
      </c>
      <c r="J767" s="20">
        <v>33</v>
      </c>
      <c r="K767" t="s">
        <v>668</v>
      </c>
      <c r="L767" t="s">
        <v>634</v>
      </c>
      <c r="M767" t="s">
        <v>629</v>
      </c>
      <c r="N767" t="s">
        <v>635</v>
      </c>
      <c r="O767" t="s">
        <v>637</v>
      </c>
    </row>
    <row r="768" spans="1:15" x14ac:dyDescent="0.35">
      <c r="A768" s="77">
        <v>6.3917808219178083</v>
      </c>
      <c r="B768" s="19">
        <v>62496</v>
      </c>
      <c r="C768" s="19" t="s">
        <v>3090</v>
      </c>
      <c r="D768" s="19" t="s">
        <v>124</v>
      </c>
      <c r="E768" s="19" t="s">
        <v>125</v>
      </c>
      <c r="F768" s="19" t="s">
        <v>1398</v>
      </c>
      <c r="G768" s="19" t="s">
        <v>1084</v>
      </c>
      <c r="H768" s="19" t="s">
        <v>1020</v>
      </c>
      <c r="I768" s="19" t="s">
        <v>1575</v>
      </c>
      <c r="J768" s="20">
        <v>52</v>
      </c>
      <c r="K768" t="s">
        <v>654</v>
      </c>
      <c r="L768" t="s">
        <v>661</v>
      </c>
      <c r="M768" t="s">
        <v>657</v>
      </c>
      <c r="N768" t="s">
        <v>662</v>
      </c>
      <c r="O768" t="s">
        <v>632</v>
      </c>
    </row>
    <row r="769" spans="1:15" x14ac:dyDescent="0.35">
      <c r="A769" s="77">
        <v>6.3890410958904109</v>
      </c>
      <c r="B769" s="19">
        <v>62521</v>
      </c>
      <c r="C769" s="19" t="s">
        <v>3091</v>
      </c>
      <c r="D769" s="19" t="s">
        <v>11</v>
      </c>
      <c r="E769" s="19" t="s">
        <v>11</v>
      </c>
      <c r="F769" s="19" t="s">
        <v>627</v>
      </c>
      <c r="G769" s="19" t="s">
        <v>1084</v>
      </c>
      <c r="H769" s="19" t="s">
        <v>1001</v>
      </c>
      <c r="I769" s="19" t="s">
        <v>1575</v>
      </c>
      <c r="J769" s="20">
        <v>42</v>
      </c>
      <c r="K769" t="s">
        <v>631</v>
      </c>
      <c r="L769" t="s">
        <v>628</v>
      </c>
      <c r="M769" t="s">
        <v>629</v>
      </c>
      <c r="N769" t="s">
        <v>630</v>
      </c>
      <c r="O769" t="s">
        <v>632</v>
      </c>
    </row>
    <row r="770" spans="1:15" x14ac:dyDescent="0.35">
      <c r="A770" s="77">
        <v>6.3890410958904109</v>
      </c>
      <c r="B770" s="19">
        <v>62553</v>
      </c>
      <c r="C770" s="19" t="s">
        <v>3092</v>
      </c>
      <c r="D770" s="19" t="s">
        <v>87</v>
      </c>
      <c r="E770" s="19" t="s">
        <v>88</v>
      </c>
      <c r="F770" s="19" t="s">
        <v>1324</v>
      </c>
      <c r="G770" s="19" t="s">
        <v>1084</v>
      </c>
      <c r="H770" s="19" t="s">
        <v>1020</v>
      </c>
      <c r="I770" s="19" t="s">
        <v>1575</v>
      </c>
      <c r="J770" s="20">
        <v>54</v>
      </c>
      <c r="K770" t="s">
        <v>642</v>
      </c>
      <c r="L770" t="s">
        <v>661</v>
      </c>
      <c r="M770" t="s">
        <v>657</v>
      </c>
      <c r="N770" t="s">
        <v>662</v>
      </c>
      <c r="O770" t="s">
        <v>632</v>
      </c>
    </row>
    <row r="771" spans="1:15" x14ac:dyDescent="0.35">
      <c r="A771" s="77">
        <v>6.3589041095890408</v>
      </c>
      <c r="B771" s="19">
        <v>62635</v>
      </c>
      <c r="C771" s="19" t="s">
        <v>3093</v>
      </c>
      <c r="D771" s="19" t="s">
        <v>241</v>
      </c>
      <c r="E771" s="19" t="s">
        <v>242</v>
      </c>
      <c r="F771" s="19" t="s">
        <v>1030</v>
      </c>
      <c r="G771" s="19" t="s">
        <v>1084</v>
      </c>
      <c r="H771" s="19" t="s">
        <v>1020</v>
      </c>
      <c r="I771" s="19" t="s">
        <v>1575</v>
      </c>
      <c r="J771" s="20">
        <v>55</v>
      </c>
      <c r="K771" t="s">
        <v>668</v>
      </c>
      <c r="L771" t="s">
        <v>622</v>
      </c>
      <c r="M771" t="s">
        <v>623</v>
      </c>
      <c r="N771" t="s">
        <v>624</v>
      </c>
      <c r="O771" t="s">
        <v>800</v>
      </c>
    </row>
    <row r="772" spans="1:15" x14ac:dyDescent="0.35">
      <c r="A772" s="77">
        <v>6.3506849315068497</v>
      </c>
      <c r="B772" s="19">
        <v>62657</v>
      </c>
      <c r="C772" s="19" t="s">
        <v>3094</v>
      </c>
      <c r="D772" s="19" t="s">
        <v>14</v>
      </c>
      <c r="E772" s="19" t="s">
        <v>14</v>
      </c>
      <c r="F772" s="19" t="s">
        <v>15</v>
      </c>
      <c r="G772" s="19" t="s">
        <v>1084</v>
      </c>
      <c r="H772" s="19" t="s">
        <v>1001</v>
      </c>
      <c r="I772" s="19" t="s">
        <v>1599</v>
      </c>
      <c r="J772" s="20">
        <v>37</v>
      </c>
      <c r="K772" t="s">
        <v>642</v>
      </c>
      <c r="L772" t="s">
        <v>640</v>
      </c>
      <c r="M772" t="s">
        <v>623</v>
      </c>
      <c r="N772" t="s">
        <v>641</v>
      </c>
      <c r="O772" t="s">
        <v>643</v>
      </c>
    </row>
    <row r="773" spans="1:15" x14ac:dyDescent="0.35">
      <c r="A773" s="77">
        <v>6.3506849315068497</v>
      </c>
      <c r="B773" s="19">
        <v>62666</v>
      </c>
      <c r="C773" s="19" t="s">
        <v>3095</v>
      </c>
      <c r="D773" s="19" t="s">
        <v>237</v>
      </c>
      <c r="E773" s="19" t="s">
        <v>238</v>
      </c>
      <c r="F773" s="19" t="s">
        <v>1070</v>
      </c>
      <c r="G773" s="19" t="s">
        <v>1008</v>
      </c>
      <c r="H773" s="19" t="s">
        <v>1001</v>
      </c>
      <c r="I773" s="19" t="s">
        <v>1575</v>
      </c>
      <c r="J773" s="20">
        <v>51</v>
      </c>
      <c r="K773" t="s">
        <v>631</v>
      </c>
      <c r="L773" t="s">
        <v>661</v>
      </c>
      <c r="M773" t="s">
        <v>657</v>
      </c>
      <c r="N773" t="s">
        <v>662</v>
      </c>
      <c r="O773" t="s">
        <v>632</v>
      </c>
    </row>
    <row r="774" spans="1:15" x14ac:dyDescent="0.35">
      <c r="A774" s="77">
        <v>6.3506849315068497</v>
      </c>
      <c r="B774" s="19">
        <v>62672</v>
      </c>
      <c r="C774" s="19" t="s">
        <v>3096</v>
      </c>
      <c r="D774" s="19" t="s">
        <v>95</v>
      </c>
      <c r="E774" s="19" t="s">
        <v>96</v>
      </c>
      <c r="F774" s="19" t="s">
        <v>1188</v>
      </c>
      <c r="G774" s="19" t="s">
        <v>1008</v>
      </c>
      <c r="H774" s="19" t="s">
        <v>1001</v>
      </c>
      <c r="I774" s="19" t="s">
        <v>1575</v>
      </c>
      <c r="J774" s="20">
        <v>43</v>
      </c>
      <c r="K774" t="s">
        <v>636</v>
      </c>
      <c r="L774" t="s">
        <v>737</v>
      </c>
      <c r="M774" t="s">
        <v>657</v>
      </c>
      <c r="N774" t="s">
        <v>641</v>
      </c>
      <c r="O774" t="s">
        <v>738</v>
      </c>
    </row>
    <row r="775" spans="1:15" x14ac:dyDescent="0.35">
      <c r="A775" s="77">
        <v>6.0712328767123287</v>
      </c>
      <c r="B775" s="19">
        <v>62743</v>
      </c>
      <c r="C775" s="19" t="s">
        <v>3097</v>
      </c>
      <c r="D775" s="19" t="s">
        <v>97</v>
      </c>
      <c r="E775" s="19" t="s">
        <v>98</v>
      </c>
      <c r="F775" s="19" t="s">
        <v>2395</v>
      </c>
      <c r="G775" s="19" t="s">
        <v>1046</v>
      </c>
      <c r="H775" s="19" t="s">
        <v>1001</v>
      </c>
      <c r="I775" s="19" t="s">
        <v>1575</v>
      </c>
      <c r="J775" s="20">
        <v>32</v>
      </c>
      <c r="K775" t="s">
        <v>654</v>
      </c>
      <c r="L775" t="s">
        <v>666</v>
      </c>
      <c r="M775" t="s">
        <v>629</v>
      </c>
      <c r="N775" t="s">
        <v>635</v>
      </c>
      <c r="O775" t="s">
        <v>739</v>
      </c>
    </row>
    <row r="776" spans="1:15" x14ac:dyDescent="0.35">
      <c r="A776" s="77">
        <v>6.3315068493150681</v>
      </c>
      <c r="B776" s="19">
        <v>62816</v>
      </c>
      <c r="C776" s="19" t="s">
        <v>3098</v>
      </c>
      <c r="D776" s="19" t="s">
        <v>237</v>
      </c>
      <c r="E776" s="19" t="s">
        <v>238</v>
      </c>
      <c r="F776" s="19" t="s">
        <v>1070</v>
      </c>
      <c r="G776" s="19" t="s">
        <v>1008</v>
      </c>
      <c r="H776" s="19" t="s">
        <v>1001</v>
      </c>
      <c r="I776" s="19" t="s">
        <v>1575</v>
      </c>
      <c r="J776" s="20">
        <v>43</v>
      </c>
      <c r="K776" t="s">
        <v>631</v>
      </c>
      <c r="L776" t="s">
        <v>661</v>
      </c>
      <c r="M776" t="s">
        <v>657</v>
      </c>
      <c r="N776" t="s">
        <v>662</v>
      </c>
      <c r="O776" t="s">
        <v>632</v>
      </c>
    </row>
    <row r="777" spans="1:15" x14ac:dyDescent="0.35">
      <c r="A777" s="77">
        <v>6.3205479452054796</v>
      </c>
      <c r="B777" s="19">
        <v>62836</v>
      </c>
      <c r="C777" s="19" t="s">
        <v>3099</v>
      </c>
      <c r="D777" s="19" t="s">
        <v>27</v>
      </c>
      <c r="E777" s="19" t="s">
        <v>27</v>
      </c>
      <c r="F777" s="19" t="s">
        <v>1250</v>
      </c>
      <c r="G777" s="19" t="s">
        <v>1084</v>
      </c>
      <c r="H777" s="19" t="s">
        <v>1020</v>
      </c>
      <c r="I777" s="19" t="s">
        <v>1575</v>
      </c>
      <c r="J777" s="20">
        <v>52</v>
      </c>
      <c r="K777" t="s">
        <v>668</v>
      </c>
      <c r="L777" t="s">
        <v>645</v>
      </c>
      <c r="M777" t="s">
        <v>629</v>
      </c>
      <c r="N777" t="s">
        <v>646</v>
      </c>
      <c r="O777" t="s">
        <v>632</v>
      </c>
    </row>
    <row r="778" spans="1:15" x14ac:dyDescent="0.35">
      <c r="A778" s="77">
        <v>2.3917808219178083</v>
      </c>
      <c r="B778" s="19">
        <v>62890</v>
      </c>
      <c r="C778" s="19" t="s">
        <v>3100</v>
      </c>
      <c r="D778" s="19" t="s">
        <v>237</v>
      </c>
      <c r="E778" s="19" t="s">
        <v>238</v>
      </c>
      <c r="F778" s="19" t="s">
        <v>1070</v>
      </c>
      <c r="G778" s="19" t="s">
        <v>1028</v>
      </c>
      <c r="H778" s="19" t="s">
        <v>1020</v>
      </c>
      <c r="I778" s="19" t="s">
        <v>1575</v>
      </c>
      <c r="J778" s="20">
        <v>40</v>
      </c>
      <c r="K778" t="s">
        <v>631</v>
      </c>
      <c r="L778" t="s">
        <v>661</v>
      </c>
      <c r="M778" t="s">
        <v>657</v>
      </c>
      <c r="N778" t="s">
        <v>662</v>
      </c>
      <c r="O778" t="s">
        <v>632</v>
      </c>
    </row>
    <row r="779" spans="1:15" x14ac:dyDescent="0.35">
      <c r="A779" s="77">
        <v>6.3150684931506849</v>
      </c>
      <c r="B779" s="19">
        <v>62893</v>
      </c>
      <c r="C779" s="19" t="s">
        <v>3101</v>
      </c>
      <c r="D779" s="19" t="s">
        <v>237</v>
      </c>
      <c r="E779" s="19" t="s">
        <v>238</v>
      </c>
      <c r="F779" s="19" t="s">
        <v>1070</v>
      </c>
      <c r="G779" s="19" t="s">
        <v>1008</v>
      </c>
      <c r="H779" s="19" t="s">
        <v>1001</v>
      </c>
      <c r="I779" s="19" t="s">
        <v>1575</v>
      </c>
      <c r="J779" s="20">
        <v>47</v>
      </c>
      <c r="K779" t="s">
        <v>631</v>
      </c>
      <c r="L779" t="s">
        <v>661</v>
      </c>
      <c r="M779" t="s">
        <v>657</v>
      </c>
      <c r="N779" t="s">
        <v>662</v>
      </c>
      <c r="O779" t="s">
        <v>632</v>
      </c>
    </row>
    <row r="780" spans="1:15" x14ac:dyDescent="0.35">
      <c r="A780" s="77">
        <v>6.2958904109589042</v>
      </c>
      <c r="B780" s="19">
        <v>62933</v>
      </c>
      <c r="C780" s="19" t="s">
        <v>3102</v>
      </c>
      <c r="D780" s="19" t="s">
        <v>326</v>
      </c>
      <c r="E780" s="19" t="s">
        <v>327</v>
      </c>
      <c r="F780" s="19" t="s">
        <v>1051</v>
      </c>
      <c r="G780" s="19" t="s">
        <v>1008</v>
      </c>
      <c r="H780" s="19" t="s">
        <v>1001</v>
      </c>
      <c r="I780" s="19" t="s">
        <v>1599</v>
      </c>
      <c r="J780" s="20">
        <v>37</v>
      </c>
      <c r="K780" t="s">
        <v>631</v>
      </c>
      <c r="L780" t="s">
        <v>648</v>
      </c>
      <c r="M780" t="s">
        <v>623</v>
      </c>
      <c r="N780" t="s">
        <v>624</v>
      </c>
      <c r="O780" t="s">
        <v>837</v>
      </c>
    </row>
    <row r="781" spans="1:15" x14ac:dyDescent="0.35">
      <c r="A781" s="77">
        <v>6.2821917808219174</v>
      </c>
      <c r="B781" s="19">
        <v>62994</v>
      </c>
      <c r="C781" s="19" t="s">
        <v>3103</v>
      </c>
      <c r="D781" s="19" t="s">
        <v>341</v>
      </c>
      <c r="E781" s="19" t="s">
        <v>342</v>
      </c>
      <c r="F781" s="19" t="s">
        <v>1264</v>
      </c>
      <c r="G781" s="19" t="s">
        <v>1046</v>
      </c>
      <c r="H781" s="19" t="s">
        <v>1001</v>
      </c>
      <c r="I781" s="19" t="s">
        <v>1575</v>
      </c>
      <c r="J781" s="20">
        <v>32</v>
      </c>
      <c r="K781" t="s">
        <v>636</v>
      </c>
      <c r="L781" t="s">
        <v>678</v>
      </c>
      <c r="M781" t="s">
        <v>623</v>
      </c>
      <c r="N781" t="s">
        <v>624</v>
      </c>
      <c r="O781" t="s">
        <v>679</v>
      </c>
    </row>
    <row r="782" spans="1:15" x14ac:dyDescent="0.35">
      <c r="A782" s="77">
        <v>1.2136986301369863</v>
      </c>
      <c r="B782" s="19">
        <v>63014</v>
      </c>
      <c r="C782" s="19" t="s">
        <v>3104</v>
      </c>
      <c r="D782" s="19" t="s">
        <v>280</v>
      </c>
      <c r="E782" s="19" t="s">
        <v>281</v>
      </c>
      <c r="F782" s="19" t="s">
        <v>1223</v>
      </c>
      <c r="G782" s="19" t="s">
        <v>1028</v>
      </c>
      <c r="H782" s="19" t="s">
        <v>1020</v>
      </c>
      <c r="I782" s="19" t="s">
        <v>1575</v>
      </c>
      <c r="J782" s="20">
        <v>56</v>
      </c>
      <c r="K782" t="s">
        <v>631</v>
      </c>
      <c r="L782" t="s">
        <v>691</v>
      </c>
      <c r="M782" t="s">
        <v>657</v>
      </c>
      <c r="N782" t="s">
        <v>658</v>
      </c>
      <c r="O782" t="s">
        <v>632</v>
      </c>
    </row>
    <row r="783" spans="1:15" x14ac:dyDescent="0.35">
      <c r="A783" s="77">
        <v>6.2630136986301368</v>
      </c>
      <c r="B783" s="19">
        <v>63043</v>
      </c>
      <c r="C783" s="19" t="s">
        <v>3105</v>
      </c>
      <c r="D783" s="19" t="s">
        <v>137</v>
      </c>
      <c r="E783" s="19" t="s">
        <v>138</v>
      </c>
      <c r="F783" s="19" t="s">
        <v>1115</v>
      </c>
      <c r="G783" s="19" t="s">
        <v>1057</v>
      </c>
      <c r="H783" s="19" t="s">
        <v>1001</v>
      </c>
      <c r="I783" s="19" t="s">
        <v>1575</v>
      </c>
      <c r="J783" s="20">
        <v>29</v>
      </c>
      <c r="K783" t="s">
        <v>636</v>
      </c>
      <c r="L783" t="s">
        <v>684</v>
      </c>
      <c r="M783" t="s">
        <v>623</v>
      </c>
      <c r="N783" t="s">
        <v>662</v>
      </c>
      <c r="O783" t="s">
        <v>685</v>
      </c>
    </row>
    <row r="784" spans="1:15" x14ac:dyDescent="0.35">
      <c r="A784" s="77">
        <v>6.2630136986301368</v>
      </c>
      <c r="B784" s="19">
        <v>63045</v>
      </c>
      <c r="C784" s="19" t="s">
        <v>3106</v>
      </c>
      <c r="D784" s="19" t="s">
        <v>143</v>
      </c>
      <c r="E784" s="19" t="s">
        <v>144</v>
      </c>
      <c r="F784" s="19" t="s">
        <v>2391</v>
      </c>
      <c r="G784" s="19" t="s">
        <v>1046</v>
      </c>
      <c r="H784" s="19" t="s">
        <v>1001</v>
      </c>
      <c r="I784" s="19" t="s">
        <v>1575</v>
      </c>
      <c r="J784" s="20">
        <v>44</v>
      </c>
      <c r="K784" t="s">
        <v>654</v>
      </c>
      <c r="L784" t="s">
        <v>640</v>
      </c>
      <c r="M784" t="s">
        <v>623</v>
      </c>
      <c r="N784" t="s">
        <v>641</v>
      </c>
      <c r="O784" t="s">
        <v>754</v>
      </c>
    </row>
    <row r="785" spans="1:15" x14ac:dyDescent="0.35">
      <c r="A785" s="77">
        <v>6.2630136986301368</v>
      </c>
      <c r="B785" s="19">
        <v>63052</v>
      </c>
      <c r="C785" s="19" t="s">
        <v>3107</v>
      </c>
      <c r="D785" s="19" t="s">
        <v>218</v>
      </c>
      <c r="E785" s="19" t="s">
        <v>219</v>
      </c>
      <c r="F785" s="19" t="s">
        <v>1372</v>
      </c>
      <c r="G785" s="19" t="s">
        <v>1046</v>
      </c>
      <c r="H785" s="19" t="s">
        <v>1001</v>
      </c>
      <c r="I785" s="19" t="s">
        <v>1575</v>
      </c>
      <c r="J785" s="20">
        <v>27</v>
      </c>
      <c r="K785" t="s">
        <v>625</v>
      </c>
      <c r="L785" t="s">
        <v>661</v>
      </c>
      <c r="M785" t="s">
        <v>657</v>
      </c>
      <c r="N785" t="s">
        <v>662</v>
      </c>
      <c r="O785" t="s">
        <v>632</v>
      </c>
    </row>
    <row r="786" spans="1:15" x14ac:dyDescent="0.35">
      <c r="A786" s="77">
        <v>5.8547945205479452</v>
      </c>
      <c r="B786" s="19">
        <v>63074</v>
      </c>
      <c r="C786" s="19" t="s">
        <v>3108</v>
      </c>
      <c r="D786" s="19" t="s">
        <v>375</v>
      </c>
      <c r="E786" s="19" t="s">
        <v>376</v>
      </c>
      <c r="F786" s="19" t="s">
        <v>1270</v>
      </c>
      <c r="G786" s="19" t="s">
        <v>1045</v>
      </c>
      <c r="H786" s="19" t="s">
        <v>1001</v>
      </c>
      <c r="I786" s="19" t="s">
        <v>1575</v>
      </c>
      <c r="J786" s="20">
        <v>26</v>
      </c>
      <c r="K786" t="s">
        <v>636</v>
      </c>
      <c r="L786" t="s">
        <v>678</v>
      </c>
      <c r="M786" t="s">
        <v>623</v>
      </c>
      <c r="N786" t="s">
        <v>624</v>
      </c>
      <c r="O786" t="s">
        <v>679</v>
      </c>
    </row>
    <row r="787" spans="1:15" x14ac:dyDescent="0.35">
      <c r="A787" s="77">
        <v>6.2520547945205482</v>
      </c>
      <c r="B787" s="19">
        <v>63110</v>
      </c>
      <c r="C787" s="19" t="s">
        <v>3109</v>
      </c>
      <c r="D787" s="19" t="s">
        <v>100</v>
      </c>
      <c r="E787" s="19" t="s">
        <v>101</v>
      </c>
      <c r="F787" s="19" t="s">
        <v>2786</v>
      </c>
      <c r="G787" s="19" t="s">
        <v>1084</v>
      </c>
      <c r="H787" s="19" t="s">
        <v>1020</v>
      </c>
      <c r="I787" s="19" t="s">
        <v>1575</v>
      </c>
      <c r="J787" s="20">
        <v>44</v>
      </c>
      <c r="K787" t="s">
        <v>654</v>
      </c>
      <c r="L787" t="s">
        <v>651</v>
      </c>
      <c r="M787" t="s">
        <v>629</v>
      </c>
      <c r="N787" t="s">
        <v>630</v>
      </c>
      <c r="O787" t="s">
        <v>705</v>
      </c>
    </row>
    <row r="788" spans="1:15" x14ac:dyDescent="0.35">
      <c r="A788" s="77">
        <v>5.8410958904109593</v>
      </c>
      <c r="B788" s="19">
        <v>63147</v>
      </c>
      <c r="C788" s="19" t="s">
        <v>3110</v>
      </c>
      <c r="D788" s="19" t="s">
        <v>47</v>
      </c>
      <c r="E788" s="19" t="s">
        <v>48</v>
      </c>
      <c r="F788" s="19" t="s">
        <v>1232</v>
      </c>
      <c r="G788" s="19" t="s">
        <v>1034</v>
      </c>
      <c r="H788" s="19" t="s">
        <v>1001</v>
      </c>
      <c r="I788" s="19" t="s">
        <v>1575</v>
      </c>
      <c r="J788" s="20">
        <v>33</v>
      </c>
      <c r="K788" t="s">
        <v>636</v>
      </c>
      <c r="L788" t="s">
        <v>622</v>
      </c>
      <c r="M788" t="s">
        <v>623</v>
      </c>
      <c r="N788" t="s">
        <v>624</v>
      </c>
      <c r="O788" t="s">
        <v>649</v>
      </c>
    </row>
    <row r="789" spans="1:15" x14ac:dyDescent="0.35">
      <c r="A789" s="77">
        <v>5.816438356164384</v>
      </c>
      <c r="B789" s="19">
        <v>63193</v>
      </c>
      <c r="C789" s="19" t="s">
        <v>3111</v>
      </c>
      <c r="D789" s="19" t="s">
        <v>373</v>
      </c>
      <c r="E789" s="19" t="s">
        <v>374</v>
      </c>
      <c r="F789" s="19" t="s">
        <v>1033</v>
      </c>
      <c r="G789" s="19" t="s">
        <v>1008</v>
      </c>
      <c r="H789" s="19" t="s">
        <v>1001</v>
      </c>
      <c r="I789" s="19" t="s">
        <v>1575</v>
      </c>
      <c r="J789" s="20">
        <v>39</v>
      </c>
      <c r="K789" t="s">
        <v>654</v>
      </c>
      <c r="L789" t="s">
        <v>634</v>
      </c>
      <c r="M789" t="s">
        <v>629</v>
      </c>
      <c r="N789" t="s">
        <v>635</v>
      </c>
      <c r="O789" t="s">
        <v>637</v>
      </c>
    </row>
    <row r="790" spans="1:15" x14ac:dyDescent="0.35">
      <c r="A790" s="77">
        <v>4.2328767123287667</v>
      </c>
      <c r="B790" s="19">
        <v>63203</v>
      </c>
      <c r="C790" s="19" t="s">
        <v>3112</v>
      </c>
      <c r="D790" s="19" t="s">
        <v>43</v>
      </c>
      <c r="E790" s="19" t="s">
        <v>44</v>
      </c>
      <c r="F790" s="19" t="s">
        <v>2355</v>
      </c>
      <c r="G790" s="19" t="s">
        <v>1046</v>
      </c>
      <c r="H790" s="19" t="s">
        <v>1001</v>
      </c>
      <c r="I790" s="19" t="s">
        <v>1575</v>
      </c>
      <c r="J790" s="20">
        <v>26</v>
      </c>
      <c r="K790" t="s">
        <v>654</v>
      </c>
      <c r="L790" t="s">
        <v>634</v>
      </c>
      <c r="M790" t="s">
        <v>629</v>
      </c>
      <c r="N790" t="s">
        <v>635</v>
      </c>
      <c r="O790" t="s">
        <v>637</v>
      </c>
    </row>
    <row r="791" spans="1:15" x14ac:dyDescent="0.35">
      <c r="A791" s="77">
        <v>6.2520547945205482</v>
      </c>
      <c r="B791" s="19">
        <v>63219</v>
      </c>
      <c r="C791" s="19" t="s">
        <v>3113</v>
      </c>
      <c r="D791" s="19" t="s">
        <v>120</v>
      </c>
      <c r="E791" s="19" t="s">
        <v>121</v>
      </c>
      <c r="F791" s="19" t="s">
        <v>1236</v>
      </c>
      <c r="G791" s="19" t="s">
        <v>1038</v>
      </c>
      <c r="H791" s="19" t="s">
        <v>1020</v>
      </c>
      <c r="I791" s="19" t="s">
        <v>1575</v>
      </c>
      <c r="J791" s="20">
        <v>44</v>
      </c>
      <c r="K791" t="s">
        <v>636</v>
      </c>
      <c r="L791" t="s">
        <v>673</v>
      </c>
      <c r="M791" t="s">
        <v>623</v>
      </c>
      <c r="N791" t="s">
        <v>641</v>
      </c>
      <c r="O791" t="s">
        <v>748</v>
      </c>
    </row>
    <row r="792" spans="1:15" x14ac:dyDescent="0.35">
      <c r="A792" s="77">
        <v>6.2356164383561641</v>
      </c>
      <c r="B792" s="19">
        <v>63258</v>
      </c>
      <c r="C792" s="19" t="s">
        <v>3114</v>
      </c>
      <c r="D792" s="19" t="s">
        <v>315</v>
      </c>
      <c r="E792" s="19" t="s">
        <v>316</v>
      </c>
      <c r="F792" s="19" t="s">
        <v>1322</v>
      </c>
      <c r="G792" s="19" t="s">
        <v>1008</v>
      </c>
      <c r="H792" s="19" t="s">
        <v>1001</v>
      </c>
      <c r="I792" s="19" t="s">
        <v>1575</v>
      </c>
      <c r="J792" s="20">
        <v>34</v>
      </c>
      <c r="K792" t="s">
        <v>654</v>
      </c>
      <c r="L792" t="s">
        <v>684</v>
      </c>
      <c r="M792" t="s">
        <v>623</v>
      </c>
      <c r="N792" t="s">
        <v>662</v>
      </c>
      <c r="O792" t="s">
        <v>831</v>
      </c>
    </row>
    <row r="793" spans="1:15" x14ac:dyDescent="0.35">
      <c r="A793" s="77">
        <v>6.2191780821917808</v>
      </c>
      <c r="B793" s="19">
        <v>63282</v>
      </c>
      <c r="C793" s="19" t="s">
        <v>3115</v>
      </c>
      <c r="D793" s="19" t="s">
        <v>197</v>
      </c>
      <c r="E793" s="19" t="s">
        <v>198</v>
      </c>
      <c r="F793" s="19" t="s">
        <v>1297</v>
      </c>
      <c r="G793" s="19" t="s">
        <v>1084</v>
      </c>
      <c r="H793" s="19" t="s">
        <v>1001</v>
      </c>
      <c r="I793" s="19" t="s">
        <v>1575</v>
      </c>
      <c r="J793" s="20">
        <v>46</v>
      </c>
      <c r="K793" t="s">
        <v>654</v>
      </c>
      <c r="L793" t="s">
        <v>645</v>
      </c>
      <c r="M793" t="s">
        <v>629</v>
      </c>
      <c r="N793" t="s">
        <v>646</v>
      </c>
      <c r="O793" t="s">
        <v>632</v>
      </c>
    </row>
    <row r="794" spans="1:15" x14ac:dyDescent="0.35">
      <c r="A794" s="77">
        <v>6.2191780821917808</v>
      </c>
      <c r="B794" s="19">
        <v>63286</v>
      </c>
      <c r="C794" s="19" t="s">
        <v>3116</v>
      </c>
      <c r="D794" s="19" t="s">
        <v>330</v>
      </c>
      <c r="E794" s="19" t="s">
        <v>331</v>
      </c>
      <c r="F794" s="19" t="s">
        <v>332</v>
      </c>
      <c r="G794" s="19" t="s">
        <v>1034</v>
      </c>
      <c r="H794" s="19" t="s">
        <v>1001</v>
      </c>
      <c r="I794" s="19" t="s">
        <v>1599</v>
      </c>
      <c r="J794" s="20">
        <v>33</v>
      </c>
      <c r="K794" t="s">
        <v>636</v>
      </c>
      <c r="L794" t="s">
        <v>762</v>
      </c>
      <c r="M794" t="s">
        <v>629</v>
      </c>
      <c r="N794" t="s">
        <v>646</v>
      </c>
      <c r="O794" t="s">
        <v>839</v>
      </c>
    </row>
    <row r="795" spans="1:15" x14ac:dyDescent="0.35">
      <c r="A795" s="77">
        <v>6.2164383561643834</v>
      </c>
      <c r="B795" s="19">
        <v>63306</v>
      </c>
      <c r="C795" s="19" t="s">
        <v>3117</v>
      </c>
      <c r="D795" s="19" t="s">
        <v>284</v>
      </c>
      <c r="E795" s="19" t="s">
        <v>285</v>
      </c>
      <c r="F795" s="19" t="s">
        <v>1150</v>
      </c>
      <c r="G795" s="19" t="s">
        <v>1084</v>
      </c>
      <c r="H795" s="19" t="s">
        <v>1020</v>
      </c>
      <c r="I795" s="19" t="s">
        <v>1575</v>
      </c>
      <c r="J795" s="20">
        <v>52</v>
      </c>
      <c r="K795" t="s">
        <v>625</v>
      </c>
      <c r="L795" t="s">
        <v>661</v>
      </c>
      <c r="M795" t="s">
        <v>657</v>
      </c>
      <c r="N795" t="s">
        <v>662</v>
      </c>
      <c r="O795" t="s">
        <v>632</v>
      </c>
    </row>
    <row r="796" spans="1:15" x14ac:dyDescent="0.35">
      <c r="A796" s="77">
        <v>6.2164383561643834</v>
      </c>
      <c r="B796" s="19">
        <v>63311</v>
      </c>
      <c r="C796" s="19" t="s">
        <v>3118</v>
      </c>
      <c r="D796" s="19" t="s">
        <v>284</v>
      </c>
      <c r="E796" s="19" t="s">
        <v>285</v>
      </c>
      <c r="F796" s="19" t="s">
        <v>1150</v>
      </c>
      <c r="G796" s="19" t="s">
        <v>1008</v>
      </c>
      <c r="H796" s="19" t="s">
        <v>1001</v>
      </c>
      <c r="I796" s="19" t="s">
        <v>1575</v>
      </c>
      <c r="J796" s="20">
        <v>54</v>
      </c>
      <c r="K796" t="s">
        <v>625</v>
      </c>
      <c r="L796" t="s">
        <v>661</v>
      </c>
      <c r="M796" t="s">
        <v>657</v>
      </c>
      <c r="N796" t="s">
        <v>662</v>
      </c>
      <c r="O796" t="s">
        <v>632</v>
      </c>
    </row>
    <row r="797" spans="1:15" x14ac:dyDescent="0.35">
      <c r="A797" s="77">
        <v>0.54520547945205478</v>
      </c>
      <c r="B797" s="19">
        <v>63334</v>
      </c>
      <c r="C797" s="19" t="s">
        <v>3119</v>
      </c>
      <c r="D797" s="19" t="s">
        <v>37</v>
      </c>
      <c r="E797" s="19" t="s">
        <v>37</v>
      </c>
      <c r="F797" s="19" t="s">
        <v>1480</v>
      </c>
      <c r="G797" s="19" t="s">
        <v>1019</v>
      </c>
      <c r="H797" s="19" t="s">
        <v>1020</v>
      </c>
      <c r="I797" s="19" t="s">
        <v>1575</v>
      </c>
      <c r="J797" s="20">
        <v>28</v>
      </c>
      <c r="K797" t="s">
        <v>654</v>
      </c>
      <c r="L797" t="s">
        <v>648</v>
      </c>
      <c r="M797" t="s">
        <v>623</v>
      </c>
      <c r="N797" t="s">
        <v>624</v>
      </c>
      <c r="O797" t="s">
        <v>649</v>
      </c>
    </row>
    <row r="798" spans="1:15" x14ac:dyDescent="0.35">
      <c r="A798" s="77">
        <v>2.2465753424657535</v>
      </c>
      <c r="B798" s="19">
        <v>63406</v>
      </c>
      <c r="C798" s="19" t="s">
        <v>3120</v>
      </c>
      <c r="D798" s="19" t="s">
        <v>276</v>
      </c>
      <c r="E798" s="19" t="s">
        <v>277</v>
      </c>
      <c r="F798" s="19" t="s">
        <v>893</v>
      </c>
      <c r="G798" s="19" t="s">
        <v>1057</v>
      </c>
      <c r="H798" s="19" t="s">
        <v>1001</v>
      </c>
      <c r="I798" s="19" t="s">
        <v>1575</v>
      </c>
      <c r="J798" s="20">
        <v>35</v>
      </c>
      <c r="K798" t="s">
        <v>631</v>
      </c>
      <c r="L798" t="s">
        <v>707</v>
      </c>
      <c r="M798" t="s">
        <v>629</v>
      </c>
      <c r="N798" t="s">
        <v>635</v>
      </c>
      <c r="O798" t="s">
        <v>710</v>
      </c>
    </row>
    <row r="799" spans="1:15" x14ac:dyDescent="0.35">
      <c r="A799" s="77">
        <v>5.8630136986301373</v>
      </c>
      <c r="B799" s="19">
        <v>63407</v>
      </c>
      <c r="C799" s="19" t="s">
        <v>3121</v>
      </c>
      <c r="D799" s="19" t="s">
        <v>276</v>
      </c>
      <c r="E799" s="19" t="s">
        <v>277</v>
      </c>
      <c r="F799" s="19" t="s">
        <v>893</v>
      </c>
      <c r="G799" s="19" t="s">
        <v>1008</v>
      </c>
      <c r="H799" s="19" t="s">
        <v>1001</v>
      </c>
      <c r="I799" s="19" t="s">
        <v>1575</v>
      </c>
      <c r="J799" s="20">
        <v>45</v>
      </c>
      <c r="K799" t="s">
        <v>631</v>
      </c>
      <c r="L799" t="s">
        <v>707</v>
      </c>
      <c r="M799" t="s">
        <v>629</v>
      </c>
      <c r="N799" t="s">
        <v>635</v>
      </c>
      <c r="O799" t="s">
        <v>710</v>
      </c>
    </row>
    <row r="800" spans="1:15" x14ac:dyDescent="0.35">
      <c r="A800" s="77">
        <v>5.9013698630136986</v>
      </c>
      <c r="B800" s="19">
        <v>63641</v>
      </c>
      <c r="C800" s="19" t="s">
        <v>3122</v>
      </c>
      <c r="D800" s="19" t="s">
        <v>360</v>
      </c>
      <c r="E800" s="19" t="s">
        <v>361</v>
      </c>
      <c r="F800" s="19" t="s">
        <v>2312</v>
      </c>
      <c r="G800" s="19" t="s">
        <v>1057</v>
      </c>
      <c r="H800" s="19" t="s">
        <v>1001</v>
      </c>
      <c r="I800" s="19" t="s">
        <v>1575</v>
      </c>
      <c r="J800" s="20">
        <v>25</v>
      </c>
      <c r="K800" t="s">
        <v>642</v>
      </c>
      <c r="L800" t="s">
        <v>670</v>
      </c>
      <c r="M800" t="s">
        <v>657</v>
      </c>
      <c r="N800" t="s">
        <v>641</v>
      </c>
      <c r="O800" t="s">
        <v>671</v>
      </c>
    </row>
    <row r="801" spans="1:15" x14ac:dyDescent="0.35">
      <c r="A801" s="77">
        <v>5.8958904109589039</v>
      </c>
      <c r="B801" s="19">
        <v>63655</v>
      </c>
      <c r="C801" s="19" t="s">
        <v>3123</v>
      </c>
      <c r="D801" s="19" t="s">
        <v>266</v>
      </c>
      <c r="E801" s="19" t="s">
        <v>267</v>
      </c>
      <c r="F801" s="19" t="s">
        <v>2070</v>
      </c>
      <c r="G801" s="19" t="s">
        <v>1008</v>
      </c>
      <c r="H801" s="19" t="s">
        <v>1001</v>
      </c>
      <c r="I801" s="19" t="s">
        <v>1575</v>
      </c>
      <c r="J801" s="20">
        <v>31</v>
      </c>
      <c r="K801" t="s">
        <v>636</v>
      </c>
      <c r="L801" t="s">
        <v>634</v>
      </c>
      <c r="M801" t="s">
        <v>629</v>
      </c>
      <c r="N801" t="s">
        <v>635</v>
      </c>
      <c r="O801" t="s">
        <v>637</v>
      </c>
    </row>
    <row r="802" spans="1:15" x14ac:dyDescent="0.35">
      <c r="A802" s="77">
        <v>0.55068493150684927</v>
      </c>
      <c r="B802" s="19">
        <v>63735</v>
      </c>
      <c r="C802" s="19" t="s">
        <v>3124</v>
      </c>
      <c r="D802" s="19" t="s">
        <v>145</v>
      </c>
      <c r="E802" s="19" t="s">
        <v>146</v>
      </c>
      <c r="F802" s="19" t="s">
        <v>1015</v>
      </c>
      <c r="G802" s="19" t="s">
        <v>1084</v>
      </c>
      <c r="H802" s="19" t="s">
        <v>1001</v>
      </c>
      <c r="I802" s="19" t="s">
        <v>1599</v>
      </c>
      <c r="J802" s="20">
        <v>30</v>
      </c>
      <c r="K802" t="s">
        <v>636</v>
      </c>
      <c r="L802" t="s">
        <v>737</v>
      </c>
      <c r="M802" t="s">
        <v>657</v>
      </c>
      <c r="N802" t="s">
        <v>641</v>
      </c>
      <c r="O802" t="s">
        <v>757</v>
      </c>
    </row>
    <row r="803" spans="1:15" x14ac:dyDescent="0.35">
      <c r="A803" s="77">
        <v>5.8739726027397259</v>
      </c>
      <c r="B803" s="19">
        <v>63741</v>
      </c>
      <c r="C803" s="19" t="s">
        <v>3125</v>
      </c>
      <c r="D803" s="19" t="s">
        <v>347</v>
      </c>
      <c r="E803" s="19" t="s">
        <v>348</v>
      </c>
      <c r="F803" s="19" t="s">
        <v>910</v>
      </c>
      <c r="G803" s="19" t="s">
        <v>1028</v>
      </c>
      <c r="H803" s="19" t="s">
        <v>1020</v>
      </c>
      <c r="I803" s="19" t="s">
        <v>1575</v>
      </c>
      <c r="J803" s="20">
        <v>30</v>
      </c>
      <c r="K803" t="s">
        <v>654</v>
      </c>
      <c r="L803" t="s">
        <v>707</v>
      </c>
      <c r="M803" t="s">
        <v>629</v>
      </c>
      <c r="N803" t="s">
        <v>635</v>
      </c>
      <c r="O803" t="s">
        <v>710</v>
      </c>
    </row>
    <row r="804" spans="1:15" x14ac:dyDescent="0.35">
      <c r="A804" s="77">
        <v>3.7232876712328768</v>
      </c>
      <c r="B804" s="19">
        <v>63781</v>
      </c>
      <c r="C804" s="19" t="s">
        <v>3126</v>
      </c>
      <c r="D804" s="19" t="s">
        <v>93</v>
      </c>
      <c r="E804" s="19" t="s">
        <v>94</v>
      </c>
      <c r="F804" s="19" t="s">
        <v>919</v>
      </c>
      <c r="G804" s="19" t="s">
        <v>1046</v>
      </c>
      <c r="H804" s="19" t="s">
        <v>1001</v>
      </c>
      <c r="I804" s="19" t="s">
        <v>1575</v>
      </c>
      <c r="J804" s="20">
        <v>23</v>
      </c>
      <c r="K804" t="s">
        <v>654</v>
      </c>
      <c r="L804" t="s">
        <v>691</v>
      </c>
      <c r="M804" t="s">
        <v>657</v>
      </c>
      <c r="N804" t="s">
        <v>658</v>
      </c>
      <c r="O804" t="s">
        <v>632</v>
      </c>
    </row>
    <row r="805" spans="1:15" x14ac:dyDescent="0.35">
      <c r="A805" s="77">
        <v>5.7452054794520544</v>
      </c>
      <c r="B805" s="19">
        <v>63814</v>
      </c>
      <c r="C805" s="19" t="s">
        <v>3127</v>
      </c>
      <c r="D805" s="19" t="s">
        <v>371</v>
      </c>
      <c r="E805" s="19" t="s">
        <v>372</v>
      </c>
      <c r="F805" s="19" t="s">
        <v>2222</v>
      </c>
      <c r="G805" s="19" t="s">
        <v>1034</v>
      </c>
      <c r="H805" s="19" t="s">
        <v>1001</v>
      </c>
      <c r="I805" s="19" t="s">
        <v>1599</v>
      </c>
      <c r="J805" s="20">
        <v>28</v>
      </c>
      <c r="K805" t="s">
        <v>668</v>
      </c>
      <c r="L805" t="s">
        <v>640</v>
      </c>
      <c r="M805" t="s">
        <v>623</v>
      </c>
      <c r="N805" t="s">
        <v>641</v>
      </c>
      <c r="O805" t="s">
        <v>859</v>
      </c>
    </row>
    <row r="806" spans="1:15" x14ac:dyDescent="0.35">
      <c r="A806" s="77">
        <v>5.86027397260274</v>
      </c>
      <c r="B806" s="19">
        <v>63889</v>
      </c>
      <c r="C806" s="19" t="s">
        <v>3128</v>
      </c>
      <c r="D806" s="19" t="s">
        <v>349</v>
      </c>
      <c r="E806" s="19" t="s">
        <v>350</v>
      </c>
      <c r="F806" s="19" t="s">
        <v>912</v>
      </c>
      <c r="G806" s="19" t="s">
        <v>1000</v>
      </c>
      <c r="H806" s="19" t="s">
        <v>1001</v>
      </c>
      <c r="I806" s="19" t="s">
        <v>1599</v>
      </c>
      <c r="J806" s="20">
        <v>28</v>
      </c>
      <c r="K806" t="s">
        <v>625</v>
      </c>
      <c r="L806" t="s">
        <v>648</v>
      </c>
      <c r="M806" t="s">
        <v>623</v>
      </c>
      <c r="N806" t="s">
        <v>624</v>
      </c>
      <c r="O806" t="s">
        <v>649</v>
      </c>
    </row>
    <row r="807" spans="1:15" x14ac:dyDescent="0.35">
      <c r="A807" s="77">
        <v>5.8328767123287673</v>
      </c>
      <c r="B807" s="19">
        <v>63918</v>
      </c>
      <c r="C807" s="19" t="s">
        <v>3129</v>
      </c>
      <c r="D807" s="19" t="s">
        <v>260</v>
      </c>
      <c r="E807" s="19" t="s">
        <v>261</v>
      </c>
      <c r="F807" s="19" t="s">
        <v>1109</v>
      </c>
      <c r="G807" s="19" t="s">
        <v>1008</v>
      </c>
      <c r="H807" s="19" t="s">
        <v>1001</v>
      </c>
      <c r="I807" s="19" t="s">
        <v>1575</v>
      </c>
      <c r="J807" s="20">
        <v>34</v>
      </c>
      <c r="K807" t="s">
        <v>636</v>
      </c>
      <c r="L807" t="s">
        <v>656</v>
      </c>
      <c r="M807" t="s">
        <v>657</v>
      </c>
      <c r="N807" t="s">
        <v>658</v>
      </c>
      <c r="O807" t="s">
        <v>808</v>
      </c>
    </row>
    <row r="808" spans="1:15" x14ac:dyDescent="0.35">
      <c r="A808" s="77">
        <v>2.1917808219178082E-2</v>
      </c>
      <c r="B808" s="19">
        <v>63997</v>
      </c>
      <c r="C808" s="19" t="s">
        <v>3130</v>
      </c>
      <c r="D808" s="19" t="s">
        <v>280</v>
      </c>
      <c r="E808" s="19" t="s">
        <v>281</v>
      </c>
      <c r="F808" s="19" t="s">
        <v>1223</v>
      </c>
      <c r="G808" s="19" t="s">
        <v>1008</v>
      </c>
      <c r="H808" s="19" t="s">
        <v>1001</v>
      </c>
      <c r="I808" s="19" t="s">
        <v>1599</v>
      </c>
      <c r="J808" s="20">
        <v>25</v>
      </c>
      <c r="K808" t="s">
        <v>631</v>
      </c>
      <c r="L808" t="s">
        <v>691</v>
      </c>
      <c r="M808" t="s">
        <v>657</v>
      </c>
      <c r="N808" t="s">
        <v>658</v>
      </c>
      <c r="O808" t="s">
        <v>632</v>
      </c>
    </row>
    <row r="809" spans="1:15" x14ac:dyDescent="0.35">
      <c r="A809" s="77">
        <v>1.8849315068493151</v>
      </c>
      <c r="B809" s="19">
        <v>64008</v>
      </c>
      <c r="C809" s="19" t="s">
        <v>3131</v>
      </c>
      <c r="D809" s="19" t="s">
        <v>64</v>
      </c>
      <c r="E809" s="19" t="s">
        <v>65</v>
      </c>
      <c r="F809" s="19" t="s">
        <v>1197</v>
      </c>
      <c r="G809" s="19" t="s">
        <v>1028</v>
      </c>
      <c r="H809" s="19" t="s">
        <v>1020</v>
      </c>
      <c r="I809" s="19" t="s">
        <v>1575</v>
      </c>
      <c r="J809" s="20">
        <v>25</v>
      </c>
      <c r="K809" t="s">
        <v>654</v>
      </c>
      <c r="L809" t="s">
        <v>651</v>
      </c>
      <c r="M809" t="s">
        <v>629</v>
      </c>
      <c r="N809" t="s">
        <v>630</v>
      </c>
      <c r="O809" t="s">
        <v>705</v>
      </c>
    </row>
    <row r="810" spans="1:15" x14ac:dyDescent="0.35">
      <c r="A810" s="77">
        <v>2.1917808219178082E-2</v>
      </c>
      <c r="B810" s="19">
        <v>64177</v>
      </c>
      <c r="C810" s="19" t="s">
        <v>3132</v>
      </c>
      <c r="D810" s="19" t="s">
        <v>102</v>
      </c>
      <c r="E810" s="19" t="s">
        <v>103</v>
      </c>
      <c r="F810" s="19" t="s">
        <v>1306</v>
      </c>
      <c r="G810" s="19" t="s">
        <v>1008</v>
      </c>
      <c r="H810" s="19" t="s">
        <v>1001</v>
      </c>
      <c r="I810" s="19" t="s">
        <v>1575</v>
      </c>
      <c r="J810" s="20">
        <v>23</v>
      </c>
      <c r="K810" t="s">
        <v>654</v>
      </c>
      <c r="L810" t="s">
        <v>707</v>
      </c>
      <c r="M810" t="s">
        <v>629</v>
      </c>
      <c r="N810" t="s">
        <v>635</v>
      </c>
      <c r="O810" t="s">
        <v>708</v>
      </c>
    </row>
    <row r="811" spans="1:15" x14ac:dyDescent="0.35">
      <c r="A811" s="77">
        <v>4.4821917808219176</v>
      </c>
      <c r="B811" s="19">
        <v>64225</v>
      </c>
      <c r="C811" s="19" t="s">
        <v>3133</v>
      </c>
      <c r="D811" s="19" t="s">
        <v>91</v>
      </c>
      <c r="E811" s="19" t="s">
        <v>92</v>
      </c>
      <c r="F811" s="19" t="s">
        <v>1113</v>
      </c>
      <c r="G811" s="19" t="s">
        <v>1008</v>
      </c>
      <c r="H811" s="19" t="s">
        <v>1001</v>
      </c>
      <c r="I811" s="19" t="s">
        <v>1575</v>
      </c>
      <c r="J811" s="20">
        <v>26</v>
      </c>
      <c r="K811" t="s">
        <v>636</v>
      </c>
      <c r="L811" t="s">
        <v>634</v>
      </c>
      <c r="M811" t="s">
        <v>629</v>
      </c>
      <c r="N811" t="s">
        <v>630</v>
      </c>
      <c r="O811" t="s">
        <v>734</v>
      </c>
    </row>
    <row r="812" spans="1:15" x14ac:dyDescent="0.35">
      <c r="A812" s="77">
        <v>4.0767123287671234</v>
      </c>
      <c r="B812" s="19">
        <v>64234</v>
      </c>
      <c r="C812" s="19" t="s">
        <v>3134</v>
      </c>
      <c r="D812" s="19" t="s">
        <v>37</v>
      </c>
      <c r="E812" s="19" t="s">
        <v>37</v>
      </c>
      <c r="F812" s="19" t="s">
        <v>1480</v>
      </c>
      <c r="G812" s="19" t="s">
        <v>1008</v>
      </c>
      <c r="H812" s="19" t="s">
        <v>1001</v>
      </c>
      <c r="I812" s="19" t="s">
        <v>1575</v>
      </c>
      <c r="J812" s="20">
        <v>41</v>
      </c>
      <c r="K812" t="s">
        <v>654</v>
      </c>
      <c r="L812" t="s">
        <v>648</v>
      </c>
      <c r="M812" t="s">
        <v>623</v>
      </c>
      <c r="N812" t="s">
        <v>624</v>
      </c>
      <c r="O812" t="s">
        <v>649</v>
      </c>
    </row>
    <row r="813" spans="1:15" x14ac:dyDescent="0.35">
      <c r="A813" s="77">
        <v>4.536986301369863</v>
      </c>
      <c r="B813" s="19">
        <v>64397</v>
      </c>
      <c r="C813" s="19" t="s">
        <v>3135</v>
      </c>
      <c r="D813" s="19" t="s">
        <v>161</v>
      </c>
      <c r="E813" s="19" t="s">
        <v>162</v>
      </c>
      <c r="F813" s="19" t="s">
        <v>1027</v>
      </c>
      <c r="G813" s="19" t="s">
        <v>1045</v>
      </c>
      <c r="H813" s="19" t="s">
        <v>1001</v>
      </c>
      <c r="I813" s="19" t="s">
        <v>1599</v>
      </c>
      <c r="J813" s="20">
        <v>31</v>
      </c>
      <c r="K813" t="s">
        <v>654</v>
      </c>
      <c r="L813" t="s">
        <v>622</v>
      </c>
      <c r="M813" t="s">
        <v>623</v>
      </c>
      <c r="N813" t="s">
        <v>624</v>
      </c>
      <c r="O813" t="s">
        <v>649</v>
      </c>
    </row>
    <row r="814" spans="1:15" x14ac:dyDescent="0.35">
      <c r="A814" s="77">
        <v>5.8191780821917805</v>
      </c>
      <c r="B814" s="19">
        <v>64437</v>
      </c>
      <c r="C814" s="19" t="s">
        <v>3136</v>
      </c>
      <c r="D814" s="19" t="s">
        <v>311</v>
      </c>
      <c r="E814" s="19" t="s">
        <v>312</v>
      </c>
      <c r="F814" s="19" t="s">
        <v>1140</v>
      </c>
      <c r="G814" s="19" t="s">
        <v>1084</v>
      </c>
      <c r="H814" s="19" t="s">
        <v>1001</v>
      </c>
      <c r="I814" s="19" t="s">
        <v>1575</v>
      </c>
      <c r="J814" s="20">
        <v>44</v>
      </c>
      <c r="K814" t="s">
        <v>631</v>
      </c>
      <c r="L814" t="s">
        <v>628</v>
      </c>
      <c r="M814" t="s">
        <v>629</v>
      </c>
      <c r="N814" t="s">
        <v>630</v>
      </c>
      <c r="O814" t="s">
        <v>632</v>
      </c>
    </row>
    <row r="815" spans="1:15" x14ac:dyDescent="0.35">
      <c r="A815" s="77">
        <v>5.8136986301369866</v>
      </c>
      <c r="B815" s="19">
        <v>64441</v>
      </c>
      <c r="C815" s="19" t="s">
        <v>3137</v>
      </c>
      <c r="D815" s="19" t="s">
        <v>62</v>
      </c>
      <c r="E815" s="19" t="s">
        <v>63</v>
      </c>
      <c r="F815" s="19" t="s">
        <v>1228</v>
      </c>
      <c r="G815" s="19" t="s">
        <v>1034</v>
      </c>
      <c r="H815" s="19" t="s">
        <v>1001</v>
      </c>
      <c r="I815" s="19" t="s">
        <v>1599</v>
      </c>
      <c r="J815" s="20">
        <v>25</v>
      </c>
      <c r="K815" t="s">
        <v>636</v>
      </c>
      <c r="L815" t="s">
        <v>645</v>
      </c>
      <c r="M815" t="s">
        <v>629</v>
      </c>
      <c r="N815" t="s">
        <v>646</v>
      </c>
      <c r="O815" t="s">
        <v>632</v>
      </c>
    </row>
    <row r="816" spans="1:15" x14ac:dyDescent="0.35">
      <c r="A816" s="77">
        <v>5.7753424657534245</v>
      </c>
      <c r="B816" s="19">
        <v>64513</v>
      </c>
      <c r="C816" s="19" t="s">
        <v>3138</v>
      </c>
      <c r="D816" s="19" t="s">
        <v>417</v>
      </c>
      <c r="E816" s="19" t="s">
        <v>417</v>
      </c>
      <c r="F816" s="19" t="s">
        <v>418</v>
      </c>
      <c r="G816" s="19" t="s">
        <v>1034</v>
      </c>
      <c r="H816" s="19" t="s">
        <v>1001</v>
      </c>
      <c r="I816" s="19" t="s">
        <v>1575</v>
      </c>
      <c r="J816" s="20">
        <v>26</v>
      </c>
      <c r="K816" t="s">
        <v>654</v>
      </c>
      <c r="L816" t="s">
        <v>684</v>
      </c>
      <c r="M816" t="s">
        <v>623</v>
      </c>
      <c r="N816" t="s">
        <v>662</v>
      </c>
      <c r="O816" t="s">
        <v>687</v>
      </c>
    </row>
    <row r="817" spans="1:15" x14ac:dyDescent="0.35">
      <c r="A817" s="77">
        <v>2.1917808219178082E-2</v>
      </c>
      <c r="B817" s="19">
        <v>64545</v>
      </c>
      <c r="C817" s="19" t="s">
        <v>3139</v>
      </c>
      <c r="D817" s="19" t="s">
        <v>324</v>
      </c>
      <c r="E817" s="19" t="s">
        <v>325</v>
      </c>
      <c r="F817" s="19" t="s">
        <v>1284</v>
      </c>
      <c r="G817" s="19" t="s">
        <v>1008</v>
      </c>
      <c r="H817" s="19" t="s">
        <v>1001</v>
      </c>
      <c r="I817" s="19" t="s">
        <v>1575</v>
      </c>
      <c r="J817" s="20">
        <v>29</v>
      </c>
      <c r="K817" t="s">
        <v>631</v>
      </c>
      <c r="L817" t="s">
        <v>663</v>
      </c>
      <c r="M817" t="s">
        <v>629</v>
      </c>
      <c r="N817" t="s">
        <v>646</v>
      </c>
      <c r="O817" t="s">
        <v>639</v>
      </c>
    </row>
    <row r="818" spans="1:15" x14ac:dyDescent="0.35">
      <c r="A818" s="77">
        <v>5.646575342465753</v>
      </c>
      <c r="B818" s="19">
        <v>64724</v>
      </c>
      <c r="C818" s="19" t="s">
        <v>3140</v>
      </c>
      <c r="D818" s="19" t="s">
        <v>178</v>
      </c>
      <c r="E818" s="19" t="s">
        <v>179</v>
      </c>
      <c r="F818" s="19" t="s">
        <v>2407</v>
      </c>
      <c r="G818" s="19" t="s">
        <v>1008</v>
      </c>
      <c r="H818" s="19" t="s">
        <v>1001</v>
      </c>
      <c r="I818" s="19" t="s">
        <v>1575</v>
      </c>
      <c r="J818" s="20">
        <v>26</v>
      </c>
      <c r="K818" t="s">
        <v>636</v>
      </c>
      <c r="L818" t="s">
        <v>684</v>
      </c>
      <c r="M818" t="s">
        <v>623</v>
      </c>
      <c r="N818" t="s">
        <v>662</v>
      </c>
      <c r="O818" t="s">
        <v>775</v>
      </c>
    </row>
    <row r="819" spans="1:15" x14ac:dyDescent="0.35">
      <c r="A819" s="77">
        <v>4.4986301369863018</v>
      </c>
      <c r="B819" s="19">
        <v>64934</v>
      </c>
      <c r="C819" s="19" t="s">
        <v>3141</v>
      </c>
      <c r="D819" s="19" t="s">
        <v>109</v>
      </c>
      <c r="E819" s="19" t="s">
        <v>110</v>
      </c>
      <c r="F819" s="19" t="s">
        <v>2347</v>
      </c>
      <c r="G819" s="19" t="s">
        <v>1019</v>
      </c>
      <c r="H819" s="19" t="s">
        <v>1020</v>
      </c>
      <c r="I819" s="19" t="s">
        <v>1575</v>
      </c>
      <c r="J819" s="20">
        <v>23</v>
      </c>
      <c r="K819" t="s">
        <v>654</v>
      </c>
      <c r="L819" t="s">
        <v>684</v>
      </c>
      <c r="M819" t="s">
        <v>623</v>
      </c>
      <c r="N819" t="s">
        <v>662</v>
      </c>
      <c r="O819" t="s">
        <v>685</v>
      </c>
    </row>
    <row r="820" spans="1:15" x14ac:dyDescent="0.35">
      <c r="A820" s="77">
        <v>1.9972602739726026</v>
      </c>
      <c r="B820" s="19">
        <v>65064</v>
      </c>
      <c r="C820" s="19" t="s">
        <v>3142</v>
      </c>
      <c r="D820" s="19" t="s">
        <v>353</v>
      </c>
      <c r="E820" s="19" t="s">
        <v>354</v>
      </c>
      <c r="F820" s="19" t="s">
        <v>850</v>
      </c>
      <c r="G820" s="19" t="s">
        <v>1057</v>
      </c>
      <c r="H820" s="19" t="s">
        <v>1001</v>
      </c>
      <c r="I820" s="19" t="s">
        <v>1575</v>
      </c>
      <c r="J820" s="20">
        <v>24</v>
      </c>
      <c r="K820" t="s">
        <v>654</v>
      </c>
      <c r="L820" t="s">
        <v>640</v>
      </c>
      <c r="M820" t="s">
        <v>623</v>
      </c>
      <c r="N820" t="s">
        <v>624</v>
      </c>
      <c r="O820" t="s">
        <v>789</v>
      </c>
    </row>
    <row r="821" spans="1:15" x14ac:dyDescent="0.35">
      <c r="A821" s="77">
        <v>4.9150684931506845</v>
      </c>
      <c r="B821" s="19">
        <v>65115</v>
      </c>
      <c r="C821" s="19" t="s">
        <v>3143</v>
      </c>
      <c r="D821" s="19" t="s">
        <v>377</v>
      </c>
      <c r="E821" s="19" t="s">
        <v>378</v>
      </c>
      <c r="F821" s="19" t="s">
        <v>862</v>
      </c>
      <c r="G821" s="19" t="s">
        <v>1034</v>
      </c>
      <c r="H821" s="19" t="s">
        <v>1001</v>
      </c>
      <c r="I821" s="19" t="s">
        <v>1599</v>
      </c>
      <c r="J821" s="20">
        <v>22</v>
      </c>
      <c r="K821" t="s">
        <v>631</v>
      </c>
      <c r="L821" t="s">
        <v>661</v>
      </c>
      <c r="M821" t="s">
        <v>657</v>
      </c>
      <c r="N821" t="s">
        <v>662</v>
      </c>
      <c r="O821" t="s">
        <v>632</v>
      </c>
    </row>
    <row r="822" spans="1:15" x14ac:dyDescent="0.35">
      <c r="A822" s="77">
        <v>4.5671232876712331</v>
      </c>
      <c r="B822" s="19">
        <v>65125</v>
      </c>
      <c r="C822" s="19" t="s">
        <v>3144</v>
      </c>
      <c r="D822" s="19" t="s">
        <v>155</v>
      </c>
      <c r="E822" s="19" t="s">
        <v>156</v>
      </c>
      <c r="F822" s="19" t="s">
        <v>896</v>
      </c>
      <c r="G822" s="19" t="s">
        <v>1046</v>
      </c>
      <c r="H822" s="19" t="s">
        <v>1001</v>
      </c>
      <c r="I822" s="19" t="s">
        <v>1575</v>
      </c>
      <c r="J822" s="20">
        <v>22</v>
      </c>
      <c r="K822" t="s">
        <v>636</v>
      </c>
      <c r="L822" t="s">
        <v>663</v>
      </c>
      <c r="M822" t="s">
        <v>629</v>
      </c>
      <c r="N822" t="s">
        <v>646</v>
      </c>
      <c r="O822" t="s">
        <v>639</v>
      </c>
    </row>
    <row r="823" spans="1:15" x14ac:dyDescent="0.35">
      <c r="A823" s="77">
        <v>0.56164383561643838</v>
      </c>
      <c r="B823" s="19">
        <v>65206</v>
      </c>
      <c r="C823" s="19" t="s">
        <v>3145</v>
      </c>
      <c r="D823" s="19" t="s">
        <v>171</v>
      </c>
      <c r="E823" s="19" t="s">
        <v>172</v>
      </c>
      <c r="F823" s="19" t="s">
        <v>2239</v>
      </c>
      <c r="G823" s="19" t="s">
        <v>1034</v>
      </c>
      <c r="H823" s="19" t="s">
        <v>1001</v>
      </c>
      <c r="I823" s="19" t="s">
        <v>1599</v>
      </c>
      <c r="J823" s="20">
        <v>22</v>
      </c>
      <c r="K823" t="s">
        <v>654</v>
      </c>
      <c r="L823" t="s">
        <v>661</v>
      </c>
      <c r="M823" t="s">
        <v>657</v>
      </c>
      <c r="N823" t="s">
        <v>662</v>
      </c>
      <c r="O823" t="s">
        <v>632</v>
      </c>
    </row>
    <row r="824" spans="1:15" x14ac:dyDescent="0.35">
      <c r="A824" s="77">
        <v>4.882191780821918</v>
      </c>
      <c r="B824" s="19">
        <v>65239</v>
      </c>
      <c r="C824" s="19" t="s">
        <v>3146</v>
      </c>
      <c r="D824" s="19" t="s">
        <v>120</v>
      </c>
      <c r="E824" s="19" t="s">
        <v>121</v>
      </c>
      <c r="F824" s="19" t="s">
        <v>1236</v>
      </c>
      <c r="G824" s="19" t="s">
        <v>1057</v>
      </c>
      <c r="H824" s="19" t="s">
        <v>1001</v>
      </c>
      <c r="I824" s="19" t="s">
        <v>1575</v>
      </c>
      <c r="J824" s="20">
        <v>26</v>
      </c>
      <c r="K824" t="s">
        <v>636</v>
      </c>
      <c r="L824" t="s">
        <v>673</v>
      </c>
      <c r="M824" t="s">
        <v>623</v>
      </c>
      <c r="N824" t="s">
        <v>641</v>
      </c>
      <c r="O824" t="s">
        <v>748</v>
      </c>
    </row>
    <row r="825" spans="1:15" x14ac:dyDescent="0.35">
      <c r="A825" s="77">
        <v>1.3095890410958904</v>
      </c>
      <c r="B825" s="19">
        <v>65347</v>
      </c>
      <c r="C825" s="19" t="s">
        <v>3147</v>
      </c>
      <c r="D825" s="19" t="s">
        <v>73</v>
      </c>
      <c r="E825" s="19" t="s">
        <v>74</v>
      </c>
      <c r="F825" s="19" t="s">
        <v>1178</v>
      </c>
      <c r="G825" s="19" t="s">
        <v>1034</v>
      </c>
      <c r="H825" s="19" t="s">
        <v>1001</v>
      </c>
      <c r="I825" s="19" t="s">
        <v>1599</v>
      </c>
      <c r="J825" s="20">
        <v>23</v>
      </c>
      <c r="K825" t="s">
        <v>654</v>
      </c>
      <c r="L825" t="s">
        <v>648</v>
      </c>
      <c r="M825" t="s">
        <v>623</v>
      </c>
      <c r="N825" t="s">
        <v>624</v>
      </c>
      <c r="O825" t="s">
        <v>725</v>
      </c>
    </row>
    <row r="826" spans="1:15" x14ac:dyDescent="0.35">
      <c r="A826" s="77">
        <v>2.9397260273972603</v>
      </c>
      <c r="B826" s="19">
        <v>65474</v>
      </c>
      <c r="C826" s="19" t="s">
        <v>3148</v>
      </c>
      <c r="D826" s="19" t="s">
        <v>68</v>
      </c>
      <c r="E826" s="19" t="s">
        <v>69</v>
      </c>
      <c r="F826" s="19" t="s">
        <v>1078</v>
      </c>
      <c r="G826" s="19" t="s">
        <v>1008</v>
      </c>
      <c r="H826" s="19" t="s">
        <v>1001</v>
      </c>
      <c r="I826" s="19" t="s">
        <v>1575</v>
      </c>
      <c r="J826" s="20">
        <v>22</v>
      </c>
      <c r="K826" t="s">
        <v>636</v>
      </c>
      <c r="L826" t="s">
        <v>670</v>
      </c>
      <c r="M826" t="s">
        <v>657</v>
      </c>
      <c r="N826" t="s">
        <v>641</v>
      </c>
      <c r="O826" t="s">
        <v>671</v>
      </c>
    </row>
    <row r="827" spans="1:15" x14ac:dyDescent="0.35">
      <c r="A827" s="77">
        <v>4.9013698630136986</v>
      </c>
      <c r="B827" s="19">
        <v>65509</v>
      </c>
      <c r="C827" s="19" t="s">
        <v>3149</v>
      </c>
      <c r="D827" s="19" t="s">
        <v>118</v>
      </c>
      <c r="E827" s="19" t="s">
        <v>119</v>
      </c>
      <c r="F827" s="19" t="s">
        <v>1360</v>
      </c>
      <c r="G827" s="19" t="s">
        <v>1045</v>
      </c>
      <c r="H827" s="19" t="s">
        <v>1001</v>
      </c>
      <c r="I827" s="19" t="s">
        <v>1575</v>
      </c>
      <c r="J827" s="20">
        <v>23</v>
      </c>
      <c r="K827" t="s">
        <v>625</v>
      </c>
      <c r="L827" t="s">
        <v>656</v>
      </c>
      <c r="M827" t="s">
        <v>657</v>
      </c>
      <c r="N827" t="s">
        <v>658</v>
      </c>
      <c r="O827" t="s">
        <v>632</v>
      </c>
    </row>
    <row r="828" spans="1:15" x14ac:dyDescent="0.35">
      <c r="A828" s="77">
        <v>4.4794520547945202</v>
      </c>
      <c r="B828" s="19">
        <v>65544</v>
      </c>
      <c r="C828" s="19" t="s">
        <v>3150</v>
      </c>
      <c r="D828" s="19" t="s">
        <v>326</v>
      </c>
      <c r="E828" s="19" t="s">
        <v>327</v>
      </c>
      <c r="F828" s="19" t="s">
        <v>1051</v>
      </c>
      <c r="G828" s="19" t="s">
        <v>1008</v>
      </c>
      <c r="H828" s="19" t="s">
        <v>1001</v>
      </c>
      <c r="I828" s="19" t="s">
        <v>1575</v>
      </c>
      <c r="J828" s="20">
        <v>23</v>
      </c>
      <c r="K828" t="s">
        <v>631</v>
      </c>
      <c r="L828" t="s">
        <v>648</v>
      </c>
      <c r="M828" t="s">
        <v>623</v>
      </c>
      <c r="N828" t="s">
        <v>624</v>
      </c>
      <c r="O828" t="s">
        <v>837</v>
      </c>
    </row>
    <row r="829" spans="1:15" x14ac:dyDescent="0.35">
      <c r="A829" s="77">
        <v>1.7808219178082192</v>
      </c>
      <c r="B829" s="19">
        <v>65808</v>
      </c>
      <c r="C829" s="19" t="s">
        <v>3151</v>
      </c>
      <c r="D829" s="19" t="s">
        <v>349</v>
      </c>
      <c r="E829" s="19" t="s">
        <v>350</v>
      </c>
      <c r="F829" s="19" t="s">
        <v>912</v>
      </c>
      <c r="G829" s="19" t="s">
        <v>1008</v>
      </c>
      <c r="H829" s="19" t="s">
        <v>1001</v>
      </c>
      <c r="I829" s="19" t="s">
        <v>1599</v>
      </c>
      <c r="J829" s="20">
        <v>23</v>
      </c>
      <c r="K829" t="s">
        <v>625</v>
      </c>
      <c r="L829" t="s">
        <v>648</v>
      </c>
      <c r="M829" t="s">
        <v>623</v>
      </c>
      <c r="N829" t="s">
        <v>624</v>
      </c>
      <c r="O829" t="s">
        <v>649</v>
      </c>
    </row>
    <row r="830" spans="1:15" x14ac:dyDescent="0.35">
      <c r="A830" s="77">
        <v>4.9013698630136986</v>
      </c>
      <c r="B830" s="19">
        <v>66010</v>
      </c>
      <c r="C830" s="19" t="s">
        <v>3152</v>
      </c>
      <c r="D830" s="19" t="s">
        <v>100</v>
      </c>
      <c r="E830" s="19" t="s">
        <v>101</v>
      </c>
      <c r="F830" s="19" t="s">
        <v>2786</v>
      </c>
      <c r="G830" s="19" t="s">
        <v>1034</v>
      </c>
      <c r="H830" s="19" t="s">
        <v>1001</v>
      </c>
      <c r="I830" s="19" t="s">
        <v>1575</v>
      </c>
      <c r="J830" s="20">
        <v>23</v>
      </c>
      <c r="K830" t="s">
        <v>654</v>
      </c>
      <c r="L830" t="s">
        <v>651</v>
      </c>
      <c r="M830" t="s">
        <v>629</v>
      </c>
      <c r="N830" t="s">
        <v>630</v>
      </c>
      <c r="O830" t="s">
        <v>705</v>
      </c>
    </row>
    <row r="831" spans="1:15" x14ac:dyDescent="0.35">
      <c r="A831" s="77">
        <v>5.4136986301369863</v>
      </c>
      <c r="B831" s="19">
        <v>66096</v>
      </c>
      <c r="C831" s="19" t="s">
        <v>3153</v>
      </c>
      <c r="D831" s="19" t="s">
        <v>260</v>
      </c>
      <c r="E831" s="19" t="s">
        <v>261</v>
      </c>
      <c r="F831" s="19" t="s">
        <v>1109</v>
      </c>
      <c r="G831" s="19" t="s">
        <v>1034</v>
      </c>
      <c r="H831" s="19" t="s">
        <v>1001</v>
      </c>
      <c r="I831" s="19" t="s">
        <v>1599</v>
      </c>
      <c r="J831" s="20">
        <v>31</v>
      </c>
      <c r="K831" t="s">
        <v>636</v>
      </c>
      <c r="L831" t="s">
        <v>656</v>
      </c>
      <c r="M831" t="s">
        <v>657</v>
      </c>
      <c r="N831" t="s">
        <v>658</v>
      </c>
      <c r="O831" t="s">
        <v>808</v>
      </c>
    </row>
    <row r="832" spans="1:15" x14ac:dyDescent="0.35">
      <c r="A832" s="77">
        <v>1.4109589041095891</v>
      </c>
      <c r="B832" s="19">
        <v>66134</v>
      </c>
      <c r="C832" s="19" t="s">
        <v>3154</v>
      </c>
      <c r="D832" s="19" t="s">
        <v>307</v>
      </c>
      <c r="E832" s="19" t="s">
        <v>308</v>
      </c>
      <c r="F832" s="19" t="s">
        <v>1524</v>
      </c>
      <c r="G832" s="19" t="s">
        <v>1046</v>
      </c>
      <c r="H832" s="19" t="s">
        <v>1001</v>
      </c>
      <c r="I832" s="19" t="s">
        <v>1575</v>
      </c>
      <c r="J832" s="20">
        <v>27</v>
      </c>
      <c r="K832" t="s">
        <v>668</v>
      </c>
      <c r="L832" t="s">
        <v>656</v>
      </c>
      <c r="M832" t="s">
        <v>657</v>
      </c>
      <c r="N832" t="s">
        <v>658</v>
      </c>
      <c r="O832" t="s">
        <v>718</v>
      </c>
    </row>
    <row r="833" spans="1:15" x14ac:dyDescent="0.35">
      <c r="A833" s="77">
        <v>5.353424657534247</v>
      </c>
      <c r="B833" s="19">
        <v>66189</v>
      </c>
      <c r="C833" s="19" t="s">
        <v>3155</v>
      </c>
      <c r="D833" s="19" t="s">
        <v>206</v>
      </c>
      <c r="E833" s="19" t="s">
        <v>207</v>
      </c>
      <c r="F833" s="19" t="s">
        <v>2447</v>
      </c>
      <c r="G833" s="19" t="s">
        <v>1034</v>
      </c>
      <c r="H833" s="19" t="s">
        <v>1001</v>
      </c>
      <c r="I833" s="19" t="s">
        <v>1575</v>
      </c>
      <c r="J833" s="20">
        <v>25</v>
      </c>
      <c r="K833" t="s">
        <v>668</v>
      </c>
      <c r="L833" t="s">
        <v>666</v>
      </c>
      <c r="M833" t="s">
        <v>629</v>
      </c>
      <c r="N833" t="s">
        <v>630</v>
      </c>
      <c r="O833" t="s">
        <v>652</v>
      </c>
    </row>
    <row r="834" spans="1:15" x14ac:dyDescent="0.35">
      <c r="A834" s="77">
        <v>5.4986301369863018</v>
      </c>
      <c r="B834" s="19">
        <v>66370</v>
      </c>
      <c r="C834" s="19" t="s">
        <v>3156</v>
      </c>
      <c r="D834" s="19" t="s">
        <v>41</v>
      </c>
      <c r="E834" s="19" t="s">
        <v>41</v>
      </c>
      <c r="F834" s="19" t="s">
        <v>1157</v>
      </c>
      <c r="G834" s="19" t="s">
        <v>1084</v>
      </c>
      <c r="H834" s="19" t="s">
        <v>1001</v>
      </c>
      <c r="I834" s="19" t="s">
        <v>1575</v>
      </c>
      <c r="J834" s="20">
        <v>45</v>
      </c>
      <c r="K834" t="s">
        <v>625</v>
      </c>
      <c r="L834" t="s">
        <v>691</v>
      </c>
      <c r="M834" t="s">
        <v>657</v>
      </c>
      <c r="N834" t="s">
        <v>658</v>
      </c>
      <c r="O834" t="s">
        <v>632</v>
      </c>
    </row>
    <row r="835" spans="1:15" x14ac:dyDescent="0.35">
      <c r="A835" s="77">
        <v>5.4986301369863018</v>
      </c>
      <c r="B835" s="19">
        <v>66389</v>
      </c>
      <c r="C835" s="19" t="s">
        <v>3157</v>
      </c>
      <c r="D835" s="19" t="s">
        <v>601</v>
      </c>
      <c r="E835" s="19" t="e">
        <v>#N/A</v>
      </c>
      <c r="F835" s="19" t="s">
        <v>1136</v>
      </c>
      <c r="G835" s="19" t="s">
        <v>1045</v>
      </c>
      <c r="H835" s="19" t="s">
        <v>1001</v>
      </c>
      <c r="I835" s="19" t="s">
        <v>1599</v>
      </c>
      <c r="J835" s="20">
        <v>30</v>
      </c>
      <c r="K835" t="s">
        <v>654</v>
      </c>
      <c r="L835" t="s">
        <v>651</v>
      </c>
      <c r="M835" t="s">
        <v>629</v>
      </c>
      <c r="N835" t="s">
        <v>630</v>
      </c>
      <c r="O835" t="s">
        <v>715</v>
      </c>
    </row>
    <row r="836" spans="1:15" x14ac:dyDescent="0.35">
      <c r="A836" s="77">
        <v>5.4027397260273968</v>
      </c>
      <c r="B836" s="19">
        <v>66411</v>
      </c>
      <c r="C836" s="19" t="s">
        <v>3158</v>
      </c>
      <c r="D836" s="19" t="s">
        <v>24</v>
      </c>
      <c r="E836" s="19" t="s">
        <v>24</v>
      </c>
      <c r="F836" s="19" t="s">
        <v>2097</v>
      </c>
      <c r="G836" s="19" t="s">
        <v>1046</v>
      </c>
      <c r="H836" s="19" t="s">
        <v>1001</v>
      </c>
      <c r="I836" s="19" t="s">
        <v>1575</v>
      </c>
      <c r="J836" s="20">
        <v>26</v>
      </c>
      <c r="K836" t="s">
        <v>664</v>
      </c>
      <c r="L836" t="s">
        <v>663</v>
      </c>
      <c r="M836" t="s">
        <v>629</v>
      </c>
      <c r="N836" t="s">
        <v>646</v>
      </c>
      <c r="O836" t="s">
        <v>639</v>
      </c>
    </row>
    <row r="837" spans="1:15" x14ac:dyDescent="0.35">
      <c r="A837" s="77">
        <v>5.3917808219178083</v>
      </c>
      <c r="B837" s="19">
        <v>66412</v>
      </c>
      <c r="C837" s="19" t="s">
        <v>3159</v>
      </c>
      <c r="D837" s="19" t="s">
        <v>206</v>
      </c>
      <c r="E837" s="19" t="s">
        <v>207</v>
      </c>
      <c r="F837" s="19" t="s">
        <v>2447</v>
      </c>
      <c r="G837" s="19" t="s">
        <v>1000</v>
      </c>
      <c r="H837" s="19" t="s">
        <v>1001</v>
      </c>
      <c r="I837" s="19" t="s">
        <v>1575</v>
      </c>
      <c r="J837" s="20">
        <v>36</v>
      </c>
      <c r="K837" t="s">
        <v>668</v>
      </c>
      <c r="L837" t="s">
        <v>666</v>
      </c>
      <c r="M837" t="s">
        <v>629</v>
      </c>
      <c r="N837" t="s">
        <v>630</v>
      </c>
      <c r="O837" t="s">
        <v>652</v>
      </c>
    </row>
    <row r="838" spans="1:15" x14ac:dyDescent="0.35">
      <c r="A838" s="77">
        <v>5.2986301369863016</v>
      </c>
      <c r="B838" s="19">
        <v>66477</v>
      </c>
      <c r="C838" s="19" t="s">
        <v>3160</v>
      </c>
      <c r="D838" s="19" t="s">
        <v>13</v>
      </c>
      <c r="E838" s="19" t="s">
        <v>13</v>
      </c>
      <c r="F838" s="19" t="s">
        <v>1467</v>
      </c>
      <c r="G838" s="19" t="s">
        <v>1045</v>
      </c>
      <c r="H838" s="19" t="s">
        <v>1001</v>
      </c>
      <c r="I838" s="19" t="s">
        <v>1575</v>
      </c>
      <c r="J838" s="20">
        <v>26</v>
      </c>
      <c r="K838" t="s">
        <v>631</v>
      </c>
      <c r="L838" t="s">
        <v>628</v>
      </c>
      <c r="M838" t="s">
        <v>629</v>
      </c>
      <c r="N838" t="s">
        <v>630</v>
      </c>
      <c r="O838" t="s">
        <v>639</v>
      </c>
    </row>
    <row r="839" spans="1:15" x14ac:dyDescent="0.35">
      <c r="A839" s="77">
        <v>5.2493150684931509</v>
      </c>
      <c r="B839" s="19">
        <v>66521</v>
      </c>
      <c r="C839" s="19" t="s">
        <v>3161</v>
      </c>
      <c r="D839" s="19" t="s">
        <v>286</v>
      </c>
      <c r="E839" s="19" t="s">
        <v>287</v>
      </c>
      <c r="F839" s="19" t="s">
        <v>1675</v>
      </c>
      <c r="G839" s="19" t="s">
        <v>1045</v>
      </c>
      <c r="H839" s="19" t="s">
        <v>1001</v>
      </c>
      <c r="I839" s="19" t="s">
        <v>1575</v>
      </c>
      <c r="J839" s="20">
        <v>26</v>
      </c>
      <c r="K839" t="s">
        <v>668</v>
      </c>
      <c r="L839" t="s">
        <v>640</v>
      </c>
      <c r="M839" t="s">
        <v>623</v>
      </c>
      <c r="N839" t="s">
        <v>641</v>
      </c>
      <c r="O839" t="s">
        <v>754</v>
      </c>
    </row>
    <row r="840" spans="1:15" x14ac:dyDescent="0.35">
      <c r="A840" s="77">
        <v>5.2493150684931509</v>
      </c>
      <c r="B840" s="19">
        <v>66526</v>
      </c>
      <c r="C840" s="19" t="s">
        <v>3162</v>
      </c>
      <c r="D840" s="19" t="s">
        <v>167</v>
      </c>
      <c r="E840" s="19" t="s">
        <v>168</v>
      </c>
      <c r="F840" s="19" t="s">
        <v>2009</v>
      </c>
      <c r="G840" s="19" t="s">
        <v>1057</v>
      </c>
      <c r="H840" s="19" t="s">
        <v>1001</v>
      </c>
      <c r="I840" s="19" t="s">
        <v>1575</v>
      </c>
      <c r="J840" s="20">
        <v>27</v>
      </c>
      <c r="K840" t="s">
        <v>636</v>
      </c>
      <c r="L840" t="s">
        <v>640</v>
      </c>
      <c r="M840" t="s">
        <v>623</v>
      </c>
      <c r="N840" t="s">
        <v>641</v>
      </c>
      <c r="O840" t="s">
        <v>754</v>
      </c>
    </row>
    <row r="841" spans="1:15" x14ac:dyDescent="0.35">
      <c r="A841" s="77">
        <v>4.8986301369863012</v>
      </c>
      <c r="B841" s="19">
        <v>66527</v>
      </c>
      <c r="C841" s="19" t="s">
        <v>3163</v>
      </c>
      <c r="D841" s="19" t="s">
        <v>215</v>
      </c>
      <c r="E841" s="19" t="s">
        <v>216</v>
      </c>
      <c r="F841" s="19" t="s">
        <v>1081</v>
      </c>
      <c r="G841" s="19" t="s">
        <v>1034</v>
      </c>
      <c r="H841" s="19" t="s">
        <v>1001</v>
      </c>
      <c r="I841" s="19" t="s">
        <v>1599</v>
      </c>
      <c r="J841" s="20">
        <v>23</v>
      </c>
      <c r="K841" t="s">
        <v>654</v>
      </c>
      <c r="L841" t="s">
        <v>640</v>
      </c>
      <c r="M841" t="s">
        <v>623</v>
      </c>
      <c r="N841" t="s">
        <v>624</v>
      </c>
      <c r="O841" t="s">
        <v>789</v>
      </c>
    </row>
    <row r="842" spans="1:15" x14ac:dyDescent="0.35">
      <c r="A842" s="77">
        <v>5.2191780821917808</v>
      </c>
      <c r="B842" s="19">
        <v>66582</v>
      </c>
      <c r="C842" s="19" t="s">
        <v>3164</v>
      </c>
      <c r="D842" s="19" t="s">
        <v>339</v>
      </c>
      <c r="E842" s="19" t="s">
        <v>340</v>
      </c>
      <c r="F842" s="19" t="s">
        <v>1024</v>
      </c>
      <c r="G842" s="19" t="s">
        <v>1046</v>
      </c>
      <c r="H842" s="19" t="s">
        <v>1001</v>
      </c>
      <c r="I842" s="19" t="s">
        <v>1575</v>
      </c>
      <c r="J842" s="20">
        <v>43</v>
      </c>
      <c r="K842" t="s">
        <v>631</v>
      </c>
      <c r="L842" t="s">
        <v>651</v>
      </c>
      <c r="M842" t="s">
        <v>629</v>
      </c>
      <c r="N842" t="s">
        <v>630</v>
      </c>
      <c r="O842" t="s">
        <v>705</v>
      </c>
    </row>
    <row r="843" spans="1:15" x14ac:dyDescent="0.35">
      <c r="A843" s="77">
        <v>2.495890410958904</v>
      </c>
      <c r="B843" s="19">
        <v>66597</v>
      </c>
      <c r="C843" s="19" t="s">
        <v>3165</v>
      </c>
      <c r="D843" s="19" t="s">
        <v>377</v>
      </c>
      <c r="E843" s="19" t="s">
        <v>378</v>
      </c>
      <c r="F843" s="19" t="s">
        <v>862</v>
      </c>
      <c r="G843" s="19" t="s">
        <v>1034</v>
      </c>
      <c r="H843" s="19" t="s">
        <v>1001</v>
      </c>
      <c r="I843" s="19" t="s">
        <v>1575</v>
      </c>
      <c r="J843" s="20">
        <v>30</v>
      </c>
      <c r="K843" t="s">
        <v>631</v>
      </c>
      <c r="L843" t="s">
        <v>661</v>
      </c>
      <c r="M843" t="s">
        <v>657</v>
      </c>
      <c r="N843" t="s">
        <v>662</v>
      </c>
      <c r="O843" t="s">
        <v>632</v>
      </c>
    </row>
    <row r="844" spans="1:15" x14ac:dyDescent="0.35">
      <c r="A844" s="77">
        <v>5.1671232876712327</v>
      </c>
      <c r="B844" s="19">
        <v>66672</v>
      </c>
      <c r="C844" s="19" t="s">
        <v>3166</v>
      </c>
      <c r="D844" s="19" t="s">
        <v>284</v>
      </c>
      <c r="E844" s="19" t="s">
        <v>285</v>
      </c>
      <c r="F844" s="19" t="s">
        <v>1150</v>
      </c>
      <c r="G844" s="19" t="s">
        <v>1084</v>
      </c>
      <c r="H844" s="19" t="s">
        <v>1020</v>
      </c>
      <c r="I844" s="19" t="s">
        <v>1575</v>
      </c>
      <c r="J844" s="20">
        <v>56</v>
      </c>
      <c r="K844" t="s">
        <v>625</v>
      </c>
      <c r="L844" t="s">
        <v>661</v>
      </c>
      <c r="M844" t="s">
        <v>657</v>
      </c>
      <c r="N844" t="s">
        <v>662</v>
      </c>
      <c r="O844" t="s">
        <v>632</v>
      </c>
    </row>
    <row r="845" spans="1:15" x14ac:dyDescent="0.35">
      <c r="A845" s="77">
        <v>0.91506849315068495</v>
      </c>
      <c r="B845" s="19">
        <v>66713</v>
      </c>
      <c r="C845" s="19" t="s">
        <v>3167</v>
      </c>
      <c r="D845" s="19" t="s">
        <v>424</v>
      </c>
      <c r="E845" s="19" t="s">
        <v>424</v>
      </c>
      <c r="F845" s="19" t="s">
        <v>699</v>
      </c>
      <c r="G845" s="19" t="s">
        <v>1045</v>
      </c>
      <c r="H845" s="19" t="s">
        <v>1001</v>
      </c>
      <c r="I845" s="19" t="s">
        <v>1575</v>
      </c>
      <c r="J845" s="20">
        <v>30</v>
      </c>
      <c r="K845" t="s">
        <v>642</v>
      </c>
      <c r="L845" t="s">
        <v>628</v>
      </c>
      <c r="M845" t="s">
        <v>629</v>
      </c>
      <c r="N845" t="s">
        <v>646</v>
      </c>
      <c r="O845" t="s">
        <v>632</v>
      </c>
    </row>
    <row r="846" spans="1:15" x14ac:dyDescent="0.35">
      <c r="A846" s="77">
        <v>0.852054794520548</v>
      </c>
      <c r="B846" s="19">
        <v>66764</v>
      </c>
      <c r="C846" s="19" t="s">
        <v>3168</v>
      </c>
      <c r="D846" s="19" t="s">
        <v>362</v>
      </c>
      <c r="E846" s="19" t="s">
        <v>363</v>
      </c>
      <c r="F846" s="19" t="s">
        <v>1056</v>
      </c>
      <c r="G846" s="19" t="s">
        <v>1008</v>
      </c>
      <c r="H846" s="19" t="s">
        <v>1001</v>
      </c>
      <c r="I846" s="19" t="s">
        <v>1575</v>
      </c>
      <c r="J846" s="20">
        <v>25</v>
      </c>
      <c r="K846" t="s">
        <v>654</v>
      </c>
      <c r="L846" t="s">
        <v>663</v>
      </c>
      <c r="M846" t="s">
        <v>629</v>
      </c>
      <c r="N846" t="s">
        <v>646</v>
      </c>
      <c r="O846" t="s">
        <v>810</v>
      </c>
    </row>
    <row r="847" spans="1:15" x14ac:dyDescent="0.35">
      <c r="A847" s="77">
        <v>0.14520547945205478</v>
      </c>
      <c r="B847" s="19">
        <v>66765</v>
      </c>
      <c r="C847" s="19" t="s">
        <v>3169</v>
      </c>
      <c r="D847" s="19" t="s">
        <v>362</v>
      </c>
      <c r="E847" s="19" t="s">
        <v>363</v>
      </c>
      <c r="F847" s="19" t="s">
        <v>1056</v>
      </c>
      <c r="G847" s="19" t="s">
        <v>1028</v>
      </c>
      <c r="H847" s="19" t="s">
        <v>1020</v>
      </c>
      <c r="I847" s="19" t="s">
        <v>1575</v>
      </c>
      <c r="J847" s="20">
        <v>23</v>
      </c>
      <c r="K847" t="s">
        <v>654</v>
      </c>
      <c r="L847" t="s">
        <v>663</v>
      </c>
      <c r="M847" t="s">
        <v>629</v>
      </c>
      <c r="N847" t="s">
        <v>646</v>
      </c>
      <c r="O847" t="s">
        <v>810</v>
      </c>
    </row>
    <row r="848" spans="1:15" x14ac:dyDescent="0.35">
      <c r="A848" s="77">
        <v>5</v>
      </c>
      <c r="B848" s="19">
        <v>66799</v>
      </c>
      <c r="C848" s="19" t="s">
        <v>3170</v>
      </c>
      <c r="D848" s="19" t="s">
        <v>403</v>
      </c>
      <c r="E848" s="19" t="s">
        <v>404</v>
      </c>
      <c r="F848" s="19" t="s">
        <v>870</v>
      </c>
      <c r="G848" s="19" t="s">
        <v>1589</v>
      </c>
      <c r="H848" s="19" t="s">
        <v>1001</v>
      </c>
      <c r="I848" s="19" t="s">
        <v>1575</v>
      </c>
      <c r="J848" s="20">
        <v>29</v>
      </c>
      <c r="K848" t="s">
        <v>631</v>
      </c>
      <c r="L848" t="s">
        <v>691</v>
      </c>
      <c r="M848" t="s">
        <v>657</v>
      </c>
      <c r="N848" t="s">
        <v>658</v>
      </c>
      <c r="O848" t="s">
        <v>632</v>
      </c>
    </row>
    <row r="849" spans="1:15" x14ac:dyDescent="0.35">
      <c r="A849" s="77">
        <v>4.9917808219178079</v>
      </c>
      <c r="B849" s="19">
        <v>66811</v>
      </c>
      <c r="C849" s="19" t="s">
        <v>3171</v>
      </c>
      <c r="D849" s="19" t="s">
        <v>17</v>
      </c>
      <c r="E849" s="19" t="s">
        <v>17</v>
      </c>
      <c r="F849" s="19" t="s">
        <v>906</v>
      </c>
      <c r="G849" s="19" t="s">
        <v>1000</v>
      </c>
      <c r="H849" s="19" t="s">
        <v>1001</v>
      </c>
      <c r="I849" s="19" t="s">
        <v>1575</v>
      </c>
      <c r="J849" s="20">
        <v>37</v>
      </c>
      <c r="K849" t="s">
        <v>636</v>
      </c>
      <c r="L849" t="s">
        <v>648</v>
      </c>
      <c r="M849" t="s">
        <v>623</v>
      </c>
      <c r="N849" t="s">
        <v>624</v>
      </c>
      <c r="O849" t="s">
        <v>649</v>
      </c>
    </row>
    <row r="850" spans="1:15" x14ac:dyDescent="0.35">
      <c r="A850" s="77">
        <v>5</v>
      </c>
      <c r="B850" s="19">
        <v>66817</v>
      </c>
      <c r="C850" s="19" t="s">
        <v>3172</v>
      </c>
      <c r="D850" s="19" t="s">
        <v>47</v>
      </c>
      <c r="E850" s="19" t="s">
        <v>48</v>
      </c>
      <c r="F850" s="19" t="s">
        <v>1232</v>
      </c>
      <c r="G850" s="19" t="s">
        <v>1008</v>
      </c>
      <c r="H850" s="19" t="s">
        <v>1001</v>
      </c>
      <c r="I850" s="19" t="s">
        <v>1575</v>
      </c>
      <c r="J850" s="20">
        <v>26</v>
      </c>
      <c r="K850" t="s">
        <v>636</v>
      </c>
      <c r="L850" t="s">
        <v>622</v>
      </c>
      <c r="M850" t="s">
        <v>623</v>
      </c>
      <c r="N850" t="s">
        <v>624</v>
      </c>
      <c r="O850" t="s">
        <v>649</v>
      </c>
    </row>
    <row r="851" spans="1:15" x14ac:dyDescent="0.35">
      <c r="A851" s="77">
        <v>0.48493150684931507</v>
      </c>
      <c r="B851" s="19">
        <v>66846</v>
      </c>
      <c r="C851" s="19" t="s">
        <v>3173</v>
      </c>
      <c r="D851" s="19" t="s">
        <v>347</v>
      </c>
      <c r="E851" s="19" t="s">
        <v>348</v>
      </c>
      <c r="F851" s="19" t="s">
        <v>910</v>
      </c>
      <c r="G851" s="19" t="s">
        <v>1057</v>
      </c>
      <c r="H851" s="19" t="s">
        <v>1001</v>
      </c>
      <c r="I851" s="19" t="s">
        <v>1575</v>
      </c>
      <c r="J851" s="20">
        <v>34</v>
      </c>
      <c r="K851" t="s">
        <v>654</v>
      </c>
      <c r="L851" t="s">
        <v>707</v>
      </c>
      <c r="M851" t="s">
        <v>629</v>
      </c>
      <c r="N851" t="s">
        <v>635</v>
      </c>
      <c r="O851" t="s">
        <v>710</v>
      </c>
    </row>
    <row r="852" spans="1:15" x14ac:dyDescent="0.35">
      <c r="A852" s="77">
        <v>1.9972602739726026</v>
      </c>
      <c r="B852" s="19">
        <v>66877</v>
      </c>
      <c r="C852" s="19" t="s">
        <v>3174</v>
      </c>
      <c r="D852" s="19" t="s">
        <v>105</v>
      </c>
      <c r="E852" s="19" t="s">
        <v>106</v>
      </c>
      <c r="F852" s="19" t="s">
        <v>1207</v>
      </c>
      <c r="G852" s="19" t="s">
        <v>1028</v>
      </c>
      <c r="H852" s="19" t="s">
        <v>1020</v>
      </c>
      <c r="I852" s="19" t="s">
        <v>1575</v>
      </c>
      <c r="J852" s="20">
        <v>30</v>
      </c>
      <c r="K852" t="s">
        <v>654</v>
      </c>
      <c r="L852" t="s">
        <v>622</v>
      </c>
      <c r="M852" t="s">
        <v>623</v>
      </c>
      <c r="N852" t="s">
        <v>624</v>
      </c>
      <c r="O852" t="s">
        <v>626</v>
      </c>
    </row>
    <row r="853" spans="1:15" x14ac:dyDescent="0.35">
      <c r="A853" s="77">
        <v>4.9945205479452053</v>
      </c>
      <c r="B853" s="19">
        <v>66878</v>
      </c>
      <c r="C853" s="19" t="s">
        <v>3175</v>
      </c>
      <c r="D853" s="19" t="s">
        <v>8</v>
      </c>
      <c r="E853" s="19" t="s">
        <v>8</v>
      </c>
      <c r="F853" s="19" t="s">
        <v>1176</v>
      </c>
      <c r="G853" s="19" t="s">
        <v>1034</v>
      </c>
      <c r="H853" s="19" t="s">
        <v>1001</v>
      </c>
      <c r="I853" s="19" t="s">
        <v>1575</v>
      </c>
      <c r="J853" s="20">
        <v>29</v>
      </c>
      <c r="K853" t="s">
        <v>625</v>
      </c>
      <c r="L853" t="s">
        <v>622</v>
      </c>
      <c r="M853" t="s">
        <v>623</v>
      </c>
      <c r="N853" t="s">
        <v>624</v>
      </c>
      <c r="O853" t="s">
        <v>626</v>
      </c>
    </row>
    <row r="854" spans="1:15" x14ac:dyDescent="0.35">
      <c r="A854" s="77">
        <v>4.9945205479452053</v>
      </c>
      <c r="B854" s="19">
        <v>66879</v>
      </c>
      <c r="C854" s="19" t="s">
        <v>3176</v>
      </c>
      <c r="D854" s="19" t="s">
        <v>8</v>
      </c>
      <c r="E854" s="19" t="s">
        <v>8</v>
      </c>
      <c r="F854" s="19" t="s">
        <v>1176</v>
      </c>
      <c r="G854" s="19" t="s">
        <v>1158</v>
      </c>
      <c r="H854" s="19" t="s">
        <v>1001</v>
      </c>
      <c r="I854" s="19" t="s">
        <v>1575</v>
      </c>
      <c r="J854" s="20">
        <v>27</v>
      </c>
      <c r="K854" t="s">
        <v>625</v>
      </c>
      <c r="L854" t="s">
        <v>622</v>
      </c>
      <c r="M854" t="s">
        <v>623</v>
      </c>
      <c r="N854" t="s">
        <v>624</v>
      </c>
      <c r="O854" t="s">
        <v>626</v>
      </c>
    </row>
    <row r="855" spans="1:15" x14ac:dyDescent="0.35">
      <c r="A855" s="77">
        <v>4.9808219178082194</v>
      </c>
      <c r="B855" s="19">
        <v>66904</v>
      </c>
      <c r="C855" s="19" t="s">
        <v>3177</v>
      </c>
      <c r="D855" s="19" t="s">
        <v>95</v>
      </c>
      <c r="E855" s="19" t="s">
        <v>96</v>
      </c>
      <c r="F855" s="19" t="s">
        <v>1188</v>
      </c>
      <c r="G855" s="19" t="s">
        <v>1057</v>
      </c>
      <c r="H855" s="19" t="s">
        <v>1001</v>
      </c>
      <c r="I855" s="19" t="s">
        <v>1575</v>
      </c>
      <c r="J855" s="20">
        <v>27</v>
      </c>
      <c r="K855" t="s">
        <v>636</v>
      </c>
      <c r="L855" t="s">
        <v>737</v>
      </c>
      <c r="M855" t="s">
        <v>657</v>
      </c>
      <c r="N855" t="s">
        <v>641</v>
      </c>
      <c r="O855" t="s">
        <v>738</v>
      </c>
    </row>
    <row r="856" spans="1:15" x14ac:dyDescent="0.35">
      <c r="A856" s="77">
        <v>3.3452054794520549</v>
      </c>
      <c r="B856" s="19">
        <v>66910</v>
      </c>
      <c r="C856" s="19" t="s">
        <v>3178</v>
      </c>
      <c r="D856" s="19" t="s">
        <v>109</v>
      </c>
      <c r="E856" s="19" t="s">
        <v>110</v>
      </c>
      <c r="F856" s="19" t="s">
        <v>2347</v>
      </c>
      <c r="G856" s="19" t="s">
        <v>1034</v>
      </c>
      <c r="H856" s="19" t="s">
        <v>1001</v>
      </c>
      <c r="I856" s="19" t="s">
        <v>1575</v>
      </c>
      <c r="J856" s="20">
        <v>24</v>
      </c>
      <c r="K856" t="s">
        <v>654</v>
      </c>
      <c r="L856" t="s">
        <v>684</v>
      </c>
      <c r="M856" t="s">
        <v>623</v>
      </c>
      <c r="N856" t="s">
        <v>662</v>
      </c>
      <c r="O856" t="s">
        <v>685</v>
      </c>
    </row>
    <row r="857" spans="1:15" x14ac:dyDescent="0.35">
      <c r="A857" s="77">
        <v>4.9589041095890414</v>
      </c>
      <c r="B857" s="19">
        <v>67011</v>
      </c>
      <c r="C857" s="19" t="s">
        <v>3179</v>
      </c>
      <c r="D857" s="19" t="s">
        <v>328</v>
      </c>
      <c r="E857" s="19" t="s">
        <v>329</v>
      </c>
      <c r="F857" s="19" t="s">
        <v>838</v>
      </c>
      <c r="G857" s="19" t="s">
        <v>1084</v>
      </c>
      <c r="H857" s="19" t="s">
        <v>1001</v>
      </c>
      <c r="I857" s="19" t="s">
        <v>1575</v>
      </c>
      <c r="J857" s="20">
        <v>55</v>
      </c>
      <c r="K857" t="s">
        <v>631</v>
      </c>
      <c r="L857" t="s">
        <v>645</v>
      </c>
      <c r="M857" t="s">
        <v>629</v>
      </c>
      <c r="N857" t="s">
        <v>646</v>
      </c>
      <c r="O857" t="s">
        <v>632</v>
      </c>
    </row>
    <row r="858" spans="1:15" x14ac:dyDescent="0.35">
      <c r="A858" s="77">
        <v>0.46575342465753422</v>
      </c>
      <c r="B858" s="19">
        <v>67083</v>
      </c>
      <c r="C858" s="19" t="s">
        <v>3180</v>
      </c>
      <c r="D858" s="19" t="s">
        <v>30</v>
      </c>
      <c r="E858" s="19" t="s">
        <v>30</v>
      </c>
      <c r="F858" s="19" t="s">
        <v>672</v>
      </c>
      <c r="G858" s="19" t="s">
        <v>1008</v>
      </c>
      <c r="H858" s="19" t="s">
        <v>1001</v>
      </c>
      <c r="I858" s="19" t="s">
        <v>1599</v>
      </c>
      <c r="J858" s="20">
        <v>26</v>
      </c>
      <c r="K858" t="s">
        <v>636</v>
      </c>
      <c r="L858" t="s">
        <v>673</v>
      </c>
      <c r="M858" t="s">
        <v>623</v>
      </c>
      <c r="N858" t="s">
        <v>641</v>
      </c>
      <c r="O858" t="s">
        <v>674</v>
      </c>
    </row>
    <row r="859" spans="1:15" x14ac:dyDescent="0.35">
      <c r="A859" s="77">
        <v>4.9726027397260273</v>
      </c>
      <c r="B859" s="19">
        <v>67141</v>
      </c>
      <c r="C859" s="19" t="s">
        <v>3181</v>
      </c>
      <c r="D859" s="19" t="s">
        <v>12</v>
      </c>
      <c r="E859" s="19" t="s">
        <v>12</v>
      </c>
      <c r="F859" s="19" t="s">
        <v>1145</v>
      </c>
      <c r="G859" s="19" t="s">
        <v>1008</v>
      </c>
      <c r="H859" s="19" t="s">
        <v>1001</v>
      </c>
      <c r="I859" s="19" t="s">
        <v>1575</v>
      </c>
      <c r="J859" s="20">
        <v>28</v>
      </c>
      <c r="K859" t="s">
        <v>636</v>
      </c>
      <c r="L859" t="s">
        <v>634</v>
      </c>
      <c r="M859" t="s">
        <v>629</v>
      </c>
      <c r="N859" t="s">
        <v>635</v>
      </c>
      <c r="O859" t="s">
        <v>637</v>
      </c>
    </row>
    <row r="860" spans="1:15" x14ac:dyDescent="0.35">
      <c r="A860" s="77">
        <v>1.0821917808219179</v>
      </c>
      <c r="B860" s="19">
        <v>67161</v>
      </c>
      <c r="C860" s="19" t="s">
        <v>3182</v>
      </c>
      <c r="D860" s="19" t="s">
        <v>17</v>
      </c>
      <c r="E860" s="19" t="s">
        <v>17</v>
      </c>
      <c r="F860" s="19" t="s">
        <v>906</v>
      </c>
      <c r="G860" s="19" t="s">
        <v>1008</v>
      </c>
      <c r="H860" s="19" t="s">
        <v>1001</v>
      </c>
      <c r="I860" s="19" t="s">
        <v>1575</v>
      </c>
      <c r="J860" s="20">
        <v>23</v>
      </c>
      <c r="K860" t="s">
        <v>636</v>
      </c>
      <c r="L860" t="s">
        <v>648</v>
      </c>
      <c r="M860" t="s">
        <v>623</v>
      </c>
      <c r="N860" t="s">
        <v>624</v>
      </c>
      <c r="O860" t="s">
        <v>649</v>
      </c>
    </row>
    <row r="861" spans="1:15" x14ac:dyDescent="0.35">
      <c r="A861" s="77">
        <v>4.9589041095890414</v>
      </c>
      <c r="B861" s="19">
        <v>67171</v>
      </c>
      <c r="C861" s="19" t="s">
        <v>3183</v>
      </c>
      <c r="D861" s="19" t="s">
        <v>375</v>
      </c>
      <c r="E861" s="19" t="s">
        <v>376</v>
      </c>
      <c r="F861" s="19" t="s">
        <v>1270</v>
      </c>
      <c r="G861" s="19" t="s">
        <v>1057</v>
      </c>
      <c r="H861" s="19" t="s">
        <v>1001</v>
      </c>
      <c r="I861" s="19" t="s">
        <v>1575</v>
      </c>
      <c r="J861" s="20">
        <v>23</v>
      </c>
      <c r="K861" t="s">
        <v>636</v>
      </c>
      <c r="L861" t="s">
        <v>678</v>
      </c>
      <c r="M861" t="s">
        <v>623</v>
      </c>
      <c r="N861" t="s">
        <v>624</v>
      </c>
      <c r="O861" t="s">
        <v>679</v>
      </c>
    </row>
    <row r="862" spans="1:15" x14ac:dyDescent="0.35">
      <c r="A862" s="77">
        <v>4.956164383561644</v>
      </c>
      <c r="B862" s="19">
        <v>67177</v>
      </c>
      <c r="C862" s="19" t="s">
        <v>3184</v>
      </c>
      <c r="D862" s="19" t="s">
        <v>324</v>
      </c>
      <c r="E862" s="19" t="s">
        <v>325</v>
      </c>
      <c r="F862" s="19" t="s">
        <v>1284</v>
      </c>
      <c r="G862" s="19" t="s">
        <v>1045</v>
      </c>
      <c r="H862" s="19" t="s">
        <v>1001</v>
      </c>
      <c r="I862" s="19" t="s">
        <v>1575</v>
      </c>
      <c r="J862" s="20">
        <v>32</v>
      </c>
      <c r="K862" t="s">
        <v>631</v>
      </c>
      <c r="L862" t="s">
        <v>663</v>
      </c>
      <c r="M862" t="s">
        <v>629</v>
      </c>
      <c r="N862" t="s">
        <v>646</v>
      </c>
      <c r="O862" t="s">
        <v>639</v>
      </c>
    </row>
    <row r="863" spans="1:15" x14ac:dyDescent="0.35">
      <c r="A863" s="77">
        <v>1.0054794520547945</v>
      </c>
      <c r="B863" s="19">
        <v>67342</v>
      </c>
      <c r="C863" s="19" t="s">
        <v>3185</v>
      </c>
      <c r="D863" s="19" t="s">
        <v>35</v>
      </c>
      <c r="E863" s="19" t="s">
        <v>35</v>
      </c>
      <c r="F863" s="19" t="s">
        <v>1657</v>
      </c>
      <c r="G863" s="19" t="s">
        <v>1057</v>
      </c>
      <c r="H863" s="19" t="s">
        <v>1001</v>
      </c>
      <c r="I863" s="19" t="s">
        <v>1575</v>
      </c>
      <c r="J863" s="20">
        <v>24</v>
      </c>
      <c r="K863" t="s">
        <v>654</v>
      </c>
      <c r="L863" t="s">
        <v>684</v>
      </c>
      <c r="M863" t="s">
        <v>623</v>
      </c>
      <c r="N863" t="s">
        <v>662</v>
      </c>
      <c r="O863" t="s">
        <v>685</v>
      </c>
    </row>
    <row r="864" spans="1:15" x14ac:dyDescent="0.35">
      <c r="A864" s="77">
        <v>3.2493150684931509</v>
      </c>
      <c r="B864" s="19">
        <v>67344</v>
      </c>
      <c r="C864" s="19" t="s">
        <v>3186</v>
      </c>
      <c r="D864" s="19" t="s">
        <v>280</v>
      </c>
      <c r="E864" s="19" t="s">
        <v>281</v>
      </c>
      <c r="F864" s="19" t="s">
        <v>1223</v>
      </c>
      <c r="G864" s="19" t="s">
        <v>1084</v>
      </c>
      <c r="H864" s="19" t="s">
        <v>1001</v>
      </c>
      <c r="I864" s="19" t="s">
        <v>1575</v>
      </c>
      <c r="J864" s="20">
        <v>47</v>
      </c>
      <c r="K864" t="s">
        <v>631</v>
      </c>
      <c r="L864" t="s">
        <v>691</v>
      </c>
      <c r="M864" t="s">
        <v>657</v>
      </c>
      <c r="N864" t="s">
        <v>658</v>
      </c>
      <c r="O864" t="s">
        <v>632</v>
      </c>
    </row>
    <row r="865" spans="1:15" x14ac:dyDescent="0.35">
      <c r="A865" s="77">
        <v>4.9178082191780819</v>
      </c>
      <c r="B865" s="19">
        <v>67350</v>
      </c>
      <c r="C865" s="19" t="s">
        <v>3187</v>
      </c>
      <c r="D865" s="19" t="s">
        <v>349</v>
      </c>
      <c r="E865" s="19" t="s">
        <v>350</v>
      </c>
      <c r="F865" s="19" t="s">
        <v>912</v>
      </c>
      <c r="G865" s="19" t="s">
        <v>1008</v>
      </c>
      <c r="H865" s="19" t="s">
        <v>1001</v>
      </c>
      <c r="I865" s="19" t="s">
        <v>1575</v>
      </c>
      <c r="J865" s="20">
        <v>40</v>
      </c>
      <c r="K865" t="s">
        <v>625</v>
      </c>
      <c r="L865" t="s">
        <v>648</v>
      </c>
      <c r="M865" t="s">
        <v>623</v>
      </c>
      <c r="N865" t="s">
        <v>624</v>
      </c>
      <c r="O865" t="s">
        <v>649</v>
      </c>
    </row>
    <row r="866" spans="1:15" x14ac:dyDescent="0.35">
      <c r="A866" s="77">
        <v>0.989041095890411</v>
      </c>
      <c r="B866" s="19">
        <v>67360</v>
      </c>
      <c r="C866" s="19" t="s">
        <v>3188</v>
      </c>
      <c r="D866" s="19" t="s">
        <v>276</v>
      </c>
      <c r="E866" s="19" t="s">
        <v>277</v>
      </c>
      <c r="F866" s="19" t="s">
        <v>893</v>
      </c>
      <c r="G866" s="19" t="s">
        <v>1034</v>
      </c>
      <c r="H866" s="19" t="s">
        <v>1001</v>
      </c>
      <c r="I866" s="19" t="s">
        <v>1575</v>
      </c>
      <c r="J866" s="20">
        <v>23</v>
      </c>
      <c r="K866" t="s">
        <v>631</v>
      </c>
      <c r="L866" t="s">
        <v>707</v>
      </c>
      <c r="M866" t="s">
        <v>629</v>
      </c>
      <c r="N866" t="s">
        <v>635</v>
      </c>
      <c r="O866" t="s">
        <v>710</v>
      </c>
    </row>
    <row r="867" spans="1:15" x14ac:dyDescent="0.35">
      <c r="A867" s="77">
        <v>4.9178082191780819</v>
      </c>
      <c r="B867" s="19">
        <v>67362</v>
      </c>
      <c r="C867" s="19" t="s">
        <v>3189</v>
      </c>
      <c r="D867" s="19" t="s">
        <v>276</v>
      </c>
      <c r="E867" s="19" t="s">
        <v>277</v>
      </c>
      <c r="F867" s="19" t="s">
        <v>893</v>
      </c>
      <c r="G867" s="19" t="s">
        <v>1598</v>
      </c>
      <c r="H867" s="19" t="s">
        <v>1001</v>
      </c>
      <c r="I867" s="19" t="s">
        <v>1599</v>
      </c>
      <c r="J867" s="20">
        <v>31</v>
      </c>
      <c r="K867" t="s">
        <v>631</v>
      </c>
      <c r="L867" t="s">
        <v>707</v>
      </c>
      <c r="M867" t="s">
        <v>629</v>
      </c>
      <c r="N867" t="s">
        <v>635</v>
      </c>
      <c r="O867" t="s">
        <v>710</v>
      </c>
    </row>
    <row r="868" spans="1:15" x14ac:dyDescent="0.35">
      <c r="A868" s="77">
        <v>4.9178082191780819</v>
      </c>
      <c r="B868" s="19">
        <v>67363</v>
      </c>
      <c r="C868" s="19" t="s">
        <v>3190</v>
      </c>
      <c r="D868" s="19" t="s">
        <v>405</v>
      </c>
      <c r="E868" s="19" t="s">
        <v>406</v>
      </c>
      <c r="F868" s="19" t="s">
        <v>594</v>
      </c>
      <c r="G868" s="19" t="s">
        <v>1000</v>
      </c>
      <c r="H868" s="19" t="s">
        <v>1001</v>
      </c>
      <c r="I868" s="19" t="s">
        <v>1599</v>
      </c>
      <c r="J868" s="20">
        <v>34</v>
      </c>
      <c r="K868" t="s">
        <v>654</v>
      </c>
      <c r="L868" t="s">
        <v>684</v>
      </c>
      <c r="M868" t="s">
        <v>623</v>
      </c>
      <c r="N868" t="s">
        <v>662</v>
      </c>
      <c r="O868" t="s">
        <v>872</v>
      </c>
    </row>
    <row r="869" spans="1:15" x14ac:dyDescent="0.35">
      <c r="A869" s="77">
        <v>4.912328767123288</v>
      </c>
      <c r="B869" s="19">
        <v>67365</v>
      </c>
      <c r="C869" s="19" t="s">
        <v>3191</v>
      </c>
      <c r="D869" s="19" t="s">
        <v>252</v>
      </c>
      <c r="E869" s="19" t="s">
        <v>253</v>
      </c>
      <c r="F869" s="19" t="s">
        <v>914</v>
      </c>
      <c r="G869" s="19" t="s">
        <v>1046</v>
      </c>
      <c r="H869" s="19" t="s">
        <v>1001</v>
      </c>
      <c r="I869" s="19" t="s">
        <v>1575</v>
      </c>
      <c r="J869" s="20">
        <v>25</v>
      </c>
      <c r="K869" t="s">
        <v>636</v>
      </c>
      <c r="L869" t="s">
        <v>656</v>
      </c>
      <c r="M869" t="s">
        <v>657</v>
      </c>
      <c r="N869" t="s">
        <v>658</v>
      </c>
      <c r="O869" t="s">
        <v>718</v>
      </c>
    </row>
    <row r="870" spans="1:15" x14ac:dyDescent="0.35">
      <c r="A870" s="77">
        <v>4.9150684931506845</v>
      </c>
      <c r="B870" s="19">
        <v>67366</v>
      </c>
      <c r="C870" s="19" t="s">
        <v>3192</v>
      </c>
      <c r="D870" s="19" t="s">
        <v>167</v>
      </c>
      <c r="E870" s="19" t="s">
        <v>168</v>
      </c>
      <c r="F870" s="19" t="s">
        <v>2009</v>
      </c>
      <c r="G870" s="19" t="s">
        <v>1057</v>
      </c>
      <c r="H870" s="19" t="s">
        <v>1001</v>
      </c>
      <c r="I870" s="19" t="s">
        <v>1575</v>
      </c>
      <c r="J870" s="20">
        <v>40</v>
      </c>
      <c r="K870" t="s">
        <v>636</v>
      </c>
      <c r="L870" t="s">
        <v>640</v>
      </c>
      <c r="M870" t="s">
        <v>623</v>
      </c>
      <c r="N870" t="s">
        <v>641</v>
      </c>
      <c r="O870" t="s">
        <v>754</v>
      </c>
    </row>
    <row r="871" spans="1:15" x14ac:dyDescent="0.35">
      <c r="A871" s="77">
        <v>1.8712328767123287</v>
      </c>
      <c r="B871" s="19">
        <v>67419</v>
      </c>
      <c r="C871" s="19" t="s">
        <v>3193</v>
      </c>
      <c r="D871" s="19" t="s">
        <v>305</v>
      </c>
      <c r="E871" s="19" t="s">
        <v>306</v>
      </c>
      <c r="F871" s="19" t="s">
        <v>1086</v>
      </c>
      <c r="G871" s="19" t="s">
        <v>1028</v>
      </c>
      <c r="H871" s="19" t="s">
        <v>1020</v>
      </c>
      <c r="I871" s="19" t="s">
        <v>1599</v>
      </c>
      <c r="J871" s="20">
        <v>23</v>
      </c>
      <c r="K871" t="s">
        <v>654</v>
      </c>
      <c r="L871" t="s">
        <v>622</v>
      </c>
      <c r="M871" t="s">
        <v>623</v>
      </c>
      <c r="N871" t="s">
        <v>624</v>
      </c>
      <c r="O871" t="s">
        <v>826</v>
      </c>
    </row>
    <row r="872" spans="1:15" x14ac:dyDescent="0.35">
      <c r="A872" s="77">
        <v>4.9150684931506845</v>
      </c>
      <c r="B872" s="19">
        <v>67432</v>
      </c>
      <c r="C872" s="19" t="s">
        <v>3194</v>
      </c>
      <c r="D872" s="19" t="s">
        <v>147</v>
      </c>
      <c r="E872" s="19" t="s">
        <v>148</v>
      </c>
      <c r="F872" s="19" t="s">
        <v>1396</v>
      </c>
      <c r="G872" s="19" t="s">
        <v>1084</v>
      </c>
      <c r="H872" s="19" t="s">
        <v>1020</v>
      </c>
      <c r="I872" s="19" t="s">
        <v>1575</v>
      </c>
      <c r="J872" s="20">
        <v>53</v>
      </c>
      <c r="K872" t="s">
        <v>636</v>
      </c>
      <c r="L872" t="s">
        <v>661</v>
      </c>
      <c r="M872" t="s">
        <v>657</v>
      </c>
      <c r="N872" t="s">
        <v>662</v>
      </c>
      <c r="O872" t="s">
        <v>632</v>
      </c>
    </row>
    <row r="873" spans="1:15" x14ac:dyDescent="0.35">
      <c r="A873" s="77">
        <v>4.912328767123288</v>
      </c>
      <c r="B873" s="19">
        <v>67441</v>
      </c>
      <c r="C873" s="19" t="s">
        <v>3195</v>
      </c>
      <c r="D873" s="19" t="s">
        <v>211</v>
      </c>
      <c r="E873" s="19" t="s">
        <v>212</v>
      </c>
      <c r="F873" s="19" t="s">
        <v>1049</v>
      </c>
      <c r="G873" s="19" t="s">
        <v>1000</v>
      </c>
      <c r="H873" s="19" t="s">
        <v>1001</v>
      </c>
      <c r="I873" s="19" t="s">
        <v>1599</v>
      </c>
      <c r="J873" s="20">
        <v>36</v>
      </c>
      <c r="K873" t="s">
        <v>654</v>
      </c>
      <c r="L873" t="s">
        <v>691</v>
      </c>
      <c r="M873" t="s">
        <v>657</v>
      </c>
      <c r="N873" t="s">
        <v>658</v>
      </c>
      <c r="O873" t="s">
        <v>632</v>
      </c>
    </row>
    <row r="874" spans="1:15" x14ac:dyDescent="0.35">
      <c r="A874" s="77">
        <v>0.31780821917808222</v>
      </c>
      <c r="B874" s="19">
        <v>67525</v>
      </c>
      <c r="C874" s="19" t="s">
        <v>3196</v>
      </c>
      <c r="D874" s="19" t="s">
        <v>339</v>
      </c>
      <c r="E874" s="19" t="s">
        <v>340</v>
      </c>
      <c r="F874" s="19" t="s">
        <v>1024</v>
      </c>
      <c r="G874" s="19" t="s">
        <v>1028</v>
      </c>
      <c r="H874" s="19" t="s">
        <v>1020</v>
      </c>
      <c r="I874" s="19" t="s">
        <v>1599</v>
      </c>
      <c r="J874" s="20">
        <v>24</v>
      </c>
      <c r="K874" t="s">
        <v>631</v>
      </c>
      <c r="L874" t="s">
        <v>651</v>
      </c>
      <c r="M874" t="s">
        <v>629</v>
      </c>
      <c r="N874" t="s">
        <v>630</v>
      </c>
      <c r="O874" t="s">
        <v>705</v>
      </c>
    </row>
    <row r="875" spans="1:15" x14ac:dyDescent="0.35">
      <c r="A875" s="77">
        <v>1.9972602739726026</v>
      </c>
      <c r="B875" s="19">
        <v>67533</v>
      </c>
      <c r="C875" s="19" t="s">
        <v>3197</v>
      </c>
      <c r="D875" s="19" t="s">
        <v>53</v>
      </c>
      <c r="E875" s="19" t="s">
        <v>54</v>
      </c>
      <c r="F875" s="19" t="s">
        <v>1308</v>
      </c>
      <c r="G875" s="19" t="s">
        <v>1028</v>
      </c>
      <c r="H875" s="19" t="s">
        <v>1020</v>
      </c>
      <c r="I875" s="19" t="s">
        <v>1575</v>
      </c>
      <c r="J875" s="20">
        <v>23</v>
      </c>
      <c r="K875" t="s">
        <v>668</v>
      </c>
      <c r="L875" t="s">
        <v>691</v>
      </c>
      <c r="M875" t="s">
        <v>657</v>
      </c>
      <c r="N875" t="s">
        <v>658</v>
      </c>
      <c r="O875" t="s">
        <v>632</v>
      </c>
    </row>
    <row r="876" spans="1:15" x14ac:dyDescent="0.35">
      <c r="A876" s="77">
        <v>4.8986301369863012</v>
      </c>
      <c r="B876" s="19">
        <v>67557</v>
      </c>
      <c r="C876" s="19" t="s">
        <v>3198</v>
      </c>
      <c r="D876" s="19" t="s">
        <v>377</v>
      </c>
      <c r="E876" s="19" t="s">
        <v>378</v>
      </c>
      <c r="F876" s="19" t="s">
        <v>862</v>
      </c>
      <c r="G876" s="19" t="s">
        <v>1034</v>
      </c>
      <c r="H876" s="19" t="s">
        <v>1001</v>
      </c>
      <c r="I876" s="19" t="s">
        <v>1575</v>
      </c>
      <c r="J876" s="20">
        <v>24</v>
      </c>
      <c r="K876" t="s">
        <v>631</v>
      </c>
      <c r="L876" t="s">
        <v>661</v>
      </c>
      <c r="M876" t="s">
        <v>657</v>
      </c>
      <c r="N876" t="s">
        <v>662</v>
      </c>
      <c r="O876" t="s">
        <v>632</v>
      </c>
    </row>
    <row r="877" spans="1:15" x14ac:dyDescent="0.35">
      <c r="A877" s="77">
        <v>4.912328767123288</v>
      </c>
      <c r="B877" s="19">
        <v>67600</v>
      </c>
      <c r="C877" s="19" t="s">
        <v>3199</v>
      </c>
      <c r="D877" s="19" t="s">
        <v>349</v>
      </c>
      <c r="E877" s="19" t="s">
        <v>350</v>
      </c>
      <c r="F877" s="19" t="s">
        <v>912</v>
      </c>
      <c r="G877" s="19" t="s">
        <v>1045</v>
      </c>
      <c r="H877" s="19" t="s">
        <v>1001</v>
      </c>
      <c r="I877" s="19" t="s">
        <v>1575</v>
      </c>
      <c r="J877" s="20">
        <v>31</v>
      </c>
      <c r="K877" t="s">
        <v>625</v>
      </c>
      <c r="L877" t="s">
        <v>648</v>
      </c>
      <c r="M877" t="s">
        <v>623</v>
      </c>
      <c r="N877" t="s">
        <v>624</v>
      </c>
      <c r="O877" t="s">
        <v>649</v>
      </c>
    </row>
    <row r="878" spans="1:15" x14ac:dyDescent="0.35">
      <c r="A878" s="77">
        <v>4.904109589041096</v>
      </c>
      <c r="B878" s="19">
        <v>67613</v>
      </c>
      <c r="C878" s="19" t="s">
        <v>3200</v>
      </c>
      <c r="D878" s="19" t="s">
        <v>333</v>
      </c>
      <c r="E878" s="19" t="s">
        <v>334</v>
      </c>
      <c r="F878" s="19" t="s">
        <v>1333</v>
      </c>
      <c r="G878" s="19" t="s">
        <v>1057</v>
      </c>
      <c r="H878" s="19" t="s">
        <v>1001</v>
      </c>
      <c r="I878" s="19" t="s">
        <v>1575</v>
      </c>
      <c r="J878" s="20">
        <v>33</v>
      </c>
      <c r="K878" t="s">
        <v>636</v>
      </c>
      <c r="L878" t="s">
        <v>666</v>
      </c>
      <c r="M878" t="s">
        <v>629</v>
      </c>
      <c r="N878" t="s">
        <v>630</v>
      </c>
      <c r="O878" t="s">
        <v>652</v>
      </c>
    </row>
    <row r="879" spans="1:15" x14ac:dyDescent="0.35">
      <c r="A879" s="77">
        <v>4.9013698630136986</v>
      </c>
      <c r="B879" s="19">
        <v>67625</v>
      </c>
      <c r="C879" s="19" t="s">
        <v>3201</v>
      </c>
      <c r="D879" s="19" t="s">
        <v>201</v>
      </c>
      <c r="E879" s="19" t="s">
        <v>202</v>
      </c>
      <c r="F879" s="19" t="s">
        <v>1061</v>
      </c>
      <c r="G879" s="19" t="s">
        <v>1598</v>
      </c>
      <c r="H879" s="19" t="s">
        <v>1001</v>
      </c>
      <c r="I879" s="19" t="s">
        <v>1575</v>
      </c>
      <c r="J879" s="20">
        <v>38</v>
      </c>
      <c r="K879" t="s">
        <v>631</v>
      </c>
      <c r="L879" t="s">
        <v>628</v>
      </c>
      <c r="M879" t="s">
        <v>629</v>
      </c>
      <c r="N879" t="s">
        <v>630</v>
      </c>
      <c r="O879" t="s">
        <v>784</v>
      </c>
    </row>
    <row r="880" spans="1:15" x14ac:dyDescent="0.35">
      <c r="A880" s="77">
        <v>4.9013698630136986</v>
      </c>
      <c r="B880" s="19">
        <v>67635</v>
      </c>
      <c r="C880" s="19" t="s">
        <v>3202</v>
      </c>
      <c r="D880" s="19" t="s">
        <v>39</v>
      </c>
      <c r="E880" s="19" t="s">
        <v>39</v>
      </c>
      <c r="F880" s="19" t="s">
        <v>1168</v>
      </c>
      <c r="G880" s="19" t="s">
        <v>1008</v>
      </c>
      <c r="H880" s="19" t="s">
        <v>1001</v>
      </c>
      <c r="I880" s="19" t="s">
        <v>1575</v>
      </c>
      <c r="J880" s="20">
        <v>25</v>
      </c>
      <c r="K880" t="s">
        <v>636</v>
      </c>
      <c r="L880" t="s">
        <v>661</v>
      </c>
      <c r="M880" t="s">
        <v>657</v>
      </c>
      <c r="N880" t="s">
        <v>662</v>
      </c>
      <c r="O880" t="s">
        <v>632</v>
      </c>
    </row>
    <row r="881" spans="1:15" x14ac:dyDescent="0.35">
      <c r="A881" s="77">
        <v>4.8958904109589039</v>
      </c>
      <c r="B881" s="19">
        <v>67654</v>
      </c>
      <c r="C881" s="19" t="s">
        <v>3203</v>
      </c>
      <c r="D881" s="19" t="s">
        <v>430</v>
      </c>
      <c r="E881" s="19" t="e">
        <v>#N/A</v>
      </c>
      <c r="F881" s="19" t="s">
        <v>1105</v>
      </c>
      <c r="G881" s="19" t="s">
        <v>1046</v>
      </c>
      <c r="H881" s="19" t="s">
        <v>1001</v>
      </c>
      <c r="I881" s="19" t="s">
        <v>1575</v>
      </c>
      <c r="J881" s="20">
        <v>23</v>
      </c>
      <c r="K881" t="s">
        <v>654</v>
      </c>
      <c r="L881" t="s">
        <v>645</v>
      </c>
      <c r="M881" t="s">
        <v>629</v>
      </c>
      <c r="N881" t="s">
        <v>646</v>
      </c>
      <c r="O881" t="s">
        <v>632</v>
      </c>
    </row>
    <row r="882" spans="1:15" x14ac:dyDescent="0.35">
      <c r="A882" s="77">
        <v>4.882191780821918</v>
      </c>
      <c r="B882" s="19">
        <v>67695</v>
      </c>
      <c r="C882" s="19" t="s">
        <v>3204</v>
      </c>
      <c r="D882" s="19" t="s">
        <v>41</v>
      </c>
      <c r="E882" s="19" t="s">
        <v>41</v>
      </c>
      <c r="F882" s="19" t="s">
        <v>1157</v>
      </c>
      <c r="G882" s="19" t="s">
        <v>1008</v>
      </c>
      <c r="H882" s="19" t="s">
        <v>1001</v>
      </c>
      <c r="I882" s="19" t="s">
        <v>1575</v>
      </c>
      <c r="J882" s="20">
        <v>34</v>
      </c>
      <c r="K882" t="s">
        <v>625</v>
      </c>
      <c r="L882" t="s">
        <v>691</v>
      </c>
      <c r="M882" t="s">
        <v>657</v>
      </c>
      <c r="N882" t="s">
        <v>658</v>
      </c>
      <c r="O882" t="s">
        <v>632</v>
      </c>
    </row>
    <row r="883" spans="1:15" x14ac:dyDescent="0.35">
      <c r="A883" s="77">
        <v>4.7232876712328764</v>
      </c>
      <c r="B883" s="19">
        <v>67747</v>
      </c>
      <c r="C883" s="19" t="s">
        <v>3205</v>
      </c>
      <c r="D883" s="19" t="s">
        <v>266</v>
      </c>
      <c r="E883" s="19" t="s">
        <v>267</v>
      </c>
      <c r="F883" s="19" t="s">
        <v>2070</v>
      </c>
      <c r="G883" s="19" t="s">
        <v>1057</v>
      </c>
      <c r="H883" s="19" t="s">
        <v>1001</v>
      </c>
      <c r="I883" s="19" t="s">
        <v>1599</v>
      </c>
      <c r="J883" s="20">
        <v>27</v>
      </c>
      <c r="K883" t="s">
        <v>636</v>
      </c>
      <c r="L883" t="s">
        <v>634</v>
      </c>
      <c r="M883" t="s">
        <v>629</v>
      </c>
      <c r="N883" t="s">
        <v>635</v>
      </c>
      <c r="O883" t="s">
        <v>637</v>
      </c>
    </row>
    <row r="884" spans="1:15" x14ac:dyDescent="0.35">
      <c r="A884" s="77">
        <v>4.904109589041096</v>
      </c>
      <c r="B884" s="19">
        <v>67776</v>
      </c>
      <c r="C884" s="19" t="s">
        <v>3206</v>
      </c>
      <c r="D884" s="19" t="s">
        <v>42</v>
      </c>
      <c r="E884" s="19" t="s">
        <v>42</v>
      </c>
      <c r="F884" s="19" t="s">
        <v>1262</v>
      </c>
      <c r="G884" s="19" t="s">
        <v>1045</v>
      </c>
      <c r="H884" s="19" t="s">
        <v>1001</v>
      </c>
      <c r="I884" s="19" t="s">
        <v>1575</v>
      </c>
      <c r="J884" s="20">
        <v>29</v>
      </c>
      <c r="K884" t="s">
        <v>625</v>
      </c>
      <c r="L884" t="s">
        <v>628</v>
      </c>
      <c r="M884" t="s">
        <v>629</v>
      </c>
      <c r="N884" t="s">
        <v>630</v>
      </c>
      <c r="O884" t="s">
        <v>632</v>
      </c>
    </row>
    <row r="885" spans="1:15" x14ac:dyDescent="0.35">
      <c r="A885" s="77">
        <v>1.2876712328767124</v>
      </c>
      <c r="B885" s="19">
        <v>67792</v>
      </c>
      <c r="C885" s="19" t="s">
        <v>3207</v>
      </c>
      <c r="D885" s="19" t="s">
        <v>8</v>
      </c>
      <c r="E885" s="19" t="s">
        <v>8</v>
      </c>
      <c r="F885" s="19" t="s">
        <v>1176</v>
      </c>
      <c r="G885" s="19" t="s">
        <v>1028</v>
      </c>
      <c r="H885" s="19" t="s">
        <v>1020</v>
      </c>
      <c r="I885" s="19" t="s">
        <v>1575</v>
      </c>
      <c r="J885" s="20">
        <v>35</v>
      </c>
      <c r="K885" t="s">
        <v>625</v>
      </c>
      <c r="L885" t="s">
        <v>622</v>
      </c>
      <c r="M885" t="s">
        <v>623</v>
      </c>
      <c r="N885" t="s">
        <v>624</v>
      </c>
      <c r="O885" t="s">
        <v>626</v>
      </c>
    </row>
    <row r="886" spans="1:15" x14ac:dyDescent="0.35">
      <c r="A886" s="77">
        <v>4.1863013698630134</v>
      </c>
      <c r="B886" s="19">
        <v>67814</v>
      </c>
      <c r="C886" s="19" t="s">
        <v>3208</v>
      </c>
      <c r="D886" s="19" t="s">
        <v>218</v>
      </c>
      <c r="E886" s="19" t="s">
        <v>219</v>
      </c>
      <c r="F886" s="19" t="s">
        <v>1372</v>
      </c>
      <c r="G886" s="19" t="s">
        <v>1045</v>
      </c>
      <c r="H886" s="19" t="s">
        <v>1001</v>
      </c>
      <c r="I886" s="19" t="s">
        <v>1599</v>
      </c>
      <c r="J886" s="20">
        <v>25</v>
      </c>
      <c r="K886" t="s">
        <v>625</v>
      </c>
      <c r="L886" t="s">
        <v>661</v>
      </c>
      <c r="M886" t="s">
        <v>657</v>
      </c>
      <c r="N886" t="s">
        <v>662</v>
      </c>
      <c r="O886" t="s">
        <v>632</v>
      </c>
    </row>
    <row r="887" spans="1:15" x14ac:dyDescent="0.35">
      <c r="A887" s="77">
        <v>4.882191780821918</v>
      </c>
      <c r="B887" s="19">
        <v>67829</v>
      </c>
      <c r="C887" s="19" t="s">
        <v>3209</v>
      </c>
      <c r="D887" s="19" t="s">
        <v>149</v>
      </c>
      <c r="E887" s="19" t="s">
        <v>150</v>
      </c>
      <c r="F887" s="19" t="s">
        <v>1548</v>
      </c>
      <c r="G887" s="19" t="s">
        <v>1034</v>
      </c>
      <c r="H887" s="19" t="s">
        <v>1001</v>
      </c>
      <c r="I887" s="19" t="s">
        <v>1575</v>
      </c>
      <c r="J887" s="20">
        <v>30</v>
      </c>
      <c r="K887" t="s">
        <v>654</v>
      </c>
      <c r="L887" t="s">
        <v>648</v>
      </c>
      <c r="M887" t="s">
        <v>623</v>
      </c>
      <c r="N887" t="s">
        <v>624</v>
      </c>
      <c r="O887" t="s">
        <v>725</v>
      </c>
    </row>
    <row r="888" spans="1:15" x14ac:dyDescent="0.35">
      <c r="A888" s="77">
        <v>4.7452054794520544</v>
      </c>
      <c r="B888" s="19">
        <v>68018</v>
      </c>
      <c r="C888" s="19" t="s">
        <v>3210</v>
      </c>
      <c r="D888" s="19" t="s">
        <v>126</v>
      </c>
      <c r="E888" s="19" t="s">
        <v>127</v>
      </c>
      <c r="F888" s="19" t="s">
        <v>1152</v>
      </c>
      <c r="G888" s="19" t="s">
        <v>1008</v>
      </c>
      <c r="H888" s="19" t="s">
        <v>1001</v>
      </c>
      <c r="I888" s="19" t="s">
        <v>1575</v>
      </c>
      <c r="J888" s="20">
        <v>46</v>
      </c>
      <c r="K888" t="s">
        <v>654</v>
      </c>
      <c r="L888" t="s">
        <v>628</v>
      </c>
      <c r="M888" t="s">
        <v>629</v>
      </c>
      <c r="N888" t="s">
        <v>630</v>
      </c>
      <c r="O888" t="s">
        <v>632</v>
      </c>
    </row>
    <row r="889" spans="1:15" x14ac:dyDescent="0.35">
      <c r="A889" s="77">
        <v>2.1917808219178082E-2</v>
      </c>
      <c r="B889" s="19">
        <v>68045</v>
      </c>
      <c r="C889" s="19" t="s">
        <v>3211</v>
      </c>
      <c r="D889" s="19" t="s">
        <v>115</v>
      </c>
      <c r="E889" s="19" t="s">
        <v>116</v>
      </c>
      <c r="F889" s="19" t="s">
        <v>1383</v>
      </c>
      <c r="G889" s="19" t="s">
        <v>1008</v>
      </c>
      <c r="H889" s="19" t="s">
        <v>1001</v>
      </c>
      <c r="I889" s="19" t="s">
        <v>1575</v>
      </c>
      <c r="J889" s="20">
        <v>31</v>
      </c>
      <c r="K889" t="s">
        <v>631</v>
      </c>
      <c r="L889" t="s">
        <v>670</v>
      </c>
      <c r="M889" t="s">
        <v>657</v>
      </c>
      <c r="N889" t="s">
        <v>641</v>
      </c>
      <c r="O889" t="s">
        <v>671</v>
      </c>
    </row>
    <row r="890" spans="1:15" x14ac:dyDescent="0.35">
      <c r="A890" s="77">
        <v>1.2986301369863014</v>
      </c>
      <c r="B890" s="19">
        <v>68161</v>
      </c>
      <c r="C890" s="19" t="s">
        <v>3212</v>
      </c>
      <c r="D890" s="19" t="s">
        <v>337</v>
      </c>
      <c r="E890" s="19" t="s">
        <v>338</v>
      </c>
      <c r="F890" s="19" t="s">
        <v>2642</v>
      </c>
      <c r="G890" s="19" t="s">
        <v>1057</v>
      </c>
      <c r="H890" s="19" t="s">
        <v>1001</v>
      </c>
      <c r="I890" s="19" t="s">
        <v>1575</v>
      </c>
      <c r="J890" s="20">
        <v>24</v>
      </c>
      <c r="K890" t="s">
        <v>668</v>
      </c>
      <c r="L890" t="s">
        <v>656</v>
      </c>
      <c r="M890" t="s">
        <v>657</v>
      </c>
      <c r="N890" t="s">
        <v>658</v>
      </c>
      <c r="O890" t="s">
        <v>843</v>
      </c>
    </row>
    <row r="891" spans="1:15" x14ac:dyDescent="0.35">
      <c r="A891" s="77">
        <v>2.2493150684931509</v>
      </c>
      <c r="B891" s="19">
        <v>68219</v>
      </c>
      <c r="C891" s="19" t="s">
        <v>3213</v>
      </c>
      <c r="D891" s="19" t="s">
        <v>260</v>
      </c>
      <c r="E891" s="19" t="s">
        <v>261</v>
      </c>
      <c r="F891" s="19" t="s">
        <v>1109</v>
      </c>
      <c r="G891" s="19" t="s">
        <v>1045</v>
      </c>
      <c r="H891" s="19" t="s">
        <v>1001</v>
      </c>
      <c r="I891" s="19" t="s">
        <v>1599</v>
      </c>
      <c r="J891" s="20">
        <v>34</v>
      </c>
      <c r="K891" t="s">
        <v>636</v>
      </c>
      <c r="L891" t="s">
        <v>656</v>
      </c>
      <c r="M891" t="s">
        <v>657</v>
      </c>
      <c r="N891" t="s">
        <v>658</v>
      </c>
      <c r="O891" t="s">
        <v>808</v>
      </c>
    </row>
    <row r="892" spans="1:15" x14ac:dyDescent="0.35">
      <c r="A892" s="77">
        <v>1.6219178082191781</v>
      </c>
      <c r="B892" s="19">
        <v>68286</v>
      </c>
      <c r="C892" s="19" t="s">
        <v>3214</v>
      </c>
      <c r="D892" s="19" t="s">
        <v>191</v>
      </c>
      <c r="E892" s="19" t="s">
        <v>192</v>
      </c>
      <c r="F892" s="19" t="s">
        <v>1626</v>
      </c>
      <c r="G892" s="19" t="s">
        <v>1028</v>
      </c>
      <c r="H892" s="19" t="s">
        <v>1020</v>
      </c>
      <c r="I892" s="19" t="s">
        <v>1575</v>
      </c>
      <c r="J892" s="20">
        <v>29</v>
      </c>
      <c r="K892" t="s">
        <v>654</v>
      </c>
      <c r="L892" t="s">
        <v>673</v>
      </c>
      <c r="M892" t="s">
        <v>623</v>
      </c>
      <c r="N892" t="s">
        <v>641</v>
      </c>
      <c r="O892" t="s">
        <v>779</v>
      </c>
    </row>
    <row r="893" spans="1:15" x14ac:dyDescent="0.35">
      <c r="A893" s="77">
        <v>0.23835616438356164</v>
      </c>
      <c r="B893" s="19">
        <v>68366</v>
      </c>
      <c r="C893" s="19" t="s">
        <v>3215</v>
      </c>
      <c r="D893" s="19" t="s">
        <v>191</v>
      </c>
      <c r="E893" s="19" t="s">
        <v>192</v>
      </c>
      <c r="F893" s="19" t="s">
        <v>1626</v>
      </c>
      <c r="G893" s="19" t="s">
        <v>1034</v>
      </c>
      <c r="H893" s="19" t="s">
        <v>1001</v>
      </c>
      <c r="I893" s="19" t="s">
        <v>1575</v>
      </c>
      <c r="J893" s="20">
        <v>25</v>
      </c>
      <c r="K893" t="s">
        <v>654</v>
      </c>
      <c r="L893" t="s">
        <v>673</v>
      </c>
      <c r="M893" t="s">
        <v>623</v>
      </c>
      <c r="N893" t="s">
        <v>641</v>
      </c>
      <c r="O893" t="s">
        <v>779</v>
      </c>
    </row>
    <row r="894" spans="1:15" x14ac:dyDescent="0.35">
      <c r="A894" s="77">
        <v>3.7452054794520548</v>
      </c>
      <c r="B894" s="19">
        <v>68404</v>
      </c>
      <c r="C894" s="19" t="s">
        <v>3216</v>
      </c>
      <c r="D894" s="19" t="s">
        <v>355</v>
      </c>
      <c r="E894" s="19" t="s">
        <v>356</v>
      </c>
      <c r="F894" s="19" t="s">
        <v>1100</v>
      </c>
      <c r="G894" s="19" t="s">
        <v>1034</v>
      </c>
      <c r="H894" s="19" t="s">
        <v>1001</v>
      </c>
      <c r="I894" s="19" t="s">
        <v>1599</v>
      </c>
      <c r="J894" s="20">
        <v>26</v>
      </c>
      <c r="K894" t="s">
        <v>625</v>
      </c>
      <c r="L894" t="s">
        <v>622</v>
      </c>
      <c r="M894" t="s">
        <v>623</v>
      </c>
      <c r="N894" t="s">
        <v>624</v>
      </c>
      <c r="O894" t="s">
        <v>649</v>
      </c>
    </row>
    <row r="895" spans="1:15" x14ac:dyDescent="0.35">
      <c r="A895" s="77">
        <v>3.9424657534246577</v>
      </c>
      <c r="B895" s="19">
        <v>68409</v>
      </c>
      <c r="C895" s="19" t="s">
        <v>3217</v>
      </c>
      <c r="D895" s="19" t="s">
        <v>403</v>
      </c>
      <c r="E895" s="19" t="s">
        <v>404</v>
      </c>
      <c r="F895" s="19" t="s">
        <v>870</v>
      </c>
      <c r="G895" s="19" t="s">
        <v>1028</v>
      </c>
      <c r="H895" s="19" t="s">
        <v>1020</v>
      </c>
      <c r="I895" s="19" t="s">
        <v>1575</v>
      </c>
      <c r="J895" s="20">
        <v>25</v>
      </c>
      <c r="K895" t="s">
        <v>631</v>
      </c>
      <c r="L895" t="s">
        <v>691</v>
      </c>
      <c r="M895" t="s">
        <v>657</v>
      </c>
      <c r="N895" t="s">
        <v>658</v>
      </c>
      <c r="O895" t="s">
        <v>632</v>
      </c>
    </row>
    <row r="896" spans="1:15" x14ac:dyDescent="0.35">
      <c r="A896" s="77">
        <v>4.9178082191780819</v>
      </c>
      <c r="B896" s="19">
        <v>68412</v>
      </c>
      <c r="C896" s="19" t="s">
        <v>3218</v>
      </c>
      <c r="D896" s="19" t="s">
        <v>360</v>
      </c>
      <c r="E896" s="19" t="s">
        <v>361</v>
      </c>
      <c r="F896" s="19" t="s">
        <v>2312</v>
      </c>
      <c r="G896" s="19" t="s">
        <v>1008</v>
      </c>
      <c r="H896" s="19" t="s">
        <v>1001</v>
      </c>
      <c r="I896" s="19" t="s">
        <v>1575</v>
      </c>
      <c r="J896" s="20">
        <v>52</v>
      </c>
      <c r="K896" t="s">
        <v>642</v>
      </c>
      <c r="L896" t="s">
        <v>670</v>
      </c>
      <c r="M896" t="s">
        <v>657</v>
      </c>
      <c r="N896" t="s">
        <v>641</v>
      </c>
      <c r="O896" t="s">
        <v>671</v>
      </c>
    </row>
    <row r="897" spans="1:15" x14ac:dyDescent="0.35">
      <c r="A897" s="77">
        <v>4.9178082191780819</v>
      </c>
      <c r="B897" s="19">
        <v>68427</v>
      </c>
      <c r="C897" s="19" t="s">
        <v>3219</v>
      </c>
      <c r="D897" s="19" t="s">
        <v>250</v>
      </c>
      <c r="E897" s="19" t="s">
        <v>251</v>
      </c>
      <c r="F897" s="19" t="s">
        <v>1126</v>
      </c>
      <c r="G897" s="19" t="s">
        <v>1008</v>
      </c>
      <c r="H897" s="19" t="s">
        <v>1001</v>
      </c>
      <c r="I897" s="19" t="s">
        <v>1575</v>
      </c>
      <c r="J897" s="20">
        <v>45</v>
      </c>
      <c r="K897" t="s">
        <v>668</v>
      </c>
      <c r="L897" t="s">
        <v>634</v>
      </c>
      <c r="M897" t="s">
        <v>629</v>
      </c>
      <c r="N897" t="s">
        <v>635</v>
      </c>
      <c r="O897" t="s">
        <v>637</v>
      </c>
    </row>
    <row r="898" spans="1:15" x14ac:dyDescent="0.35">
      <c r="A898" s="77">
        <v>2.1917808219178082E-2</v>
      </c>
      <c r="B898" s="19">
        <v>68465</v>
      </c>
      <c r="C898" s="19" t="s">
        <v>3220</v>
      </c>
      <c r="D898" s="19" t="s">
        <v>337</v>
      </c>
      <c r="E898" s="19" t="s">
        <v>338</v>
      </c>
      <c r="F898" s="19" t="s">
        <v>2642</v>
      </c>
      <c r="G898" s="19" t="s">
        <v>1008</v>
      </c>
      <c r="H898" s="19" t="s">
        <v>1001</v>
      </c>
      <c r="I898" s="19" t="s">
        <v>1575</v>
      </c>
      <c r="J898" s="20">
        <v>23</v>
      </c>
      <c r="K898" t="s">
        <v>668</v>
      </c>
      <c r="L898" t="s">
        <v>656</v>
      </c>
      <c r="M898" t="s">
        <v>657</v>
      </c>
      <c r="N898" t="s">
        <v>658</v>
      </c>
      <c r="O898" t="s">
        <v>843</v>
      </c>
    </row>
    <row r="899" spans="1:15" x14ac:dyDescent="0.35">
      <c r="A899" s="77">
        <v>2.2273972602739724</v>
      </c>
      <c r="B899" s="19">
        <v>68482</v>
      </c>
      <c r="C899" s="19" t="s">
        <v>3221</v>
      </c>
      <c r="D899" s="19" t="s">
        <v>181</v>
      </c>
      <c r="E899" s="19" t="s">
        <v>182</v>
      </c>
      <c r="F899" s="19" t="s">
        <v>1374</v>
      </c>
      <c r="G899" s="19" t="s">
        <v>1008</v>
      </c>
      <c r="H899" s="19" t="s">
        <v>1001</v>
      </c>
      <c r="I899" s="19" t="s">
        <v>1575</v>
      </c>
      <c r="J899" s="20">
        <v>26</v>
      </c>
      <c r="K899" t="s">
        <v>625</v>
      </c>
      <c r="L899" t="s">
        <v>678</v>
      </c>
      <c r="M899" t="s">
        <v>623</v>
      </c>
      <c r="N899" t="s">
        <v>624</v>
      </c>
      <c r="O899" t="s">
        <v>679</v>
      </c>
    </row>
    <row r="900" spans="1:15" x14ac:dyDescent="0.35">
      <c r="A900" s="77">
        <v>4.8986301369863012</v>
      </c>
      <c r="B900" s="19">
        <v>68514</v>
      </c>
      <c r="C900" s="19" t="s">
        <v>3222</v>
      </c>
      <c r="D900" s="19" t="s">
        <v>273</v>
      </c>
      <c r="E900" s="19" t="s">
        <v>274</v>
      </c>
      <c r="F900" s="19" t="s">
        <v>1093</v>
      </c>
      <c r="G900" s="19" t="s">
        <v>1034</v>
      </c>
      <c r="H900" s="19" t="s">
        <v>1001</v>
      </c>
      <c r="I900" s="19" t="s">
        <v>1599</v>
      </c>
      <c r="J900" s="20">
        <v>23</v>
      </c>
      <c r="K900" t="s">
        <v>636</v>
      </c>
      <c r="L900" t="s">
        <v>663</v>
      </c>
      <c r="M900" t="s">
        <v>629</v>
      </c>
      <c r="N900" t="s">
        <v>646</v>
      </c>
      <c r="O900" t="s">
        <v>639</v>
      </c>
    </row>
    <row r="901" spans="1:15" x14ac:dyDescent="0.35">
      <c r="A901" s="77">
        <v>4.8958904109589039</v>
      </c>
      <c r="B901" s="19">
        <v>68516</v>
      </c>
      <c r="C901" s="19" t="s">
        <v>3223</v>
      </c>
      <c r="D901" s="19" t="s">
        <v>401</v>
      </c>
      <c r="E901" s="19" t="s">
        <v>402</v>
      </c>
      <c r="F901" s="19" t="s">
        <v>1314</v>
      </c>
      <c r="G901" s="19" t="s">
        <v>1045</v>
      </c>
      <c r="H901" s="19" t="s">
        <v>1001</v>
      </c>
      <c r="I901" s="19" t="s">
        <v>1575</v>
      </c>
      <c r="J901" s="20">
        <v>25</v>
      </c>
      <c r="K901" t="s">
        <v>668</v>
      </c>
      <c r="L901" t="s">
        <v>691</v>
      </c>
      <c r="M901" t="s">
        <v>657</v>
      </c>
      <c r="N901" t="s">
        <v>658</v>
      </c>
      <c r="O901" t="s">
        <v>632</v>
      </c>
    </row>
    <row r="902" spans="1:15" x14ac:dyDescent="0.35">
      <c r="A902" s="77">
        <v>4.9178082191780819</v>
      </c>
      <c r="B902" s="19">
        <v>68593</v>
      </c>
      <c r="C902" s="19" t="s">
        <v>3224</v>
      </c>
      <c r="D902" s="19" t="s">
        <v>290</v>
      </c>
      <c r="E902" s="19" t="s">
        <v>291</v>
      </c>
      <c r="F902" s="19" t="s">
        <v>1182</v>
      </c>
      <c r="G902" s="19" t="s">
        <v>1034</v>
      </c>
      <c r="H902" s="19" t="s">
        <v>1001</v>
      </c>
      <c r="I902" s="19" t="s">
        <v>1575</v>
      </c>
      <c r="J902" s="20">
        <v>27</v>
      </c>
      <c r="K902" t="s">
        <v>668</v>
      </c>
      <c r="L902" t="s">
        <v>663</v>
      </c>
      <c r="M902" t="s">
        <v>629</v>
      </c>
      <c r="N902" t="s">
        <v>646</v>
      </c>
      <c r="O902" t="s">
        <v>639</v>
      </c>
    </row>
    <row r="903" spans="1:15" x14ac:dyDescent="0.35">
      <c r="A903" s="77">
        <v>3.2328767123287672</v>
      </c>
      <c r="B903" s="19">
        <v>68600</v>
      </c>
      <c r="C903" s="19" t="s">
        <v>3225</v>
      </c>
      <c r="D903" s="19" t="s">
        <v>241</v>
      </c>
      <c r="E903" s="19" t="s">
        <v>242</v>
      </c>
      <c r="F903" s="19" t="s">
        <v>1030</v>
      </c>
      <c r="G903" s="19" t="s">
        <v>1034</v>
      </c>
      <c r="H903" s="19" t="s">
        <v>1001</v>
      </c>
      <c r="I903" s="19" t="s">
        <v>1575</v>
      </c>
      <c r="J903" s="20">
        <v>25</v>
      </c>
      <c r="K903" t="s">
        <v>668</v>
      </c>
      <c r="L903" t="s">
        <v>622</v>
      </c>
      <c r="M903" t="s">
        <v>623</v>
      </c>
      <c r="N903" t="s">
        <v>624</v>
      </c>
      <c r="O903" t="s">
        <v>800</v>
      </c>
    </row>
    <row r="904" spans="1:15" x14ac:dyDescent="0.35">
      <c r="A904" s="77">
        <v>4.882191780821918</v>
      </c>
      <c r="B904" s="19">
        <v>68612</v>
      </c>
      <c r="C904" s="19" t="s">
        <v>3226</v>
      </c>
      <c r="D904" s="19" t="s">
        <v>387</v>
      </c>
      <c r="E904" s="19" t="s">
        <v>388</v>
      </c>
      <c r="F904" s="19" t="s">
        <v>1142</v>
      </c>
      <c r="G904" s="19" t="s">
        <v>1034</v>
      </c>
      <c r="H904" s="19" t="s">
        <v>1001</v>
      </c>
      <c r="I904" s="19" t="s">
        <v>1575</v>
      </c>
      <c r="J904" s="20">
        <v>38</v>
      </c>
      <c r="K904" t="s">
        <v>642</v>
      </c>
      <c r="L904" t="s">
        <v>634</v>
      </c>
      <c r="M904" t="s">
        <v>629</v>
      </c>
      <c r="N904" t="s">
        <v>630</v>
      </c>
      <c r="O904" t="s">
        <v>734</v>
      </c>
    </row>
    <row r="905" spans="1:15" x14ac:dyDescent="0.35">
      <c r="A905" s="77">
        <v>1.6</v>
      </c>
      <c r="B905" s="19">
        <v>68653</v>
      </c>
      <c r="C905" s="19" t="s">
        <v>3227</v>
      </c>
      <c r="D905" s="19" t="s">
        <v>403</v>
      </c>
      <c r="E905" s="19" t="s">
        <v>404</v>
      </c>
      <c r="F905" s="19" t="s">
        <v>870</v>
      </c>
      <c r="G905" s="19" t="s">
        <v>1019</v>
      </c>
      <c r="H905" s="19" t="s">
        <v>1020</v>
      </c>
      <c r="I905" s="19" t="s">
        <v>1599</v>
      </c>
      <c r="J905" s="20">
        <v>23</v>
      </c>
      <c r="K905" t="s">
        <v>631</v>
      </c>
      <c r="L905" t="s">
        <v>691</v>
      </c>
      <c r="M905" t="s">
        <v>657</v>
      </c>
      <c r="N905" t="s">
        <v>658</v>
      </c>
      <c r="O905" t="s">
        <v>632</v>
      </c>
    </row>
    <row r="906" spans="1:15" x14ac:dyDescent="0.35">
      <c r="A906" s="77">
        <v>4.8109589041095893</v>
      </c>
      <c r="B906" s="19">
        <v>68655</v>
      </c>
      <c r="C906" s="19" t="s">
        <v>3228</v>
      </c>
      <c r="D906" s="19" t="s">
        <v>130</v>
      </c>
      <c r="E906" s="19" t="s">
        <v>131</v>
      </c>
      <c r="F906" s="19" t="s">
        <v>1693</v>
      </c>
      <c r="G906" s="19" t="s">
        <v>1000</v>
      </c>
      <c r="H906" s="19" t="s">
        <v>1001</v>
      </c>
      <c r="I906" s="19" t="s">
        <v>1575</v>
      </c>
      <c r="J906" s="20">
        <v>32</v>
      </c>
      <c r="K906" t="s">
        <v>654</v>
      </c>
      <c r="L906" t="s">
        <v>670</v>
      </c>
      <c r="M906" t="s">
        <v>657</v>
      </c>
      <c r="N906" t="s">
        <v>641</v>
      </c>
      <c r="O906" t="s">
        <v>752</v>
      </c>
    </row>
    <row r="907" spans="1:15" x14ac:dyDescent="0.35">
      <c r="A907" s="77">
        <v>0.37808219178082192</v>
      </c>
      <c r="B907" s="19">
        <v>68658</v>
      </c>
      <c r="C907" s="19" t="s">
        <v>3229</v>
      </c>
      <c r="D907" s="19" t="s">
        <v>66</v>
      </c>
      <c r="E907" s="19" t="s">
        <v>67</v>
      </c>
      <c r="F907" s="19" t="s">
        <v>1708</v>
      </c>
      <c r="G907" s="19" t="s">
        <v>1008</v>
      </c>
      <c r="H907" s="19" t="s">
        <v>1001</v>
      </c>
      <c r="I907" s="19" t="s">
        <v>1575</v>
      </c>
      <c r="J907" s="20">
        <v>25</v>
      </c>
      <c r="K907" t="s">
        <v>654</v>
      </c>
      <c r="L907" t="s">
        <v>645</v>
      </c>
      <c r="M907" t="s">
        <v>629</v>
      </c>
      <c r="N907" t="s">
        <v>646</v>
      </c>
      <c r="O907" t="s">
        <v>632</v>
      </c>
    </row>
    <row r="908" spans="1:15" x14ac:dyDescent="0.35">
      <c r="A908" s="77">
        <v>4.8273972602739725</v>
      </c>
      <c r="B908" s="19">
        <v>68685</v>
      </c>
      <c r="C908" s="19" t="s">
        <v>3230</v>
      </c>
      <c r="D908" s="19" t="s">
        <v>18</v>
      </c>
      <c r="E908" s="19" t="s">
        <v>18</v>
      </c>
      <c r="F908" s="19" t="s">
        <v>650</v>
      </c>
      <c r="G908" s="19" t="s">
        <v>1008</v>
      </c>
      <c r="H908" s="19" t="s">
        <v>1001</v>
      </c>
      <c r="I908" s="19" t="s">
        <v>1575</v>
      </c>
      <c r="J908" s="20">
        <v>32</v>
      </c>
      <c r="K908" t="s">
        <v>636</v>
      </c>
      <c r="L908" t="s">
        <v>651</v>
      </c>
      <c r="M908" t="s">
        <v>629</v>
      </c>
      <c r="N908" t="s">
        <v>630</v>
      </c>
      <c r="O908" t="s">
        <v>652</v>
      </c>
    </row>
    <row r="909" spans="1:15" x14ac:dyDescent="0.35">
      <c r="A909" s="77">
        <v>4.8082191780821919</v>
      </c>
      <c r="B909" s="19">
        <v>68719</v>
      </c>
      <c r="C909" s="19" t="s">
        <v>3231</v>
      </c>
      <c r="D909" s="19" t="s">
        <v>78</v>
      </c>
      <c r="E909" s="19" t="s">
        <v>79</v>
      </c>
      <c r="F909" s="19" t="s">
        <v>1107</v>
      </c>
      <c r="G909" s="19" t="s">
        <v>1034</v>
      </c>
      <c r="H909" s="19" t="s">
        <v>1001</v>
      </c>
      <c r="I909" s="19" t="s">
        <v>1575</v>
      </c>
      <c r="J909" s="20">
        <v>26</v>
      </c>
      <c r="K909" t="s">
        <v>654</v>
      </c>
      <c r="L909" t="s">
        <v>661</v>
      </c>
      <c r="M909" t="s">
        <v>657</v>
      </c>
      <c r="N909" t="s">
        <v>658</v>
      </c>
      <c r="O909" t="s">
        <v>632</v>
      </c>
    </row>
    <row r="910" spans="1:15" x14ac:dyDescent="0.35">
      <c r="A910" s="77">
        <v>4.8</v>
      </c>
      <c r="B910" s="19">
        <v>68728</v>
      </c>
      <c r="C910" s="19" t="s">
        <v>3232</v>
      </c>
      <c r="D910" s="19" t="s">
        <v>41</v>
      </c>
      <c r="E910" s="19" t="s">
        <v>41</v>
      </c>
      <c r="F910" s="19" t="s">
        <v>1157</v>
      </c>
      <c r="G910" s="19" t="s">
        <v>1019</v>
      </c>
      <c r="H910" s="19" t="s">
        <v>1020</v>
      </c>
      <c r="I910" s="19" t="s">
        <v>1575</v>
      </c>
      <c r="J910" s="20">
        <v>30</v>
      </c>
      <c r="K910" t="s">
        <v>625</v>
      </c>
      <c r="L910" t="s">
        <v>691</v>
      </c>
      <c r="M910" t="s">
        <v>657</v>
      </c>
      <c r="N910" t="s">
        <v>658</v>
      </c>
      <c r="O910" t="s">
        <v>632</v>
      </c>
    </row>
    <row r="911" spans="1:15" x14ac:dyDescent="0.35">
      <c r="A911" s="77">
        <v>1.2493150684931507</v>
      </c>
      <c r="B911" s="19">
        <v>68746</v>
      </c>
      <c r="C911" s="19" t="s">
        <v>3233</v>
      </c>
      <c r="D911" s="19" t="s">
        <v>385</v>
      </c>
      <c r="E911" s="19" t="s">
        <v>386</v>
      </c>
      <c r="F911" s="19" t="s">
        <v>1059</v>
      </c>
      <c r="G911" s="19" t="s">
        <v>1057</v>
      </c>
      <c r="H911" s="19" t="s">
        <v>1001</v>
      </c>
      <c r="I911" s="19" t="s">
        <v>1575</v>
      </c>
      <c r="J911" s="20">
        <v>29</v>
      </c>
      <c r="K911" t="s">
        <v>631</v>
      </c>
      <c r="L911" t="s">
        <v>663</v>
      </c>
      <c r="M911" t="s">
        <v>629</v>
      </c>
      <c r="N911" t="s">
        <v>646</v>
      </c>
      <c r="O911" t="s">
        <v>810</v>
      </c>
    </row>
    <row r="912" spans="1:15" x14ac:dyDescent="0.35">
      <c r="A912" s="77">
        <v>4.8328767123287673</v>
      </c>
      <c r="B912" s="19">
        <v>68773</v>
      </c>
      <c r="C912" s="19" t="s">
        <v>3234</v>
      </c>
      <c r="D912" s="19" t="s">
        <v>307</v>
      </c>
      <c r="E912" s="19" t="s">
        <v>308</v>
      </c>
      <c r="F912" s="19" t="s">
        <v>1524</v>
      </c>
      <c r="G912" s="19" t="s">
        <v>1057</v>
      </c>
      <c r="H912" s="19" t="s">
        <v>1001</v>
      </c>
      <c r="I912" s="19" t="s">
        <v>1575</v>
      </c>
      <c r="J912" s="20">
        <v>32</v>
      </c>
      <c r="K912" t="s">
        <v>668</v>
      </c>
      <c r="L912" t="s">
        <v>656</v>
      </c>
      <c r="M912" t="s">
        <v>657</v>
      </c>
      <c r="N912" t="s">
        <v>658</v>
      </c>
      <c r="O912" t="s">
        <v>718</v>
      </c>
    </row>
    <row r="913" spans="1:15" x14ac:dyDescent="0.35">
      <c r="A913" s="77">
        <v>4.7863013698630139</v>
      </c>
      <c r="B913" s="19">
        <v>68790</v>
      </c>
      <c r="C913" s="19" t="s">
        <v>3235</v>
      </c>
      <c r="D913" s="19" t="s">
        <v>262</v>
      </c>
      <c r="E913" s="19" t="s">
        <v>263</v>
      </c>
      <c r="F913" s="19" t="s">
        <v>2336</v>
      </c>
      <c r="G913" s="19" t="s">
        <v>1034</v>
      </c>
      <c r="H913" s="19" t="s">
        <v>1001</v>
      </c>
      <c r="I913" s="19" t="s">
        <v>1599</v>
      </c>
      <c r="J913" s="20">
        <v>29</v>
      </c>
      <c r="K913" t="s">
        <v>668</v>
      </c>
      <c r="L913" t="s">
        <v>663</v>
      </c>
      <c r="M913" t="s">
        <v>629</v>
      </c>
      <c r="N913" t="s">
        <v>646</v>
      </c>
      <c r="O913" t="s">
        <v>810</v>
      </c>
    </row>
    <row r="914" spans="1:15" x14ac:dyDescent="0.35">
      <c r="A914" s="77">
        <v>4.5753424657534243</v>
      </c>
      <c r="B914" s="19">
        <v>68897</v>
      </c>
      <c r="C914" s="19" t="s">
        <v>3236</v>
      </c>
      <c r="D914" s="19" t="s">
        <v>271</v>
      </c>
      <c r="E914" s="19" t="s">
        <v>272</v>
      </c>
      <c r="F914" s="19" t="s">
        <v>2611</v>
      </c>
      <c r="G914" s="19" t="s">
        <v>1084</v>
      </c>
      <c r="H914" s="19" t="s">
        <v>1001</v>
      </c>
      <c r="I914" s="19" t="s">
        <v>1575</v>
      </c>
      <c r="J914" s="20">
        <v>22</v>
      </c>
      <c r="K914" t="s">
        <v>654</v>
      </c>
      <c r="L914" t="s">
        <v>666</v>
      </c>
      <c r="M914" t="s">
        <v>629</v>
      </c>
      <c r="N914" t="s">
        <v>635</v>
      </c>
      <c r="O914" t="s">
        <v>739</v>
      </c>
    </row>
    <row r="915" spans="1:15" x14ac:dyDescent="0.35">
      <c r="A915" s="77">
        <v>3.021917808219178</v>
      </c>
      <c r="B915" s="19">
        <v>68909</v>
      </c>
      <c r="C915" s="19" t="s">
        <v>3237</v>
      </c>
      <c r="D915" s="19" t="s">
        <v>68</v>
      </c>
      <c r="E915" s="19" t="s">
        <v>69</v>
      </c>
      <c r="F915" s="19" t="s">
        <v>1078</v>
      </c>
      <c r="G915" s="19" t="s">
        <v>1028</v>
      </c>
      <c r="H915" s="19" t="s">
        <v>1020</v>
      </c>
      <c r="I915" s="19" t="s">
        <v>1599</v>
      </c>
      <c r="J915" s="20">
        <v>25</v>
      </c>
      <c r="K915" t="s">
        <v>636</v>
      </c>
      <c r="L915" t="s">
        <v>670</v>
      </c>
      <c r="M915" t="s">
        <v>657</v>
      </c>
      <c r="N915" t="s">
        <v>641</v>
      </c>
      <c r="O915" t="s">
        <v>671</v>
      </c>
    </row>
    <row r="916" spans="1:15" x14ac:dyDescent="0.35">
      <c r="A916" s="77">
        <v>4.5315068493150683</v>
      </c>
      <c r="B916" s="19">
        <v>68911</v>
      </c>
      <c r="C916" s="19" t="s">
        <v>3238</v>
      </c>
      <c r="D916" s="19" t="s">
        <v>145</v>
      </c>
      <c r="E916" s="19" t="s">
        <v>146</v>
      </c>
      <c r="F916" s="19" t="s">
        <v>1015</v>
      </c>
      <c r="G916" s="19" t="s">
        <v>1034</v>
      </c>
      <c r="H916" s="19" t="s">
        <v>1001</v>
      </c>
      <c r="I916" s="19" t="s">
        <v>1575</v>
      </c>
      <c r="J916" s="20">
        <v>24</v>
      </c>
      <c r="K916" t="s">
        <v>636</v>
      </c>
      <c r="L916" t="s">
        <v>737</v>
      </c>
      <c r="M916" t="s">
        <v>657</v>
      </c>
      <c r="N916" t="s">
        <v>641</v>
      </c>
      <c r="O916" t="s">
        <v>757</v>
      </c>
    </row>
    <row r="917" spans="1:15" x14ac:dyDescent="0.35">
      <c r="A917" s="77">
        <v>4.7479452054794518</v>
      </c>
      <c r="B917" s="19">
        <v>68938</v>
      </c>
      <c r="C917" s="19" t="s">
        <v>3239</v>
      </c>
      <c r="D917" s="19" t="s">
        <v>55</v>
      </c>
      <c r="E917" s="19" t="s">
        <v>56</v>
      </c>
      <c r="F917" s="19" t="s">
        <v>1684</v>
      </c>
      <c r="G917" s="19" t="s">
        <v>1057</v>
      </c>
      <c r="H917" s="19" t="s">
        <v>1001</v>
      </c>
      <c r="I917" s="19" t="s">
        <v>1575</v>
      </c>
      <c r="J917" s="20">
        <v>23</v>
      </c>
      <c r="K917" t="s">
        <v>668</v>
      </c>
      <c r="L917" t="s">
        <v>707</v>
      </c>
      <c r="M917" t="s">
        <v>629</v>
      </c>
      <c r="N917" t="s">
        <v>635</v>
      </c>
      <c r="O917" t="s">
        <v>708</v>
      </c>
    </row>
    <row r="918" spans="1:15" x14ac:dyDescent="0.35">
      <c r="A918" s="77">
        <v>4.7479452054794518</v>
      </c>
      <c r="B918" s="19">
        <v>69005</v>
      </c>
      <c r="C918" s="19" t="s">
        <v>3240</v>
      </c>
      <c r="D918" s="19" t="s">
        <v>23</v>
      </c>
      <c r="E918" s="19" t="s">
        <v>23</v>
      </c>
      <c r="F918" s="19" t="s">
        <v>660</v>
      </c>
      <c r="G918" s="19" t="s">
        <v>1084</v>
      </c>
      <c r="H918" s="19" t="s">
        <v>1020</v>
      </c>
      <c r="I918" s="19" t="s">
        <v>1575</v>
      </c>
      <c r="J918" s="20">
        <v>42</v>
      </c>
      <c r="K918" t="s">
        <v>631</v>
      </c>
      <c r="L918" t="s">
        <v>661</v>
      </c>
      <c r="M918" t="s">
        <v>657</v>
      </c>
      <c r="N918" t="s">
        <v>662</v>
      </c>
      <c r="O918" t="s">
        <v>632</v>
      </c>
    </row>
    <row r="919" spans="1:15" x14ac:dyDescent="0.35">
      <c r="A919" s="77">
        <v>4.4986301369863018</v>
      </c>
      <c r="B919" s="19">
        <v>69040</v>
      </c>
      <c r="C919" s="19" t="s">
        <v>3241</v>
      </c>
      <c r="D919" s="19" t="s">
        <v>17</v>
      </c>
      <c r="E919" s="19" t="s">
        <v>17</v>
      </c>
      <c r="F919" s="19" t="s">
        <v>906</v>
      </c>
      <c r="G919" s="19" t="s">
        <v>1034</v>
      </c>
      <c r="H919" s="19" t="s">
        <v>1001</v>
      </c>
      <c r="I919" s="19" t="s">
        <v>1575</v>
      </c>
      <c r="J919" s="20">
        <v>24</v>
      </c>
      <c r="K919" t="s">
        <v>636</v>
      </c>
      <c r="L919" t="s">
        <v>648</v>
      </c>
      <c r="M919" t="s">
        <v>623</v>
      </c>
      <c r="N919" t="s">
        <v>624</v>
      </c>
      <c r="O919" t="s">
        <v>649</v>
      </c>
    </row>
    <row r="920" spans="1:15" x14ac:dyDescent="0.35">
      <c r="A920" s="77">
        <v>0.20821917808219179</v>
      </c>
      <c r="B920" s="19">
        <v>69078</v>
      </c>
      <c r="C920" s="19" t="s">
        <v>3242</v>
      </c>
      <c r="D920" s="19" t="s">
        <v>385</v>
      </c>
      <c r="E920" s="19" t="s">
        <v>386</v>
      </c>
      <c r="F920" s="19" t="s">
        <v>1059</v>
      </c>
      <c r="G920" s="19" t="s">
        <v>1057</v>
      </c>
      <c r="H920" s="19" t="s">
        <v>1001</v>
      </c>
      <c r="I920" s="19" t="s">
        <v>1575</v>
      </c>
      <c r="J920" s="20">
        <v>25</v>
      </c>
      <c r="K920" t="s">
        <v>631</v>
      </c>
      <c r="L920" t="s">
        <v>663</v>
      </c>
      <c r="M920" t="s">
        <v>629</v>
      </c>
      <c r="N920" t="s">
        <v>646</v>
      </c>
      <c r="O920" t="s">
        <v>810</v>
      </c>
    </row>
    <row r="921" spans="1:15" x14ac:dyDescent="0.35">
      <c r="A921" s="77">
        <v>4.4986301369863018</v>
      </c>
      <c r="B921" s="19">
        <v>69079</v>
      </c>
      <c r="C921" s="19" t="s">
        <v>3243</v>
      </c>
      <c r="D921" s="19" t="s">
        <v>385</v>
      </c>
      <c r="E921" s="19" t="s">
        <v>386</v>
      </c>
      <c r="F921" s="19" t="s">
        <v>1059</v>
      </c>
      <c r="G921" s="19" t="s">
        <v>1034</v>
      </c>
      <c r="H921" s="19" t="s">
        <v>1001</v>
      </c>
      <c r="I921" s="19" t="s">
        <v>1575</v>
      </c>
      <c r="J921" s="20">
        <v>28</v>
      </c>
      <c r="K921" t="s">
        <v>631</v>
      </c>
      <c r="L921" t="s">
        <v>663</v>
      </c>
      <c r="M921" t="s">
        <v>629</v>
      </c>
      <c r="N921" t="s">
        <v>646</v>
      </c>
      <c r="O921" t="s">
        <v>810</v>
      </c>
    </row>
    <row r="922" spans="1:15" x14ac:dyDescent="0.35">
      <c r="A922" s="77">
        <v>4.4520547945205475</v>
      </c>
      <c r="B922" s="19">
        <v>69110</v>
      </c>
      <c r="C922" s="19" t="s">
        <v>3244</v>
      </c>
      <c r="D922" s="19" t="s">
        <v>264</v>
      </c>
      <c r="E922" s="19" t="s">
        <v>265</v>
      </c>
      <c r="F922" s="19" t="s">
        <v>2526</v>
      </c>
      <c r="G922" s="19" t="s">
        <v>1034</v>
      </c>
      <c r="H922" s="19" t="s">
        <v>1001</v>
      </c>
      <c r="I922" s="19" t="s">
        <v>1575</v>
      </c>
      <c r="J922" s="20">
        <v>29</v>
      </c>
      <c r="K922" t="s">
        <v>654</v>
      </c>
      <c r="L922" t="s">
        <v>678</v>
      </c>
      <c r="M922" t="s">
        <v>623</v>
      </c>
      <c r="N922" t="s">
        <v>624</v>
      </c>
      <c r="O922" t="s">
        <v>689</v>
      </c>
    </row>
    <row r="923" spans="1:15" x14ac:dyDescent="0.35">
      <c r="A923" s="77">
        <v>4.5452054794520551</v>
      </c>
      <c r="B923" s="19">
        <v>69118</v>
      </c>
      <c r="C923" s="19" t="s">
        <v>3245</v>
      </c>
      <c r="D923" s="19" t="s">
        <v>405</v>
      </c>
      <c r="E923" s="19" t="s">
        <v>406</v>
      </c>
      <c r="F923" s="19" t="s">
        <v>594</v>
      </c>
      <c r="G923" s="19" t="s">
        <v>1046</v>
      </c>
      <c r="H923" s="19" t="s">
        <v>1001</v>
      </c>
      <c r="I923" s="19" t="s">
        <v>1599</v>
      </c>
      <c r="J923" s="20">
        <v>27</v>
      </c>
      <c r="K923" t="s">
        <v>654</v>
      </c>
      <c r="L923" t="s">
        <v>684</v>
      </c>
      <c r="M923" t="s">
        <v>623</v>
      </c>
      <c r="N923" t="s">
        <v>662</v>
      </c>
      <c r="O923" t="s">
        <v>872</v>
      </c>
    </row>
    <row r="924" spans="1:15" x14ac:dyDescent="0.35">
      <c r="A924" s="77">
        <v>4.7287671232876711</v>
      </c>
      <c r="B924" s="19">
        <v>69140</v>
      </c>
      <c r="C924" s="19" t="s">
        <v>3246</v>
      </c>
      <c r="D924" s="19" t="s">
        <v>41</v>
      </c>
      <c r="E924" s="19" t="s">
        <v>41</v>
      </c>
      <c r="F924" s="19" t="s">
        <v>1157</v>
      </c>
      <c r="G924" s="19" t="s">
        <v>1046</v>
      </c>
      <c r="H924" s="19" t="s">
        <v>1001</v>
      </c>
      <c r="I924" s="19" t="s">
        <v>1599</v>
      </c>
      <c r="J924" s="20">
        <v>23</v>
      </c>
      <c r="K924" t="s">
        <v>625</v>
      </c>
      <c r="L924" t="s">
        <v>691</v>
      </c>
      <c r="M924" t="s">
        <v>657</v>
      </c>
      <c r="N924" t="s">
        <v>658</v>
      </c>
      <c r="O924" t="s">
        <v>632</v>
      </c>
    </row>
    <row r="925" spans="1:15" x14ac:dyDescent="0.35">
      <c r="A925" s="77">
        <v>4.5232876712328771</v>
      </c>
      <c r="B925" s="19">
        <v>69148</v>
      </c>
      <c r="C925" s="19" t="s">
        <v>3247</v>
      </c>
      <c r="D925" s="19" t="s">
        <v>95</v>
      </c>
      <c r="E925" s="19" t="s">
        <v>96</v>
      </c>
      <c r="F925" s="19" t="s">
        <v>1188</v>
      </c>
      <c r="G925" s="19" t="s">
        <v>1057</v>
      </c>
      <c r="H925" s="19" t="s">
        <v>1001</v>
      </c>
      <c r="I925" s="19" t="s">
        <v>1575</v>
      </c>
      <c r="J925" s="20">
        <v>23</v>
      </c>
      <c r="K925" t="s">
        <v>636</v>
      </c>
      <c r="L925" t="s">
        <v>737</v>
      </c>
      <c r="M925" t="s">
        <v>657</v>
      </c>
      <c r="N925" t="s">
        <v>641</v>
      </c>
      <c r="O925" t="s">
        <v>738</v>
      </c>
    </row>
    <row r="926" spans="1:15" x14ac:dyDescent="0.35">
      <c r="A926" s="77">
        <v>1.9178082191780823E-2</v>
      </c>
      <c r="B926" s="19">
        <v>69165</v>
      </c>
      <c r="C926" s="19" t="s">
        <v>3248</v>
      </c>
      <c r="D926" s="19" t="s">
        <v>367</v>
      </c>
      <c r="E926" s="19" t="s">
        <v>368</v>
      </c>
      <c r="F926" s="19" t="s">
        <v>1604</v>
      </c>
      <c r="G926" s="19" t="s">
        <v>1008</v>
      </c>
      <c r="H926" s="19" t="s">
        <v>1001</v>
      </c>
      <c r="I926" s="19" t="s">
        <v>1575</v>
      </c>
      <c r="J926" s="20">
        <v>31</v>
      </c>
      <c r="K926" t="s">
        <v>636</v>
      </c>
      <c r="L926" t="s">
        <v>737</v>
      </c>
      <c r="M926" t="s">
        <v>657</v>
      </c>
      <c r="N926" t="s">
        <v>641</v>
      </c>
      <c r="O926" t="s">
        <v>738</v>
      </c>
    </row>
    <row r="927" spans="1:15" x14ac:dyDescent="0.35">
      <c r="A927" s="77">
        <v>4.7095890410958905</v>
      </c>
      <c r="B927" s="19">
        <v>69218</v>
      </c>
      <c r="C927" s="19" t="s">
        <v>3249</v>
      </c>
      <c r="D927" s="19" t="s">
        <v>34</v>
      </c>
      <c r="E927" s="19" t="s">
        <v>34</v>
      </c>
      <c r="F927" s="19" t="s">
        <v>1066</v>
      </c>
      <c r="G927" s="19" t="s">
        <v>1057</v>
      </c>
      <c r="H927" s="19" t="s">
        <v>1001</v>
      </c>
      <c r="I927" s="19" t="s">
        <v>1575</v>
      </c>
      <c r="J927" s="20">
        <v>42</v>
      </c>
      <c r="K927" t="s">
        <v>654</v>
      </c>
      <c r="L927" t="s">
        <v>656</v>
      </c>
      <c r="M927" t="s">
        <v>657</v>
      </c>
      <c r="N927" t="s">
        <v>658</v>
      </c>
      <c r="O927" t="s">
        <v>632</v>
      </c>
    </row>
    <row r="928" spans="1:15" x14ac:dyDescent="0.35">
      <c r="A928" s="77">
        <v>4.7013698630136984</v>
      </c>
      <c r="B928" s="19">
        <v>69235</v>
      </c>
      <c r="C928" s="19" t="s">
        <v>3250</v>
      </c>
      <c r="D928" s="19" t="s">
        <v>337</v>
      </c>
      <c r="E928" s="19" t="s">
        <v>338</v>
      </c>
      <c r="F928" s="19" t="s">
        <v>2642</v>
      </c>
      <c r="G928" s="19" t="s">
        <v>1008</v>
      </c>
      <c r="H928" s="19" t="s">
        <v>1001</v>
      </c>
      <c r="I928" s="19" t="s">
        <v>1575</v>
      </c>
      <c r="J928" s="20">
        <v>26</v>
      </c>
      <c r="K928" t="s">
        <v>668</v>
      </c>
      <c r="L928" t="s">
        <v>656</v>
      </c>
      <c r="M928" t="s">
        <v>657</v>
      </c>
      <c r="N928" t="s">
        <v>658</v>
      </c>
      <c r="O928" t="s">
        <v>843</v>
      </c>
    </row>
    <row r="929" spans="1:15" x14ac:dyDescent="0.35">
      <c r="A929" s="77">
        <v>4.7013698630136984</v>
      </c>
      <c r="B929" s="19">
        <v>69242</v>
      </c>
      <c r="C929" s="19" t="s">
        <v>3251</v>
      </c>
      <c r="D929" s="19" t="s">
        <v>431</v>
      </c>
      <c r="E929" s="19" t="e">
        <v>#N/A</v>
      </c>
      <c r="F929" s="19" t="s">
        <v>709</v>
      </c>
      <c r="G929" s="19" t="s">
        <v>1008</v>
      </c>
      <c r="H929" s="19" t="s">
        <v>1001</v>
      </c>
      <c r="I929" s="19" t="s">
        <v>1575</v>
      </c>
      <c r="J929" s="20">
        <v>46</v>
      </c>
      <c r="K929" t="s">
        <v>654</v>
      </c>
      <c r="L929" t="s">
        <v>707</v>
      </c>
      <c r="M929" t="s">
        <v>629</v>
      </c>
      <c r="N929" t="s">
        <v>635</v>
      </c>
      <c r="O929" t="s">
        <v>710</v>
      </c>
    </row>
    <row r="930" spans="1:15" x14ac:dyDescent="0.35">
      <c r="A930" s="77">
        <v>0.12602739726027398</v>
      </c>
      <c r="B930" s="19">
        <v>69252</v>
      </c>
      <c r="C930" s="19" t="s">
        <v>3252</v>
      </c>
      <c r="D930" s="19" t="s">
        <v>16</v>
      </c>
      <c r="E930" s="19" t="s">
        <v>16</v>
      </c>
      <c r="F930" s="19" t="s">
        <v>1211</v>
      </c>
      <c r="G930" s="19" t="s">
        <v>1084</v>
      </c>
      <c r="H930" s="19" t="s">
        <v>1001</v>
      </c>
      <c r="I930" s="19" t="s">
        <v>1599</v>
      </c>
      <c r="J930" s="20">
        <v>23</v>
      </c>
      <c r="K930" t="s">
        <v>631</v>
      </c>
      <c r="L930" t="s">
        <v>645</v>
      </c>
      <c r="M930" t="s">
        <v>629</v>
      </c>
      <c r="N930" t="s">
        <v>646</v>
      </c>
      <c r="O930" t="s">
        <v>632</v>
      </c>
    </row>
    <row r="931" spans="1:15" x14ac:dyDescent="0.35">
      <c r="A931" s="77">
        <v>4.4986301369863018</v>
      </c>
      <c r="B931" s="19">
        <v>69259</v>
      </c>
      <c r="C931" s="19" t="s">
        <v>3253</v>
      </c>
      <c r="D931" s="19" t="s">
        <v>393</v>
      </c>
      <c r="E931" s="19" t="s">
        <v>394</v>
      </c>
      <c r="F931" s="19" t="s">
        <v>865</v>
      </c>
      <c r="G931" s="19" t="s">
        <v>1046</v>
      </c>
      <c r="H931" s="19" t="s">
        <v>1001</v>
      </c>
      <c r="I931" s="19" t="s">
        <v>1575</v>
      </c>
      <c r="J931" s="20">
        <v>25</v>
      </c>
      <c r="K931" t="s">
        <v>631</v>
      </c>
      <c r="L931" t="s">
        <v>684</v>
      </c>
      <c r="M931" t="s">
        <v>623</v>
      </c>
      <c r="N931" t="s">
        <v>662</v>
      </c>
      <c r="O931" t="s">
        <v>685</v>
      </c>
    </row>
    <row r="932" spans="1:15" x14ac:dyDescent="0.35">
      <c r="A932" s="77">
        <v>4.4986301369863018</v>
      </c>
      <c r="B932" s="19">
        <v>69261</v>
      </c>
      <c r="C932" s="19" t="s">
        <v>3254</v>
      </c>
      <c r="D932" s="19" t="s">
        <v>393</v>
      </c>
      <c r="E932" s="19" t="s">
        <v>394</v>
      </c>
      <c r="F932" s="19" t="s">
        <v>865</v>
      </c>
      <c r="G932" s="19" t="s">
        <v>1057</v>
      </c>
      <c r="H932" s="19" t="s">
        <v>1001</v>
      </c>
      <c r="I932" s="19" t="s">
        <v>1575</v>
      </c>
      <c r="J932" s="20">
        <v>26</v>
      </c>
      <c r="K932" t="s">
        <v>631</v>
      </c>
      <c r="L932" t="s">
        <v>684</v>
      </c>
      <c r="M932" t="s">
        <v>623</v>
      </c>
      <c r="N932" t="s">
        <v>662</v>
      </c>
      <c r="O932" t="s">
        <v>685</v>
      </c>
    </row>
    <row r="933" spans="1:15" x14ac:dyDescent="0.35">
      <c r="A933" s="77">
        <v>0.12328767123287671</v>
      </c>
      <c r="B933" s="19">
        <v>69270</v>
      </c>
      <c r="C933" s="19" t="s">
        <v>3255</v>
      </c>
      <c r="D933" s="19" t="s">
        <v>35</v>
      </c>
      <c r="E933" s="19" t="s">
        <v>35</v>
      </c>
      <c r="F933" s="19" t="s">
        <v>1657</v>
      </c>
      <c r="G933" s="19" t="s">
        <v>1008</v>
      </c>
      <c r="H933" s="19" t="s">
        <v>1001</v>
      </c>
      <c r="I933" s="19" t="s">
        <v>1575</v>
      </c>
      <c r="J933" s="20">
        <v>27</v>
      </c>
      <c r="K933" t="s">
        <v>654</v>
      </c>
      <c r="L933" t="s">
        <v>684</v>
      </c>
      <c r="M933" t="s">
        <v>623</v>
      </c>
      <c r="N933" t="s">
        <v>662</v>
      </c>
      <c r="O933" t="s">
        <v>685</v>
      </c>
    </row>
    <row r="934" spans="1:15" x14ac:dyDescent="0.35">
      <c r="A934" s="77">
        <v>1.5424657534246575</v>
      </c>
      <c r="B934" s="19">
        <v>69286</v>
      </c>
      <c r="C934" s="19" t="s">
        <v>3256</v>
      </c>
      <c r="D934" s="19" t="s">
        <v>163</v>
      </c>
      <c r="E934" s="19" t="s">
        <v>164</v>
      </c>
      <c r="F934" s="19" t="s">
        <v>1174</v>
      </c>
      <c r="G934" s="19" t="s">
        <v>1008</v>
      </c>
      <c r="H934" s="19" t="s">
        <v>1001</v>
      </c>
      <c r="I934" s="19" t="s">
        <v>1575</v>
      </c>
      <c r="J934" s="20">
        <v>26</v>
      </c>
      <c r="K934" t="s">
        <v>654</v>
      </c>
      <c r="L934" t="s">
        <v>634</v>
      </c>
      <c r="M934" t="s">
        <v>629</v>
      </c>
      <c r="N934" t="s">
        <v>635</v>
      </c>
      <c r="O934" t="s">
        <v>637</v>
      </c>
    </row>
    <row r="935" spans="1:15" x14ac:dyDescent="0.35">
      <c r="A935" s="77">
        <v>2.021917808219178</v>
      </c>
      <c r="B935" s="19">
        <v>69296</v>
      </c>
      <c r="C935" s="19" t="s">
        <v>3257</v>
      </c>
      <c r="D935" s="19" t="s">
        <v>215</v>
      </c>
      <c r="E935" s="19" t="s">
        <v>216</v>
      </c>
      <c r="F935" s="19" t="s">
        <v>1081</v>
      </c>
      <c r="G935" s="19" t="s">
        <v>1034</v>
      </c>
      <c r="H935" s="19" t="s">
        <v>1001</v>
      </c>
      <c r="I935" s="19" t="s">
        <v>1599</v>
      </c>
      <c r="J935" s="20">
        <v>24</v>
      </c>
      <c r="K935" t="s">
        <v>654</v>
      </c>
      <c r="L935" t="s">
        <v>640</v>
      </c>
      <c r="M935" t="s">
        <v>623</v>
      </c>
      <c r="N935" t="s">
        <v>624</v>
      </c>
      <c r="O935" t="s">
        <v>789</v>
      </c>
    </row>
    <row r="936" spans="1:15" x14ac:dyDescent="0.35">
      <c r="A936" s="77">
        <v>3.9150684931506849</v>
      </c>
      <c r="B936" s="19">
        <v>69366</v>
      </c>
      <c r="C936" s="19" t="s">
        <v>3258</v>
      </c>
      <c r="D936" s="19" t="s">
        <v>237</v>
      </c>
      <c r="E936" s="19" t="s">
        <v>238</v>
      </c>
      <c r="F936" s="19" t="s">
        <v>1070</v>
      </c>
      <c r="G936" s="19" t="s">
        <v>1046</v>
      </c>
      <c r="H936" s="19" t="s">
        <v>1001</v>
      </c>
      <c r="I936" s="19" t="s">
        <v>1575</v>
      </c>
      <c r="J936" s="20">
        <v>22</v>
      </c>
      <c r="K936" t="s">
        <v>631</v>
      </c>
      <c r="L936" t="s">
        <v>661</v>
      </c>
      <c r="M936" t="s">
        <v>657</v>
      </c>
      <c r="N936" t="s">
        <v>662</v>
      </c>
      <c r="O936" t="s">
        <v>632</v>
      </c>
    </row>
    <row r="937" spans="1:15" x14ac:dyDescent="0.35">
      <c r="A937" s="77">
        <v>0.26301369863013696</v>
      </c>
      <c r="B937" s="19">
        <v>69367</v>
      </c>
      <c r="C937" s="19" t="s">
        <v>3259</v>
      </c>
      <c r="D937" s="19" t="s">
        <v>124</v>
      </c>
      <c r="E937" s="19" t="s">
        <v>125</v>
      </c>
      <c r="F937" s="19" t="s">
        <v>1398</v>
      </c>
      <c r="G937" s="19" t="s">
        <v>1045</v>
      </c>
      <c r="H937" s="19" t="s">
        <v>1001</v>
      </c>
      <c r="I937" s="19" t="s">
        <v>1599</v>
      </c>
      <c r="J937" s="20">
        <v>22</v>
      </c>
      <c r="K937" t="s">
        <v>654</v>
      </c>
      <c r="L937" t="s">
        <v>661</v>
      </c>
      <c r="M937" t="s">
        <v>657</v>
      </c>
      <c r="N937" t="s">
        <v>662</v>
      </c>
      <c r="O937" t="s">
        <v>632</v>
      </c>
    </row>
    <row r="938" spans="1:15" x14ac:dyDescent="0.35">
      <c r="A938" s="77">
        <v>3.9150684931506849</v>
      </c>
      <c r="B938" s="19">
        <v>69396</v>
      </c>
      <c r="C938" s="19" t="s">
        <v>3260</v>
      </c>
      <c r="D938" s="19" t="s">
        <v>351</v>
      </c>
      <c r="E938" s="19" t="s">
        <v>352</v>
      </c>
      <c r="F938" s="19" t="s">
        <v>1507</v>
      </c>
      <c r="G938" s="19" t="s">
        <v>1046</v>
      </c>
      <c r="H938" s="19" t="s">
        <v>1001</v>
      </c>
      <c r="I938" s="19" t="s">
        <v>1575</v>
      </c>
      <c r="J938" s="20">
        <v>21</v>
      </c>
      <c r="K938" t="s">
        <v>636</v>
      </c>
      <c r="L938" t="s">
        <v>661</v>
      </c>
      <c r="M938" t="s">
        <v>657</v>
      </c>
      <c r="N938" t="s">
        <v>662</v>
      </c>
      <c r="O938" t="s">
        <v>632</v>
      </c>
    </row>
    <row r="939" spans="1:15" x14ac:dyDescent="0.35">
      <c r="A939" s="77">
        <v>3.9178082191780823</v>
      </c>
      <c r="B939" s="19">
        <v>69411</v>
      </c>
      <c r="C939" s="19" t="s">
        <v>3261</v>
      </c>
      <c r="D939" s="19" t="s">
        <v>211</v>
      </c>
      <c r="E939" s="19" t="s">
        <v>212</v>
      </c>
      <c r="F939" s="19" t="s">
        <v>1049</v>
      </c>
      <c r="G939" s="19" t="s">
        <v>1034</v>
      </c>
      <c r="H939" s="19" t="s">
        <v>1001</v>
      </c>
      <c r="I939" s="19" t="s">
        <v>1575</v>
      </c>
      <c r="J939" s="20">
        <v>22</v>
      </c>
      <c r="K939" t="s">
        <v>654</v>
      </c>
      <c r="L939" t="s">
        <v>691</v>
      </c>
      <c r="M939" t="s">
        <v>657</v>
      </c>
      <c r="N939" t="s">
        <v>658</v>
      </c>
      <c r="O939" t="s">
        <v>632</v>
      </c>
    </row>
    <row r="940" spans="1:15" x14ac:dyDescent="0.35">
      <c r="A940" s="77">
        <v>4.6876712328767125</v>
      </c>
      <c r="B940" s="19">
        <v>69476</v>
      </c>
      <c r="C940" s="19" t="s">
        <v>3262</v>
      </c>
      <c r="D940" s="19" t="s">
        <v>282</v>
      </c>
      <c r="E940" s="19" t="s">
        <v>283</v>
      </c>
      <c r="F940" s="19" t="s">
        <v>1417</v>
      </c>
      <c r="G940" s="19" t="s">
        <v>1034</v>
      </c>
      <c r="H940" s="19" t="s">
        <v>1001</v>
      </c>
      <c r="I940" s="19" t="s">
        <v>1575</v>
      </c>
      <c r="J940" s="20">
        <v>25</v>
      </c>
      <c r="K940" t="s">
        <v>668</v>
      </c>
      <c r="L940" t="s">
        <v>645</v>
      </c>
      <c r="M940" t="s">
        <v>629</v>
      </c>
      <c r="N940" t="s">
        <v>646</v>
      </c>
      <c r="O940" t="s">
        <v>632</v>
      </c>
    </row>
    <row r="941" spans="1:15" x14ac:dyDescent="0.35">
      <c r="A941" s="77">
        <v>0.23561643835616439</v>
      </c>
      <c r="B941" s="19">
        <v>69543</v>
      </c>
      <c r="C941" s="19" t="s">
        <v>3263</v>
      </c>
      <c r="D941" s="19" t="s">
        <v>193</v>
      </c>
      <c r="E941" s="19" t="s">
        <v>194</v>
      </c>
      <c r="F941" s="19" t="s">
        <v>2422</v>
      </c>
      <c r="G941" s="19" t="s">
        <v>1008</v>
      </c>
      <c r="H941" s="19" t="s">
        <v>1001</v>
      </c>
      <c r="I941" s="19" t="s">
        <v>1575</v>
      </c>
      <c r="J941" s="20">
        <v>22</v>
      </c>
      <c r="K941" t="s">
        <v>654</v>
      </c>
      <c r="L941" t="s">
        <v>670</v>
      </c>
      <c r="M941" t="s">
        <v>657</v>
      </c>
      <c r="N941" t="s">
        <v>641</v>
      </c>
      <c r="O941" t="s">
        <v>676</v>
      </c>
    </row>
    <row r="942" spans="1:15" x14ac:dyDescent="0.35">
      <c r="A942" s="77">
        <v>0.78082191780821919</v>
      </c>
      <c r="B942" s="19">
        <v>69554</v>
      </c>
      <c r="C942" s="19" t="s">
        <v>3264</v>
      </c>
      <c r="D942" s="19" t="s">
        <v>278</v>
      </c>
      <c r="E942" s="19" t="s">
        <v>279</v>
      </c>
      <c r="F942" s="19" t="s">
        <v>1131</v>
      </c>
      <c r="G942" s="19" t="s">
        <v>1008</v>
      </c>
      <c r="H942" s="19" t="s">
        <v>1001</v>
      </c>
      <c r="I942" s="19" t="s">
        <v>1599</v>
      </c>
      <c r="J942" s="20">
        <v>21</v>
      </c>
      <c r="K942" t="s">
        <v>625</v>
      </c>
      <c r="L942" t="s">
        <v>661</v>
      </c>
      <c r="M942" t="s">
        <v>657</v>
      </c>
      <c r="N942" t="s">
        <v>662</v>
      </c>
      <c r="O942" t="s">
        <v>632</v>
      </c>
    </row>
    <row r="943" spans="1:15" x14ac:dyDescent="0.35">
      <c r="A943" s="77">
        <v>3.9178082191780823</v>
      </c>
      <c r="B943" s="19">
        <v>69557</v>
      </c>
      <c r="C943" s="19" t="s">
        <v>3265</v>
      </c>
      <c r="D943" s="19" t="s">
        <v>23</v>
      </c>
      <c r="E943" s="19" t="s">
        <v>23</v>
      </c>
      <c r="F943" s="19" t="s">
        <v>660</v>
      </c>
      <c r="G943" s="19" t="s">
        <v>1057</v>
      </c>
      <c r="H943" s="19" t="s">
        <v>1001</v>
      </c>
      <c r="I943" s="19" t="s">
        <v>1599</v>
      </c>
      <c r="J943" s="20">
        <v>22</v>
      </c>
      <c r="K943" t="s">
        <v>631</v>
      </c>
      <c r="L943" t="s">
        <v>661</v>
      </c>
      <c r="M943" t="s">
        <v>657</v>
      </c>
      <c r="N943" t="s">
        <v>662</v>
      </c>
      <c r="O943" t="s">
        <v>632</v>
      </c>
    </row>
    <row r="944" spans="1:15" x14ac:dyDescent="0.35">
      <c r="A944" s="77">
        <v>3.9369863013698629</v>
      </c>
      <c r="B944" s="19">
        <v>69592</v>
      </c>
      <c r="C944" s="19" t="s">
        <v>3266</v>
      </c>
      <c r="D944" s="19" t="s">
        <v>118</v>
      </c>
      <c r="E944" s="19" t="s">
        <v>119</v>
      </c>
      <c r="F944" s="19" t="s">
        <v>1360</v>
      </c>
      <c r="G944" s="19" t="s">
        <v>1084</v>
      </c>
      <c r="H944" s="19" t="s">
        <v>1001</v>
      </c>
      <c r="I944" s="19" t="s">
        <v>1599</v>
      </c>
      <c r="J944" s="20">
        <v>24</v>
      </c>
      <c r="K944" t="s">
        <v>625</v>
      </c>
      <c r="L944" t="s">
        <v>656</v>
      </c>
      <c r="M944" t="s">
        <v>657</v>
      </c>
      <c r="N944" t="s">
        <v>658</v>
      </c>
      <c r="O944" t="s">
        <v>632</v>
      </c>
    </row>
    <row r="945" spans="1:15" x14ac:dyDescent="0.35">
      <c r="A945" s="77">
        <v>0.39726027397260272</v>
      </c>
      <c r="B945" s="19">
        <v>69602</v>
      </c>
      <c r="C945" s="19" t="s">
        <v>3267</v>
      </c>
      <c r="D945" s="19" t="s">
        <v>403</v>
      </c>
      <c r="E945" s="19" t="s">
        <v>404</v>
      </c>
      <c r="F945" s="19" t="s">
        <v>870</v>
      </c>
      <c r="G945" s="19" t="s">
        <v>1057</v>
      </c>
      <c r="H945" s="19" t="s">
        <v>1001</v>
      </c>
      <c r="I945" s="19" t="s">
        <v>1575</v>
      </c>
      <c r="J945" s="20">
        <v>22</v>
      </c>
      <c r="K945" t="s">
        <v>631</v>
      </c>
      <c r="L945" t="s">
        <v>691</v>
      </c>
      <c r="M945" t="s">
        <v>657</v>
      </c>
      <c r="N945" t="s">
        <v>658</v>
      </c>
      <c r="O945" t="s">
        <v>632</v>
      </c>
    </row>
    <row r="946" spans="1:15" x14ac:dyDescent="0.35">
      <c r="A946" s="77">
        <v>3.9178082191780823</v>
      </c>
      <c r="B946" s="19">
        <v>69603</v>
      </c>
      <c r="C946" s="19" t="s">
        <v>3268</v>
      </c>
      <c r="D946" s="19" t="s">
        <v>147</v>
      </c>
      <c r="E946" s="19" t="s">
        <v>148</v>
      </c>
      <c r="F946" s="19" t="s">
        <v>1396</v>
      </c>
      <c r="G946" s="19" t="s">
        <v>1034</v>
      </c>
      <c r="H946" s="19" t="s">
        <v>1001</v>
      </c>
      <c r="I946" s="19" t="s">
        <v>1575</v>
      </c>
      <c r="J946" s="20">
        <v>21</v>
      </c>
      <c r="K946" t="s">
        <v>636</v>
      </c>
      <c r="L946" t="s">
        <v>661</v>
      </c>
      <c r="M946" t="s">
        <v>657</v>
      </c>
      <c r="N946" t="s">
        <v>662</v>
      </c>
      <c r="O946" t="s">
        <v>632</v>
      </c>
    </row>
    <row r="947" spans="1:15" x14ac:dyDescent="0.35">
      <c r="A947" s="77">
        <v>3.9178082191780823</v>
      </c>
      <c r="B947" s="19">
        <v>69605</v>
      </c>
      <c r="C947" s="19" t="s">
        <v>3269</v>
      </c>
      <c r="D947" s="19" t="s">
        <v>151</v>
      </c>
      <c r="E947" s="19" t="s">
        <v>152</v>
      </c>
      <c r="F947" s="19" t="s">
        <v>1557</v>
      </c>
      <c r="G947" s="19" t="s">
        <v>1008</v>
      </c>
      <c r="H947" s="19" t="s">
        <v>1001</v>
      </c>
      <c r="I947" s="19" t="s">
        <v>1575</v>
      </c>
      <c r="J947" s="20">
        <v>21</v>
      </c>
      <c r="K947" t="s">
        <v>654</v>
      </c>
      <c r="L947" t="s">
        <v>691</v>
      </c>
      <c r="M947" t="s">
        <v>657</v>
      </c>
      <c r="N947" t="s">
        <v>658</v>
      </c>
      <c r="O947" t="s">
        <v>632</v>
      </c>
    </row>
    <row r="948" spans="1:15" x14ac:dyDescent="0.35">
      <c r="A948" s="77">
        <v>3.9123287671232876</v>
      </c>
      <c r="B948" s="19">
        <v>69636</v>
      </c>
      <c r="C948" s="19" t="s">
        <v>3270</v>
      </c>
      <c r="D948" s="19" t="s">
        <v>78</v>
      </c>
      <c r="E948" s="19" t="s">
        <v>79</v>
      </c>
      <c r="F948" s="19" t="s">
        <v>1107</v>
      </c>
      <c r="G948" s="19" t="s">
        <v>1046</v>
      </c>
      <c r="H948" s="19" t="s">
        <v>1001</v>
      </c>
      <c r="I948" s="19" t="s">
        <v>1575</v>
      </c>
      <c r="J948" s="20">
        <v>22</v>
      </c>
      <c r="K948" t="s">
        <v>654</v>
      </c>
      <c r="L948" t="s">
        <v>661</v>
      </c>
      <c r="M948" t="s">
        <v>657</v>
      </c>
      <c r="N948" t="s">
        <v>658</v>
      </c>
      <c r="O948" t="s">
        <v>632</v>
      </c>
    </row>
    <row r="949" spans="1:15" x14ac:dyDescent="0.35">
      <c r="A949" s="77">
        <v>3.2191780821917808</v>
      </c>
      <c r="B949" s="19">
        <v>69673</v>
      </c>
      <c r="C949" s="19" t="s">
        <v>3271</v>
      </c>
      <c r="D949" s="19" t="s">
        <v>218</v>
      </c>
      <c r="E949" s="19" t="s">
        <v>219</v>
      </c>
      <c r="F949" s="19" t="s">
        <v>1372</v>
      </c>
      <c r="G949" s="19" t="s">
        <v>1057</v>
      </c>
      <c r="H949" s="19" t="s">
        <v>1001</v>
      </c>
      <c r="I949" s="19" t="s">
        <v>1599</v>
      </c>
      <c r="J949" s="20">
        <v>22</v>
      </c>
      <c r="K949" t="s">
        <v>625</v>
      </c>
      <c r="L949" t="s">
        <v>661</v>
      </c>
      <c r="M949" t="s">
        <v>657</v>
      </c>
      <c r="N949" t="s">
        <v>662</v>
      </c>
      <c r="O949" t="s">
        <v>632</v>
      </c>
    </row>
    <row r="950" spans="1:15" x14ac:dyDescent="0.35">
      <c r="A950" s="77">
        <v>3.9178082191780823</v>
      </c>
      <c r="B950" s="19">
        <v>69693</v>
      </c>
      <c r="C950" s="19" t="s">
        <v>3272</v>
      </c>
      <c r="D950" s="19" t="s">
        <v>373</v>
      </c>
      <c r="E950" s="19" t="s">
        <v>374</v>
      </c>
      <c r="F950" s="19" t="s">
        <v>1033</v>
      </c>
      <c r="G950" s="19" t="s">
        <v>1046</v>
      </c>
      <c r="H950" s="19" t="s">
        <v>1001</v>
      </c>
      <c r="I950" s="19" t="s">
        <v>1575</v>
      </c>
      <c r="J950" s="20">
        <v>22</v>
      </c>
      <c r="K950" t="s">
        <v>654</v>
      </c>
      <c r="L950" t="s">
        <v>634</v>
      </c>
      <c r="M950" t="s">
        <v>629</v>
      </c>
      <c r="N950" t="s">
        <v>635</v>
      </c>
      <c r="O950" t="s">
        <v>637</v>
      </c>
    </row>
    <row r="951" spans="1:15" x14ac:dyDescent="0.35">
      <c r="A951" s="77">
        <v>3.9178082191780823</v>
      </c>
      <c r="B951" s="19">
        <v>69719</v>
      </c>
      <c r="C951" s="19" t="s">
        <v>3273</v>
      </c>
      <c r="D951" s="19" t="s">
        <v>365</v>
      </c>
      <c r="E951" s="19" t="s">
        <v>366</v>
      </c>
      <c r="F951" s="19" t="s">
        <v>1117</v>
      </c>
      <c r="G951" s="19" t="s">
        <v>1046</v>
      </c>
      <c r="H951" s="19" t="s">
        <v>1001</v>
      </c>
      <c r="I951" s="19" t="s">
        <v>1575</v>
      </c>
      <c r="J951" s="20">
        <v>22</v>
      </c>
      <c r="K951" t="s">
        <v>668</v>
      </c>
      <c r="L951" t="s">
        <v>691</v>
      </c>
      <c r="M951" t="s">
        <v>657</v>
      </c>
      <c r="N951" t="s">
        <v>658</v>
      </c>
      <c r="O951" t="s">
        <v>632</v>
      </c>
    </row>
    <row r="952" spans="1:15" x14ac:dyDescent="0.35">
      <c r="A952" s="77">
        <v>3.9178082191780823</v>
      </c>
      <c r="B952" s="19">
        <v>69749</v>
      </c>
      <c r="C952" s="19" t="s">
        <v>3274</v>
      </c>
      <c r="D952" s="19" t="s">
        <v>169</v>
      </c>
      <c r="E952" s="19" t="s">
        <v>170</v>
      </c>
      <c r="F952" s="19" t="s">
        <v>1274</v>
      </c>
      <c r="G952" s="19" t="s">
        <v>1008</v>
      </c>
      <c r="H952" s="19" t="s">
        <v>1001</v>
      </c>
      <c r="I952" s="19" t="s">
        <v>1575</v>
      </c>
      <c r="J952" s="20">
        <v>22</v>
      </c>
      <c r="K952" t="s">
        <v>631</v>
      </c>
      <c r="L952" t="s">
        <v>670</v>
      </c>
      <c r="M952" t="s">
        <v>657</v>
      </c>
      <c r="N952" t="s">
        <v>641</v>
      </c>
      <c r="O952" t="s">
        <v>772</v>
      </c>
    </row>
    <row r="953" spans="1:15" x14ac:dyDescent="0.35">
      <c r="A953" s="77">
        <v>3.9178082191780823</v>
      </c>
      <c r="B953" s="19">
        <v>69750</v>
      </c>
      <c r="C953" s="19" t="s">
        <v>3275</v>
      </c>
      <c r="D953" s="19" t="s">
        <v>169</v>
      </c>
      <c r="E953" s="19" t="s">
        <v>170</v>
      </c>
      <c r="F953" s="19" t="s">
        <v>1274</v>
      </c>
      <c r="G953" s="19" t="s">
        <v>1008</v>
      </c>
      <c r="H953" s="19" t="s">
        <v>1001</v>
      </c>
      <c r="I953" s="19" t="s">
        <v>1599</v>
      </c>
      <c r="J953" s="20">
        <v>22</v>
      </c>
      <c r="K953" t="s">
        <v>631</v>
      </c>
      <c r="L953" t="s">
        <v>670</v>
      </c>
      <c r="M953" t="s">
        <v>657</v>
      </c>
      <c r="N953" t="s">
        <v>641</v>
      </c>
      <c r="O953" t="s">
        <v>772</v>
      </c>
    </row>
    <row r="954" spans="1:15" x14ac:dyDescent="0.35">
      <c r="A954" s="77">
        <v>0.55890410958904113</v>
      </c>
      <c r="B954" s="19">
        <v>69766</v>
      </c>
      <c r="C954" s="19" t="s">
        <v>3276</v>
      </c>
      <c r="D954" s="19" t="s">
        <v>215</v>
      </c>
      <c r="E954" s="19" t="s">
        <v>216</v>
      </c>
      <c r="F954" s="19" t="s">
        <v>1081</v>
      </c>
      <c r="G954" s="19" t="s">
        <v>1084</v>
      </c>
      <c r="H954" s="19" t="s">
        <v>1001</v>
      </c>
      <c r="I954" s="19" t="s">
        <v>1599</v>
      </c>
      <c r="J954" s="20">
        <v>22</v>
      </c>
      <c r="K954" t="s">
        <v>654</v>
      </c>
      <c r="L954" t="s">
        <v>640</v>
      </c>
      <c r="M954" t="s">
        <v>623</v>
      </c>
      <c r="N954" t="s">
        <v>624</v>
      </c>
      <c r="O954" t="s">
        <v>789</v>
      </c>
    </row>
    <row r="955" spans="1:15" x14ac:dyDescent="0.35">
      <c r="A955" s="77">
        <v>1.6630136986301369</v>
      </c>
      <c r="B955" s="19">
        <v>69782</v>
      </c>
      <c r="C955" s="19" t="s">
        <v>3277</v>
      </c>
      <c r="D955" s="19" t="s">
        <v>199</v>
      </c>
      <c r="E955" s="19" t="s">
        <v>200</v>
      </c>
      <c r="F955" s="19" t="s">
        <v>1496</v>
      </c>
      <c r="G955" s="19" t="s">
        <v>1008</v>
      </c>
      <c r="H955" s="19" t="s">
        <v>1001</v>
      </c>
      <c r="I955" s="19" t="s">
        <v>1599</v>
      </c>
      <c r="J955" s="20">
        <v>22</v>
      </c>
      <c r="K955" t="s">
        <v>654</v>
      </c>
      <c r="L955" t="s">
        <v>737</v>
      </c>
      <c r="M955" t="s">
        <v>657</v>
      </c>
      <c r="N955" t="s">
        <v>641</v>
      </c>
      <c r="O955" t="s">
        <v>738</v>
      </c>
    </row>
    <row r="956" spans="1:15" x14ac:dyDescent="0.35">
      <c r="A956" s="77">
        <v>0.99178082191780825</v>
      </c>
      <c r="B956" s="19">
        <v>69783</v>
      </c>
      <c r="C956" s="19" t="s">
        <v>3278</v>
      </c>
      <c r="D956" s="19" t="s">
        <v>95</v>
      </c>
      <c r="E956" s="19" t="s">
        <v>96</v>
      </c>
      <c r="F956" s="19" t="s">
        <v>1188</v>
      </c>
      <c r="G956" s="19" t="s">
        <v>1084</v>
      </c>
      <c r="H956" s="19" t="s">
        <v>1001</v>
      </c>
      <c r="I956" s="19" t="s">
        <v>1599</v>
      </c>
      <c r="J956" s="20">
        <v>22</v>
      </c>
      <c r="K956" t="s">
        <v>636</v>
      </c>
      <c r="L956" t="s">
        <v>737</v>
      </c>
      <c r="M956" t="s">
        <v>657</v>
      </c>
      <c r="N956" t="s">
        <v>641</v>
      </c>
      <c r="O956" t="s">
        <v>738</v>
      </c>
    </row>
    <row r="957" spans="1:15" x14ac:dyDescent="0.35">
      <c r="A957" s="77">
        <v>4</v>
      </c>
      <c r="B957" s="19">
        <v>69805</v>
      </c>
      <c r="C957" s="19" t="s">
        <v>3279</v>
      </c>
      <c r="D957" s="19" t="s">
        <v>243</v>
      </c>
      <c r="E957" s="19" t="s">
        <v>244</v>
      </c>
      <c r="F957" s="19" t="s">
        <v>1318</v>
      </c>
      <c r="G957" s="19" t="s">
        <v>1008</v>
      </c>
      <c r="H957" s="19" t="s">
        <v>1001</v>
      </c>
      <c r="I957" s="19" t="s">
        <v>1575</v>
      </c>
      <c r="J957" s="20">
        <v>22</v>
      </c>
      <c r="K957" t="s">
        <v>631</v>
      </c>
      <c r="L957" t="s">
        <v>707</v>
      </c>
      <c r="M957" t="s">
        <v>629</v>
      </c>
      <c r="N957" t="s">
        <v>635</v>
      </c>
      <c r="O957" t="s">
        <v>710</v>
      </c>
    </row>
    <row r="958" spans="1:15" x14ac:dyDescent="0.35">
      <c r="A958" s="77">
        <v>2.463013698630137</v>
      </c>
      <c r="B958" s="19">
        <v>69814</v>
      </c>
      <c r="C958" s="19" t="s">
        <v>3280</v>
      </c>
      <c r="D958" s="19" t="s">
        <v>284</v>
      </c>
      <c r="E958" s="19" t="s">
        <v>285</v>
      </c>
      <c r="F958" s="19" t="s">
        <v>1150</v>
      </c>
      <c r="G958" s="19" t="s">
        <v>1019</v>
      </c>
      <c r="H958" s="19" t="s">
        <v>1020</v>
      </c>
      <c r="I958" s="19" t="s">
        <v>1599</v>
      </c>
      <c r="J958" s="20">
        <v>22</v>
      </c>
      <c r="K958" t="s">
        <v>625</v>
      </c>
      <c r="L958" t="s">
        <v>661</v>
      </c>
      <c r="M958" t="s">
        <v>657</v>
      </c>
      <c r="N958" t="s">
        <v>662</v>
      </c>
      <c r="O958" t="s">
        <v>632</v>
      </c>
    </row>
    <row r="959" spans="1:15" x14ac:dyDescent="0.35">
      <c r="A959" s="77">
        <v>4.6821917808219178</v>
      </c>
      <c r="B959" s="19">
        <v>69830</v>
      </c>
      <c r="C959" s="19" t="s">
        <v>3281</v>
      </c>
      <c r="D959" s="19" t="s">
        <v>20</v>
      </c>
      <c r="E959" s="19" t="s">
        <v>20</v>
      </c>
      <c r="F959" s="19" t="s">
        <v>1133</v>
      </c>
      <c r="G959" s="19" t="s">
        <v>1008</v>
      </c>
      <c r="H959" s="19" t="s">
        <v>1001</v>
      </c>
      <c r="I959" s="19" t="s">
        <v>1599</v>
      </c>
      <c r="J959" s="20">
        <v>25</v>
      </c>
      <c r="K959" t="s">
        <v>654</v>
      </c>
      <c r="L959" t="s">
        <v>634</v>
      </c>
      <c r="M959" t="s">
        <v>629</v>
      </c>
      <c r="N959" t="s">
        <v>635</v>
      </c>
      <c r="O959" t="s">
        <v>637</v>
      </c>
    </row>
    <row r="960" spans="1:15" x14ac:dyDescent="0.35">
      <c r="A960" s="77">
        <v>4.6821917808219178</v>
      </c>
      <c r="B960" s="19">
        <v>69905</v>
      </c>
      <c r="C960" s="19" t="s">
        <v>3282</v>
      </c>
      <c r="D960" s="19" t="s">
        <v>307</v>
      </c>
      <c r="E960" s="19" t="s">
        <v>308</v>
      </c>
      <c r="F960" s="19" t="s">
        <v>1524</v>
      </c>
      <c r="G960" s="19" t="s">
        <v>1084</v>
      </c>
      <c r="H960" s="19" t="s">
        <v>1001</v>
      </c>
      <c r="I960" s="19" t="s">
        <v>1599</v>
      </c>
      <c r="J960" s="20">
        <v>33</v>
      </c>
      <c r="K960" t="s">
        <v>668</v>
      </c>
      <c r="L960" t="s">
        <v>656</v>
      </c>
      <c r="M960" t="s">
        <v>657</v>
      </c>
      <c r="N960" t="s">
        <v>658</v>
      </c>
      <c r="O960" t="s">
        <v>718</v>
      </c>
    </row>
    <row r="961" spans="1:15" x14ac:dyDescent="0.35">
      <c r="A961" s="77">
        <v>0.71232876712328763</v>
      </c>
      <c r="B961" s="19">
        <v>69932</v>
      </c>
      <c r="C961" s="19" t="s">
        <v>3283</v>
      </c>
      <c r="D961" s="19" t="s">
        <v>239</v>
      </c>
      <c r="E961" s="19" t="s">
        <v>240</v>
      </c>
      <c r="F961" s="19" t="s">
        <v>798</v>
      </c>
      <c r="G961" s="19" t="s">
        <v>1008</v>
      </c>
      <c r="H961" s="19" t="s">
        <v>1001</v>
      </c>
      <c r="I961" s="19" t="s">
        <v>1575</v>
      </c>
      <c r="J961" s="20">
        <v>27</v>
      </c>
      <c r="K961" t="s">
        <v>636</v>
      </c>
      <c r="L961" t="s">
        <v>628</v>
      </c>
      <c r="M961" t="s">
        <v>629</v>
      </c>
      <c r="N961" t="s">
        <v>646</v>
      </c>
      <c r="O961" t="s">
        <v>632</v>
      </c>
    </row>
    <row r="962" spans="1:15" x14ac:dyDescent="0.35">
      <c r="A962" s="77">
        <v>1.6547945205479453</v>
      </c>
      <c r="B962" s="19">
        <v>69943</v>
      </c>
      <c r="C962" s="19" t="s">
        <v>3284</v>
      </c>
      <c r="D962" s="19" t="s">
        <v>167</v>
      </c>
      <c r="E962" s="19" t="s">
        <v>168</v>
      </c>
      <c r="F962" s="19" t="s">
        <v>2009</v>
      </c>
      <c r="G962" s="19" t="s">
        <v>1008</v>
      </c>
      <c r="H962" s="19" t="s">
        <v>1001</v>
      </c>
      <c r="I962" s="19" t="s">
        <v>1599</v>
      </c>
      <c r="J962" s="20">
        <v>23</v>
      </c>
      <c r="K962" t="s">
        <v>636</v>
      </c>
      <c r="L962" t="s">
        <v>640</v>
      </c>
      <c r="M962" t="s">
        <v>623</v>
      </c>
      <c r="N962" t="s">
        <v>641</v>
      </c>
      <c r="O962" t="s">
        <v>754</v>
      </c>
    </row>
    <row r="963" spans="1:15" x14ac:dyDescent="0.35">
      <c r="A963" s="77">
        <v>2.1917808219178082E-2</v>
      </c>
      <c r="B963" s="19">
        <v>69947</v>
      </c>
      <c r="C963" s="19" t="s">
        <v>3285</v>
      </c>
      <c r="D963" s="19" t="s">
        <v>278</v>
      </c>
      <c r="E963" s="19" t="s">
        <v>279</v>
      </c>
      <c r="F963" s="19" t="s">
        <v>1131</v>
      </c>
      <c r="G963" s="19" t="s">
        <v>1028</v>
      </c>
      <c r="H963" s="19" t="s">
        <v>1020</v>
      </c>
      <c r="I963" s="19" t="s">
        <v>1575</v>
      </c>
      <c r="J963" s="20">
        <v>27</v>
      </c>
      <c r="K963" t="s">
        <v>625</v>
      </c>
      <c r="L963" t="s">
        <v>661</v>
      </c>
      <c r="M963" t="s">
        <v>657</v>
      </c>
      <c r="N963" t="s">
        <v>662</v>
      </c>
      <c r="O963" t="s">
        <v>632</v>
      </c>
    </row>
    <row r="964" spans="1:15" x14ac:dyDescent="0.35">
      <c r="A964" s="77">
        <v>4.4246575342465757</v>
      </c>
      <c r="B964" s="19">
        <v>69984</v>
      </c>
      <c r="C964" s="19" t="s">
        <v>3286</v>
      </c>
      <c r="D964" s="19" t="s">
        <v>399</v>
      </c>
      <c r="E964" s="19" t="s">
        <v>400</v>
      </c>
      <c r="F964" s="19" t="s">
        <v>868</v>
      </c>
      <c r="G964" s="19" t="s">
        <v>1008</v>
      </c>
      <c r="H964" s="19" t="s">
        <v>1001</v>
      </c>
      <c r="I964" s="19" t="s">
        <v>1599</v>
      </c>
      <c r="J964" s="20">
        <v>37</v>
      </c>
      <c r="K964" t="s">
        <v>642</v>
      </c>
      <c r="L964" t="s">
        <v>684</v>
      </c>
      <c r="M964" t="s">
        <v>623</v>
      </c>
      <c r="N964" t="s">
        <v>662</v>
      </c>
      <c r="O964" t="s">
        <v>795</v>
      </c>
    </row>
    <row r="965" spans="1:15" x14ac:dyDescent="0.35">
      <c r="A965" s="77">
        <v>3.1260273972602741</v>
      </c>
      <c r="B965" s="19">
        <v>69996</v>
      </c>
      <c r="C965" s="19" t="s">
        <v>3287</v>
      </c>
      <c r="D965" s="19" t="s">
        <v>155</v>
      </c>
      <c r="E965" s="19" t="s">
        <v>156</v>
      </c>
      <c r="F965" s="19" t="s">
        <v>896</v>
      </c>
      <c r="G965" s="19" t="s">
        <v>1034</v>
      </c>
      <c r="H965" s="19" t="s">
        <v>1001</v>
      </c>
      <c r="I965" s="19" t="s">
        <v>1575</v>
      </c>
      <c r="J965" s="20">
        <v>32</v>
      </c>
      <c r="K965" t="s">
        <v>636</v>
      </c>
      <c r="L965" t="s">
        <v>663</v>
      </c>
      <c r="M965" t="s">
        <v>629</v>
      </c>
      <c r="N965" t="s">
        <v>646</v>
      </c>
      <c r="O965" t="s">
        <v>639</v>
      </c>
    </row>
    <row r="966" spans="1:15" x14ac:dyDescent="0.35">
      <c r="A966" s="77">
        <v>1.1041095890410959</v>
      </c>
      <c r="B966" s="19">
        <v>70011</v>
      </c>
      <c r="C966" s="19" t="s">
        <v>3288</v>
      </c>
      <c r="D966" s="19" t="s">
        <v>282</v>
      </c>
      <c r="E966" s="19" t="s">
        <v>283</v>
      </c>
      <c r="F966" s="19" t="s">
        <v>1417</v>
      </c>
      <c r="G966" s="19" t="s">
        <v>1057</v>
      </c>
      <c r="H966" s="19" t="s">
        <v>1001</v>
      </c>
      <c r="I966" s="19" t="s">
        <v>1599</v>
      </c>
      <c r="J966" s="20">
        <v>22</v>
      </c>
      <c r="K966" t="s">
        <v>668</v>
      </c>
      <c r="L966" t="s">
        <v>645</v>
      </c>
      <c r="M966" t="s">
        <v>629</v>
      </c>
      <c r="N966" t="s">
        <v>646</v>
      </c>
      <c r="O966" t="s">
        <v>632</v>
      </c>
    </row>
    <row r="967" spans="1:15" x14ac:dyDescent="0.35">
      <c r="A967" s="77">
        <v>2.3068493150684932</v>
      </c>
      <c r="B967" s="19">
        <v>70107</v>
      </c>
      <c r="C967" s="19" t="s">
        <v>3289</v>
      </c>
      <c r="D967" s="19" t="s">
        <v>262</v>
      </c>
      <c r="E967" s="19" t="s">
        <v>263</v>
      </c>
      <c r="F967" s="19" t="s">
        <v>2336</v>
      </c>
      <c r="G967" s="19" t="s">
        <v>1008</v>
      </c>
      <c r="H967" s="19" t="s">
        <v>1001</v>
      </c>
      <c r="I967" s="19" t="s">
        <v>1575</v>
      </c>
      <c r="J967" s="20">
        <v>22</v>
      </c>
      <c r="K967" t="s">
        <v>668</v>
      </c>
      <c r="L967" t="s">
        <v>663</v>
      </c>
      <c r="M967" t="s">
        <v>629</v>
      </c>
      <c r="N967" t="s">
        <v>646</v>
      </c>
      <c r="O967" t="s">
        <v>810</v>
      </c>
    </row>
    <row r="968" spans="1:15" x14ac:dyDescent="0.35">
      <c r="A968" s="77">
        <v>2.6547945205479451</v>
      </c>
      <c r="B968" s="19">
        <v>70109</v>
      </c>
      <c r="C968" s="19" t="s">
        <v>3290</v>
      </c>
      <c r="D968" s="19" t="s">
        <v>28</v>
      </c>
      <c r="E968" s="19" t="s">
        <v>28</v>
      </c>
      <c r="F968" s="19" t="s">
        <v>916</v>
      </c>
      <c r="G968" s="19" t="s">
        <v>1008</v>
      </c>
      <c r="H968" s="19" t="s">
        <v>1001</v>
      </c>
      <c r="I968" s="19" t="s">
        <v>1575</v>
      </c>
      <c r="J968" s="20">
        <v>22</v>
      </c>
      <c r="K968" t="s">
        <v>654</v>
      </c>
      <c r="L968" t="s">
        <v>670</v>
      </c>
      <c r="M968" t="s">
        <v>657</v>
      </c>
      <c r="N968" t="s">
        <v>641</v>
      </c>
      <c r="O968" t="s">
        <v>671</v>
      </c>
    </row>
    <row r="969" spans="1:15" x14ac:dyDescent="0.35">
      <c r="A969" s="77">
        <v>2.1917808219178082E-2</v>
      </c>
      <c r="B969" s="19">
        <v>70131</v>
      </c>
      <c r="C969" s="19" t="s">
        <v>3291</v>
      </c>
      <c r="D969" s="19" t="s">
        <v>379</v>
      </c>
      <c r="E969" s="19" t="s">
        <v>380</v>
      </c>
      <c r="F969" s="19" t="s">
        <v>381</v>
      </c>
      <c r="G969" s="19" t="s">
        <v>1084</v>
      </c>
      <c r="H969" s="19" t="s">
        <v>1020</v>
      </c>
      <c r="I969" s="19" t="s">
        <v>1599</v>
      </c>
      <c r="J969" s="20">
        <v>23</v>
      </c>
      <c r="K969" t="s">
        <v>636</v>
      </c>
      <c r="L969" t="s">
        <v>628</v>
      </c>
      <c r="M969" t="s">
        <v>629</v>
      </c>
      <c r="N969" t="s">
        <v>630</v>
      </c>
      <c r="O969" t="s">
        <v>632</v>
      </c>
    </row>
    <row r="970" spans="1:15" x14ac:dyDescent="0.35">
      <c r="A970" s="77">
        <v>1.4328767123287671</v>
      </c>
      <c r="B970" s="19">
        <v>70220</v>
      </c>
      <c r="C970" s="19" t="s">
        <v>3292</v>
      </c>
      <c r="D970" s="19" t="s">
        <v>211</v>
      </c>
      <c r="E970" s="19" t="s">
        <v>212</v>
      </c>
      <c r="F970" s="19" t="s">
        <v>1049</v>
      </c>
      <c r="G970" s="19" t="s">
        <v>1008</v>
      </c>
      <c r="H970" s="19" t="s">
        <v>1001</v>
      </c>
      <c r="I970" s="19" t="s">
        <v>1575</v>
      </c>
      <c r="J970" s="20">
        <v>21</v>
      </c>
      <c r="K970" t="s">
        <v>654</v>
      </c>
      <c r="L970" t="s">
        <v>691</v>
      </c>
      <c r="M970" t="s">
        <v>657</v>
      </c>
      <c r="N970" t="s">
        <v>658</v>
      </c>
      <c r="O970" t="s">
        <v>632</v>
      </c>
    </row>
    <row r="971" spans="1:15" x14ac:dyDescent="0.35">
      <c r="A971" s="77">
        <v>4.4657534246575343</v>
      </c>
      <c r="B971" s="19">
        <v>70251</v>
      </c>
      <c r="C971" s="19" t="s">
        <v>3293</v>
      </c>
      <c r="D971" s="19" t="s">
        <v>16</v>
      </c>
      <c r="E971" s="19" t="s">
        <v>16</v>
      </c>
      <c r="F971" s="19" t="s">
        <v>1211</v>
      </c>
      <c r="G971" s="19" t="s">
        <v>1008</v>
      </c>
      <c r="H971" s="19" t="s">
        <v>1001</v>
      </c>
      <c r="I971" s="19" t="s">
        <v>1575</v>
      </c>
      <c r="J971" s="20">
        <v>29</v>
      </c>
      <c r="K971" t="s">
        <v>631</v>
      </c>
      <c r="L971" t="s">
        <v>645</v>
      </c>
      <c r="M971" t="s">
        <v>629</v>
      </c>
      <c r="N971" t="s">
        <v>646</v>
      </c>
      <c r="O971" t="s">
        <v>632</v>
      </c>
    </row>
    <row r="972" spans="1:15" x14ac:dyDescent="0.35">
      <c r="A972" s="77">
        <v>4.3890410958904109</v>
      </c>
      <c r="B972" s="19">
        <v>70267</v>
      </c>
      <c r="C972" s="19" t="s">
        <v>3294</v>
      </c>
      <c r="D972" s="19" t="s">
        <v>326</v>
      </c>
      <c r="E972" s="19" t="s">
        <v>327</v>
      </c>
      <c r="F972" s="19" t="s">
        <v>1051</v>
      </c>
      <c r="G972" s="19" t="s">
        <v>1034</v>
      </c>
      <c r="H972" s="19" t="s">
        <v>1001</v>
      </c>
      <c r="I972" s="19" t="s">
        <v>1599</v>
      </c>
      <c r="J972" s="20">
        <v>32</v>
      </c>
      <c r="K972" t="s">
        <v>631</v>
      </c>
      <c r="L972" t="s">
        <v>648</v>
      </c>
      <c r="M972" t="s">
        <v>623</v>
      </c>
      <c r="N972" t="s">
        <v>624</v>
      </c>
      <c r="O972" t="s">
        <v>837</v>
      </c>
    </row>
    <row r="973" spans="1:15" x14ac:dyDescent="0.35">
      <c r="A973" s="77">
        <v>4.4136986301369863</v>
      </c>
      <c r="B973" s="19">
        <v>70277</v>
      </c>
      <c r="C973" s="19" t="s">
        <v>3295</v>
      </c>
      <c r="D973" s="19" t="s">
        <v>407</v>
      </c>
      <c r="E973" s="19" t="s">
        <v>408</v>
      </c>
      <c r="F973" s="19" t="s">
        <v>1230</v>
      </c>
      <c r="G973" s="19" t="s">
        <v>1008</v>
      </c>
      <c r="H973" s="19" t="s">
        <v>1001</v>
      </c>
      <c r="I973" s="19" t="s">
        <v>1575</v>
      </c>
      <c r="J973" s="20">
        <v>25</v>
      </c>
      <c r="K973" t="s">
        <v>636</v>
      </c>
      <c r="L973" t="s">
        <v>622</v>
      </c>
      <c r="M973" t="s">
        <v>623</v>
      </c>
      <c r="N973" t="s">
        <v>624</v>
      </c>
      <c r="O973" t="s">
        <v>730</v>
      </c>
    </row>
    <row r="974" spans="1:15" x14ac:dyDescent="0.35">
      <c r="A974" s="77">
        <v>4.4136986301369863</v>
      </c>
      <c r="B974" s="19">
        <v>70278</v>
      </c>
      <c r="C974" s="19" t="s">
        <v>3296</v>
      </c>
      <c r="D974" s="19" t="s">
        <v>407</v>
      </c>
      <c r="E974" s="19" t="s">
        <v>408</v>
      </c>
      <c r="F974" s="19" t="s">
        <v>1230</v>
      </c>
      <c r="G974" s="19" t="s">
        <v>1034</v>
      </c>
      <c r="H974" s="19" t="s">
        <v>1001</v>
      </c>
      <c r="I974" s="19" t="s">
        <v>1575</v>
      </c>
      <c r="J974" s="20">
        <v>25</v>
      </c>
      <c r="K974" t="s">
        <v>636</v>
      </c>
      <c r="L974" t="s">
        <v>622</v>
      </c>
      <c r="M974" t="s">
        <v>623</v>
      </c>
      <c r="N974" t="s">
        <v>624</v>
      </c>
      <c r="O974" t="s">
        <v>730</v>
      </c>
    </row>
    <row r="975" spans="1:15" x14ac:dyDescent="0.35">
      <c r="A975" s="77">
        <v>4.4657534246575343</v>
      </c>
      <c r="B975" s="19">
        <v>70280</v>
      </c>
      <c r="C975" s="19" t="s">
        <v>3297</v>
      </c>
      <c r="D975" s="19" t="s">
        <v>34</v>
      </c>
      <c r="E975" s="19" t="s">
        <v>34</v>
      </c>
      <c r="F975" s="19" t="s">
        <v>1066</v>
      </c>
      <c r="G975" s="19" t="s">
        <v>1046</v>
      </c>
      <c r="H975" s="19" t="s">
        <v>1001</v>
      </c>
      <c r="I975" s="19" t="s">
        <v>1575</v>
      </c>
      <c r="J975" s="20">
        <v>25</v>
      </c>
      <c r="K975" t="s">
        <v>654</v>
      </c>
      <c r="L975" t="s">
        <v>656</v>
      </c>
      <c r="M975" t="s">
        <v>657</v>
      </c>
      <c r="N975" t="s">
        <v>658</v>
      </c>
      <c r="O975" t="s">
        <v>632</v>
      </c>
    </row>
    <row r="976" spans="1:15" x14ac:dyDescent="0.35">
      <c r="A976" s="77">
        <v>4.493150684931507</v>
      </c>
      <c r="B976" s="19">
        <v>70309</v>
      </c>
      <c r="C976" s="19" t="s">
        <v>3298</v>
      </c>
      <c r="D976" s="19" t="s">
        <v>247</v>
      </c>
      <c r="E976" s="19" t="s">
        <v>248</v>
      </c>
      <c r="F976" s="19" t="s">
        <v>1726</v>
      </c>
      <c r="G976" s="19" t="s">
        <v>1057</v>
      </c>
      <c r="H976" s="19" t="s">
        <v>1001</v>
      </c>
      <c r="I976" s="19" t="s">
        <v>1575</v>
      </c>
      <c r="J976" s="20">
        <v>36</v>
      </c>
      <c r="K976" t="s">
        <v>668</v>
      </c>
      <c r="L976" t="s">
        <v>634</v>
      </c>
      <c r="M976" t="s">
        <v>629</v>
      </c>
      <c r="N976" t="s">
        <v>635</v>
      </c>
      <c r="O976" t="s">
        <v>637</v>
      </c>
    </row>
    <row r="977" spans="1:15" x14ac:dyDescent="0.35">
      <c r="A977" s="77">
        <v>4.4986301369863018</v>
      </c>
      <c r="B977" s="19">
        <v>70321</v>
      </c>
      <c r="C977" s="19" t="s">
        <v>3299</v>
      </c>
      <c r="D977" s="19" t="s">
        <v>349</v>
      </c>
      <c r="E977" s="19" t="s">
        <v>350</v>
      </c>
      <c r="F977" s="19" t="s">
        <v>912</v>
      </c>
      <c r="G977" s="19" t="s">
        <v>1046</v>
      </c>
      <c r="H977" s="19" t="s">
        <v>1001</v>
      </c>
      <c r="I977" s="19" t="s">
        <v>1575</v>
      </c>
      <c r="J977" s="20">
        <v>33</v>
      </c>
      <c r="K977" t="s">
        <v>625</v>
      </c>
      <c r="L977" t="s">
        <v>648</v>
      </c>
      <c r="M977" t="s">
        <v>623</v>
      </c>
      <c r="N977" t="s">
        <v>624</v>
      </c>
      <c r="O977" t="s">
        <v>649</v>
      </c>
    </row>
    <row r="978" spans="1:15" x14ac:dyDescent="0.35">
      <c r="A978" s="77">
        <v>4.4657534246575343</v>
      </c>
      <c r="B978" s="19">
        <v>70377</v>
      </c>
      <c r="C978" s="19" t="s">
        <v>3300</v>
      </c>
      <c r="D978" s="19" t="s">
        <v>280</v>
      </c>
      <c r="E978" s="19" t="s">
        <v>281</v>
      </c>
      <c r="F978" s="19" t="s">
        <v>1223</v>
      </c>
      <c r="G978" s="19" t="s">
        <v>1008</v>
      </c>
      <c r="H978" s="19" t="s">
        <v>1001</v>
      </c>
      <c r="I978" s="19" t="s">
        <v>1575</v>
      </c>
      <c r="J978" s="20">
        <v>41</v>
      </c>
      <c r="K978" t="s">
        <v>631</v>
      </c>
      <c r="L978" t="s">
        <v>691</v>
      </c>
      <c r="M978" t="s">
        <v>657</v>
      </c>
      <c r="N978" t="s">
        <v>658</v>
      </c>
      <c r="O978" t="s">
        <v>632</v>
      </c>
    </row>
    <row r="979" spans="1:15" x14ac:dyDescent="0.35">
      <c r="A979" s="77">
        <v>0.52054794520547942</v>
      </c>
      <c r="B979" s="19">
        <v>70389</v>
      </c>
      <c r="C979" s="19" t="s">
        <v>3301</v>
      </c>
      <c r="D979" s="19" t="s">
        <v>351</v>
      </c>
      <c r="E979" s="19" t="s">
        <v>352</v>
      </c>
      <c r="F979" s="19" t="s">
        <v>1507</v>
      </c>
      <c r="G979" s="19" t="s">
        <v>1028</v>
      </c>
      <c r="H979" s="19" t="s">
        <v>1020</v>
      </c>
      <c r="I979" s="19" t="s">
        <v>1575</v>
      </c>
      <c r="J979" s="20">
        <v>29</v>
      </c>
      <c r="K979" t="s">
        <v>636</v>
      </c>
      <c r="L979" t="s">
        <v>661</v>
      </c>
      <c r="M979" t="s">
        <v>657</v>
      </c>
      <c r="N979" t="s">
        <v>662</v>
      </c>
      <c r="O979" t="s">
        <v>632</v>
      </c>
    </row>
    <row r="980" spans="1:15" x14ac:dyDescent="0.35">
      <c r="A980" s="77">
        <v>4.6657534246575345</v>
      </c>
      <c r="B980" s="19">
        <v>70397</v>
      </c>
      <c r="C980" s="19" t="s">
        <v>3302</v>
      </c>
      <c r="D980" s="19" t="s">
        <v>365</v>
      </c>
      <c r="E980" s="19" t="s">
        <v>366</v>
      </c>
      <c r="F980" s="19" t="s">
        <v>1117</v>
      </c>
      <c r="G980" s="19" t="s">
        <v>1046</v>
      </c>
      <c r="H980" s="19" t="s">
        <v>1001</v>
      </c>
      <c r="I980" s="19" t="s">
        <v>1575</v>
      </c>
      <c r="J980" s="20">
        <v>26</v>
      </c>
      <c r="K980" t="s">
        <v>668</v>
      </c>
      <c r="L980" t="s">
        <v>691</v>
      </c>
      <c r="M980" t="s">
        <v>657</v>
      </c>
      <c r="N980" t="s">
        <v>658</v>
      </c>
      <c r="O980" t="s">
        <v>632</v>
      </c>
    </row>
    <row r="981" spans="1:15" x14ac:dyDescent="0.35">
      <c r="A981" s="77">
        <v>4.6657534246575345</v>
      </c>
      <c r="B981" s="19">
        <v>70418</v>
      </c>
      <c r="C981" s="19" t="s">
        <v>3303</v>
      </c>
      <c r="D981" s="19" t="s">
        <v>60</v>
      </c>
      <c r="E981" s="19" t="s">
        <v>61</v>
      </c>
      <c r="F981" s="19" t="s">
        <v>1119</v>
      </c>
      <c r="G981" s="19" t="s">
        <v>1034</v>
      </c>
      <c r="H981" s="19" t="s">
        <v>1001</v>
      </c>
      <c r="I981" s="19" t="s">
        <v>1575</v>
      </c>
      <c r="J981" s="20">
        <v>28</v>
      </c>
      <c r="K981" t="s">
        <v>654</v>
      </c>
      <c r="L981" t="s">
        <v>651</v>
      </c>
      <c r="M981" t="s">
        <v>629</v>
      </c>
      <c r="N981" t="s">
        <v>630</v>
      </c>
      <c r="O981" t="s">
        <v>705</v>
      </c>
    </row>
    <row r="982" spans="1:15" x14ac:dyDescent="0.35">
      <c r="A982" s="77">
        <v>1.273972602739726</v>
      </c>
      <c r="B982" s="19">
        <v>70447</v>
      </c>
      <c r="C982" s="19" t="s">
        <v>3304</v>
      </c>
      <c r="D982" s="19" t="s">
        <v>42</v>
      </c>
      <c r="E982" s="19" t="s">
        <v>42</v>
      </c>
      <c r="F982" s="19" t="s">
        <v>1262</v>
      </c>
      <c r="G982" s="19" t="s">
        <v>1008</v>
      </c>
      <c r="H982" s="19" t="s">
        <v>1001</v>
      </c>
      <c r="I982" s="19" t="s">
        <v>1599</v>
      </c>
      <c r="J982" s="20">
        <v>22</v>
      </c>
      <c r="K982" t="s">
        <v>625</v>
      </c>
      <c r="L982" t="s">
        <v>628</v>
      </c>
      <c r="M982" t="s">
        <v>629</v>
      </c>
      <c r="N982" t="s">
        <v>630</v>
      </c>
      <c r="O982" t="s">
        <v>632</v>
      </c>
    </row>
    <row r="983" spans="1:15" x14ac:dyDescent="0.35">
      <c r="A983" s="77">
        <v>0.73424657534246573</v>
      </c>
      <c r="B983" s="19">
        <v>70523</v>
      </c>
      <c r="C983" s="19" t="s">
        <v>3305</v>
      </c>
      <c r="D983" s="19" t="s">
        <v>362</v>
      </c>
      <c r="E983" s="19" t="s">
        <v>363</v>
      </c>
      <c r="F983" s="19" t="s">
        <v>1056</v>
      </c>
      <c r="G983" s="19" t="s">
        <v>1008</v>
      </c>
      <c r="H983" s="19" t="s">
        <v>1001</v>
      </c>
      <c r="I983" s="19" t="s">
        <v>1599</v>
      </c>
      <c r="J983" s="20">
        <v>26</v>
      </c>
      <c r="K983" t="s">
        <v>654</v>
      </c>
      <c r="L983" t="s">
        <v>663</v>
      </c>
      <c r="M983" t="s">
        <v>629</v>
      </c>
      <c r="N983" t="s">
        <v>646</v>
      </c>
      <c r="O983" t="s">
        <v>810</v>
      </c>
    </row>
    <row r="984" spans="1:15" x14ac:dyDescent="0.35">
      <c r="A984" s="77">
        <v>4.624657534246575</v>
      </c>
      <c r="B984" s="19">
        <v>70604</v>
      </c>
      <c r="C984" s="19" t="s">
        <v>3306</v>
      </c>
      <c r="D984" s="19" t="s">
        <v>268</v>
      </c>
      <c r="E984" s="19" t="s">
        <v>269</v>
      </c>
      <c r="F984" s="19" t="s">
        <v>2161</v>
      </c>
      <c r="G984" s="19" t="s">
        <v>1057</v>
      </c>
      <c r="H984" s="19" t="s">
        <v>1001</v>
      </c>
      <c r="I984" s="19" t="s">
        <v>1575</v>
      </c>
      <c r="J984" s="20">
        <v>28</v>
      </c>
      <c r="K984" t="s">
        <v>654</v>
      </c>
      <c r="L984" t="s">
        <v>666</v>
      </c>
      <c r="M984" t="s">
        <v>629</v>
      </c>
      <c r="N984" t="s">
        <v>635</v>
      </c>
      <c r="O984" t="s">
        <v>637</v>
      </c>
    </row>
    <row r="985" spans="1:15" x14ac:dyDescent="0.35">
      <c r="A985" s="77">
        <v>2.1917808219178082E-2</v>
      </c>
      <c r="B985" s="19">
        <v>70613</v>
      </c>
      <c r="C985" s="19" t="s">
        <v>3307</v>
      </c>
      <c r="D985" s="19" t="s">
        <v>349</v>
      </c>
      <c r="E985" s="19" t="s">
        <v>350</v>
      </c>
      <c r="F985" s="19" t="s">
        <v>912</v>
      </c>
      <c r="G985" s="19" t="s">
        <v>1008</v>
      </c>
      <c r="H985" s="19" t="s">
        <v>1001</v>
      </c>
      <c r="I985" s="19" t="s">
        <v>1599</v>
      </c>
      <c r="J985" s="20">
        <v>30</v>
      </c>
      <c r="K985" t="s">
        <v>625</v>
      </c>
      <c r="L985" t="s">
        <v>648</v>
      </c>
      <c r="M985" t="s">
        <v>623</v>
      </c>
      <c r="N985" t="s">
        <v>624</v>
      </c>
      <c r="O985" t="s">
        <v>649</v>
      </c>
    </row>
    <row r="986" spans="1:15" x14ac:dyDescent="0.35">
      <c r="A986" s="77">
        <v>4.6082191780821917</v>
      </c>
      <c r="B986" s="19">
        <v>70680</v>
      </c>
      <c r="C986" s="19" t="s">
        <v>3308</v>
      </c>
      <c r="D986" s="19" t="s">
        <v>313</v>
      </c>
      <c r="E986" s="19" t="s">
        <v>314</v>
      </c>
      <c r="F986" s="19" t="s">
        <v>1401</v>
      </c>
      <c r="G986" s="19" t="s">
        <v>1034</v>
      </c>
      <c r="H986" s="19" t="s">
        <v>1001</v>
      </c>
      <c r="I986" s="19" t="s">
        <v>1575</v>
      </c>
      <c r="J986" s="20">
        <v>26</v>
      </c>
      <c r="K986" t="s">
        <v>654</v>
      </c>
      <c r="L986" t="s">
        <v>666</v>
      </c>
      <c r="M986" t="s">
        <v>629</v>
      </c>
      <c r="N986" t="s">
        <v>635</v>
      </c>
      <c r="O986" t="s">
        <v>637</v>
      </c>
    </row>
    <row r="987" spans="1:15" x14ac:dyDescent="0.35">
      <c r="A987" s="77">
        <v>4.6136986301369864</v>
      </c>
      <c r="B987" s="19">
        <v>70689</v>
      </c>
      <c r="C987" s="19" t="s">
        <v>3309</v>
      </c>
      <c r="D987" s="19" t="s">
        <v>239</v>
      </c>
      <c r="E987" s="19" t="s">
        <v>240</v>
      </c>
      <c r="F987" s="19" t="s">
        <v>798</v>
      </c>
      <c r="G987" s="19" t="s">
        <v>1084</v>
      </c>
      <c r="H987" s="19" t="s">
        <v>1020</v>
      </c>
      <c r="I987" s="19" t="s">
        <v>1575</v>
      </c>
      <c r="J987" s="20">
        <v>46</v>
      </c>
      <c r="K987" t="s">
        <v>636</v>
      </c>
      <c r="L987" t="s">
        <v>628</v>
      </c>
      <c r="M987" t="s">
        <v>629</v>
      </c>
      <c r="N987" t="s">
        <v>646</v>
      </c>
      <c r="O987" t="s">
        <v>632</v>
      </c>
    </row>
    <row r="988" spans="1:15" x14ac:dyDescent="0.35">
      <c r="A988" s="77">
        <v>4.6054794520547944</v>
      </c>
      <c r="B988" s="19">
        <v>70741</v>
      </c>
      <c r="C988" s="19" t="s">
        <v>3310</v>
      </c>
      <c r="D988" s="19" t="s">
        <v>195</v>
      </c>
      <c r="E988" s="19" t="s">
        <v>196</v>
      </c>
      <c r="F988" s="19" t="s">
        <v>908</v>
      </c>
      <c r="G988" s="19" t="s">
        <v>1008</v>
      </c>
      <c r="H988" s="19" t="s">
        <v>1001</v>
      </c>
      <c r="I988" s="19" t="s">
        <v>1575</v>
      </c>
      <c r="J988" s="20">
        <v>28</v>
      </c>
      <c r="K988" t="s">
        <v>636</v>
      </c>
      <c r="L988" t="s">
        <v>670</v>
      </c>
      <c r="M988" t="s">
        <v>657</v>
      </c>
      <c r="N988" t="s">
        <v>641</v>
      </c>
      <c r="O988" t="s">
        <v>676</v>
      </c>
    </row>
    <row r="989" spans="1:15" x14ac:dyDescent="0.35">
      <c r="A989" s="77">
        <v>4.5780821917808217</v>
      </c>
      <c r="B989" s="19">
        <v>70805</v>
      </c>
      <c r="C989" s="19" t="s">
        <v>3311</v>
      </c>
      <c r="D989" s="19" t="s">
        <v>167</v>
      </c>
      <c r="E989" s="19" t="s">
        <v>168</v>
      </c>
      <c r="F989" s="19" t="s">
        <v>2009</v>
      </c>
      <c r="G989" s="19" t="s">
        <v>1008</v>
      </c>
      <c r="H989" s="19" t="s">
        <v>1001</v>
      </c>
      <c r="I989" s="19" t="s">
        <v>1575</v>
      </c>
      <c r="J989" s="20">
        <v>42</v>
      </c>
      <c r="K989" t="s">
        <v>636</v>
      </c>
      <c r="L989" t="s">
        <v>640</v>
      </c>
      <c r="M989" t="s">
        <v>623</v>
      </c>
      <c r="N989" t="s">
        <v>641</v>
      </c>
      <c r="O989" t="s">
        <v>754</v>
      </c>
    </row>
    <row r="990" spans="1:15" x14ac:dyDescent="0.35">
      <c r="A990" s="77">
        <v>4.5780821917808217</v>
      </c>
      <c r="B990" s="19">
        <v>70807</v>
      </c>
      <c r="C990" s="19" t="s">
        <v>3312</v>
      </c>
      <c r="D990" s="19" t="s">
        <v>78</v>
      </c>
      <c r="E990" s="19" t="s">
        <v>79</v>
      </c>
      <c r="F990" s="19" t="s">
        <v>1107</v>
      </c>
      <c r="G990" s="19" t="s">
        <v>1034</v>
      </c>
      <c r="H990" s="19" t="s">
        <v>1001</v>
      </c>
      <c r="I990" s="19" t="s">
        <v>1575</v>
      </c>
      <c r="J990" s="20">
        <v>24</v>
      </c>
      <c r="K990" t="s">
        <v>654</v>
      </c>
      <c r="L990" t="s">
        <v>661</v>
      </c>
      <c r="M990" t="s">
        <v>657</v>
      </c>
      <c r="N990" t="s">
        <v>658</v>
      </c>
      <c r="O990" t="s">
        <v>632</v>
      </c>
    </row>
    <row r="991" spans="1:15" x14ac:dyDescent="0.35">
      <c r="A991" s="77">
        <v>4.5726027397260278</v>
      </c>
      <c r="B991" s="19">
        <v>70872</v>
      </c>
      <c r="C991" s="19" t="s">
        <v>3313</v>
      </c>
      <c r="D991" s="19" t="s">
        <v>232</v>
      </c>
      <c r="E991" s="19" t="s">
        <v>233</v>
      </c>
      <c r="F991" s="19" t="s">
        <v>1040</v>
      </c>
      <c r="G991" s="19" t="s">
        <v>1008</v>
      </c>
      <c r="H991" s="19" t="s">
        <v>1001</v>
      </c>
      <c r="I991" s="19" t="s">
        <v>1575</v>
      </c>
      <c r="J991" s="20">
        <v>44</v>
      </c>
      <c r="K991" t="s">
        <v>654</v>
      </c>
      <c r="L991" t="s">
        <v>684</v>
      </c>
      <c r="M991" t="s">
        <v>623</v>
      </c>
      <c r="N991" t="s">
        <v>662</v>
      </c>
      <c r="O991" t="s">
        <v>795</v>
      </c>
    </row>
    <row r="992" spans="1:15" x14ac:dyDescent="0.35">
      <c r="A992" s="77">
        <v>4.5698630136986305</v>
      </c>
      <c r="B992" s="19">
        <v>70903</v>
      </c>
      <c r="C992" s="19" t="s">
        <v>3314</v>
      </c>
      <c r="D992" s="19" t="s">
        <v>377</v>
      </c>
      <c r="E992" s="19" t="s">
        <v>378</v>
      </c>
      <c r="F992" s="19" t="s">
        <v>862</v>
      </c>
      <c r="G992" s="19" t="s">
        <v>1034</v>
      </c>
      <c r="H992" s="19" t="s">
        <v>1001</v>
      </c>
      <c r="I992" s="19" t="s">
        <v>1575</v>
      </c>
      <c r="J992" s="20">
        <v>24</v>
      </c>
      <c r="K992" t="s">
        <v>631</v>
      </c>
      <c r="L992" t="s">
        <v>661</v>
      </c>
      <c r="M992" t="s">
        <v>657</v>
      </c>
      <c r="N992" t="s">
        <v>662</v>
      </c>
      <c r="O992" t="s">
        <v>632</v>
      </c>
    </row>
    <row r="993" spans="1:15" x14ac:dyDescent="0.35">
      <c r="A993" s="77">
        <v>4.5479452054794525</v>
      </c>
      <c r="B993" s="19">
        <v>71015</v>
      </c>
      <c r="C993" s="19" t="s">
        <v>3315</v>
      </c>
      <c r="D993" s="19" t="s">
        <v>208</v>
      </c>
      <c r="E993" s="19" t="s">
        <v>209</v>
      </c>
      <c r="F993" s="19" t="s">
        <v>1444</v>
      </c>
      <c r="G993" s="19" t="s">
        <v>1057</v>
      </c>
      <c r="H993" s="19" t="s">
        <v>1001</v>
      </c>
      <c r="I993" s="19" t="s">
        <v>1575</v>
      </c>
      <c r="J993" s="20">
        <v>26</v>
      </c>
      <c r="K993" t="s">
        <v>636</v>
      </c>
      <c r="L993" t="s">
        <v>640</v>
      </c>
      <c r="M993" t="s">
        <v>623</v>
      </c>
      <c r="N993" t="s">
        <v>624</v>
      </c>
      <c r="O993" t="s">
        <v>787</v>
      </c>
    </row>
    <row r="994" spans="1:15" x14ac:dyDescent="0.35">
      <c r="A994" s="77">
        <v>4.5315068493150683</v>
      </c>
      <c r="B994" s="19">
        <v>71069</v>
      </c>
      <c r="C994" s="19" t="s">
        <v>3316</v>
      </c>
      <c r="D994" s="19" t="s">
        <v>601</v>
      </c>
      <c r="E994" s="19" t="e">
        <v>#N/A</v>
      </c>
      <c r="F994" s="19" t="s">
        <v>1136</v>
      </c>
      <c r="G994" s="19" t="s">
        <v>1000</v>
      </c>
      <c r="H994" s="19" t="s">
        <v>1001</v>
      </c>
      <c r="I994" s="19" t="s">
        <v>1599</v>
      </c>
      <c r="J994" s="20">
        <v>36</v>
      </c>
      <c r="K994" t="s">
        <v>654</v>
      </c>
      <c r="L994" t="s">
        <v>651</v>
      </c>
      <c r="M994" t="s">
        <v>629</v>
      </c>
      <c r="N994" t="s">
        <v>630</v>
      </c>
      <c r="O994" t="s">
        <v>715</v>
      </c>
    </row>
    <row r="995" spans="1:15" x14ac:dyDescent="0.35">
      <c r="A995" s="77">
        <v>4.5315068493150683</v>
      </c>
      <c r="B995" s="19">
        <v>71071</v>
      </c>
      <c r="C995" s="19" t="s">
        <v>3317</v>
      </c>
      <c r="D995" s="19" t="s">
        <v>28</v>
      </c>
      <c r="E995" s="19" t="s">
        <v>28</v>
      </c>
      <c r="F995" s="19" t="s">
        <v>916</v>
      </c>
      <c r="G995" s="19" t="s">
        <v>1034</v>
      </c>
      <c r="H995" s="19" t="s">
        <v>1001</v>
      </c>
      <c r="I995" s="19" t="s">
        <v>1575</v>
      </c>
      <c r="J995" s="20">
        <v>27</v>
      </c>
      <c r="K995" t="s">
        <v>654</v>
      </c>
      <c r="L995" t="s">
        <v>670</v>
      </c>
      <c r="M995" t="s">
        <v>657</v>
      </c>
      <c r="N995" t="s">
        <v>641</v>
      </c>
      <c r="O995" t="s">
        <v>671</v>
      </c>
    </row>
    <row r="996" spans="1:15" x14ac:dyDescent="0.35">
      <c r="A996" s="77">
        <v>0.91506849315068495</v>
      </c>
      <c r="B996" s="19">
        <v>71092</v>
      </c>
      <c r="C996" s="19" t="s">
        <v>3318</v>
      </c>
      <c r="D996" s="19" t="s">
        <v>315</v>
      </c>
      <c r="E996" s="19" t="s">
        <v>316</v>
      </c>
      <c r="F996" s="19" t="s">
        <v>1322</v>
      </c>
      <c r="G996" s="19" t="s">
        <v>1008</v>
      </c>
      <c r="H996" s="19" t="s">
        <v>1001</v>
      </c>
      <c r="I996" s="19" t="s">
        <v>1599</v>
      </c>
      <c r="J996" s="20">
        <v>30</v>
      </c>
      <c r="K996" t="s">
        <v>654</v>
      </c>
      <c r="L996" t="s">
        <v>684</v>
      </c>
      <c r="M996" t="s">
        <v>623</v>
      </c>
      <c r="N996" t="s">
        <v>662</v>
      </c>
      <c r="O996" t="s">
        <v>831</v>
      </c>
    </row>
    <row r="997" spans="1:15" x14ac:dyDescent="0.35">
      <c r="A997" s="77">
        <v>4.536986301369863</v>
      </c>
      <c r="B997" s="19">
        <v>71097</v>
      </c>
      <c r="C997" s="19" t="s">
        <v>3319</v>
      </c>
      <c r="D997" s="19" t="s">
        <v>417</v>
      </c>
      <c r="E997" s="19" t="s">
        <v>417</v>
      </c>
      <c r="F997" s="19" t="s">
        <v>418</v>
      </c>
      <c r="G997" s="19" t="s">
        <v>1046</v>
      </c>
      <c r="H997" s="19" t="s">
        <v>1001</v>
      </c>
      <c r="I997" s="19" t="s">
        <v>1575</v>
      </c>
      <c r="J997" s="20">
        <v>27</v>
      </c>
      <c r="K997" t="s">
        <v>654</v>
      </c>
      <c r="L997" t="s">
        <v>684</v>
      </c>
      <c r="M997" t="s">
        <v>623</v>
      </c>
      <c r="N997" t="s">
        <v>662</v>
      </c>
      <c r="O997" t="s">
        <v>687</v>
      </c>
    </row>
    <row r="998" spans="1:15" x14ac:dyDescent="0.35">
      <c r="A998" s="77">
        <v>4.5178082191780824</v>
      </c>
      <c r="B998" s="19">
        <v>71140</v>
      </c>
      <c r="C998" s="19" t="s">
        <v>3320</v>
      </c>
      <c r="D998" s="19" t="s">
        <v>403</v>
      </c>
      <c r="E998" s="19" t="s">
        <v>404</v>
      </c>
      <c r="F998" s="19" t="s">
        <v>870</v>
      </c>
      <c r="G998" s="19" t="s">
        <v>1045</v>
      </c>
      <c r="H998" s="19" t="s">
        <v>1001</v>
      </c>
      <c r="I998" s="19" t="s">
        <v>1575</v>
      </c>
      <c r="J998" s="20">
        <v>24</v>
      </c>
      <c r="K998" t="s">
        <v>631</v>
      </c>
      <c r="L998" t="s">
        <v>691</v>
      </c>
      <c r="M998" t="s">
        <v>657</v>
      </c>
      <c r="N998" t="s">
        <v>658</v>
      </c>
      <c r="O998" t="s">
        <v>632</v>
      </c>
    </row>
    <row r="999" spans="1:15" x14ac:dyDescent="0.35">
      <c r="A999" s="77">
        <v>4.515068493150685</v>
      </c>
      <c r="B999" s="19">
        <v>71147</v>
      </c>
      <c r="C999" s="19" t="s">
        <v>3321</v>
      </c>
      <c r="D999" s="19" t="s">
        <v>382</v>
      </c>
      <c r="E999" s="19" t="s">
        <v>383</v>
      </c>
      <c r="F999" s="19" t="s">
        <v>384</v>
      </c>
      <c r="G999" s="19" t="s">
        <v>1008</v>
      </c>
      <c r="H999" s="19" t="s">
        <v>1001</v>
      </c>
      <c r="I999" s="19" t="s">
        <v>1575</v>
      </c>
      <c r="J999" s="20">
        <v>48</v>
      </c>
      <c r="K999" t="s">
        <v>636</v>
      </c>
      <c r="L999" t="s">
        <v>656</v>
      </c>
      <c r="M999" t="s">
        <v>657</v>
      </c>
      <c r="N999" t="s">
        <v>658</v>
      </c>
      <c r="O999" t="s">
        <v>843</v>
      </c>
    </row>
    <row r="1000" spans="1:15" x14ac:dyDescent="0.35">
      <c r="A1000" s="77">
        <v>4.515068493150685</v>
      </c>
      <c r="B1000" s="19">
        <v>71149</v>
      </c>
      <c r="C1000" s="19" t="s">
        <v>3322</v>
      </c>
      <c r="D1000" s="19" t="s">
        <v>382</v>
      </c>
      <c r="E1000" s="19" t="s">
        <v>383</v>
      </c>
      <c r="F1000" s="19" t="s">
        <v>384</v>
      </c>
      <c r="G1000" s="19" t="s">
        <v>1046</v>
      </c>
      <c r="H1000" s="19" t="s">
        <v>1001</v>
      </c>
      <c r="I1000" s="19" t="s">
        <v>1575</v>
      </c>
      <c r="J1000" s="20">
        <v>27</v>
      </c>
      <c r="K1000" t="s">
        <v>636</v>
      </c>
      <c r="L1000" t="s">
        <v>656</v>
      </c>
      <c r="M1000" t="s">
        <v>657</v>
      </c>
      <c r="N1000" t="s">
        <v>658</v>
      </c>
      <c r="O1000" t="s">
        <v>843</v>
      </c>
    </row>
    <row r="1001" spans="1:15" x14ac:dyDescent="0.35">
      <c r="A1001" s="77">
        <v>4.493150684931507</v>
      </c>
      <c r="B1001" s="19">
        <v>71201</v>
      </c>
      <c r="C1001" s="19" t="s">
        <v>3323</v>
      </c>
      <c r="D1001" s="19" t="s">
        <v>135</v>
      </c>
      <c r="E1001" s="19" t="s">
        <v>136</v>
      </c>
      <c r="F1001" s="19" t="s">
        <v>2393</v>
      </c>
      <c r="G1001" s="19" t="s">
        <v>1028</v>
      </c>
      <c r="H1001" s="19" t="s">
        <v>1020</v>
      </c>
      <c r="I1001" s="19" t="s">
        <v>1575</v>
      </c>
      <c r="J1001" s="20">
        <v>29</v>
      </c>
      <c r="K1001" t="s">
        <v>668</v>
      </c>
      <c r="L1001" t="s">
        <v>651</v>
      </c>
      <c r="M1001" t="s">
        <v>629</v>
      </c>
      <c r="N1001" t="s">
        <v>630</v>
      </c>
      <c r="O1001" t="s">
        <v>652</v>
      </c>
    </row>
    <row r="1002" spans="1:15" x14ac:dyDescent="0.35">
      <c r="A1002" s="77">
        <v>4.493150684931507</v>
      </c>
      <c r="B1002" s="19">
        <v>71204</v>
      </c>
      <c r="C1002" s="19" t="s">
        <v>3324</v>
      </c>
      <c r="D1002" s="19" t="s">
        <v>357</v>
      </c>
      <c r="E1002" s="19" t="s">
        <v>358</v>
      </c>
      <c r="F1002" s="19" t="s">
        <v>1161</v>
      </c>
      <c r="G1002" s="19" t="s">
        <v>1057</v>
      </c>
      <c r="H1002" s="19" t="s">
        <v>1001</v>
      </c>
      <c r="I1002" s="19" t="s">
        <v>1575</v>
      </c>
      <c r="J1002" s="20">
        <v>32</v>
      </c>
      <c r="K1002" t="s">
        <v>668</v>
      </c>
      <c r="L1002" t="s">
        <v>640</v>
      </c>
      <c r="M1002" t="s">
        <v>623</v>
      </c>
      <c r="N1002" t="s">
        <v>641</v>
      </c>
      <c r="O1002" t="s">
        <v>852</v>
      </c>
    </row>
    <row r="1003" spans="1:15" x14ac:dyDescent="0.35">
      <c r="A1003" s="77">
        <v>4.493150684931507</v>
      </c>
      <c r="B1003" s="19">
        <v>71209</v>
      </c>
      <c r="C1003" s="19" t="s">
        <v>3325</v>
      </c>
      <c r="D1003" s="19" t="s">
        <v>8</v>
      </c>
      <c r="E1003" s="19" t="s">
        <v>8</v>
      </c>
      <c r="F1003" s="19" t="s">
        <v>1176</v>
      </c>
      <c r="G1003" s="19" t="s">
        <v>1028</v>
      </c>
      <c r="H1003" s="19" t="s">
        <v>1020</v>
      </c>
      <c r="I1003" s="19" t="s">
        <v>1575</v>
      </c>
      <c r="J1003" s="20">
        <v>44</v>
      </c>
      <c r="K1003" t="s">
        <v>625</v>
      </c>
      <c r="L1003" t="s">
        <v>622</v>
      </c>
      <c r="M1003" t="s">
        <v>623</v>
      </c>
      <c r="N1003" t="s">
        <v>624</v>
      </c>
      <c r="O1003" t="s">
        <v>626</v>
      </c>
    </row>
    <row r="1004" spans="1:15" x14ac:dyDescent="0.35">
      <c r="A1004" s="77">
        <v>4.4986301369863018</v>
      </c>
      <c r="B1004" s="19">
        <v>71225</v>
      </c>
      <c r="C1004" s="19" t="s">
        <v>3326</v>
      </c>
      <c r="D1004" s="19" t="s">
        <v>51</v>
      </c>
      <c r="E1004" s="19" t="s">
        <v>52</v>
      </c>
      <c r="F1004" s="19" t="s">
        <v>921</v>
      </c>
      <c r="G1004" s="19" t="s">
        <v>1000</v>
      </c>
      <c r="H1004" s="19" t="s">
        <v>1001</v>
      </c>
      <c r="I1004" s="19" t="s">
        <v>1599</v>
      </c>
      <c r="J1004" s="20">
        <v>33</v>
      </c>
      <c r="K1004" t="s">
        <v>636</v>
      </c>
      <c r="L1004" t="s">
        <v>656</v>
      </c>
      <c r="M1004" t="s">
        <v>657</v>
      </c>
      <c r="N1004" t="s">
        <v>658</v>
      </c>
      <c r="O1004" t="s">
        <v>718</v>
      </c>
    </row>
    <row r="1005" spans="1:15" x14ac:dyDescent="0.35">
      <c r="A1005" s="77">
        <v>1.6602739726027398</v>
      </c>
      <c r="B1005" s="19">
        <v>71276</v>
      </c>
      <c r="C1005" s="19" t="s">
        <v>3327</v>
      </c>
      <c r="D1005" s="19" t="s">
        <v>118</v>
      </c>
      <c r="E1005" s="19" t="s">
        <v>119</v>
      </c>
      <c r="F1005" s="19" t="s">
        <v>1360</v>
      </c>
      <c r="G1005" s="19" t="s">
        <v>1034</v>
      </c>
      <c r="H1005" s="19" t="s">
        <v>1001</v>
      </c>
      <c r="I1005" s="19" t="s">
        <v>1599</v>
      </c>
      <c r="J1005" s="20">
        <v>24</v>
      </c>
      <c r="K1005" t="s">
        <v>625</v>
      </c>
      <c r="L1005" t="s">
        <v>656</v>
      </c>
      <c r="M1005" t="s">
        <v>657</v>
      </c>
      <c r="N1005" t="s">
        <v>658</v>
      </c>
      <c r="O1005" t="s">
        <v>632</v>
      </c>
    </row>
    <row r="1006" spans="1:15" x14ac:dyDescent="0.35">
      <c r="A1006" s="77">
        <v>2.1972602739726028</v>
      </c>
      <c r="B1006" s="19">
        <v>71278</v>
      </c>
      <c r="C1006" s="19" t="s">
        <v>3328</v>
      </c>
      <c r="D1006" s="19" t="s">
        <v>193</v>
      </c>
      <c r="E1006" s="19" t="s">
        <v>194</v>
      </c>
      <c r="F1006" s="19" t="s">
        <v>2422</v>
      </c>
      <c r="G1006" s="19" t="s">
        <v>1057</v>
      </c>
      <c r="H1006" s="19" t="s">
        <v>1001</v>
      </c>
      <c r="I1006" s="19" t="s">
        <v>1575</v>
      </c>
      <c r="J1006" s="20">
        <v>26</v>
      </c>
      <c r="K1006" t="s">
        <v>654</v>
      </c>
      <c r="L1006" t="s">
        <v>670</v>
      </c>
      <c r="M1006" t="s">
        <v>657</v>
      </c>
      <c r="N1006" t="s">
        <v>641</v>
      </c>
      <c r="O1006" t="s">
        <v>676</v>
      </c>
    </row>
    <row r="1007" spans="1:15" x14ac:dyDescent="0.35">
      <c r="A1007" s="77">
        <v>4.4767123287671229</v>
      </c>
      <c r="B1007" s="19">
        <v>71281</v>
      </c>
      <c r="C1007" s="19" t="s">
        <v>3329</v>
      </c>
      <c r="D1007" s="19" t="s">
        <v>324</v>
      </c>
      <c r="E1007" s="19" t="s">
        <v>325</v>
      </c>
      <c r="F1007" s="19" t="s">
        <v>1284</v>
      </c>
      <c r="G1007" s="19" t="s">
        <v>1008</v>
      </c>
      <c r="H1007" s="19" t="s">
        <v>1001</v>
      </c>
      <c r="I1007" s="19" t="s">
        <v>1599</v>
      </c>
      <c r="J1007" s="20">
        <v>23</v>
      </c>
      <c r="K1007" t="s">
        <v>631</v>
      </c>
      <c r="L1007" t="s">
        <v>663</v>
      </c>
      <c r="M1007" t="s">
        <v>629</v>
      </c>
      <c r="N1007" t="s">
        <v>646</v>
      </c>
      <c r="O1007" t="s">
        <v>639</v>
      </c>
    </row>
    <row r="1008" spans="1:15" x14ac:dyDescent="0.35">
      <c r="A1008" s="77">
        <v>4.4794520547945202</v>
      </c>
      <c r="B1008" s="19">
        <v>71305</v>
      </c>
      <c r="C1008" s="19" t="s">
        <v>3330</v>
      </c>
      <c r="D1008" s="19" t="s">
        <v>51</v>
      </c>
      <c r="E1008" s="19" t="s">
        <v>52</v>
      </c>
      <c r="F1008" s="19" t="s">
        <v>921</v>
      </c>
      <c r="G1008" s="19" t="s">
        <v>1046</v>
      </c>
      <c r="H1008" s="19" t="s">
        <v>1001</v>
      </c>
      <c r="I1008" s="19" t="s">
        <v>1575</v>
      </c>
      <c r="J1008" s="20">
        <v>26</v>
      </c>
      <c r="K1008" t="s">
        <v>636</v>
      </c>
      <c r="L1008" t="s">
        <v>656</v>
      </c>
      <c r="M1008" t="s">
        <v>657</v>
      </c>
      <c r="N1008" t="s">
        <v>658</v>
      </c>
      <c r="O1008" t="s">
        <v>718</v>
      </c>
    </row>
    <row r="1009" spans="1:15" x14ac:dyDescent="0.35">
      <c r="A1009" s="77">
        <v>3.0191780821917806</v>
      </c>
      <c r="B1009" s="19">
        <v>71311</v>
      </c>
      <c r="C1009" s="19" t="s">
        <v>3331</v>
      </c>
      <c r="D1009" s="19" t="s">
        <v>37</v>
      </c>
      <c r="E1009" s="19" t="s">
        <v>37</v>
      </c>
      <c r="F1009" s="19" t="s">
        <v>1480</v>
      </c>
      <c r="G1009" s="19" t="s">
        <v>1057</v>
      </c>
      <c r="H1009" s="19" t="s">
        <v>1001</v>
      </c>
      <c r="I1009" s="19" t="s">
        <v>1575</v>
      </c>
      <c r="J1009" s="20">
        <v>29</v>
      </c>
      <c r="K1009" t="s">
        <v>654</v>
      </c>
      <c r="L1009" t="s">
        <v>648</v>
      </c>
      <c r="M1009" t="s">
        <v>623</v>
      </c>
      <c r="N1009" t="s">
        <v>624</v>
      </c>
      <c r="O1009" t="s">
        <v>649</v>
      </c>
    </row>
    <row r="1010" spans="1:15" x14ac:dyDescent="0.35">
      <c r="A1010" s="77">
        <v>4.4739726027397264</v>
      </c>
      <c r="B1010" s="19">
        <v>71316</v>
      </c>
      <c r="C1010" s="19" t="s">
        <v>3332</v>
      </c>
      <c r="D1010" s="19" t="s">
        <v>23</v>
      </c>
      <c r="E1010" s="19" t="s">
        <v>23</v>
      </c>
      <c r="F1010" s="19" t="s">
        <v>660</v>
      </c>
      <c r="G1010" s="19" t="s">
        <v>1034</v>
      </c>
      <c r="H1010" s="19" t="s">
        <v>1001</v>
      </c>
      <c r="I1010" s="19" t="s">
        <v>1575</v>
      </c>
      <c r="J1010" s="20">
        <v>25</v>
      </c>
      <c r="K1010" t="s">
        <v>631</v>
      </c>
      <c r="L1010" t="s">
        <v>661</v>
      </c>
      <c r="M1010" t="s">
        <v>657</v>
      </c>
      <c r="N1010" t="s">
        <v>662</v>
      </c>
      <c r="O1010" t="s">
        <v>632</v>
      </c>
    </row>
    <row r="1011" spans="1:15" x14ac:dyDescent="0.35">
      <c r="A1011" s="77">
        <v>4.4739726027397264</v>
      </c>
      <c r="B1011" s="19">
        <v>71319</v>
      </c>
      <c r="C1011" s="19" t="s">
        <v>3333</v>
      </c>
      <c r="D1011" s="19" t="s">
        <v>84</v>
      </c>
      <c r="E1011" s="19" t="s">
        <v>85</v>
      </c>
      <c r="F1011" s="19" t="s">
        <v>2606</v>
      </c>
      <c r="G1011" s="19" t="s">
        <v>1034</v>
      </c>
      <c r="H1011" s="19" t="s">
        <v>1001</v>
      </c>
      <c r="I1011" s="19" t="s">
        <v>1575</v>
      </c>
      <c r="J1011" s="20">
        <v>26</v>
      </c>
      <c r="K1011" t="s">
        <v>642</v>
      </c>
      <c r="L1011" t="s">
        <v>622</v>
      </c>
      <c r="M1011" t="s">
        <v>623</v>
      </c>
      <c r="N1011" t="s">
        <v>624</v>
      </c>
      <c r="O1011" t="s">
        <v>730</v>
      </c>
    </row>
    <row r="1012" spans="1:15" x14ac:dyDescent="0.35">
      <c r="A1012" s="77">
        <v>4.4986301369863018</v>
      </c>
      <c r="B1012" s="19">
        <v>71326</v>
      </c>
      <c r="C1012" s="19" t="s">
        <v>3334</v>
      </c>
      <c r="D1012" s="19" t="s">
        <v>76</v>
      </c>
      <c r="E1012" s="19" t="s">
        <v>77</v>
      </c>
      <c r="F1012" s="19" t="s">
        <v>899</v>
      </c>
      <c r="G1012" s="19" t="s">
        <v>1045</v>
      </c>
      <c r="H1012" s="19" t="s">
        <v>1001</v>
      </c>
      <c r="I1012" s="19" t="s">
        <v>1599</v>
      </c>
      <c r="J1012" s="20">
        <v>31</v>
      </c>
      <c r="K1012" t="s">
        <v>636</v>
      </c>
      <c r="L1012" t="s">
        <v>645</v>
      </c>
      <c r="M1012" t="s">
        <v>629</v>
      </c>
      <c r="N1012" t="s">
        <v>646</v>
      </c>
      <c r="O1012" t="s">
        <v>632</v>
      </c>
    </row>
    <row r="1013" spans="1:15" x14ac:dyDescent="0.35">
      <c r="A1013" s="77">
        <v>0.37534246575342467</v>
      </c>
      <c r="B1013" s="19">
        <v>71330</v>
      </c>
      <c r="C1013" s="19" t="s">
        <v>3335</v>
      </c>
      <c r="D1013" s="19" t="s">
        <v>18</v>
      </c>
      <c r="E1013" s="19" t="s">
        <v>18</v>
      </c>
      <c r="F1013" s="19" t="s">
        <v>650</v>
      </c>
      <c r="G1013" s="19" t="s">
        <v>1028</v>
      </c>
      <c r="H1013" s="19" t="s">
        <v>1020</v>
      </c>
      <c r="I1013" s="19" t="s">
        <v>1575</v>
      </c>
      <c r="J1013" s="20">
        <v>24</v>
      </c>
      <c r="K1013" t="s">
        <v>636</v>
      </c>
      <c r="L1013" t="s">
        <v>651</v>
      </c>
      <c r="M1013" t="s">
        <v>629</v>
      </c>
      <c r="N1013" t="s">
        <v>630</v>
      </c>
      <c r="O1013" t="s">
        <v>652</v>
      </c>
    </row>
    <row r="1014" spans="1:15" x14ac:dyDescent="0.35">
      <c r="A1014" s="77">
        <v>1.2410958904109588</v>
      </c>
      <c r="B1014" s="19">
        <v>71334</v>
      </c>
      <c r="C1014" s="19" t="s">
        <v>3336</v>
      </c>
      <c r="D1014" s="19" t="s">
        <v>373</v>
      </c>
      <c r="E1014" s="19" t="s">
        <v>374</v>
      </c>
      <c r="F1014" s="19" t="s">
        <v>1033</v>
      </c>
      <c r="G1014" s="19" t="s">
        <v>1028</v>
      </c>
      <c r="H1014" s="19" t="s">
        <v>1020</v>
      </c>
      <c r="I1014" s="19" t="s">
        <v>1575</v>
      </c>
      <c r="J1014" s="20">
        <v>31</v>
      </c>
      <c r="K1014" t="s">
        <v>654</v>
      </c>
      <c r="L1014" t="s">
        <v>634</v>
      </c>
      <c r="M1014" t="s">
        <v>629</v>
      </c>
      <c r="N1014" t="s">
        <v>635</v>
      </c>
      <c r="O1014" t="s">
        <v>637</v>
      </c>
    </row>
    <row r="1015" spans="1:15" x14ac:dyDescent="0.35">
      <c r="A1015" s="77">
        <v>0.63835616438356169</v>
      </c>
      <c r="B1015" s="19">
        <v>71364</v>
      </c>
      <c r="C1015" s="19" t="s">
        <v>3337</v>
      </c>
      <c r="D1015" s="19" t="s">
        <v>204</v>
      </c>
      <c r="E1015" s="19" t="s">
        <v>205</v>
      </c>
      <c r="F1015" s="19" t="s">
        <v>1090</v>
      </c>
      <c r="G1015" s="19" t="s">
        <v>1084</v>
      </c>
      <c r="H1015" s="19" t="s">
        <v>1001</v>
      </c>
      <c r="I1015" s="19" t="s">
        <v>1599</v>
      </c>
      <c r="J1015" s="20">
        <v>26</v>
      </c>
      <c r="K1015" t="s">
        <v>668</v>
      </c>
      <c r="L1015" t="s">
        <v>634</v>
      </c>
      <c r="M1015" t="s">
        <v>629</v>
      </c>
      <c r="N1015" t="s">
        <v>635</v>
      </c>
      <c r="O1015" t="s">
        <v>637</v>
      </c>
    </row>
    <row r="1016" spans="1:15" x14ac:dyDescent="0.35">
      <c r="A1016" s="77">
        <v>4.4547945205479449</v>
      </c>
      <c r="B1016" s="19">
        <v>71419</v>
      </c>
      <c r="C1016" s="19" t="s">
        <v>1209</v>
      </c>
      <c r="D1016" s="19" t="s">
        <v>266</v>
      </c>
      <c r="E1016" s="19" t="s">
        <v>267</v>
      </c>
      <c r="F1016" s="19" t="s">
        <v>2070</v>
      </c>
      <c r="G1016" s="19" t="s">
        <v>1034</v>
      </c>
      <c r="H1016" s="19" t="s">
        <v>1001</v>
      </c>
      <c r="I1016" s="19" t="s">
        <v>1575</v>
      </c>
      <c r="J1016" s="20">
        <v>29</v>
      </c>
      <c r="K1016" t="s">
        <v>636</v>
      </c>
      <c r="L1016" t="s">
        <v>634</v>
      </c>
      <c r="M1016" t="s">
        <v>629</v>
      </c>
      <c r="N1016" t="s">
        <v>635</v>
      </c>
      <c r="O1016" t="s">
        <v>637</v>
      </c>
    </row>
    <row r="1017" spans="1:15" x14ac:dyDescent="0.35">
      <c r="A1017" s="77">
        <v>0.24657534246575341</v>
      </c>
      <c r="B1017" s="19">
        <v>71493</v>
      </c>
      <c r="C1017" s="19" t="s">
        <v>3338</v>
      </c>
      <c r="D1017" s="19" t="s">
        <v>128</v>
      </c>
      <c r="E1017" s="19" t="s">
        <v>129</v>
      </c>
      <c r="F1017" s="19" t="s">
        <v>1075</v>
      </c>
      <c r="G1017" s="19" t="s">
        <v>1057</v>
      </c>
      <c r="H1017" s="19" t="s">
        <v>1001</v>
      </c>
      <c r="I1017" s="19" t="s">
        <v>1575</v>
      </c>
      <c r="J1017" s="20">
        <v>27</v>
      </c>
      <c r="K1017" t="s">
        <v>636</v>
      </c>
      <c r="L1017" t="s">
        <v>678</v>
      </c>
      <c r="M1017" t="s">
        <v>623</v>
      </c>
      <c r="N1017" t="s">
        <v>624</v>
      </c>
      <c r="O1017" t="s">
        <v>679</v>
      </c>
    </row>
    <row r="1018" spans="1:15" x14ac:dyDescent="0.35">
      <c r="A1018" s="77">
        <v>4.1479452054794521</v>
      </c>
      <c r="B1018" s="19">
        <v>71553</v>
      </c>
      <c r="C1018" s="19" t="s">
        <v>3339</v>
      </c>
      <c r="D1018" s="19" t="s">
        <v>28</v>
      </c>
      <c r="E1018" s="19" t="s">
        <v>28</v>
      </c>
      <c r="F1018" s="19" t="s">
        <v>916</v>
      </c>
      <c r="G1018" s="19" t="s">
        <v>1084</v>
      </c>
      <c r="H1018" s="19" t="s">
        <v>1001</v>
      </c>
      <c r="I1018" s="19" t="s">
        <v>1575</v>
      </c>
      <c r="J1018" s="20">
        <v>26</v>
      </c>
      <c r="K1018" t="s">
        <v>654</v>
      </c>
      <c r="L1018" t="s">
        <v>670</v>
      </c>
      <c r="M1018" t="s">
        <v>657</v>
      </c>
      <c r="N1018" t="s">
        <v>641</v>
      </c>
      <c r="O1018" t="s">
        <v>671</v>
      </c>
    </row>
    <row r="1019" spans="1:15" x14ac:dyDescent="0.35">
      <c r="A1019" s="77">
        <v>4.2493150684931509</v>
      </c>
      <c r="B1019" s="19">
        <v>71563</v>
      </c>
      <c r="C1019" s="19" t="s">
        <v>3340</v>
      </c>
      <c r="D1019" s="19" t="s">
        <v>247</v>
      </c>
      <c r="E1019" s="19" t="s">
        <v>248</v>
      </c>
      <c r="F1019" s="19" t="s">
        <v>1726</v>
      </c>
      <c r="G1019" s="19" t="s">
        <v>1008</v>
      </c>
      <c r="H1019" s="19" t="s">
        <v>1001</v>
      </c>
      <c r="I1019" s="19" t="s">
        <v>1575</v>
      </c>
      <c r="J1019" s="20">
        <v>30</v>
      </c>
      <c r="K1019" t="s">
        <v>668</v>
      </c>
      <c r="L1019" t="s">
        <v>634</v>
      </c>
      <c r="M1019" t="s">
        <v>629</v>
      </c>
      <c r="N1019" t="s">
        <v>635</v>
      </c>
      <c r="O1019" t="s">
        <v>637</v>
      </c>
    </row>
    <row r="1020" spans="1:15" x14ac:dyDescent="0.35">
      <c r="A1020" s="77">
        <v>4.2465753424657535</v>
      </c>
      <c r="B1020" s="19">
        <v>71569</v>
      </c>
      <c r="C1020" s="19" t="s">
        <v>3341</v>
      </c>
      <c r="D1020" s="19" t="s">
        <v>266</v>
      </c>
      <c r="E1020" s="19" t="s">
        <v>267</v>
      </c>
      <c r="F1020" s="19" t="s">
        <v>2070</v>
      </c>
      <c r="G1020" s="19" t="s">
        <v>1057</v>
      </c>
      <c r="H1020" s="19" t="s">
        <v>1001</v>
      </c>
      <c r="I1020" s="19" t="s">
        <v>1575</v>
      </c>
      <c r="J1020" s="20">
        <v>32</v>
      </c>
      <c r="K1020" t="s">
        <v>636</v>
      </c>
      <c r="L1020" t="s">
        <v>634</v>
      </c>
      <c r="M1020" t="s">
        <v>629</v>
      </c>
      <c r="N1020" t="s">
        <v>635</v>
      </c>
      <c r="O1020" t="s">
        <v>637</v>
      </c>
    </row>
    <row r="1021" spans="1:15" x14ac:dyDescent="0.35">
      <c r="A1021" s="77">
        <v>0.28219178082191781</v>
      </c>
      <c r="B1021" s="19">
        <v>71596</v>
      </c>
      <c r="C1021" s="19" t="s">
        <v>3342</v>
      </c>
      <c r="D1021" s="19" t="s">
        <v>284</v>
      </c>
      <c r="E1021" s="19" t="s">
        <v>285</v>
      </c>
      <c r="F1021" s="19" t="s">
        <v>1150</v>
      </c>
      <c r="G1021" s="19" t="s">
        <v>1158</v>
      </c>
      <c r="H1021" s="19" t="s">
        <v>1001</v>
      </c>
      <c r="I1021" s="19" t="s">
        <v>1599</v>
      </c>
      <c r="J1021" s="20">
        <v>24</v>
      </c>
      <c r="K1021" t="s">
        <v>625</v>
      </c>
      <c r="L1021" t="s">
        <v>661</v>
      </c>
      <c r="M1021" t="s">
        <v>657</v>
      </c>
      <c r="N1021" t="s">
        <v>662</v>
      </c>
      <c r="O1021" t="s">
        <v>632</v>
      </c>
    </row>
    <row r="1022" spans="1:15" x14ac:dyDescent="0.35">
      <c r="A1022" s="77">
        <v>2.9369863013698629</v>
      </c>
      <c r="B1022" s="19">
        <v>71607</v>
      </c>
      <c r="C1022" s="19" t="s">
        <v>3343</v>
      </c>
      <c r="D1022" s="19" t="s">
        <v>403</v>
      </c>
      <c r="E1022" s="19" t="s">
        <v>404</v>
      </c>
      <c r="F1022" s="19" t="s">
        <v>870</v>
      </c>
      <c r="G1022" s="19" t="s">
        <v>1028</v>
      </c>
      <c r="H1022" s="19" t="s">
        <v>1020</v>
      </c>
      <c r="I1022" s="19" t="s">
        <v>1599</v>
      </c>
      <c r="J1022" s="20">
        <v>24</v>
      </c>
      <c r="K1022" t="s">
        <v>631</v>
      </c>
      <c r="L1022" t="s">
        <v>691</v>
      </c>
      <c r="M1022" t="s">
        <v>657</v>
      </c>
      <c r="N1022" t="s">
        <v>658</v>
      </c>
      <c r="O1022" t="s">
        <v>632</v>
      </c>
    </row>
    <row r="1023" spans="1:15" x14ac:dyDescent="0.35">
      <c r="A1023" s="77">
        <v>4.4054794520547942</v>
      </c>
      <c r="B1023" s="19">
        <v>71643</v>
      </c>
      <c r="C1023" s="19" t="s">
        <v>3344</v>
      </c>
      <c r="D1023" s="19" t="s">
        <v>201</v>
      </c>
      <c r="E1023" s="19" t="s">
        <v>202</v>
      </c>
      <c r="F1023" s="19" t="s">
        <v>1061</v>
      </c>
      <c r="G1023" s="19" t="s">
        <v>1046</v>
      </c>
      <c r="H1023" s="19" t="s">
        <v>1001</v>
      </c>
      <c r="I1023" s="19" t="s">
        <v>1575</v>
      </c>
      <c r="J1023" s="20">
        <v>25</v>
      </c>
      <c r="K1023" t="s">
        <v>631</v>
      </c>
      <c r="L1023" t="s">
        <v>628</v>
      </c>
      <c r="M1023" t="s">
        <v>629</v>
      </c>
      <c r="N1023" t="s">
        <v>630</v>
      </c>
      <c r="O1023" t="s">
        <v>784</v>
      </c>
    </row>
    <row r="1024" spans="1:15" x14ac:dyDescent="0.35">
      <c r="A1024" s="77">
        <v>4.397260273972603</v>
      </c>
      <c r="B1024" s="19">
        <v>71649</v>
      </c>
      <c r="C1024" s="19" t="s">
        <v>3345</v>
      </c>
      <c r="D1024" s="19" t="s">
        <v>601</v>
      </c>
      <c r="E1024" s="19" t="e">
        <v>#N/A</v>
      </c>
      <c r="F1024" s="19" t="s">
        <v>1136</v>
      </c>
      <c r="G1024" s="19" t="s">
        <v>1034</v>
      </c>
      <c r="H1024" s="19" t="s">
        <v>1001</v>
      </c>
      <c r="I1024" s="19" t="s">
        <v>1575</v>
      </c>
      <c r="J1024" s="20">
        <v>26</v>
      </c>
      <c r="K1024" t="s">
        <v>654</v>
      </c>
      <c r="L1024" t="s">
        <v>651</v>
      </c>
      <c r="M1024" t="s">
        <v>629</v>
      </c>
      <c r="N1024" t="s">
        <v>630</v>
      </c>
      <c r="O1024" t="s">
        <v>715</v>
      </c>
    </row>
    <row r="1025" spans="1:15" x14ac:dyDescent="0.35">
      <c r="A1025" s="77">
        <v>4.3890410958904109</v>
      </c>
      <c r="B1025" s="19">
        <v>71692</v>
      </c>
      <c r="C1025" s="19" t="s">
        <v>3346</v>
      </c>
      <c r="D1025" s="19" t="s">
        <v>379</v>
      </c>
      <c r="E1025" s="19" t="s">
        <v>380</v>
      </c>
      <c r="F1025" s="19" t="s">
        <v>381</v>
      </c>
      <c r="G1025" s="19" t="s">
        <v>1000</v>
      </c>
      <c r="H1025" s="19" t="s">
        <v>1001</v>
      </c>
      <c r="I1025" s="19" t="s">
        <v>1575</v>
      </c>
      <c r="J1025" s="20">
        <v>29</v>
      </c>
      <c r="K1025" t="s">
        <v>636</v>
      </c>
      <c r="L1025" t="s">
        <v>628</v>
      </c>
      <c r="M1025" t="s">
        <v>629</v>
      </c>
      <c r="N1025" t="s">
        <v>630</v>
      </c>
      <c r="O1025" t="s">
        <v>632</v>
      </c>
    </row>
    <row r="1026" spans="1:15" x14ac:dyDescent="0.35">
      <c r="A1026" s="77">
        <v>4.3863013698630136</v>
      </c>
      <c r="B1026" s="19">
        <v>71744</v>
      </c>
      <c r="C1026" s="19" t="s">
        <v>3347</v>
      </c>
      <c r="D1026" s="19" t="s">
        <v>417</v>
      </c>
      <c r="E1026" s="19" t="s">
        <v>417</v>
      </c>
      <c r="F1026" s="19" t="s">
        <v>418</v>
      </c>
      <c r="G1026" s="19" t="s">
        <v>1038</v>
      </c>
      <c r="H1026" s="19" t="s">
        <v>1020</v>
      </c>
      <c r="I1026" s="19" t="s">
        <v>1575</v>
      </c>
      <c r="J1026" s="20">
        <v>55</v>
      </c>
      <c r="K1026" t="s">
        <v>654</v>
      </c>
      <c r="L1026" t="s">
        <v>684</v>
      </c>
      <c r="M1026" t="s">
        <v>623</v>
      </c>
      <c r="N1026" t="s">
        <v>662</v>
      </c>
      <c r="O1026" t="s">
        <v>687</v>
      </c>
    </row>
    <row r="1027" spans="1:15" x14ac:dyDescent="0.35">
      <c r="A1027" s="77">
        <v>4.3945205479452056</v>
      </c>
      <c r="B1027" s="19">
        <v>71751</v>
      </c>
      <c r="C1027" s="19" t="s">
        <v>3348</v>
      </c>
      <c r="D1027" s="19" t="s">
        <v>155</v>
      </c>
      <c r="E1027" s="19" t="s">
        <v>156</v>
      </c>
      <c r="F1027" s="19" t="s">
        <v>896</v>
      </c>
      <c r="G1027" s="19" t="s">
        <v>1000</v>
      </c>
      <c r="H1027" s="19" t="s">
        <v>1001</v>
      </c>
      <c r="I1027" s="19" t="s">
        <v>1575</v>
      </c>
      <c r="J1027" s="20">
        <v>31</v>
      </c>
      <c r="K1027" t="s">
        <v>636</v>
      </c>
      <c r="L1027" t="s">
        <v>663</v>
      </c>
      <c r="M1027" t="s">
        <v>629</v>
      </c>
      <c r="N1027" t="s">
        <v>646</v>
      </c>
      <c r="O1027" t="s">
        <v>639</v>
      </c>
    </row>
    <row r="1028" spans="1:15" x14ac:dyDescent="0.35">
      <c r="A1028" s="77">
        <v>0.23287671232876711</v>
      </c>
      <c r="B1028" s="19">
        <v>71789</v>
      </c>
      <c r="C1028" s="19" t="s">
        <v>3349</v>
      </c>
      <c r="D1028" s="19" t="s">
        <v>73</v>
      </c>
      <c r="E1028" s="19" t="s">
        <v>74</v>
      </c>
      <c r="F1028" s="19" t="s">
        <v>1178</v>
      </c>
      <c r="G1028" s="19" t="s">
        <v>1028</v>
      </c>
      <c r="H1028" s="19" t="s">
        <v>1020</v>
      </c>
      <c r="I1028" s="19" t="s">
        <v>1575</v>
      </c>
      <c r="J1028" s="20">
        <v>19</v>
      </c>
      <c r="K1028" t="s">
        <v>654</v>
      </c>
      <c r="L1028" t="s">
        <v>648</v>
      </c>
      <c r="M1028" t="s">
        <v>623</v>
      </c>
      <c r="N1028" t="s">
        <v>624</v>
      </c>
      <c r="O1028" t="s">
        <v>725</v>
      </c>
    </row>
    <row r="1029" spans="1:15" x14ac:dyDescent="0.35">
      <c r="A1029" s="77">
        <v>0.55068493150684927</v>
      </c>
      <c r="B1029" s="19">
        <v>71824</v>
      </c>
      <c r="C1029" s="19" t="s">
        <v>3350</v>
      </c>
      <c r="D1029" s="19" t="s">
        <v>58</v>
      </c>
      <c r="E1029" s="19" t="s">
        <v>59</v>
      </c>
      <c r="F1029" s="19" t="s">
        <v>1650</v>
      </c>
      <c r="G1029" s="19" t="s">
        <v>1008</v>
      </c>
      <c r="H1029" s="19" t="s">
        <v>1001</v>
      </c>
      <c r="I1029" s="19" t="s">
        <v>1575</v>
      </c>
      <c r="J1029" s="20">
        <v>25</v>
      </c>
      <c r="K1029" t="s">
        <v>668</v>
      </c>
      <c r="L1029" t="s">
        <v>651</v>
      </c>
      <c r="M1029" t="s">
        <v>629</v>
      </c>
      <c r="N1029" t="s">
        <v>630</v>
      </c>
      <c r="O1029" t="s">
        <v>705</v>
      </c>
    </row>
    <row r="1030" spans="1:15" x14ac:dyDescent="0.35">
      <c r="A1030" s="77">
        <v>4.3561643835616435</v>
      </c>
      <c r="B1030" s="19">
        <v>71826</v>
      </c>
      <c r="C1030" s="19" t="s">
        <v>3351</v>
      </c>
      <c r="D1030" s="19" t="s">
        <v>13</v>
      </c>
      <c r="E1030" s="19" t="s">
        <v>13</v>
      </c>
      <c r="F1030" s="19" t="s">
        <v>1467</v>
      </c>
      <c r="G1030" s="19" t="s">
        <v>1008</v>
      </c>
      <c r="H1030" s="19" t="s">
        <v>1001</v>
      </c>
      <c r="I1030" s="19" t="s">
        <v>1575</v>
      </c>
      <c r="J1030" s="20">
        <v>34</v>
      </c>
      <c r="K1030" t="s">
        <v>631</v>
      </c>
      <c r="L1030" t="s">
        <v>628</v>
      </c>
      <c r="M1030" t="s">
        <v>629</v>
      </c>
      <c r="N1030" t="s">
        <v>630</v>
      </c>
      <c r="O1030" t="s">
        <v>639</v>
      </c>
    </row>
    <row r="1031" spans="1:15" x14ac:dyDescent="0.35">
      <c r="A1031" s="77">
        <v>2.1917808219178082E-2</v>
      </c>
      <c r="B1031" s="19">
        <v>71865</v>
      </c>
      <c r="C1031" s="19" t="s">
        <v>3352</v>
      </c>
      <c r="D1031" s="19" t="s">
        <v>360</v>
      </c>
      <c r="E1031" s="19" t="s">
        <v>361</v>
      </c>
      <c r="F1031" s="19" t="s">
        <v>2312</v>
      </c>
      <c r="G1031" s="19" t="s">
        <v>1008</v>
      </c>
      <c r="H1031" s="19" t="s">
        <v>1001</v>
      </c>
      <c r="I1031" s="19" t="s">
        <v>1599</v>
      </c>
      <c r="J1031" s="20">
        <v>18</v>
      </c>
      <c r="K1031" t="s">
        <v>642</v>
      </c>
      <c r="L1031" t="s">
        <v>670</v>
      </c>
      <c r="M1031" t="s">
        <v>657</v>
      </c>
      <c r="N1031" t="s">
        <v>641</v>
      </c>
      <c r="O1031" t="s">
        <v>671</v>
      </c>
    </row>
    <row r="1032" spans="1:15" x14ac:dyDescent="0.35">
      <c r="A1032" s="77">
        <v>4.3287671232876717</v>
      </c>
      <c r="B1032" s="19">
        <v>71891</v>
      </c>
      <c r="C1032" s="19" t="s">
        <v>3353</v>
      </c>
      <c r="D1032" s="19" t="s">
        <v>165</v>
      </c>
      <c r="E1032" s="19" t="s">
        <v>166</v>
      </c>
      <c r="F1032" s="19" t="s">
        <v>1238</v>
      </c>
      <c r="G1032" s="19" t="s">
        <v>1045</v>
      </c>
      <c r="H1032" s="19" t="s">
        <v>1001</v>
      </c>
      <c r="I1032" s="19" t="s">
        <v>1575</v>
      </c>
      <c r="J1032" s="20">
        <v>37</v>
      </c>
      <c r="K1032" t="s">
        <v>636</v>
      </c>
      <c r="L1032" t="s">
        <v>648</v>
      </c>
      <c r="M1032" t="s">
        <v>623</v>
      </c>
      <c r="N1032" t="s">
        <v>624</v>
      </c>
      <c r="O1032" t="s">
        <v>649</v>
      </c>
    </row>
    <row r="1033" spans="1:15" x14ac:dyDescent="0.35">
      <c r="A1033" s="77">
        <v>4.3260273972602743</v>
      </c>
      <c r="B1033" s="19">
        <v>71955</v>
      </c>
      <c r="C1033" s="19" t="s">
        <v>3354</v>
      </c>
      <c r="D1033" s="19" t="s">
        <v>403</v>
      </c>
      <c r="E1033" s="19" t="s">
        <v>404</v>
      </c>
      <c r="F1033" s="19" t="s">
        <v>870</v>
      </c>
      <c r="G1033" s="19" t="s">
        <v>1046</v>
      </c>
      <c r="H1033" s="19" t="s">
        <v>1001</v>
      </c>
      <c r="I1033" s="19" t="s">
        <v>1575</v>
      </c>
      <c r="J1033" s="20">
        <v>43</v>
      </c>
      <c r="K1033" t="s">
        <v>631</v>
      </c>
      <c r="L1033" t="s">
        <v>691</v>
      </c>
      <c r="M1033" t="s">
        <v>657</v>
      </c>
      <c r="N1033" t="s">
        <v>658</v>
      </c>
      <c r="O1033" t="s">
        <v>632</v>
      </c>
    </row>
    <row r="1034" spans="1:15" x14ac:dyDescent="0.35">
      <c r="A1034" s="77">
        <v>2.408219178082192</v>
      </c>
      <c r="B1034" s="19">
        <v>71985</v>
      </c>
      <c r="C1034" s="19" t="s">
        <v>3355</v>
      </c>
      <c r="D1034" s="19" t="s">
        <v>8</v>
      </c>
      <c r="E1034" s="19" t="s">
        <v>8</v>
      </c>
      <c r="F1034" s="19" t="s">
        <v>1176</v>
      </c>
      <c r="G1034" s="19" t="s">
        <v>1019</v>
      </c>
      <c r="H1034" s="19" t="s">
        <v>1020</v>
      </c>
      <c r="I1034" s="19" t="s">
        <v>1575</v>
      </c>
      <c r="J1034" s="20">
        <v>38</v>
      </c>
      <c r="K1034" t="s">
        <v>625</v>
      </c>
      <c r="L1034" t="s">
        <v>622</v>
      </c>
      <c r="M1034" t="s">
        <v>623</v>
      </c>
      <c r="N1034" t="s">
        <v>624</v>
      </c>
      <c r="O1034" t="s">
        <v>626</v>
      </c>
    </row>
    <row r="1035" spans="1:15" x14ac:dyDescent="0.35">
      <c r="A1035" s="77">
        <v>4.3068493150684928</v>
      </c>
      <c r="B1035" s="19">
        <v>71993</v>
      </c>
      <c r="C1035" s="19" t="s">
        <v>3356</v>
      </c>
      <c r="D1035" s="19" t="s">
        <v>399</v>
      </c>
      <c r="E1035" s="19" t="s">
        <v>400</v>
      </c>
      <c r="F1035" s="19" t="s">
        <v>868</v>
      </c>
      <c r="G1035" s="19" t="s">
        <v>1084</v>
      </c>
      <c r="H1035" s="19" t="s">
        <v>1001</v>
      </c>
      <c r="I1035" s="19" t="s">
        <v>1575</v>
      </c>
      <c r="J1035" s="20">
        <v>33</v>
      </c>
      <c r="K1035" t="s">
        <v>642</v>
      </c>
      <c r="L1035" t="s">
        <v>684</v>
      </c>
      <c r="M1035" t="s">
        <v>623</v>
      </c>
      <c r="N1035" t="s">
        <v>662</v>
      </c>
      <c r="O1035" t="s">
        <v>795</v>
      </c>
    </row>
    <row r="1036" spans="1:15" x14ac:dyDescent="0.35">
      <c r="A1036" s="77">
        <v>1.4958904109589042</v>
      </c>
      <c r="B1036" s="19">
        <v>72014</v>
      </c>
      <c r="C1036" s="19" t="s">
        <v>3357</v>
      </c>
      <c r="D1036" s="19" t="s">
        <v>151</v>
      </c>
      <c r="E1036" s="19" t="s">
        <v>152</v>
      </c>
      <c r="F1036" s="19" t="s">
        <v>1557</v>
      </c>
      <c r="G1036" s="19" t="s">
        <v>1028</v>
      </c>
      <c r="H1036" s="19" t="s">
        <v>1020</v>
      </c>
      <c r="I1036" s="19" t="s">
        <v>1575</v>
      </c>
      <c r="J1036" s="20">
        <v>18</v>
      </c>
      <c r="K1036" t="s">
        <v>654</v>
      </c>
      <c r="L1036" t="s">
        <v>691</v>
      </c>
      <c r="M1036" t="s">
        <v>657</v>
      </c>
      <c r="N1036" t="s">
        <v>658</v>
      </c>
      <c r="O1036" t="s">
        <v>632</v>
      </c>
    </row>
    <row r="1037" spans="1:15" x14ac:dyDescent="0.35">
      <c r="A1037" s="77">
        <v>4.3013698630136989</v>
      </c>
      <c r="B1037" s="19">
        <v>72032</v>
      </c>
      <c r="C1037" s="19" t="s">
        <v>3358</v>
      </c>
      <c r="D1037" s="19" t="s">
        <v>51</v>
      </c>
      <c r="E1037" s="19" t="s">
        <v>52</v>
      </c>
      <c r="F1037" s="19" t="s">
        <v>921</v>
      </c>
      <c r="G1037" s="19" t="s">
        <v>1034</v>
      </c>
      <c r="H1037" s="19" t="s">
        <v>1001</v>
      </c>
      <c r="I1037" s="19" t="s">
        <v>1599</v>
      </c>
      <c r="J1037" s="20">
        <v>28</v>
      </c>
      <c r="K1037" t="s">
        <v>636</v>
      </c>
      <c r="L1037" t="s">
        <v>656</v>
      </c>
      <c r="M1037" t="s">
        <v>657</v>
      </c>
      <c r="N1037" t="s">
        <v>658</v>
      </c>
      <c r="O1037" t="s">
        <v>718</v>
      </c>
    </row>
    <row r="1038" spans="1:15" x14ac:dyDescent="0.35">
      <c r="A1038" s="77">
        <v>0.24931506849315069</v>
      </c>
      <c r="B1038" s="19">
        <v>72037</v>
      </c>
      <c r="C1038" s="19" t="s">
        <v>3359</v>
      </c>
      <c r="D1038" s="19" t="s">
        <v>260</v>
      </c>
      <c r="E1038" s="19" t="s">
        <v>261</v>
      </c>
      <c r="F1038" s="19" t="s">
        <v>1109</v>
      </c>
      <c r="G1038" s="19" t="s">
        <v>1028</v>
      </c>
      <c r="H1038" s="19" t="s">
        <v>1020</v>
      </c>
      <c r="I1038" s="19" t="s">
        <v>1575</v>
      </c>
      <c r="J1038" s="20">
        <v>32</v>
      </c>
      <c r="K1038" t="s">
        <v>636</v>
      </c>
      <c r="L1038" t="s">
        <v>656</v>
      </c>
      <c r="M1038" t="s">
        <v>657</v>
      </c>
      <c r="N1038" t="s">
        <v>658</v>
      </c>
      <c r="O1038" t="s">
        <v>808</v>
      </c>
    </row>
    <row r="1039" spans="1:15" x14ac:dyDescent="0.35">
      <c r="A1039" s="77">
        <v>4.2904109589041095</v>
      </c>
      <c r="B1039" s="19">
        <v>72053</v>
      </c>
      <c r="C1039" s="19" t="s">
        <v>2469</v>
      </c>
      <c r="D1039" s="19" t="s">
        <v>109</v>
      </c>
      <c r="E1039" s="19" t="s">
        <v>110</v>
      </c>
      <c r="F1039" s="19" t="s">
        <v>2347</v>
      </c>
      <c r="G1039" s="19" t="s">
        <v>1046</v>
      </c>
      <c r="H1039" s="19" t="s">
        <v>1001</v>
      </c>
      <c r="I1039" s="19" t="s">
        <v>1575</v>
      </c>
      <c r="J1039" s="20">
        <v>32</v>
      </c>
      <c r="K1039" t="s">
        <v>654</v>
      </c>
      <c r="L1039" t="s">
        <v>684</v>
      </c>
      <c r="M1039" t="s">
        <v>623</v>
      </c>
      <c r="N1039" t="s">
        <v>662</v>
      </c>
      <c r="O1039" t="s">
        <v>685</v>
      </c>
    </row>
    <row r="1040" spans="1:15" x14ac:dyDescent="0.35">
      <c r="A1040" s="77">
        <v>0.57808219178082187</v>
      </c>
      <c r="B1040" s="19">
        <v>72130</v>
      </c>
      <c r="C1040" s="19" t="s">
        <v>3360</v>
      </c>
      <c r="D1040" s="19" t="s">
        <v>339</v>
      </c>
      <c r="E1040" s="19" t="s">
        <v>340</v>
      </c>
      <c r="F1040" s="19" t="s">
        <v>1024</v>
      </c>
      <c r="G1040" s="19" t="s">
        <v>1057</v>
      </c>
      <c r="H1040" s="19" t="s">
        <v>1001</v>
      </c>
      <c r="I1040" s="19" t="s">
        <v>1599</v>
      </c>
      <c r="J1040" s="20">
        <v>18</v>
      </c>
      <c r="K1040" t="s">
        <v>631</v>
      </c>
      <c r="L1040" t="s">
        <v>651</v>
      </c>
      <c r="M1040" t="s">
        <v>629</v>
      </c>
      <c r="N1040" t="s">
        <v>630</v>
      </c>
      <c r="O1040" t="s">
        <v>705</v>
      </c>
    </row>
    <row r="1041" spans="1:15" x14ac:dyDescent="0.35">
      <c r="A1041" s="77">
        <v>1.4876712328767123</v>
      </c>
      <c r="B1041" s="19">
        <v>72136</v>
      </c>
      <c r="C1041" s="19" t="s">
        <v>3361</v>
      </c>
      <c r="D1041" s="19" t="s">
        <v>45</v>
      </c>
      <c r="E1041" s="19" t="s">
        <v>46</v>
      </c>
      <c r="F1041" s="19" t="s">
        <v>1122</v>
      </c>
      <c r="G1041" s="19" t="s">
        <v>1034</v>
      </c>
      <c r="H1041" s="19" t="s">
        <v>1001</v>
      </c>
      <c r="I1041" s="19" t="s">
        <v>1599</v>
      </c>
      <c r="J1041" s="20">
        <v>19</v>
      </c>
      <c r="K1041" t="s">
        <v>631</v>
      </c>
      <c r="L1041" t="s">
        <v>651</v>
      </c>
      <c r="M1041" t="s">
        <v>629</v>
      </c>
      <c r="N1041" t="s">
        <v>630</v>
      </c>
      <c r="O1041" t="s">
        <v>705</v>
      </c>
    </row>
    <row r="1042" spans="1:15" x14ac:dyDescent="0.35">
      <c r="A1042" s="77">
        <v>2.1917808219178082E-2</v>
      </c>
      <c r="B1042" s="19">
        <v>72148</v>
      </c>
      <c r="C1042" s="19" t="s">
        <v>3362</v>
      </c>
      <c r="D1042" s="19" t="s">
        <v>60</v>
      </c>
      <c r="E1042" s="19" t="s">
        <v>61</v>
      </c>
      <c r="F1042" s="19" t="s">
        <v>1119</v>
      </c>
      <c r="G1042" s="19" t="s">
        <v>1008</v>
      </c>
      <c r="H1042" s="19" t="s">
        <v>1001</v>
      </c>
      <c r="I1042" s="19" t="s">
        <v>1599</v>
      </c>
      <c r="J1042" s="20">
        <v>18</v>
      </c>
      <c r="K1042" t="s">
        <v>654</v>
      </c>
      <c r="L1042" t="s">
        <v>651</v>
      </c>
      <c r="M1042" t="s">
        <v>629</v>
      </c>
      <c r="N1042" t="s">
        <v>630</v>
      </c>
      <c r="O1042" t="s">
        <v>705</v>
      </c>
    </row>
    <row r="1043" spans="1:15" x14ac:dyDescent="0.35">
      <c r="A1043" s="77">
        <v>3.493150684931507</v>
      </c>
      <c r="B1043" s="19">
        <v>72149</v>
      </c>
      <c r="C1043" s="19" t="s">
        <v>3363</v>
      </c>
      <c r="D1043" s="19" t="s">
        <v>113</v>
      </c>
      <c r="E1043" s="19" t="s">
        <v>114</v>
      </c>
      <c r="F1043" s="19" t="s">
        <v>1871</v>
      </c>
      <c r="G1043" s="19" t="s">
        <v>1057</v>
      </c>
      <c r="H1043" s="19" t="s">
        <v>1001</v>
      </c>
      <c r="I1043" s="19" t="s">
        <v>1575</v>
      </c>
      <c r="J1043" s="20">
        <v>26</v>
      </c>
      <c r="K1043" t="s">
        <v>654</v>
      </c>
      <c r="L1043" t="s">
        <v>661</v>
      </c>
      <c r="M1043" t="s">
        <v>657</v>
      </c>
      <c r="N1043" t="s">
        <v>662</v>
      </c>
      <c r="O1043" t="s">
        <v>632</v>
      </c>
    </row>
    <row r="1044" spans="1:15" x14ac:dyDescent="0.35">
      <c r="A1044" s="77">
        <v>1.7780821917808218</v>
      </c>
      <c r="B1044" s="19">
        <v>72170</v>
      </c>
      <c r="C1044" s="19" t="s">
        <v>3364</v>
      </c>
      <c r="D1044" s="19" t="s">
        <v>300</v>
      </c>
      <c r="E1044" s="19" t="s">
        <v>301</v>
      </c>
      <c r="F1044" s="19" t="s">
        <v>1719</v>
      </c>
      <c r="G1044" s="19" t="s">
        <v>1008</v>
      </c>
      <c r="H1044" s="19" t="s">
        <v>1001</v>
      </c>
      <c r="I1044" s="19" t="s">
        <v>1575</v>
      </c>
      <c r="J1044" s="20">
        <v>20</v>
      </c>
      <c r="K1044" t="s">
        <v>668</v>
      </c>
      <c r="L1044" t="s">
        <v>737</v>
      </c>
      <c r="M1044" t="s">
        <v>657</v>
      </c>
      <c r="N1044" t="s">
        <v>641</v>
      </c>
      <c r="O1044" t="s">
        <v>738</v>
      </c>
    </row>
    <row r="1045" spans="1:15" x14ac:dyDescent="0.35">
      <c r="A1045" s="77">
        <v>2.0630136986301371</v>
      </c>
      <c r="B1045" s="19">
        <v>72171</v>
      </c>
      <c r="C1045" s="19" t="s">
        <v>3365</v>
      </c>
      <c r="D1045" s="19" t="s">
        <v>399</v>
      </c>
      <c r="E1045" s="19" t="s">
        <v>400</v>
      </c>
      <c r="F1045" s="19" t="s">
        <v>868</v>
      </c>
      <c r="G1045" s="19" t="s">
        <v>1019</v>
      </c>
      <c r="H1045" s="19" t="s">
        <v>1020</v>
      </c>
      <c r="I1045" s="19" t="s">
        <v>1575</v>
      </c>
      <c r="J1045" s="20">
        <v>24</v>
      </c>
      <c r="K1045" t="s">
        <v>642</v>
      </c>
      <c r="L1045" t="s">
        <v>684</v>
      </c>
      <c r="M1045" t="s">
        <v>623</v>
      </c>
      <c r="N1045" t="s">
        <v>662</v>
      </c>
      <c r="O1045" t="s">
        <v>795</v>
      </c>
    </row>
    <row r="1046" spans="1:15" x14ac:dyDescent="0.35">
      <c r="A1046" s="77">
        <v>0.49315068493150682</v>
      </c>
      <c r="B1046" s="19">
        <v>72185</v>
      </c>
      <c r="C1046" s="19" t="s">
        <v>3366</v>
      </c>
      <c r="D1046" s="19" t="s">
        <v>601</v>
      </c>
      <c r="E1046" s="19" t="e">
        <v>#N/A</v>
      </c>
      <c r="F1046" s="19" t="s">
        <v>1136</v>
      </c>
      <c r="G1046" s="19" t="s">
        <v>1019</v>
      </c>
      <c r="H1046" s="19" t="s">
        <v>1020</v>
      </c>
      <c r="I1046" s="19" t="s">
        <v>1599</v>
      </c>
      <c r="J1046" s="20">
        <v>30</v>
      </c>
      <c r="K1046" t="s">
        <v>654</v>
      </c>
      <c r="L1046" t="s">
        <v>651</v>
      </c>
      <c r="M1046" t="s">
        <v>629</v>
      </c>
      <c r="N1046" t="s">
        <v>630</v>
      </c>
      <c r="O1046" t="s">
        <v>715</v>
      </c>
    </row>
    <row r="1047" spans="1:15" x14ac:dyDescent="0.35">
      <c r="A1047" s="77">
        <v>2.1123287671232878</v>
      </c>
      <c r="B1047" s="19">
        <v>72200</v>
      </c>
      <c r="C1047" s="19" t="s">
        <v>3367</v>
      </c>
      <c r="D1047" s="19" t="s">
        <v>297</v>
      </c>
      <c r="E1047" s="19" t="s">
        <v>298</v>
      </c>
      <c r="F1047" s="19" t="s">
        <v>904</v>
      </c>
      <c r="G1047" s="19" t="s">
        <v>1034</v>
      </c>
      <c r="H1047" s="19" t="s">
        <v>1001</v>
      </c>
      <c r="I1047" s="19" t="s">
        <v>1599</v>
      </c>
      <c r="J1047" s="20">
        <v>25</v>
      </c>
      <c r="K1047" t="s">
        <v>654</v>
      </c>
      <c r="L1047" t="s">
        <v>762</v>
      </c>
      <c r="M1047" t="s">
        <v>629</v>
      </c>
      <c r="N1047" t="s">
        <v>646</v>
      </c>
      <c r="O1047" t="s">
        <v>823</v>
      </c>
    </row>
    <row r="1048" spans="1:15" x14ac:dyDescent="0.35">
      <c r="A1048" s="77">
        <v>4.2520547945205482</v>
      </c>
      <c r="B1048" s="19">
        <v>72218</v>
      </c>
      <c r="C1048" s="19" t="s">
        <v>3368</v>
      </c>
      <c r="D1048" s="19" t="s">
        <v>78</v>
      </c>
      <c r="E1048" s="19" t="s">
        <v>79</v>
      </c>
      <c r="F1048" s="19" t="s">
        <v>1107</v>
      </c>
      <c r="G1048" s="19" t="s">
        <v>1008</v>
      </c>
      <c r="H1048" s="19" t="s">
        <v>1001</v>
      </c>
      <c r="I1048" s="19" t="s">
        <v>1575</v>
      </c>
      <c r="J1048" s="20">
        <v>25</v>
      </c>
      <c r="K1048" t="s">
        <v>654</v>
      </c>
      <c r="L1048" t="s">
        <v>661</v>
      </c>
      <c r="M1048" t="s">
        <v>657</v>
      </c>
      <c r="N1048" t="s">
        <v>658</v>
      </c>
      <c r="O1048" t="s">
        <v>632</v>
      </c>
    </row>
    <row r="1049" spans="1:15" x14ac:dyDescent="0.35">
      <c r="A1049" s="77">
        <v>4.2520547945205482</v>
      </c>
      <c r="B1049" s="19">
        <v>72224</v>
      </c>
      <c r="C1049" s="19" t="s">
        <v>3369</v>
      </c>
      <c r="D1049" s="19" t="s">
        <v>191</v>
      </c>
      <c r="E1049" s="19" t="s">
        <v>192</v>
      </c>
      <c r="F1049" s="19" t="s">
        <v>1626</v>
      </c>
      <c r="G1049" s="19" t="s">
        <v>1000</v>
      </c>
      <c r="H1049" s="19" t="s">
        <v>1001</v>
      </c>
      <c r="I1049" s="19" t="s">
        <v>1575</v>
      </c>
      <c r="J1049" s="20">
        <v>43</v>
      </c>
      <c r="K1049" t="s">
        <v>654</v>
      </c>
      <c r="L1049" t="s">
        <v>673</v>
      </c>
      <c r="M1049" t="s">
        <v>623</v>
      </c>
      <c r="N1049" t="s">
        <v>641</v>
      </c>
      <c r="O1049" t="s">
        <v>779</v>
      </c>
    </row>
    <row r="1050" spans="1:15" x14ac:dyDescent="0.35">
      <c r="A1050" s="77">
        <v>4.2410958904109588</v>
      </c>
      <c r="B1050" s="19">
        <v>72237</v>
      </c>
      <c r="C1050" s="19" t="s">
        <v>3370</v>
      </c>
      <c r="D1050" s="19" t="s">
        <v>12</v>
      </c>
      <c r="E1050" s="19" t="s">
        <v>12</v>
      </c>
      <c r="F1050" s="19" t="s">
        <v>1145</v>
      </c>
      <c r="G1050" s="19" t="s">
        <v>1057</v>
      </c>
      <c r="H1050" s="19" t="s">
        <v>1001</v>
      </c>
      <c r="I1050" s="19" t="s">
        <v>1599</v>
      </c>
      <c r="J1050" s="20">
        <v>27</v>
      </c>
      <c r="K1050" t="s">
        <v>636</v>
      </c>
      <c r="L1050" t="s">
        <v>634</v>
      </c>
      <c r="M1050" t="s">
        <v>629</v>
      </c>
      <c r="N1050" t="s">
        <v>635</v>
      </c>
      <c r="O1050" t="s">
        <v>637</v>
      </c>
    </row>
    <row r="1051" spans="1:15" x14ac:dyDescent="0.35">
      <c r="A1051" s="77">
        <v>1.8547945205479452</v>
      </c>
      <c r="B1051" s="19">
        <v>72311</v>
      </c>
      <c r="C1051" s="19" t="s">
        <v>3371</v>
      </c>
      <c r="D1051" s="19" t="s">
        <v>362</v>
      </c>
      <c r="E1051" s="19" t="s">
        <v>363</v>
      </c>
      <c r="F1051" s="19" t="s">
        <v>1056</v>
      </c>
      <c r="G1051" s="19" t="s">
        <v>1028</v>
      </c>
      <c r="H1051" s="19" t="s">
        <v>1020</v>
      </c>
      <c r="I1051" s="19" t="s">
        <v>1599</v>
      </c>
      <c r="J1051" s="20">
        <v>22</v>
      </c>
      <c r="K1051" t="s">
        <v>654</v>
      </c>
      <c r="L1051" t="s">
        <v>663</v>
      </c>
      <c r="M1051" t="s">
        <v>629</v>
      </c>
      <c r="N1051" t="s">
        <v>646</v>
      </c>
      <c r="O1051" t="s">
        <v>810</v>
      </c>
    </row>
    <row r="1052" spans="1:15" x14ac:dyDescent="0.35">
      <c r="A1052" s="77">
        <v>4.2410958904109588</v>
      </c>
      <c r="B1052" s="19">
        <v>72322</v>
      </c>
      <c r="C1052" s="19" t="s">
        <v>3372</v>
      </c>
      <c r="D1052" s="19" t="s">
        <v>425</v>
      </c>
      <c r="E1052" s="19" t="s">
        <v>425</v>
      </c>
      <c r="F1052" s="19" t="s">
        <v>1330</v>
      </c>
      <c r="G1052" s="19" t="s">
        <v>1019</v>
      </c>
      <c r="H1052" s="19" t="s">
        <v>1020</v>
      </c>
      <c r="I1052" s="19" t="s">
        <v>1575</v>
      </c>
      <c r="J1052" s="20">
        <v>41</v>
      </c>
      <c r="K1052" t="s">
        <v>654</v>
      </c>
      <c r="L1052" t="s">
        <v>678</v>
      </c>
      <c r="M1052" t="s">
        <v>623</v>
      </c>
      <c r="N1052" t="s">
        <v>624</v>
      </c>
      <c r="O1052" t="s">
        <v>689</v>
      </c>
    </row>
    <row r="1053" spans="1:15" x14ac:dyDescent="0.35">
      <c r="A1053" s="77">
        <v>4.2273972602739729</v>
      </c>
      <c r="B1053" s="19">
        <v>72347</v>
      </c>
      <c r="C1053" s="19" t="s">
        <v>3373</v>
      </c>
      <c r="D1053" s="19" t="s">
        <v>118</v>
      </c>
      <c r="E1053" s="19" t="s">
        <v>119</v>
      </c>
      <c r="F1053" s="19" t="s">
        <v>1360</v>
      </c>
      <c r="G1053" s="19" t="s">
        <v>1046</v>
      </c>
      <c r="H1053" s="19" t="s">
        <v>1001</v>
      </c>
      <c r="I1053" s="19" t="s">
        <v>1575</v>
      </c>
      <c r="J1053" s="20">
        <v>27</v>
      </c>
      <c r="K1053" t="s">
        <v>625</v>
      </c>
      <c r="L1053" t="s">
        <v>656</v>
      </c>
      <c r="M1053" t="s">
        <v>657</v>
      </c>
      <c r="N1053" t="s">
        <v>658</v>
      </c>
      <c r="O1053" t="s">
        <v>632</v>
      </c>
    </row>
    <row r="1054" spans="1:15" x14ac:dyDescent="0.35">
      <c r="A1054" s="77">
        <v>3.2520547945205478</v>
      </c>
      <c r="B1054" s="19">
        <v>72366</v>
      </c>
      <c r="C1054" s="19" t="s">
        <v>3374</v>
      </c>
      <c r="D1054" s="19" t="s">
        <v>159</v>
      </c>
      <c r="E1054" s="19" t="s">
        <v>160</v>
      </c>
      <c r="F1054" s="19" t="s">
        <v>1488</v>
      </c>
      <c r="G1054" s="19" t="s">
        <v>1045</v>
      </c>
      <c r="H1054" s="19" t="s">
        <v>1001</v>
      </c>
      <c r="I1054" s="19" t="s">
        <v>1575</v>
      </c>
      <c r="J1054" s="20">
        <v>26</v>
      </c>
      <c r="K1054" t="s">
        <v>654</v>
      </c>
      <c r="L1054" t="s">
        <v>678</v>
      </c>
      <c r="M1054" t="s">
        <v>623</v>
      </c>
      <c r="N1054" t="s">
        <v>624</v>
      </c>
      <c r="O1054" t="s">
        <v>679</v>
      </c>
    </row>
    <row r="1055" spans="1:15" x14ac:dyDescent="0.35">
      <c r="A1055" s="77">
        <v>4.2109589041095887</v>
      </c>
      <c r="B1055" s="19">
        <v>72416</v>
      </c>
      <c r="C1055" s="19" t="s">
        <v>3375</v>
      </c>
      <c r="D1055" s="19" t="s">
        <v>278</v>
      </c>
      <c r="E1055" s="19" t="s">
        <v>279</v>
      </c>
      <c r="F1055" s="19" t="s">
        <v>1131</v>
      </c>
      <c r="G1055" s="19" t="s">
        <v>1084</v>
      </c>
      <c r="H1055" s="19" t="s">
        <v>1020</v>
      </c>
      <c r="I1055" s="19" t="s">
        <v>1575</v>
      </c>
      <c r="J1055" s="20">
        <v>45</v>
      </c>
      <c r="K1055" t="s">
        <v>625</v>
      </c>
      <c r="L1055" t="s">
        <v>661</v>
      </c>
      <c r="M1055" t="s">
        <v>657</v>
      </c>
      <c r="N1055" t="s">
        <v>662</v>
      </c>
      <c r="O1055" t="s">
        <v>632</v>
      </c>
    </row>
    <row r="1056" spans="1:15" x14ac:dyDescent="0.35">
      <c r="A1056" s="77">
        <v>1.7863013698630137</v>
      </c>
      <c r="B1056" s="19">
        <v>72447</v>
      </c>
      <c r="C1056" s="19" t="s">
        <v>3376</v>
      </c>
      <c r="D1056" s="19" t="s">
        <v>351</v>
      </c>
      <c r="E1056" s="19" t="s">
        <v>352</v>
      </c>
      <c r="F1056" s="19" t="s">
        <v>1507</v>
      </c>
      <c r="G1056" s="19" t="s">
        <v>1008</v>
      </c>
      <c r="H1056" s="19" t="s">
        <v>1001</v>
      </c>
      <c r="I1056" s="19" t="s">
        <v>1599</v>
      </c>
      <c r="J1056" s="20">
        <v>22</v>
      </c>
      <c r="K1056" t="s">
        <v>636</v>
      </c>
      <c r="L1056" t="s">
        <v>661</v>
      </c>
      <c r="M1056" t="s">
        <v>657</v>
      </c>
      <c r="N1056" t="s">
        <v>662</v>
      </c>
      <c r="O1056" t="s">
        <v>632</v>
      </c>
    </row>
    <row r="1057" spans="1:15" x14ac:dyDescent="0.35">
      <c r="A1057" s="77">
        <v>0.9342465753424658</v>
      </c>
      <c r="B1057" s="19">
        <v>72448</v>
      </c>
      <c r="C1057" s="19" t="s">
        <v>2124</v>
      </c>
      <c r="D1057" s="19" t="s">
        <v>302</v>
      </c>
      <c r="E1057" s="19" t="s">
        <v>303</v>
      </c>
      <c r="F1057" s="19" t="s">
        <v>1053</v>
      </c>
      <c r="G1057" s="19" t="s">
        <v>1008</v>
      </c>
      <c r="H1057" s="19" t="s">
        <v>1001</v>
      </c>
      <c r="I1057" s="19" t="s">
        <v>1575</v>
      </c>
      <c r="J1057" s="20">
        <v>18</v>
      </c>
      <c r="K1057" t="s">
        <v>668</v>
      </c>
      <c r="L1057" t="s">
        <v>737</v>
      </c>
      <c r="M1057" t="s">
        <v>657</v>
      </c>
      <c r="N1057" t="s">
        <v>641</v>
      </c>
      <c r="O1057" t="s">
        <v>738</v>
      </c>
    </row>
    <row r="1058" spans="1:15" x14ac:dyDescent="0.35">
      <c r="A1058" s="77">
        <v>4.1945205479452055</v>
      </c>
      <c r="B1058" s="19">
        <v>72469</v>
      </c>
      <c r="C1058" s="19" t="s">
        <v>3377</v>
      </c>
      <c r="D1058" s="19" t="s">
        <v>278</v>
      </c>
      <c r="E1058" s="19" t="s">
        <v>279</v>
      </c>
      <c r="F1058" s="19" t="s">
        <v>1131</v>
      </c>
      <c r="G1058" s="19" t="s">
        <v>1046</v>
      </c>
      <c r="H1058" s="19" t="s">
        <v>1001</v>
      </c>
      <c r="I1058" s="19" t="s">
        <v>1575</v>
      </c>
      <c r="J1058" s="20">
        <v>30</v>
      </c>
      <c r="K1058" t="s">
        <v>625</v>
      </c>
      <c r="L1058" t="s">
        <v>661</v>
      </c>
      <c r="M1058" t="s">
        <v>657</v>
      </c>
      <c r="N1058" t="s">
        <v>662</v>
      </c>
      <c r="O1058" t="s">
        <v>632</v>
      </c>
    </row>
    <row r="1059" spans="1:15" x14ac:dyDescent="0.35">
      <c r="A1059" s="77">
        <v>4.1863013698630134</v>
      </c>
      <c r="B1059" s="19">
        <v>72506</v>
      </c>
      <c r="C1059" s="19" t="s">
        <v>3378</v>
      </c>
      <c r="D1059" s="19" t="s">
        <v>422</v>
      </c>
      <c r="E1059" s="19" t="s">
        <v>422</v>
      </c>
      <c r="F1059" s="19" t="s">
        <v>423</v>
      </c>
      <c r="G1059" s="19" t="s">
        <v>1057</v>
      </c>
      <c r="H1059" s="19" t="s">
        <v>1001</v>
      </c>
      <c r="I1059" s="19" t="s">
        <v>1599</v>
      </c>
      <c r="J1059" s="20">
        <v>30</v>
      </c>
      <c r="K1059" t="s">
        <v>654</v>
      </c>
      <c r="L1059" t="s">
        <v>673</v>
      </c>
      <c r="M1059" t="s">
        <v>623</v>
      </c>
      <c r="N1059" t="s">
        <v>641</v>
      </c>
      <c r="O1059" t="s">
        <v>697</v>
      </c>
    </row>
    <row r="1060" spans="1:15" x14ac:dyDescent="0.35">
      <c r="A1060" s="77">
        <v>4.183561643835616</v>
      </c>
      <c r="B1060" s="19">
        <v>72542</v>
      </c>
      <c r="C1060" s="19" t="s">
        <v>3379</v>
      </c>
      <c r="D1060" s="19" t="s">
        <v>153</v>
      </c>
      <c r="E1060" s="19" t="s">
        <v>154</v>
      </c>
      <c r="F1060" s="19" t="s">
        <v>2384</v>
      </c>
      <c r="G1060" s="19" t="s">
        <v>1008</v>
      </c>
      <c r="H1060" s="19" t="s">
        <v>1001</v>
      </c>
      <c r="I1060" s="19" t="s">
        <v>1575</v>
      </c>
      <c r="J1060" s="20">
        <v>27</v>
      </c>
      <c r="K1060" t="s">
        <v>654</v>
      </c>
      <c r="L1060" t="s">
        <v>762</v>
      </c>
      <c r="M1060" t="s">
        <v>629</v>
      </c>
      <c r="N1060" t="s">
        <v>646</v>
      </c>
      <c r="O1060" t="s">
        <v>763</v>
      </c>
    </row>
    <row r="1061" spans="1:15" x14ac:dyDescent="0.35">
      <c r="A1061" s="77">
        <v>4.1671232876712327</v>
      </c>
      <c r="B1061" s="19">
        <v>72572</v>
      </c>
      <c r="C1061" s="19" t="s">
        <v>3380</v>
      </c>
      <c r="D1061" s="19" t="s">
        <v>601</v>
      </c>
      <c r="E1061" s="19" t="e">
        <v>#N/A</v>
      </c>
      <c r="F1061" s="19" t="s">
        <v>1136</v>
      </c>
      <c r="G1061" s="19" t="s">
        <v>1008</v>
      </c>
      <c r="H1061" s="19" t="s">
        <v>1001</v>
      </c>
      <c r="I1061" s="19" t="s">
        <v>1575</v>
      </c>
      <c r="J1061" s="20">
        <v>25</v>
      </c>
      <c r="K1061" t="s">
        <v>654</v>
      </c>
      <c r="L1061" t="s">
        <v>651</v>
      </c>
      <c r="M1061" t="s">
        <v>629</v>
      </c>
      <c r="N1061" t="s">
        <v>630</v>
      </c>
      <c r="O1061" t="s">
        <v>715</v>
      </c>
    </row>
    <row r="1062" spans="1:15" x14ac:dyDescent="0.35">
      <c r="A1062" s="77">
        <v>4.1671232876712327</v>
      </c>
      <c r="B1062" s="19">
        <v>72583</v>
      </c>
      <c r="C1062" s="19" t="s">
        <v>3381</v>
      </c>
      <c r="D1062" s="19" t="s">
        <v>362</v>
      </c>
      <c r="E1062" s="19" t="s">
        <v>363</v>
      </c>
      <c r="F1062" s="19" t="s">
        <v>1056</v>
      </c>
      <c r="G1062" s="19" t="s">
        <v>1028</v>
      </c>
      <c r="H1062" s="19" t="s">
        <v>1020</v>
      </c>
      <c r="I1062" s="19" t="s">
        <v>1575</v>
      </c>
      <c r="J1062" s="20">
        <v>24</v>
      </c>
      <c r="K1062" t="s">
        <v>654</v>
      </c>
      <c r="L1062" t="s">
        <v>663</v>
      </c>
      <c r="M1062" t="s">
        <v>629</v>
      </c>
      <c r="N1062" t="s">
        <v>646</v>
      </c>
      <c r="O1062" t="s">
        <v>810</v>
      </c>
    </row>
    <row r="1063" spans="1:15" x14ac:dyDescent="0.35">
      <c r="A1063" s="77">
        <v>1.6246575342465754</v>
      </c>
      <c r="B1063" s="19">
        <v>72611</v>
      </c>
      <c r="C1063" s="19" t="s">
        <v>3382</v>
      </c>
      <c r="D1063" s="19" t="s">
        <v>425</v>
      </c>
      <c r="E1063" s="19" t="s">
        <v>425</v>
      </c>
      <c r="F1063" s="19" t="s">
        <v>1330</v>
      </c>
      <c r="G1063" s="19" t="s">
        <v>1019</v>
      </c>
      <c r="H1063" s="19" t="s">
        <v>1020</v>
      </c>
      <c r="I1063" s="19" t="s">
        <v>1599</v>
      </c>
      <c r="J1063" s="20">
        <v>24</v>
      </c>
      <c r="K1063" t="s">
        <v>654</v>
      </c>
      <c r="L1063" t="s">
        <v>678</v>
      </c>
      <c r="M1063" t="s">
        <v>623</v>
      </c>
      <c r="N1063" t="s">
        <v>624</v>
      </c>
      <c r="O1063" t="s">
        <v>689</v>
      </c>
    </row>
    <row r="1064" spans="1:15" x14ac:dyDescent="0.35">
      <c r="A1064" s="77">
        <v>4.1671232876712327</v>
      </c>
      <c r="B1064" s="19">
        <v>72621</v>
      </c>
      <c r="C1064" s="19" t="s">
        <v>3383</v>
      </c>
      <c r="D1064" s="19" t="s">
        <v>419</v>
      </c>
      <c r="E1064" s="19" t="s">
        <v>419</v>
      </c>
      <c r="F1064" s="19" t="s">
        <v>695</v>
      </c>
      <c r="G1064" s="19" t="s">
        <v>1008</v>
      </c>
      <c r="H1064" s="19" t="s">
        <v>1001</v>
      </c>
      <c r="I1064" s="19" t="s">
        <v>1575</v>
      </c>
      <c r="J1064" s="20">
        <v>27</v>
      </c>
      <c r="K1064" t="s">
        <v>654</v>
      </c>
      <c r="L1064" t="s">
        <v>628</v>
      </c>
      <c r="M1064" t="s">
        <v>629</v>
      </c>
      <c r="N1064" t="s">
        <v>630</v>
      </c>
      <c r="O1064" t="s">
        <v>632</v>
      </c>
    </row>
    <row r="1065" spans="1:15" x14ac:dyDescent="0.35">
      <c r="A1065" s="77">
        <v>4.1671232876712327</v>
      </c>
      <c r="B1065" s="19">
        <v>72632</v>
      </c>
      <c r="C1065" s="19" t="s">
        <v>3384</v>
      </c>
      <c r="D1065" s="19" t="s">
        <v>102</v>
      </c>
      <c r="E1065" s="19" t="s">
        <v>103</v>
      </c>
      <c r="F1065" s="19" t="s">
        <v>1306</v>
      </c>
      <c r="G1065" s="19" t="s">
        <v>1057</v>
      </c>
      <c r="H1065" s="19" t="s">
        <v>1001</v>
      </c>
      <c r="I1065" s="19" t="s">
        <v>1575</v>
      </c>
      <c r="J1065" s="20">
        <v>37</v>
      </c>
      <c r="K1065" t="s">
        <v>654</v>
      </c>
      <c r="L1065" t="s">
        <v>707</v>
      </c>
      <c r="M1065" t="s">
        <v>629</v>
      </c>
      <c r="N1065" t="s">
        <v>635</v>
      </c>
      <c r="O1065" t="s">
        <v>708</v>
      </c>
    </row>
    <row r="1066" spans="1:15" x14ac:dyDescent="0.35">
      <c r="A1066" s="77">
        <v>1.9726027397260273</v>
      </c>
      <c r="B1066" s="19">
        <v>72644</v>
      </c>
      <c r="C1066" s="19" t="s">
        <v>3385</v>
      </c>
      <c r="D1066" s="19" t="s">
        <v>326</v>
      </c>
      <c r="E1066" s="19" t="s">
        <v>327</v>
      </c>
      <c r="F1066" s="19" t="s">
        <v>1051</v>
      </c>
      <c r="G1066" s="19" t="s">
        <v>1028</v>
      </c>
      <c r="H1066" s="19" t="s">
        <v>1020</v>
      </c>
      <c r="I1066" s="19" t="s">
        <v>1599</v>
      </c>
      <c r="J1066" s="20">
        <v>33</v>
      </c>
      <c r="K1066" t="s">
        <v>631</v>
      </c>
      <c r="L1066" t="s">
        <v>648</v>
      </c>
      <c r="M1066" t="s">
        <v>623</v>
      </c>
      <c r="N1066" t="s">
        <v>624</v>
      </c>
      <c r="O1066" t="s">
        <v>837</v>
      </c>
    </row>
    <row r="1067" spans="1:15" x14ac:dyDescent="0.35">
      <c r="A1067" s="77">
        <v>4.1534246575342468</v>
      </c>
      <c r="B1067" s="19">
        <v>72663</v>
      </c>
      <c r="C1067" s="19" t="s">
        <v>3386</v>
      </c>
      <c r="D1067" s="19" t="s">
        <v>41</v>
      </c>
      <c r="E1067" s="19" t="s">
        <v>41</v>
      </c>
      <c r="F1067" s="19" t="s">
        <v>1157</v>
      </c>
      <c r="G1067" s="19" t="s">
        <v>1084</v>
      </c>
      <c r="H1067" s="19" t="s">
        <v>1020</v>
      </c>
      <c r="I1067" s="19" t="s">
        <v>1575</v>
      </c>
      <c r="J1067" s="20">
        <v>46</v>
      </c>
      <c r="K1067" t="s">
        <v>625</v>
      </c>
      <c r="L1067" t="s">
        <v>691</v>
      </c>
      <c r="M1067" t="s">
        <v>657</v>
      </c>
      <c r="N1067" t="s">
        <v>658</v>
      </c>
      <c r="O1067" t="s">
        <v>632</v>
      </c>
    </row>
    <row r="1068" spans="1:15" x14ac:dyDescent="0.35">
      <c r="A1068" s="77">
        <v>4.1534246575342468</v>
      </c>
      <c r="B1068" s="19">
        <v>72665</v>
      </c>
      <c r="C1068" s="19" t="s">
        <v>3387</v>
      </c>
      <c r="D1068" s="19" t="s">
        <v>41</v>
      </c>
      <c r="E1068" s="19" t="s">
        <v>41</v>
      </c>
      <c r="F1068" s="19" t="s">
        <v>1157</v>
      </c>
      <c r="G1068" s="19" t="s">
        <v>1084</v>
      </c>
      <c r="H1068" s="19" t="s">
        <v>1020</v>
      </c>
      <c r="I1068" s="19" t="s">
        <v>1575</v>
      </c>
      <c r="J1068" s="20">
        <v>46</v>
      </c>
      <c r="K1068" t="s">
        <v>625</v>
      </c>
      <c r="L1068" t="s">
        <v>691</v>
      </c>
      <c r="M1068" t="s">
        <v>657</v>
      </c>
      <c r="N1068" t="s">
        <v>658</v>
      </c>
      <c r="O1068" t="s">
        <v>632</v>
      </c>
    </row>
    <row r="1069" spans="1:15" x14ac:dyDescent="0.35">
      <c r="A1069" s="77">
        <v>4.1561643835616442</v>
      </c>
      <c r="B1069" s="19">
        <v>72681</v>
      </c>
      <c r="C1069" s="19" t="s">
        <v>3388</v>
      </c>
      <c r="D1069" s="19" t="s">
        <v>341</v>
      </c>
      <c r="E1069" s="19" t="s">
        <v>342</v>
      </c>
      <c r="F1069" s="19" t="s">
        <v>1264</v>
      </c>
      <c r="G1069" s="19" t="s">
        <v>1028</v>
      </c>
      <c r="H1069" s="19" t="s">
        <v>1020</v>
      </c>
      <c r="I1069" s="19" t="s">
        <v>1575</v>
      </c>
      <c r="J1069" s="20">
        <v>33</v>
      </c>
      <c r="K1069" t="s">
        <v>636</v>
      </c>
      <c r="L1069" t="s">
        <v>678</v>
      </c>
      <c r="M1069" t="s">
        <v>623</v>
      </c>
      <c r="N1069" t="s">
        <v>624</v>
      </c>
      <c r="O1069" t="s">
        <v>679</v>
      </c>
    </row>
    <row r="1070" spans="1:15" x14ac:dyDescent="0.35">
      <c r="A1070" s="77">
        <v>1.4794520547945205</v>
      </c>
      <c r="B1070" s="19">
        <v>72752</v>
      </c>
      <c r="C1070" s="19" t="s">
        <v>1180</v>
      </c>
      <c r="D1070" s="19" t="s">
        <v>53</v>
      </c>
      <c r="E1070" s="19" t="s">
        <v>54</v>
      </c>
      <c r="F1070" s="19" t="s">
        <v>1308</v>
      </c>
      <c r="G1070" s="19" t="s">
        <v>1008</v>
      </c>
      <c r="H1070" s="19" t="s">
        <v>1001</v>
      </c>
      <c r="I1070" s="19" t="s">
        <v>1575</v>
      </c>
      <c r="J1070" s="20">
        <v>23</v>
      </c>
      <c r="K1070" t="s">
        <v>668</v>
      </c>
      <c r="L1070" t="s">
        <v>691</v>
      </c>
      <c r="M1070" t="s">
        <v>657</v>
      </c>
      <c r="N1070" t="s">
        <v>658</v>
      </c>
      <c r="O1070" t="s">
        <v>632</v>
      </c>
    </row>
    <row r="1071" spans="1:15" x14ac:dyDescent="0.35">
      <c r="A1071" s="77">
        <v>4.1369863013698627</v>
      </c>
      <c r="B1071" s="19">
        <v>72820</v>
      </c>
      <c r="C1071" s="19" t="s">
        <v>3389</v>
      </c>
      <c r="D1071" s="19" t="s">
        <v>169</v>
      </c>
      <c r="E1071" s="19" t="s">
        <v>170</v>
      </c>
      <c r="F1071" s="19" t="s">
        <v>1274</v>
      </c>
      <c r="G1071" s="19" t="s">
        <v>1057</v>
      </c>
      <c r="H1071" s="19" t="s">
        <v>1001</v>
      </c>
      <c r="I1071" s="19" t="s">
        <v>1599</v>
      </c>
      <c r="J1071" s="20">
        <v>30</v>
      </c>
      <c r="K1071" t="s">
        <v>631</v>
      </c>
      <c r="L1071" t="s">
        <v>670</v>
      </c>
      <c r="M1071" t="s">
        <v>657</v>
      </c>
      <c r="N1071" t="s">
        <v>641</v>
      </c>
      <c r="O1071" t="s">
        <v>772</v>
      </c>
    </row>
    <row r="1072" spans="1:15" x14ac:dyDescent="0.35">
      <c r="A1072" s="77">
        <v>4.1287671232876715</v>
      </c>
      <c r="B1072" s="19">
        <v>72887</v>
      </c>
      <c r="C1072" s="19" t="s">
        <v>3390</v>
      </c>
      <c r="D1072" s="19" t="s">
        <v>373</v>
      </c>
      <c r="E1072" s="19" t="s">
        <v>374</v>
      </c>
      <c r="F1072" s="19" t="s">
        <v>1033</v>
      </c>
      <c r="G1072" s="19" t="s">
        <v>1034</v>
      </c>
      <c r="H1072" s="19" t="s">
        <v>1001</v>
      </c>
      <c r="I1072" s="19" t="s">
        <v>1575</v>
      </c>
      <c r="J1072" s="20">
        <v>26</v>
      </c>
      <c r="K1072" t="s">
        <v>654</v>
      </c>
      <c r="L1072" t="s">
        <v>634</v>
      </c>
      <c r="M1072" t="s">
        <v>629</v>
      </c>
      <c r="N1072" t="s">
        <v>635</v>
      </c>
      <c r="O1072" t="s">
        <v>637</v>
      </c>
    </row>
    <row r="1073" spans="1:15" x14ac:dyDescent="0.35">
      <c r="A1073" s="77">
        <v>0.91506849315068495</v>
      </c>
      <c r="B1073" s="19">
        <v>72920</v>
      </c>
      <c r="C1073" s="19" t="s">
        <v>3391</v>
      </c>
      <c r="D1073" s="19" t="s">
        <v>124</v>
      </c>
      <c r="E1073" s="19" t="s">
        <v>125</v>
      </c>
      <c r="F1073" s="19" t="s">
        <v>1398</v>
      </c>
      <c r="G1073" s="19" t="s">
        <v>1028</v>
      </c>
      <c r="H1073" s="19" t="s">
        <v>1020</v>
      </c>
      <c r="I1073" s="19" t="s">
        <v>1575</v>
      </c>
      <c r="J1073" s="20">
        <v>18</v>
      </c>
      <c r="K1073" t="s">
        <v>654</v>
      </c>
      <c r="L1073" t="s">
        <v>661</v>
      </c>
      <c r="M1073" t="s">
        <v>657</v>
      </c>
      <c r="N1073" t="s">
        <v>662</v>
      </c>
      <c r="O1073" t="s">
        <v>632</v>
      </c>
    </row>
    <row r="1074" spans="1:15" x14ac:dyDescent="0.35">
      <c r="A1074" s="77">
        <v>4.117808219178082</v>
      </c>
      <c r="B1074" s="19">
        <v>72925</v>
      </c>
      <c r="C1074" s="19" t="s">
        <v>3392</v>
      </c>
      <c r="D1074" s="19" t="s">
        <v>20</v>
      </c>
      <c r="E1074" s="19" t="s">
        <v>20</v>
      </c>
      <c r="F1074" s="19" t="s">
        <v>1133</v>
      </c>
      <c r="G1074" s="19" t="s">
        <v>1057</v>
      </c>
      <c r="H1074" s="19" t="s">
        <v>1001</v>
      </c>
      <c r="I1074" s="19" t="s">
        <v>1575</v>
      </c>
      <c r="J1074" s="20">
        <v>28</v>
      </c>
      <c r="K1074" t="s">
        <v>654</v>
      </c>
      <c r="L1074" t="s">
        <v>634</v>
      </c>
      <c r="M1074" t="s">
        <v>629</v>
      </c>
      <c r="N1074" t="s">
        <v>635</v>
      </c>
      <c r="O1074" t="s">
        <v>637</v>
      </c>
    </row>
    <row r="1075" spans="1:15" x14ac:dyDescent="0.35">
      <c r="A1075" s="77">
        <v>4.117808219178082</v>
      </c>
      <c r="B1075" s="19">
        <v>72926</v>
      </c>
      <c r="C1075" s="19" t="s">
        <v>3393</v>
      </c>
      <c r="D1075" s="19" t="s">
        <v>357</v>
      </c>
      <c r="E1075" s="19" t="s">
        <v>358</v>
      </c>
      <c r="F1075" s="19" t="s">
        <v>1161</v>
      </c>
      <c r="G1075" s="19" t="s">
        <v>1046</v>
      </c>
      <c r="H1075" s="19" t="s">
        <v>1001</v>
      </c>
      <c r="I1075" s="19" t="s">
        <v>1575</v>
      </c>
      <c r="J1075" s="20">
        <v>28</v>
      </c>
      <c r="K1075" t="s">
        <v>668</v>
      </c>
      <c r="L1075" t="s">
        <v>640</v>
      </c>
      <c r="M1075" t="s">
        <v>623</v>
      </c>
      <c r="N1075" t="s">
        <v>641</v>
      </c>
      <c r="O1075" t="s">
        <v>852</v>
      </c>
    </row>
    <row r="1076" spans="1:15" x14ac:dyDescent="0.35">
      <c r="A1076" s="77">
        <v>4.1287671232876715</v>
      </c>
      <c r="B1076" s="19">
        <v>72930</v>
      </c>
      <c r="C1076" s="19" t="s">
        <v>3394</v>
      </c>
      <c r="D1076" s="19" t="s">
        <v>420</v>
      </c>
      <c r="E1076" s="19" t="s">
        <v>420</v>
      </c>
      <c r="F1076" s="19" t="s">
        <v>686</v>
      </c>
      <c r="G1076" s="19" t="s">
        <v>1046</v>
      </c>
      <c r="H1076" s="19" t="s">
        <v>1001</v>
      </c>
      <c r="I1076" s="19" t="s">
        <v>1575</v>
      </c>
      <c r="J1076" s="20">
        <v>37</v>
      </c>
      <c r="K1076" t="s">
        <v>631</v>
      </c>
      <c r="L1076" t="s">
        <v>634</v>
      </c>
      <c r="M1076" t="s">
        <v>629</v>
      </c>
      <c r="N1076" t="s">
        <v>635</v>
      </c>
      <c r="O1076" t="s">
        <v>637</v>
      </c>
    </row>
    <row r="1077" spans="1:15" x14ac:dyDescent="0.35">
      <c r="A1077" s="77">
        <v>4.1150684931506847</v>
      </c>
      <c r="B1077" s="19">
        <v>72939</v>
      </c>
      <c r="C1077" s="19" t="s">
        <v>3395</v>
      </c>
      <c r="D1077" s="19" t="s">
        <v>113</v>
      </c>
      <c r="E1077" s="19" t="s">
        <v>114</v>
      </c>
      <c r="F1077" s="19" t="s">
        <v>1871</v>
      </c>
      <c r="G1077" s="19" t="s">
        <v>1028</v>
      </c>
      <c r="H1077" s="19" t="s">
        <v>1020</v>
      </c>
      <c r="I1077" s="19" t="s">
        <v>1575</v>
      </c>
      <c r="J1077" s="20">
        <v>36</v>
      </c>
      <c r="K1077" t="s">
        <v>654</v>
      </c>
      <c r="L1077" t="s">
        <v>661</v>
      </c>
      <c r="M1077" t="s">
        <v>657</v>
      </c>
      <c r="N1077" t="s">
        <v>662</v>
      </c>
      <c r="O1077" t="s">
        <v>632</v>
      </c>
    </row>
    <row r="1078" spans="1:15" x14ac:dyDescent="0.35">
      <c r="A1078" s="77">
        <v>0.91506849315068495</v>
      </c>
      <c r="B1078" s="19">
        <v>72944</v>
      </c>
      <c r="C1078" s="19" t="s">
        <v>3396</v>
      </c>
      <c r="D1078" s="19" t="s">
        <v>284</v>
      </c>
      <c r="E1078" s="19" t="s">
        <v>285</v>
      </c>
      <c r="F1078" s="19" t="s">
        <v>1150</v>
      </c>
      <c r="G1078" s="19" t="s">
        <v>1084</v>
      </c>
      <c r="H1078" s="19" t="s">
        <v>1001</v>
      </c>
      <c r="I1078" s="19" t="s">
        <v>1599</v>
      </c>
      <c r="J1078" s="20">
        <v>25</v>
      </c>
      <c r="K1078" t="s">
        <v>625</v>
      </c>
      <c r="L1078" t="s">
        <v>661</v>
      </c>
      <c r="M1078" t="s">
        <v>657</v>
      </c>
      <c r="N1078" t="s">
        <v>662</v>
      </c>
      <c r="O1078" t="s">
        <v>632</v>
      </c>
    </row>
    <row r="1079" spans="1:15" x14ac:dyDescent="0.35">
      <c r="A1079" s="77">
        <v>4.1150684931506847</v>
      </c>
      <c r="B1079" s="19">
        <v>72999</v>
      </c>
      <c r="C1079" s="19" t="s">
        <v>3397</v>
      </c>
      <c r="D1079" s="19" t="s">
        <v>360</v>
      </c>
      <c r="E1079" s="19" t="s">
        <v>361</v>
      </c>
      <c r="F1079" s="19" t="s">
        <v>2312</v>
      </c>
      <c r="G1079" s="19" t="s">
        <v>1028</v>
      </c>
      <c r="H1079" s="19" t="s">
        <v>1020</v>
      </c>
      <c r="I1079" s="19" t="s">
        <v>1575</v>
      </c>
      <c r="J1079" s="20">
        <v>44</v>
      </c>
      <c r="K1079" t="s">
        <v>642</v>
      </c>
      <c r="L1079" t="s">
        <v>670</v>
      </c>
      <c r="M1079" t="s">
        <v>657</v>
      </c>
      <c r="N1079" t="s">
        <v>641</v>
      </c>
      <c r="O1079" t="s">
        <v>671</v>
      </c>
    </row>
    <row r="1080" spans="1:15" x14ac:dyDescent="0.35">
      <c r="A1080" s="77">
        <v>4.1123287671232873</v>
      </c>
      <c r="B1080" s="19">
        <v>73000</v>
      </c>
      <c r="C1080" s="19" t="s">
        <v>3398</v>
      </c>
      <c r="D1080" s="19" t="s">
        <v>341</v>
      </c>
      <c r="E1080" s="19" t="s">
        <v>342</v>
      </c>
      <c r="F1080" s="19" t="s">
        <v>1264</v>
      </c>
      <c r="G1080" s="19" t="s">
        <v>1008</v>
      </c>
      <c r="H1080" s="19" t="s">
        <v>1001</v>
      </c>
      <c r="I1080" s="19" t="s">
        <v>1575</v>
      </c>
      <c r="J1080" s="20">
        <v>22</v>
      </c>
      <c r="K1080" t="s">
        <v>636</v>
      </c>
      <c r="L1080" t="s">
        <v>678</v>
      </c>
      <c r="M1080" t="s">
        <v>623</v>
      </c>
      <c r="N1080" t="s">
        <v>624</v>
      </c>
      <c r="O1080" t="s">
        <v>679</v>
      </c>
    </row>
    <row r="1081" spans="1:15" x14ac:dyDescent="0.35">
      <c r="A1081" s="77">
        <v>4.1041095890410961</v>
      </c>
      <c r="B1081" s="19">
        <v>73044</v>
      </c>
      <c r="C1081" s="19" t="s">
        <v>3399</v>
      </c>
      <c r="D1081" s="19" t="s">
        <v>311</v>
      </c>
      <c r="E1081" s="19" t="s">
        <v>312</v>
      </c>
      <c r="F1081" s="19" t="s">
        <v>1140</v>
      </c>
      <c r="G1081" s="19" t="s">
        <v>1045</v>
      </c>
      <c r="H1081" s="19" t="s">
        <v>1001</v>
      </c>
      <c r="I1081" s="19" t="s">
        <v>1575</v>
      </c>
      <c r="J1081" s="20">
        <v>26</v>
      </c>
      <c r="K1081" t="s">
        <v>631</v>
      </c>
      <c r="L1081" t="s">
        <v>628</v>
      </c>
      <c r="M1081" t="s">
        <v>629</v>
      </c>
      <c r="N1081" t="s">
        <v>630</v>
      </c>
      <c r="O1081" t="s">
        <v>632</v>
      </c>
    </row>
    <row r="1082" spans="1:15" x14ac:dyDescent="0.35">
      <c r="A1082" s="77">
        <v>4.0986301369863014</v>
      </c>
      <c r="B1082" s="19">
        <v>73072</v>
      </c>
      <c r="C1082" s="19" t="s">
        <v>3400</v>
      </c>
      <c r="D1082" s="19" t="s">
        <v>243</v>
      </c>
      <c r="E1082" s="19" t="s">
        <v>244</v>
      </c>
      <c r="F1082" s="19" t="s">
        <v>1318</v>
      </c>
      <c r="G1082" s="19" t="s">
        <v>1046</v>
      </c>
      <c r="H1082" s="19" t="s">
        <v>1001</v>
      </c>
      <c r="I1082" s="19" t="s">
        <v>1575</v>
      </c>
      <c r="J1082" s="20">
        <v>25</v>
      </c>
      <c r="K1082" t="s">
        <v>631</v>
      </c>
      <c r="L1082" t="s">
        <v>707</v>
      </c>
      <c r="M1082" t="s">
        <v>629</v>
      </c>
      <c r="N1082" t="s">
        <v>635</v>
      </c>
      <c r="O1082" t="s">
        <v>710</v>
      </c>
    </row>
    <row r="1083" spans="1:15" x14ac:dyDescent="0.35">
      <c r="A1083" s="77">
        <v>4.095890410958904</v>
      </c>
      <c r="B1083" s="19">
        <v>73111</v>
      </c>
      <c r="C1083" s="19" t="s">
        <v>3401</v>
      </c>
      <c r="D1083" s="19" t="s">
        <v>12</v>
      </c>
      <c r="E1083" s="19" t="s">
        <v>12</v>
      </c>
      <c r="F1083" s="19" t="s">
        <v>1145</v>
      </c>
      <c r="G1083" s="19" t="s">
        <v>1034</v>
      </c>
      <c r="H1083" s="19" t="s">
        <v>1001</v>
      </c>
      <c r="I1083" s="19" t="s">
        <v>1599</v>
      </c>
      <c r="J1083" s="20">
        <v>27</v>
      </c>
      <c r="K1083" t="s">
        <v>636</v>
      </c>
      <c r="L1083" t="s">
        <v>634</v>
      </c>
      <c r="M1083" t="s">
        <v>629</v>
      </c>
      <c r="N1083" t="s">
        <v>635</v>
      </c>
      <c r="O1083" t="s">
        <v>637</v>
      </c>
    </row>
    <row r="1084" spans="1:15" x14ac:dyDescent="0.35">
      <c r="A1084" s="77">
        <v>4</v>
      </c>
      <c r="B1084" s="19">
        <v>73121</v>
      </c>
      <c r="C1084" s="19" t="s">
        <v>3402</v>
      </c>
      <c r="D1084" s="19" t="s">
        <v>115</v>
      </c>
      <c r="E1084" s="19" t="s">
        <v>116</v>
      </c>
      <c r="F1084" s="19" t="s">
        <v>1383</v>
      </c>
      <c r="G1084" s="19" t="s">
        <v>1008</v>
      </c>
      <c r="H1084" s="19" t="s">
        <v>1001</v>
      </c>
      <c r="I1084" s="19" t="s">
        <v>1575</v>
      </c>
      <c r="J1084" s="20">
        <v>25</v>
      </c>
      <c r="K1084" t="s">
        <v>631</v>
      </c>
      <c r="L1084" t="s">
        <v>670</v>
      </c>
      <c r="M1084" t="s">
        <v>657</v>
      </c>
      <c r="N1084" t="s">
        <v>641</v>
      </c>
      <c r="O1084" t="s">
        <v>671</v>
      </c>
    </row>
    <row r="1085" spans="1:15" x14ac:dyDescent="0.35">
      <c r="A1085" s="77">
        <v>3.6657534246575341</v>
      </c>
      <c r="B1085" s="19">
        <v>73152</v>
      </c>
      <c r="C1085" s="19" t="s">
        <v>3403</v>
      </c>
      <c r="D1085" s="19" t="s">
        <v>35</v>
      </c>
      <c r="E1085" s="19" t="s">
        <v>35</v>
      </c>
      <c r="F1085" s="19" t="s">
        <v>1657</v>
      </c>
      <c r="G1085" s="19" t="s">
        <v>1046</v>
      </c>
      <c r="H1085" s="19" t="s">
        <v>1001</v>
      </c>
      <c r="I1085" s="19" t="s">
        <v>1575</v>
      </c>
      <c r="J1085" s="20">
        <v>27</v>
      </c>
      <c r="K1085" t="s">
        <v>654</v>
      </c>
      <c r="L1085" t="s">
        <v>684</v>
      </c>
      <c r="M1085" t="s">
        <v>623</v>
      </c>
      <c r="N1085" t="s">
        <v>662</v>
      </c>
      <c r="O1085" t="s">
        <v>685</v>
      </c>
    </row>
    <row r="1086" spans="1:15" x14ac:dyDescent="0.35">
      <c r="A1086" s="77">
        <v>4.095890410958904</v>
      </c>
      <c r="B1086" s="19">
        <v>73246</v>
      </c>
      <c r="C1086" s="19" t="s">
        <v>3404</v>
      </c>
      <c r="D1086" s="19" t="s">
        <v>102</v>
      </c>
      <c r="E1086" s="19" t="s">
        <v>103</v>
      </c>
      <c r="F1086" s="19" t="s">
        <v>1306</v>
      </c>
      <c r="G1086" s="19" t="s">
        <v>1046</v>
      </c>
      <c r="H1086" s="19" t="s">
        <v>1001</v>
      </c>
      <c r="I1086" s="19" t="s">
        <v>1575</v>
      </c>
      <c r="J1086" s="20">
        <v>25</v>
      </c>
      <c r="K1086" t="s">
        <v>654</v>
      </c>
      <c r="L1086" t="s">
        <v>707</v>
      </c>
      <c r="M1086" t="s">
        <v>629</v>
      </c>
      <c r="N1086" t="s">
        <v>635</v>
      </c>
      <c r="O1086" t="s">
        <v>708</v>
      </c>
    </row>
    <row r="1087" spans="1:15" x14ac:dyDescent="0.35">
      <c r="A1087" s="77">
        <v>3.9013698630136986</v>
      </c>
      <c r="B1087" s="19">
        <v>73255</v>
      </c>
      <c r="C1087" s="19" t="s">
        <v>3405</v>
      </c>
      <c r="D1087" s="19" t="s">
        <v>137</v>
      </c>
      <c r="E1087" s="19" t="s">
        <v>138</v>
      </c>
      <c r="F1087" s="19" t="s">
        <v>1115</v>
      </c>
      <c r="G1087" s="19" t="s">
        <v>1008</v>
      </c>
      <c r="H1087" s="19" t="s">
        <v>1001</v>
      </c>
      <c r="I1087" s="19" t="s">
        <v>1575</v>
      </c>
      <c r="J1087" s="20">
        <v>23</v>
      </c>
      <c r="K1087" t="s">
        <v>636</v>
      </c>
      <c r="L1087" t="s">
        <v>684</v>
      </c>
      <c r="M1087" t="s">
        <v>623</v>
      </c>
      <c r="N1087" t="s">
        <v>662</v>
      </c>
      <c r="O1087" t="s">
        <v>685</v>
      </c>
    </row>
    <row r="1088" spans="1:15" x14ac:dyDescent="0.35">
      <c r="A1088" s="77">
        <v>1.6986301369863013</v>
      </c>
      <c r="B1088" s="19">
        <v>73311</v>
      </c>
      <c r="C1088" s="19" t="s">
        <v>3406</v>
      </c>
      <c r="D1088" s="19" t="s">
        <v>349</v>
      </c>
      <c r="E1088" s="19" t="s">
        <v>350</v>
      </c>
      <c r="F1088" s="19" t="s">
        <v>912</v>
      </c>
      <c r="G1088" s="19" t="s">
        <v>1084</v>
      </c>
      <c r="H1088" s="19" t="s">
        <v>1001</v>
      </c>
      <c r="I1088" s="19" t="s">
        <v>1575</v>
      </c>
      <c r="J1088" s="20">
        <v>37</v>
      </c>
      <c r="K1088" t="s">
        <v>625</v>
      </c>
      <c r="L1088" t="s">
        <v>648</v>
      </c>
      <c r="M1088" t="s">
        <v>623</v>
      </c>
      <c r="N1088" t="s">
        <v>624</v>
      </c>
      <c r="O1088" t="s">
        <v>649</v>
      </c>
    </row>
    <row r="1089" spans="1:15" x14ac:dyDescent="0.35">
      <c r="A1089" s="77">
        <v>4.1041095890410961</v>
      </c>
      <c r="B1089" s="19">
        <v>73343</v>
      </c>
      <c r="C1089" s="19" t="s">
        <v>3407</v>
      </c>
      <c r="D1089" s="19" t="s">
        <v>189</v>
      </c>
      <c r="E1089" s="19" t="s">
        <v>190</v>
      </c>
      <c r="F1089" s="19" t="s">
        <v>1369</v>
      </c>
      <c r="G1089" s="19" t="s">
        <v>1008</v>
      </c>
      <c r="H1089" s="19" t="s">
        <v>1001</v>
      </c>
      <c r="I1089" s="19" t="s">
        <v>1575</v>
      </c>
      <c r="J1089" s="20">
        <v>25</v>
      </c>
      <c r="K1089" t="s">
        <v>654</v>
      </c>
      <c r="L1089" t="s">
        <v>640</v>
      </c>
      <c r="M1089" t="s">
        <v>623</v>
      </c>
      <c r="N1089" t="s">
        <v>641</v>
      </c>
      <c r="O1089" t="s">
        <v>754</v>
      </c>
    </row>
    <row r="1090" spans="1:15" x14ac:dyDescent="0.35">
      <c r="A1090" s="77">
        <v>3.9808219178082194</v>
      </c>
      <c r="B1090" s="19">
        <v>73392</v>
      </c>
      <c r="C1090" s="19" t="s">
        <v>3408</v>
      </c>
      <c r="D1090" s="19" t="s">
        <v>237</v>
      </c>
      <c r="E1090" s="19" t="s">
        <v>238</v>
      </c>
      <c r="F1090" s="19" t="s">
        <v>1070</v>
      </c>
      <c r="G1090" s="19" t="s">
        <v>1034</v>
      </c>
      <c r="H1090" s="19" t="s">
        <v>1001</v>
      </c>
      <c r="I1090" s="19" t="s">
        <v>1575</v>
      </c>
      <c r="J1090" s="20">
        <v>22</v>
      </c>
      <c r="K1090" t="s">
        <v>631</v>
      </c>
      <c r="L1090" t="s">
        <v>661</v>
      </c>
      <c r="M1090" t="s">
        <v>657</v>
      </c>
      <c r="N1090" t="s">
        <v>662</v>
      </c>
      <c r="O1090" t="s">
        <v>632</v>
      </c>
    </row>
    <row r="1091" spans="1:15" x14ac:dyDescent="0.35">
      <c r="A1091" s="77">
        <v>2.5534246575342467</v>
      </c>
      <c r="B1091" s="19">
        <v>73413</v>
      </c>
      <c r="C1091" s="19" t="s">
        <v>3409</v>
      </c>
      <c r="D1091" s="19" t="s">
        <v>252</v>
      </c>
      <c r="E1091" s="19" t="s">
        <v>253</v>
      </c>
      <c r="F1091" s="19" t="s">
        <v>914</v>
      </c>
      <c r="G1091" s="19" t="s">
        <v>1028</v>
      </c>
      <c r="H1091" s="19" t="s">
        <v>1020</v>
      </c>
      <c r="I1091" s="19" t="s">
        <v>1575</v>
      </c>
      <c r="J1091" s="20">
        <v>51</v>
      </c>
      <c r="K1091" t="s">
        <v>636</v>
      </c>
      <c r="L1091" t="s">
        <v>656</v>
      </c>
      <c r="M1091" t="s">
        <v>657</v>
      </c>
      <c r="N1091" t="s">
        <v>658</v>
      </c>
      <c r="O1091" t="s">
        <v>718</v>
      </c>
    </row>
    <row r="1092" spans="1:15" x14ac:dyDescent="0.35">
      <c r="A1092" s="77">
        <v>0.32602739726027397</v>
      </c>
      <c r="B1092" s="19">
        <v>73428</v>
      </c>
      <c r="C1092" s="19" t="s">
        <v>3410</v>
      </c>
      <c r="D1092" s="19" t="s">
        <v>260</v>
      </c>
      <c r="E1092" s="19" t="s">
        <v>261</v>
      </c>
      <c r="F1092" s="19" t="s">
        <v>1109</v>
      </c>
      <c r="G1092" s="19" t="s">
        <v>1084</v>
      </c>
      <c r="H1092" s="19" t="s">
        <v>1001</v>
      </c>
      <c r="I1092" s="19" t="s">
        <v>1599</v>
      </c>
      <c r="J1092" s="20">
        <v>26</v>
      </c>
      <c r="K1092" t="s">
        <v>636</v>
      </c>
      <c r="L1092" t="s">
        <v>656</v>
      </c>
      <c r="M1092" t="s">
        <v>657</v>
      </c>
      <c r="N1092" t="s">
        <v>658</v>
      </c>
      <c r="O1092" t="s">
        <v>808</v>
      </c>
    </row>
    <row r="1093" spans="1:15" x14ac:dyDescent="0.35">
      <c r="A1093" s="77">
        <v>8.2191780821917804E-2</v>
      </c>
      <c r="B1093" s="19">
        <v>73450</v>
      </c>
      <c r="C1093" s="19" t="s">
        <v>3411</v>
      </c>
      <c r="D1093" s="19" t="s">
        <v>284</v>
      </c>
      <c r="E1093" s="19" t="s">
        <v>285</v>
      </c>
      <c r="F1093" s="19" t="s">
        <v>1150</v>
      </c>
      <c r="G1093" s="19" t="s">
        <v>1028</v>
      </c>
      <c r="H1093" s="19" t="s">
        <v>1020</v>
      </c>
      <c r="I1093" s="19" t="s">
        <v>1599</v>
      </c>
      <c r="J1093" s="20">
        <v>22</v>
      </c>
      <c r="K1093" t="s">
        <v>625</v>
      </c>
      <c r="L1093" t="s">
        <v>661</v>
      </c>
      <c r="M1093" t="s">
        <v>657</v>
      </c>
      <c r="N1093" t="s">
        <v>662</v>
      </c>
      <c r="O1093" t="s">
        <v>632</v>
      </c>
    </row>
    <row r="1094" spans="1:15" x14ac:dyDescent="0.35">
      <c r="A1094" s="77">
        <v>2.1917808219178082E-2</v>
      </c>
      <c r="B1094" s="19">
        <v>73522</v>
      </c>
      <c r="C1094" s="19" t="s">
        <v>3412</v>
      </c>
      <c r="D1094" s="19" t="s">
        <v>349</v>
      </c>
      <c r="E1094" s="19" t="s">
        <v>350</v>
      </c>
      <c r="F1094" s="19" t="s">
        <v>912</v>
      </c>
      <c r="G1094" s="19" t="s">
        <v>1008</v>
      </c>
      <c r="H1094" s="19" t="s">
        <v>1001</v>
      </c>
      <c r="I1094" s="19" t="s">
        <v>1575</v>
      </c>
      <c r="J1094" s="20">
        <v>21</v>
      </c>
      <c r="K1094" t="s">
        <v>625</v>
      </c>
      <c r="L1094" t="s">
        <v>648</v>
      </c>
      <c r="M1094" t="s">
        <v>623</v>
      </c>
      <c r="N1094" t="s">
        <v>624</v>
      </c>
      <c r="O1094" t="s">
        <v>649</v>
      </c>
    </row>
    <row r="1095" spans="1:15" x14ac:dyDescent="0.35">
      <c r="A1095" s="77">
        <v>0.26301369863013696</v>
      </c>
      <c r="B1095" s="19">
        <v>73600</v>
      </c>
      <c r="C1095" s="19" t="s">
        <v>3413</v>
      </c>
      <c r="D1095" s="19" t="s">
        <v>407</v>
      </c>
      <c r="E1095" s="19" t="s">
        <v>408</v>
      </c>
      <c r="F1095" s="19" t="s">
        <v>1230</v>
      </c>
      <c r="G1095" s="19" t="s">
        <v>1057</v>
      </c>
      <c r="H1095" s="19" t="s">
        <v>1001</v>
      </c>
      <c r="I1095" s="19" t="s">
        <v>1599</v>
      </c>
      <c r="J1095" s="20">
        <v>26</v>
      </c>
      <c r="K1095" t="s">
        <v>636</v>
      </c>
      <c r="L1095" t="s">
        <v>622</v>
      </c>
      <c r="M1095" t="s">
        <v>623</v>
      </c>
      <c r="N1095" t="s">
        <v>624</v>
      </c>
      <c r="O1095" t="s">
        <v>730</v>
      </c>
    </row>
    <row r="1096" spans="1:15" x14ac:dyDescent="0.35">
      <c r="A1096" s="77">
        <v>4.0849315068493155</v>
      </c>
      <c r="B1096" s="19">
        <v>73619</v>
      </c>
      <c r="C1096" s="19" t="s">
        <v>3414</v>
      </c>
      <c r="D1096" s="19" t="s">
        <v>266</v>
      </c>
      <c r="E1096" s="19" t="s">
        <v>267</v>
      </c>
      <c r="F1096" s="19" t="s">
        <v>2070</v>
      </c>
      <c r="G1096" s="19" t="s">
        <v>1008</v>
      </c>
      <c r="H1096" s="19" t="s">
        <v>1001</v>
      </c>
      <c r="I1096" s="19" t="s">
        <v>1575</v>
      </c>
      <c r="J1096" s="20">
        <v>27</v>
      </c>
      <c r="K1096" t="s">
        <v>636</v>
      </c>
      <c r="L1096" t="s">
        <v>634</v>
      </c>
      <c r="M1096" t="s">
        <v>629</v>
      </c>
      <c r="N1096" t="s">
        <v>635</v>
      </c>
      <c r="O1096" t="s">
        <v>637</v>
      </c>
    </row>
    <row r="1097" spans="1:15" x14ac:dyDescent="0.35">
      <c r="A1097" s="77">
        <v>4.0493150684931507</v>
      </c>
      <c r="B1097" s="19">
        <v>73696</v>
      </c>
      <c r="C1097" s="19" t="s">
        <v>3415</v>
      </c>
      <c r="D1097" s="19" t="s">
        <v>333</v>
      </c>
      <c r="E1097" s="19" t="s">
        <v>334</v>
      </c>
      <c r="F1097" s="19" t="s">
        <v>1333</v>
      </c>
      <c r="G1097" s="19" t="s">
        <v>1028</v>
      </c>
      <c r="H1097" s="19" t="s">
        <v>1020</v>
      </c>
      <c r="I1097" s="19" t="s">
        <v>1575</v>
      </c>
      <c r="J1097" s="20">
        <v>52</v>
      </c>
      <c r="K1097" t="s">
        <v>636</v>
      </c>
      <c r="L1097" t="s">
        <v>666</v>
      </c>
      <c r="M1097" t="s">
        <v>629</v>
      </c>
      <c r="N1097" t="s">
        <v>630</v>
      </c>
      <c r="O1097" t="s">
        <v>652</v>
      </c>
    </row>
    <row r="1098" spans="1:15" x14ac:dyDescent="0.35">
      <c r="A1098" s="77">
        <v>4.0383561643835613</v>
      </c>
      <c r="B1098" s="19">
        <v>73717</v>
      </c>
      <c r="C1098" s="19" t="s">
        <v>3416</v>
      </c>
      <c r="D1098" s="19" t="s">
        <v>19</v>
      </c>
      <c r="E1098" s="19" t="s">
        <v>19</v>
      </c>
      <c r="F1098" s="19" t="s">
        <v>1255</v>
      </c>
      <c r="G1098" s="19" t="s">
        <v>1084</v>
      </c>
      <c r="H1098" s="19" t="s">
        <v>1020</v>
      </c>
      <c r="I1098" s="19" t="s">
        <v>1575</v>
      </c>
      <c r="J1098" s="20">
        <v>54</v>
      </c>
      <c r="K1098" t="s">
        <v>654</v>
      </c>
      <c r="L1098" t="s">
        <v>645</v>
      </c>
      <c r="M1098" t="s">
        <v>629</v>
      </c>
      <c r="N1098" t="s">
        <v>646</v>
      </c>
      <c r="O1098" t="s">
        <v>632</v>
      </c>
    </row>
    <row r="1099" spans="1:15" x14ac:dyDescent="0.35">
      <c r="A1099" s="77">
        <v>4.0410958904109586</v>
      </c>
      <c r="B1099" s="19">
        <v>73722</v>
      </c>
      <c r="C1099" s="19" t="s">
        <v>3417</v>
      </c>
      <c r="D1099" s="19" t="s">
        <v>137</v>
      </c>
      <c r="E1099" s="19" t="s">
        <v>138</v>
      </c>
      <c r="F1099" s="19" t="s">
        <v>1115</v>
      </c>
      <c r="G1099" s="19" t="s">
        <v>1028</v>
      </c>
      <c r="H1099" s="19" t="s">
        <v>1020</v>
      </c>
      <c r="I1099" s="19" t="s">
        <v>1575</v>
      </c>
      <c r="J1099" s="20">
        <v>48</v>
      </c>
      <c r="K1099" t="s">
        <v>636</v>
      </c>
      <c r="L1099" t="s">
        <v>684</v>
      </c>
      <c r="M1099" t="s">
        <v>623</v>
      </c>
      <c r="N1099" t="s">
        <v>662</v>
      </c>
      <c r="O1099" t="s">
        <v>685</v>
      </c>
    </row>
    <row r="1100" spans="1:15" x14ac:dyDescent="0.35">
      <c r="A1100" s="77">
        <v>1.989041095890411</v>
      </c>
      <c r="B1100" s="19">
        <v>73724</v>
      </c>
      <c r="C1100" s="19" t="s">
        <v>3418</v>
      </c>
      <c r="D1100" s="19" t="s">
        <v>128</v>
      </c>
      <c r="E1100" s="19" t="s">
        <v>129</v>
      </c>
      <c r="F1100" s="19" t="s">
        <v>1075</v>
      </c>
      <c r="G1100" s="19" t="s">
        <v>1008</v>
      </c>
      <c r="H1100" s="19" t="s">
        <v>1001</v>
      </c>
      <c r="I1100" s="19" t="s">
        <v>1575</v>
      </c>
      <c r="J1100" s="20">
        <v>24</v>
      </c>
      <c r="K1100" t="s">
        <v>636</v>
      </c>
      <c r="L1100" t="s">
        <v>678</v>
      </c>
      <c r="M1100" t="s">
        <v>623</v>
      </c>
      <c r="N1100" t="s">
        <v>624</v>
      </c>
      <c r="O1100" t="s">
        <v>679</v>
      </c>
    </row>
    <row r="1101" spans="1:15" x14ac:dyDescent="0.35">
      <c r="A1101" s="77">
        <v>0.87671232876712324</v>
      </c>
      <c r="B1101" s="19">
        <v>73762</v>
      </c>
      <c r="C1101" s="19" t="s">
        <v>3419</v>
      </c>
      <c r="D1101" s="19" t="s">
        <v>284</v>
      </c>
      <c r="E1101" s="19" t="s">
        <v>285</v>
      </c>
      <c r="F1101" s="19" t="s">
        <v>1150</v>
      </c>
      <c r="G1101" s="19" t="s">
        <v>1008</v>
      </c>
      <c r="H1101" s="19" t="s">
        <v>1001</v>
      </c>
      <c r="I1101" s="19" t="s">
        <v>1599</v>
      </c>
      <c r="J1101" s="20">
        <v>18</v>
      </c>
      <c r="K1101" t="s">
        <v>625</v>
      </c>
      <c r="L1101" t="s">
        <v>661</v>
      </c>
      <c r="M1101" t="s">
        <v>657</v>
      </c>
      <c r="N1101" t="s">
        <v>662</v>
      </c>
      <c r="O1101" t="s">
        <v>632</v>
      </c>
    </row>
    <row r="1102" spans="1:15" x14ac:dyDescent="0.35">
      <c r="A1102" s="77">
        <v>4.0301369863013701</v>
      </c>
      <c r="B1102" s="19">
        <v>73772</v>
      </c>
      <c r="C1102" s="19" t="s">
        <v>3420</v>
      </c>
      <c r="D1102" s="19" t="s">
        <v>115</v>
      </c>
      <c r="E1102" s="19" t="s">
        <v>116</v>
      </c>
      <c r="F1102" s="19" t="s">
        <v>1383</v>
      </c>
      <c r="G1102" s="19" t="s">
        <v>1008</v>
      </c>
      <c r="H1102" s="19" t="s">
        <v>1001</v>
      </c>
      <c r="I1102" s="19" t="s">
        <v>1575</v>
      </c>
      <c r="J1102" s="20">
        <v>22</v>
      </c>
      <c r="K1102" t="s">
        <v>631</v>
      </c>
      <c r="L1102" t="s">
        <v>670</v>
      </c>
      <c r="M1102" t="s">
        <v>657</v>
      </c>
      <c r="N1102" t="s">
        <v>641</v>
      </c>
      <c r="O1102" t="s">
        <v>671</v>
      </c>
    </row>
    <row r="1103" spans="1:15" x14ac:dyDescent="0.35">
      <c r="A1103" s="77">
        <v>1.9671232876712328</v>
      </c>
      <c r="B1103" s="19">
        <v>73784</v>
      </c>
      <c r="C1103" s="19" t="s">
        <v>3421</v>
      </c>
      <c r="D1103" s="19" t="s">
        <v>102</v>
      </c>
      <c r="E1103" s="19" t="s">
        <v>103</v>
      </c>
      <c r="F1103" s="19" t="s">
        <v>1306</v>
      </c>
      <c r="G1103" s="19" t="s">
        <v>1028</v>
      </c>
      <c r="H1103" s="19" t="s">
        <v>1020</v>
      </c>
      <c r="I1103" s="19" t="s">
        <v>1575</v>
      </c>
      <c r="J1103" s="20">
        <v>24</v>
      </c>
      <c r="K1103" t="s">
        <v>654</v>
      </c>
      <c r="L1103" t="s">
        <v>707</v>
      </c>
      <c r="M1103" t="s">
        <v>629</v>
      </c>
      <c r="N1103" t="s">
        <v>635</v>
      </c>
      <c r="O1103" t="s">
        <v>708</v>
      </c>
    </row>
    <row r="1104" spans="1:15" x14ac:dyDescent="0.35">
      <c r="A1104" s="77">
        <v>4.0191780821917806</v>
      </c>
      <c r="B1104" s="19">
        <v>73842</v>
      </c>
      <c r="C1104" s="19" t="s">
        <v>3422</v>
      </c>
      <c r="D1104" s="19" t="s">
        <v>420</v>
      </c>
      <c r="E1104" s="19" t="s">
        <v>420</v>
      </c>
      <c r="F1104" s="19" t="s">
        <v>686</v>
      </c>
      <c r="G1104" s="19" t="s">
        <v>1034</v>
      </c>
      <c r="H1104" s="19" t="s">
        <v>1001</v>
      </c>
      <c r="I1104" s="19" t="s">
        <v>1575</v>
      </c>
      <c r="J1104" s="20">
        <v>26</v>
      </c>
      <c r="K1104" t="s">
        <v>631</v>
      </c>
      <c r="L1104" t="s">
        <v>634</v>
      </c>
      <c r="M1104" t="s">
        <v>629</v>
      </c>
      <c r="N1104" t="s">
        <v>635</v>
      </c>
      <c r="O1104" t="s">
        <v>637</v>
      </c>
    </row>
    <row r="1105" spans="1:15" x14ac:dyDescent="0.35">
      <c r="A1105" s="77">
        <v>0.22465753424657534</v>
      </c>
      <c r="B1105" s="19">
        <v>73855</v>
      </c>
      <c r="C1105" s="19" t="s">
        <v>3423</v>
      </c>
      <c r="D1105" s="19" t="s">
        <v>159</v>
      </c>
      <c r="E1105" s="19" t="s">
        <v>160</v>
      </c>
      <c r="F1105" s="19" t="s">
        <v>1488</v>
      </c>
      <c r="G1105" s="19" t="s">
        <v>1008</v>
      </c>
      <c r="H1105" s="19" t="s">
        <v>1001</v>
      </c>
      <c r="I1105" s="19" t="s">
        <v>1575</v>
      </c>
      <c r="J1105" s="20">
        <v>19</v>
      </c>
      <c r="K1105" t="s">
        <v>654</v>
      </c>
      <c r="L1105" t="s">
        <v>678</v>
      </c>
      <c r="M1105" t="s">
        <v>623</v>
      </c>
      <c r="N1105" t="s">
        <v>624</v>
      </c>
      <c r="O1105" t="s">
        <v>679</v>
      </c>
    </row>
    <row r="1106" spans="1:15" x14ac:dyDescent="0.35">
      <c r="A1106" s="77">
        <v>4.0191780821917806</v>
      </c>
      <c r="B1106" s="19">
        <v>73859</v>
      </c>
      <c r="C1106" s="19" t="s">
        <v>3424</v>
      </c>
      <c r="D1106" s="19" t="s">
        <v>355</v>
      </c>
      <c r="E1106" s="19" t="s">
        <v>356</v>
      </c>
      <c r="F1106" s="19" t="s">
        <v>1100</v>
      </c>
      <c r="G1106" s="19" t="s">
        <v>1045</v>
      </c>
      <c r="H1106" s="19" t="s">
        <v>1001</v>
      </c>
      <c r="I1106" s="19" t="s">
        <v>1575</v>
      </c>
      <c r="J1106" s="20">
        <v>23</v>
      </c>
      <c r="K1106" t="s">
        <v>625</v>
      </c>
      <c r="L1106" t="s">
        <v>622</v>
      </c>
      <c r="M1106" t="s">
        <v>623</v>
      </c>
      <c r="N1106" t="s">
        <v>624</v>
      </c>
      <c r="O1106" t="s">
        <v>649</v>
      </c>
    </row>
    <row r="1107" spans="1:15" x14ac:dyDescent="0.35">
      <c r="A1107" s="77">
        <v>4</v>
      </c>
      <c r="B1107" s="19">
        <v>73904</v>
      </c>
      <c r="C1107" s="19" t="s">
        <v>3425</v>
      </c>
      <c r="D1107" s="19" t="s">
        <v>128</v>
      </c>
      <c r="E1107" s="19" t="s">
        <v>129</v>
      </c>
      <c r="F1107" s="19" t="s">
        <v>1075</v>
      </c>
      <c r="G1107" s="19" t="s">
        <v>1008</v>
      </c>
      <c r="H1107" s="19" t="s">
        <v>1001</v>
      </c>
      <c r="I1107" s="19" t="s">
        <v>1575</v>
      </c>
      <c r="J1107" s="20">
        <v>27</v>
      </c>
      <c r="K1107" t="s">
        <v>636</v>
      </c>
      <c r="L1107" t="s">
        <v>678</v>
      </c>
      <c r="M1107" t="s">
        <v>623</v>
      </c>
      <c r="N1107" t="s">
        <v>624</v>
      </c>
      <c r="O1107" t="s">
        <v>679</v>
      </c>
    </row>
    <row r="1108" spans="1:15" x14ac:dyDescent="0.35">
      <c r="A1108" s="77">
        <v>2.9479452054794519</v>
      </c>
      <c r="B1108" s="19">
        <v>73914</v>
      </c>
      <c r="C1108" s="19" t="s">
        <v>3426</v>
      </c>
      <c r="D1108" s="19" t="s">
        <v>309</v>
      </c>
      <c r="E1108" s="19" t="s">
        <v>310</v>
      </c>
      <c r="F1108" s="19" t="s">
        <v>1234</v>
      </c>
      <c r="G1108" s="19" t="s">
        <v>1057</v>
      </c>
      <c r="H1108" s="19" t="s">
        <v>1001</v>
      </c>
      <c r="I1108" s="19" t="s">
        <v>1575</v>
      </c>
      <c r="J1108" s="20">
        <v>26</v>
      </c>
      <c r="K1108" t="s">
        <v>668</v>
      </c>
      <c r="L1108" t="s">
        <v>666</v>
      </c>
      <c r="M1108" t="s">
        <v>629</v>
      </c>
      <c r="N1108" t="s">
        <v>635</v>
      </c>
      <c r="O1108" t="s">
        <v>637</v>
      </c>
    </row>
    <row r="1109" spans="1:15" x14ac:dyDescent="0.35">
      <c r="A1109" s="77">
        <v>4</v>
      </c>
      <c r="B1109" s="19">
        <v>73924</v>
      </c>
      <c r="C1109" s="19" t="s">
        <v>3427</v>
      </c>
      <c r="D1109" s="19" t="s">
        <v>51</v>
      </c>
      <c r="E1109" s="19" t="s">
        <v>52</v>
      </c>
      <c r="F1109" s="19" t="s">
        <v>921</v>
      </c>
      <c r="G1109" s="19" t="s">
        <v>1008</v>
      </c>
      <c r="H1109" s="19" t="s">
        <v>1001</v>
      </c>
      <c r="I1109" s="19" t="s">
        <v>1599</v>
      </c>
      <c r="J1109" s="20">
        <v>29</v>
      </c>
      <c r="K1109" t="s">
        <v>636</v>
      </c>
      <c r="L1109" t="s">
        <v>656</v>
      </c>
      <c r="M1109" t="s">
        <v>657</v>
      </c>
      <c r="N1109" t="s">
        <v>658</v>
      </c>
      <c r="O1109" t="s">
        <v>718</v>
      </c>
    </row>
    <row r="1110" spans="1:15" x14ac:dyDescent="0.35">
      <c r="A1110" s="77">
        <v>4</v>
      </c>
      <c r="B1110" s="19">
        <v>73929</v>
      </c>
      <c r="C1110" s="19" t="s">
        <v>3428</v>
      </c>
      <c r="D1110" s="19" t="s">
        <v>382</v>
      </c>
      <c r="E1110" s="19" t="s">
        <v>383</v>
      </c>
      <c r="F1110" s="19" t="s">
        <v>384</v>
      </c>
      <c r="G1110" s="19" t="s">
        <v>1046</v>
      </c>
      <c r="H1110" s="19" t="s">
        <v>1001</v>
      </c>
      <c r="I1110" s="19" t="s">
        <v>1575</v>
      </c>
      <c r="J1110" s="20">
        <v>25</v>
      </c>
      <c r="K1110" t="s">
        <v>636</v>
      </c>
      <c r="L1110" t="s">
        <v>656</v>
      </c>
      <c r="M1110" t="s">
        <v>657</v>
      </c>
      <c r="N1110" t="s">
        <v>658</v>
      </c>
      <c r="O1110" t="s">
        <v>843</v>
      </c>
    </row>
    <row r="1111" spans="1:15" x14ac:dyDescent="0.35">
      <c r="A1111" s="77">
        <v>4</v>
      </c>
      <c r="B1111" s="19">
        <v>73932</v>
      </c>
      <c r="C1111" s="19" t="s">
        <v>3429</v>
      </c>
      <c r="D1111" s="19" t="s">
        <v>55</v>
      </c>
      <c r="E1111" s="19" t="s">
        <v>56</v>
      </c>
      <c r="F1111" s="19" t="s">
        <v>1684</v>
      </c>
      <c r="G1111" s="19" t="s">
        <v>1008</v>
      </c>
      <c r="H1111" s="19" t="s">
        <v>1001</v>
      </c>
      <c r="I1111" s="19" t="s">
        <v>1575</v>
      </c>
      <c r="J1111" s="20">
        <v>45</v>
      </c>
      <c r="K1111" t="s">
        <v>668</v>
      </c>
      <c r="L1111" t="s">
        <v>707</v>
      </c>
      <c r="M1111" t="s">
        <v>629</v>
      </c>
      <c r="N1111" t="s">
        <v>635</v>
      </c>
      <c r="O1111" t="s">
        <v>708</v>
      </c>
    </row>
    <row r="1112" spans="1:15" x14ac:dyDescent="0.35">
      <c r="A1112" s="77">
        <v>3.9972602739726026</v>
      </c>
      <c r="B1112" s="19">
        <v>73938</v>
      </c>
      <c r="C1112" s="19" t="s">
        <v>3430</v>
      </c>
      <c r="D1112" s="19" t="s">
        <v>173</v>
      </c>
      <c r="E1112" s="19" t="s">
        <v>174</v>
      </c>
      <c r="F1112" s="19" t="s">
        <v>901</v>
      </c>
      <c r="G1112" s="19" t="s">
        <v>1034</v>
      </c>
      <c r="H1112" s="19" t="s">
        <v>1001</v>
      </c>
      <c r="I1112" s="19" t="s">
        <v>1599</v>
      </c>
      <c r="J1112" s="20">
        <v>22</v>
      </c>
      <c r="K1112" t="s">
        <v>668</v>
      </c>
      <c r="L1112" t="s">
        <v>656</v>
      </c>
      <c r="M1112" t="s">
        <v>657</v>
      </c>
      <c r="N1112" t="s">
        <v>658</v>
      </c>
      <c r="O1112" t="s">
        <v>632</v>
      </c>
    </row>
    <row r="1113" spans="1:15" x14ac:dyDescent="0.35">
      <c r="A1113" s="77">
        <v>3.9945205479452053</v>
      </c>
      <c r="B1113" s="19">
        <v>73941</v>
      </c>
      <c r="C1113" s="19" t="s">
        <v>3431</v>
      </c>
      <c r="D1113" s="19" t="s">
        <v>326</v>
      </c>
      <c r="E1113" s="19" t="s">
        <v>327</v>
      </c>
      <c r="F1113" s="19" t="s">
        <v>1051</v>
      </c>
      <c r="G1113" s="19" t="s">
        <v>1038</v>
      </c>
      <c r="H1113" s="19" t="s">
        <v>1020</v>
      </c>
      <c r="I1113" s="19" t="s">
        <v>1575</v>
      </c>
      <c r="J1113" s="20">
        <v>36</v>
      </c>
      <c r="K1113" t="s">
        <v>631</v>
      </c>
      <c r="L1113" t="s">
        <v>648</v>
      </c>
      <c r="M1113" t="s">
        <v>623</v>
      </c>
      <c r="N1113" t="s">
        <v>624</v>
      </c>
      <c r="O1113" t="s">
        <v>837</v>
      </c>
    </row>
    <row r="1114" spans="1:15" x14ac:dyDescent="0.35">
      <c r="A1114" s="77">
        <v>3.9917808219178084</v>
      </c>
      <c r="B1114" s="19">
        <v>73945</v>
      </c>
      <c r="C1114" s="19" t="s">
        <v>3432</v>
      </c>
      <c r="D1114" s="19" t="s">
        <v>397</v>
      </c>
      <c r="E1114" s="19" t="s">
        <v>398</v>
      </c>
      <c r="F1114" s="19" t="s">
        <v>867</v>
      </c>
      <c r="G1114" s="19" t="s">
        <v>1084</v>
      </c>
      <c r="H1114" s="19" t="s">
        <v>1001</v>
      </c>
      <c r="I1114" s="19" t="s">
        <v>1575</v>
      </c>
      <c r="J1114" s="20">
        <v>33</v>
      </c>
      <c r="K1114" t="s">
        <v>625</v>
      </c>
      <c r="L1114" t="s">
        <v>634</v>
      </c>
      <c r="M1114" t="s">
        <v>629</v>
      </c>
      <c r="N1114" t="s">
        <v>635</v>
      </c>
      <c r="O1114" t="s">
        <v>637</v>
      </c>
    </row>
    <row r="1115" spans="1:15" x14ac:dyDescent="0.35">
      <c r="A1115" s="77">
        <v>2.5726027397260274</v>
      </c>
      <c r="B1115" s="19">
        <v>73947</v>
      </c>
      <c r="C1115" s="19" t="s">
        <v>3433</v>
      </c>
      <c r="D1115" s="19" t="s">
        <v>66</v>
      </c>
      <c r="E1115" s="19" t="s">
        <v>67</v>
      </c>
      <c r="F1115" s="19" t="s">
        <v>1708</v>
      </c>
      <c r="G1115" s="19" t="s">
        <v>1019</v>
      </c>
      <c r="H1115" s="19" t="s">
        <v>1020</v>
      </c>
      <c r="I1115" s="19" t="s">
        <v>1575</v>
      </c>
      <c r="J1115" s="20">
        <v>24</v>
      </c>
      <c r="K1115" t="s">
        <v>654</v>
      </c>
      <c r="L1115" t="s">
        <v>645</v>
      </c>
      <c r="M1115" t="s">
        <v>629</v>
      </c>
      <c r="N1115" t="s">
        <v>646</v>
      </c>
      <c r="O1115" t="s">
        <v>632</v>
      </c>
    </row>
    <row r="1116" spans="1:15" x14ac:dyDescent="0.35">
      <c r="A1116" s="77">
        <v>3.9917808219178084</v>
      </c>
      <c r="B1116" s="19">
        <v>73957</v>
      </c>
      <c r="C1116" s="19" t="s">
        <v>3434</v>
      </c>
      <c r="D1116" s="19" t="s">
        <v>326</v>
      </c>
      <c r="E1116" s="19" t="s">
        <v>327</v>
      </c>
      <c r="F1116" s="19" t="s">
        <v>1051</v>
      </c>
      <c r="G1116" s="19" t="s">
        <v>1038</v>
      </c>
      <c r="H1116" s="19" t="s">
        <v>1020</v>
      </c>
      <c r="I1116" s="19" t="s">
        <v>1575</v>
      </c>
      <c r="J1116" s="20">
        <v>55</v>
      </c>
      <c r="K1116" t="s">
        <v>631</v>
      </c>
      <c r="L1116" t="s">
        <v>648</v>
      </c>
      <c r="M1116" t="s">
        <v>623</v>
      </c>
      <c r="N1116" t="s">
        <v>624</v>
      </c>
      <c r="O1116" t="s">
        <v>837</v>
      </c>
    </row>
    <row r="1117" spans="1:15" x14ac:dyDescent="0.35">
      <c r="A1117" s="77">
        <v>3.9945205479452053</v>
      </c>
      <c r="B1117" s="19">
        <v>73970</v>
      </c>
      <c r="C1117" s="19" t="s">
        <v>3435</v>
      </c>
      <c r="D1117" s="19" t="s">
        <v>137</v>
      </c>
      <c r="E1117" s="19" t="s">
        <v>138</v>
      </c>
      <c r="F1117" s="19" t="s">
        <v>1115</v>
      </c>
      <c r="G1117" s="19" t="s">
        <v>1008</v>
      </c>
      <c r="H1117" s="19" t="s">
        <v>1001</v>
      </c>
      <c r="I1117" s="19" t="s">
        <v>1599</v>
      </c>
      <c r="J1117" s="20">
        <v>23</v>
      </c>
      <c r="K1117" t="s">
        <v>636</v>
      </c>
      <c r="L1117" t="s">
        <v>684</v>
      </c>
      <c r="M1117" t="s">
        <v>623</v>
      </c>
      <c r="N1117" t="s">
        <v>662</v>
      </c>
      <c r="O1117" t="s">
        <v>685</v>
      </c>
    </row>
    <row r="1118" spans="1:15" x14ac:dyDescent="0.35">
      <c r="A1118" s="77">
        <v>3.9917808219178084</v>
      </c>
      <c r="B1118" s="19">
        <v>74007</v>
      </c>
      <c r="C1118" s="19" t="s">
        <v>3436</v>
      </c>
      <c r="D1118" s="19" t="s">
        <v>276</v>
      </c>
      <c r="E1118" s="19" t="s">
        <v>277</v>
      </c>
      <c r="F1118" s="19" t="s">
        <v>893</v>
      </c>
      <c r="G1118" s="19" t="s">
        <v>1028</v>
      </c>
      <c r="H1118" s="19" t="s">
        <v>1020</v>
      </c>
      <c r="I1118" s="19" t="s">
        <v>1575</v>
      </c>
      <c r="J1118" s="20">
        <v>73</v>
      </c>
      <c r="K1118" t="s">
        <v>631</v>
      </c>
      <c r="L1118" t="s">
        <v>707</v>
      </c>
      <c r="M1118" t="s">
        <v>629</v>
      </c>
      <c r="N1118" t="s">
        <v>635</v>
      </c>
      <c r="O1118" t="s">
        <v>710</v>
      </c>
    </row>
    <row r="1119" spans="1:15" x14ac:dyDescent="0.35">
      <c r="A1119" s="77">
        <v>3.9835616438356163</v>
      </c>
      <c r="B1119" s="19">
        <v>74021</v>
      </c>
      <c r="C1119" s="19" t="s">
        <v>3437</v>
      </c>
      <c r="D1119" s="19" t="s">
        <v>42</v>
      </c>
      <c r="E1119" s="19" t="s">
        <v>42</v>
      </c>
      <c r="F1119" s="19" t="s">
        <v>1262</v>
      </c>
      <c r="G1119" s="19" t="s">
        <v>1084</v>
      </c>
      <c r="H1119" s="19" t="s">
        <v>1001</v>
      </c>
      <c r="I1119" s="19" t="s">
        <v>1575</v>
      </c>
      <c r="J1119" s="20">
        <v>44</v>
      </c>
      <c r="K1119" t="s">
        <v>625</v>
      </c>
      <c r="L1119" t="s">
        <v>628</v>
      </c>
      <c r="M1119" t="s">
        <v>629</v>
      </c>
      <c r="N1119" t="s">
        <v>630</v>
      </c>
      <c r="O1119" t="s">
        <v>632</v>
      </c>
    </row>
    <row r="1120" spans="1:15" x14ac:dyDescent="0.35">
      <c r="A1120" s="77">
        <v>3.978082191780822</v>
      </c>
      <c r="B1120" s="19">
        <v>74029</v>
      </c>
      <c r="C1120" s="19" t="s">
        <v>3438</v>
      </c>
      <c r="D1120" s="19" t="s">
        <v>421</v>
      </c>
      <c r="E1120" s="19" t="s">
        <v>421</v>
      </c>
      <c r="F1120" s="19" t="s">
        <v>698</v>
      </c>
      <c r="G1120" s="19" t="s">
        <v>1034</v>
      </c>
      <c r="H1120" s="19" t="s">
        <v>1001</v>
      </c>
      <c r="I1120" s="19" t="s">
        <v>1599</v>
      </c>
      <c r="J1120" s="20">
        <v>31</v>
      </c>
      <c r="K1120" t="s">
        <v>636</v>
      </c>
      <c r="L1120" t="s">
        <v>678</v>
      </c>
      <c r="M1120" t="s">
        <v>623</v>
      </c>
      <c r="N1120" t="s">
        <v>624</v>
      </c>
      <c r="O1120" t="s">
        <v>679</v>
      </c>
    </row>
    <row r="1121" spans="1:15" x14ac:dyDescent="0.35">
      <c r="A1121" s="77">
        <v>3.978082191780822</v>
      </c>
      <c r="B1121" s="19">
        <v>74045</v>
      </c>
      <c r="C1121" s="19" t="s">
        <v>3439</v>
      </c>
      <c r="D1121" s="19" t="s">
        <v>66</v>
      </c>
      <c r="E1121" s="19" t="s">
        <v>67</v>
      </c>
      <c r="F1121" s="19" t="s">
        <v>1708</v>
      </c>
      <c r="G1121" s="19" t="s">
        <v>1045</v>
      </c>
      <c r="H1121" s="19" t="s">
        <v>1001</v>
      </c>
      <c r="I1121" s="19" t="s">
        <v>1575</v>
      </c>
      <c r="J1121" s="20">
        <v>23</v>
      </c>
      <c r="K1121" t="s">
        <v>654</v>
      </c>
      <c r="L1121" t="s">
        <v>645</v>
      </c>
      <c r="M1121" t="s">
        <v>629</v>
      </c>
      <c r="N1121" t="s">
        <v>646</v>
      </c>
      <c r="O1121" t="s">
        <v>632</v>
      </c>
    </row>
    <row r="1122" spans="1:15" x14ac:dyDescent="0.35">
      <c r="A1122" s="77">
        <v>4</v>
      </c>
      <c r="B1122" s="19">
        <v>74080</v>
      </c>
      <c r="C1122" s="19" t="s">
        <v>3440</v>
      </c>
      <c r="D1122" s="19" t="s">
        <v>151</v>
      </c>
      <c r="E1122" s="19" t="s">
        <v>152</v>
      </c>
      <c r="F1122" s="19" t="s">
        <v>1557</v>
      </c>
      <c r="G1122" s="19" t="s">
        <v>1019</v>
      </c>
      <c r="H1122" s="19" t="s">
        <v>1020</v>
      </c>
      <c r="I1122" s="19" t="s">
        <v>1599</v>
      </c>
      <c r="J1122" s="20">
        <v>22</v>
      </c>
      <c r="K1122" t="s">
        <v>654</v>
      </c>
      <c r="L1122" t="s">
        <v>691</v>
      </c>
      <c r="M1122" t="s">
        <v>657</v>
      </c>
      <c r="N1122" t="s">
        <v>658</v>
      </c>
      <c r="O1122" t="s">
        <v>632</v>
      </c>
    </row>
    <row r="1123" spans="1:15" x14ac:dyDescent="0.35">
      <c r="A1123" s="77">
        <v>3.9945205479452053</v>
      </c>
      <c r="B1123" s="19">
        <v>74100</v>
      </c>
      <c r="C1123" s="19" t="s">
        <v>3441</v>
      </c>
      <c r="D1123" s="19" t="s">
        <v>424</v>
      </c>
      <c r="E1123" s="19" t="s">
        <v>424</v>
      </c>
      <c r="F1123" s="19" t="s">
        <v>699</v>
      </c>
      <c r="G1123" s="19" t="s">
        <v>1034</v>
      </c>
      <c r="H1123" s="19" t="s">
        <v>1001</v>
      </c>
      <c r="I1123" s="19" t="s">
        <v>1575</v>
      </c>
      <c r="J1123" s="20">
        <v>26</v>
      </c>
      <c r="K1123" t="s">
        <v>642</v>
      </c>
      <c r="L1123" t="s">
        <v>628</v>
      </c>
      <c r="M1123" t="s">
        <v>629</v>
      </c>
      <c r="N1123" t="s">
        <v>646</v>
      </c>
      <c r="O1123" t="s">
        <v>632</v>
      </c>
    </row>
    <row r="1124" spans="1:15" x14ac:dyDescent="0.35">
      <c r="A1124" s="77">
        <v>3.9808219178082194</v>
      </c>
      <c r="B1124" s="19">
        <v>74118</v>
      </c>
      <c r="C1124" s="19" t="s">
        <v>3442</v>
      </c>
      <c r="D1124" s="19" t="s">
        <v>73</v>
      </c>
      <c r="E1124" s="19" t="s">
        <v>74</v>
      </c>
      <c r="F1124" s="19" t="s">
        <v>1178</v>
      </c>
      <c r="G1124" s="19" t="s">
        <v>1057</v>
      </c>
      <c r="H1124" s="19" t="s">
        <v>1001</v>
      </c>
      <c r="I1124" s="19" t="s">
        <v>1575</v>
      </c>
      <c r="J1124" s="20">
        <v>25</v>
      </c>
      <c r="K1124" t="s">
        <v>654</v>
      </c>
      <c r="L1124" t="s">
        <v>648</v>
      </c>
      <c r="M1124" t="s">
        <v>623</v>
      </c>
      <c r="N1124" t="s">
        <v>624</v>
      </c>
      <c r="O1124" t="s">
        <v>725</v>
      </c>
    </row>
    <row r="1125" spans="1:15" x14ac:dyDescent="0.35">
      <c r="A1125" s="77">
        <v>3.9835616438356163</v>
      </c>
      <c r="B1125" s="19">
        <v>74163</v>
      </c>
      <c r="C1125" s="19" t="s">
        <v>3443</v>
      </c>
      <c r="D1125" s="19" t="s">
        <v>130</v>
      </c>
      <c r="E1125" s="19" t="s">
        <v>131</v>
      </c>
      <c r="F1125" s="19" t="s">
        <v>1693</v>
      </c>
      <c r="G1125" s="19" t="s">
        <v>1008</v>
      </c>
      <c r="H1125" s="19" t="s">
        <v>1001</v>
      </c>
      <c r="I1125" s="19" t="s">
        <v>1575</v>
      </c>
      <c r="J1125" s="20">
        <v>41</v>
      </c>
      <c r="K1125" t="s">
        <v>654</v>
      </c>
      <c r="L1125" t="s">
        <v>670</v>
      </c>
      <c r="M1125" t="s">
        <v>657</v>
      </c>
      <c r="N1125" t="s">
        <v>641</v>
      </c>
      <c r="O1125" t="s">
        <v>752</v>
      </c>
    </row>
    <row r="1126" spans="1:15" x14ac:dyDescent="0.35">
      <c r="A1126" s="77">
        <v>3.9616438356164383</v>
      </c>
      <c r="B1126" s="19">
        <v>74176</v>
      </c>
      <c r="C1126" s="19" t="s">
        <v>3444</v>
      </c>
      <c r="D1126" s="19" t="s">
        <v>43</v>
      </c>
      <c r="E1126" s="19" t="s">
        <v>44</v>
      </c>
      <c r="F1126" s="19" t="s">
        <v>2355</v>
      </c>
      <c r="G1126" s="19" t="s">
        <v>1084</v>
      </c>
      <c r="H1126" s="19" t="s">
        <v>1020</v>
      </c>
      <c r="I1126" s="19" t="s">
        <v>1575</v>
      </c>
      <c r="J1126" s="20">
        <v>50</v>
      </c>
      <c r="K1126" t="s">
        <v>654</v>
      </c>
      <c r="L1126" t="s">
        <v>634</v>
      </c>
      <c r="M1126" t="s">
        <v>629</v>
      </c>
      <c r="N1126" t="s">
        <v>635</v>
      </c>
      <c r="O1126" t="s">
        <v>637</v>
      </c>
    </row>
    <row r="1127" spans="1:15" x14ac:dyDescent="0.35">
      <c r="A1127" s="77">
        <v>3.9616438356164383</v>
      </c>
      <c r="B1127" s="19">
        <v>74194</v>
      </c>
      <c r="C1127" s="19" t="s">
        <v>3445</v>
      </c>
      <c r="D1127" s="19" t="s">
        <v>375</v>
      </c>
      <c r="E1127" s="19" t="s">
        <v>376</v>
      </c>
      <c r="F1127" s="19" t="s">
        <v>1270</v>
      </c>
      <c r="G1127" s="19" t="s">
        <v>1046</v>
      </c>
      <c r="H1127" s="19" t="s">
        <v>1001</v>
      </c>
      <c r="I1127" s="19" t="s">
        <v>1575</v>
      </c>
      <c r="J1127" s="20">
        <v>23</v>
      </c>
      <c r="K1127" t="s">
        <v>636</v>
      </c>
      <c r="L1127" t="s">
        <v>678</v>
      </c>
      <c r="M1127" t="s">
        <v>623</v>
      </c>
      <c r="N1127" t="s">
        <v>624</v>
      </c>
      <c r="O1127" t="s">
        <v>679</v>
      </c>
    </row>
    <row r="1128" spans="1:15" x14ac:dyDescent="0.35">
      <c r="A1128" s="77">
        <v>3.9643835616438357</v>
      </c>
      <c r="B1128" s="19">
        <v>74212</v>
      </c>
      <c r="C1128" s="19" t="s">
        <v>3446</v>
      </c>
      <c r="D1128" s="19" t="s">
        <v>349</v>
      </c>
      <c r="E1128" s="19" t="s">
        <v>350</v>
      </c>
      <c r="F1128" s="19" t="s">
        <v>912</v>
      </c>
      <c r="G1128" s="19" t="s">
        <v>1008</v>
      </c>
      <c r="H1128" s="19" t="s">
        <v>1001</v>
      </c>
      <c r="I1128" s="19" t="s">
        <v>1575</v>
      </c>
      <c r="J1128" s="20">
        <v>26</v>
      </c>
      <c r="K1128" t="s">
        <v>625</v>
      </c>
      <c r="L1128" t="s">
        <v>648</v>
      </c>
      <c r="M1128" t="s">
        <v>623</v>
      </c>
      <c r="N1128" t="s">
        <v>624</v>
      </c>
      <c r="O1128" t="s">
        <v>649</v>
      </c>
    </row>
    <row r="1129" spans="1:15" x14ac:dyDescent="0.35">
      <c r="A1129" s="77">
        <v>3.9589041095890409</v>
      </c>
      <c r="B1129" s="19">
        <v>74233</v>
      </c>
      <c r="C1129" s="19" t="s">
        <v>3447</v>
      </c>
      <c r="D1129" s="19" t="s">
        <v>23</v>
      </c>
      <c r="E1129" s="19" t="s">
        <v>23</v>
      </c>
      <c r="F1129" s="19" t="s">
        <v>660</v>
      </c>
      <c r="G1129" s="19" t="s">
        <v>1008</v>
      </c>
      <c r="H1129" s="19" t="s">
        <v>1001</v>
      </c>
      <c r="I1129" s="19" t="s">
        <v>1575</v>
      </c>
      <c r="J1129" s="20">
        <v>22</v>
      </c>
      <c r="K1129" t="s">
        <v>631</v>
      </c>
      <c r="L1129" t="s">
        <v>661</v>
      </c>
      <c r="M1129" t="s">
        <v>657</v>
      </c>
      <c r="N1129" t="s">
        <v>662</v>
      </c>
      <c r="O1129" t="s">
        <v>632</v>
      </c>
    </row>
    <row r="1130" spans="1:15" x14ac:dyDescent="0.35">
      <c r="A1130" s="77">
        <v>3.9616438356164383</v>
      </c>
      <c r="B1130" s="19">
        <v>74247</v>
      </c>
      <c r="C1130" s="19" t="s">
        <v>3448</v>
      </c>
      <c r="D1130" s="19" t="s">
        <v>247</v>
      </c>
      <c r="E1130" s="19" t="s">
        <v>248</v>
      </c>
      <c r="F1130" s="19" t="s">
        <v>1726</v>
      </c>
      <c r="G1130" s="19" t="s">
        <v>1034</v>
      </c>
      <c r="H1130" s="19" t="s">
        <v>1001</v>
      </c>
      <c r="I1130" s="19" t="s">
        <v>1575</v>
      </c>
      <c r="J1130" s="20">
        <v>27</v>
      </c>
      <c r="K1130" t="s">
        <v>668</v>
      </c>
      <c r="L1130" t="s">
        <v>634</v>
      </c>
      <c r="M1130" t="s">
        <v>629</v>
      </c>
      <c r="N1130" t="s">
        <v>635</v>
      </c>
      <c r="O1130" t="s">
        <v>637</v>
      </c>
    </row>
    <row r="1131" spans="1:15" x14ac:dyDescent="0.35">
      <c r="A1131" s="77">
        <v>3.9589041095890409</v>
      </c>
      <c r="B1131" s="19">
        <v>74249</v>
      </c>
      <c r="C1131" s="19" t="s">
        <v>3449</v>
      </c>
      <c r="D1131" s="19" t="s">
        <v>601</v>
      </c>
      <c r="E1131" s="19" t="e">
        <v>#N/A</v>
      </c>
      <c r="F1131" s="19" t="s">
        <v>1136</v>
      </c>
      <c r="G1131" s="19" t="s">
        <v>1084</v>
      </c>
      <c r="H1131" s="19" t="s">
        <v>1001</v>
      </c>
      <c r="I1131" s="19" t="s">
        <v>1599</v>
      </c>
      <c r="J1131" s="20">
        <v>27</v>
      </c>
      <c r="K1131" t="s">
        <v>654</v>
      </c>
      <c r="L1131" t="s">
        <v>651</v>
      </c>
      <c r="M1131" t="s">
        <v>629</v>
      </c>
      <c r="N1131" t="s">
        <v>630</v>
      </c>
      <c r="O1131" t="s">
        <v>715</v>
      </c>
    </row>
    <row r="1132" spans="1:15" x14ac:dyDescent="0.35">
      <c r="A1132" s="77">
        <v>3.9616438356164383</v>
      </c>
      <c r="B1132" s="19">
        <v>74261</v>
      </c>
      <c r="C1132" s="19" t="s">
        <v>3450</v>
      </c>
      <c r="D1132" s="19" t="s">
        <v>241</v>
      </c>
      <c r="E1132" s="19" t="s">
        <v>242</v>
      </c>
      <c r="F1132" s="19" t="s">
        <v>1030</v>
      </c>
      <c r="G1132" s="19" t="s">
        <v>1008</v>
      </c>
      <c r="H1132" s="19" t="s">
        <v>1001</v>
      </c>
      <c r="I1132" s="19" t="s">
        <v>1575</v>
      </c>
      <c r="J1132" s="20">
        <v>29</v>
      </c>
      <c r="K1132" t="s">
        <v>668</v>
      </c>
      <c r="L1132" t="s">
        <v>622</v>
      </c>
      <c r="M1132" t="s">
        <v>623</v>
      </c>
      <c r="N1132" t="s">
        <v>624</v>
      </c>
      <c r="O1132" t="s">
        <v>800</v>
      </c>
    </row>
    <row r="1133" spans="1:15" x14ac:dyDescent="0.35">
      <c r="A1133" s="77">
        <v>3.9589041095890409</v>
      </c>
      <c r="B1133" s="19">
        <v>74287</v>
      </c>
      <c r="C1133" s="19" t="s">
        <v>3451</v>
      </c>
      <c r="D1133" s="19" t="s">
        <v>42</v>
      </c>
      <c r="E1133" s="19" t="s">
        <v>42</v>
      </c>
      <c r="F1133" s="19" t="s">
        <v>1262</v>
      </c>
      <c r="G1133" s="19" t="s">
        <v>1084</v>
      </c>
      <c r="H1133" s="19" t="s">
        <v>1020</v>
      </c>
      <c r="I1133" s="19" t="s">
        <v>1575</v>
      </c>
      <c r="J1133" s="20">
        <v>44</v>
      </c>
      <c r="K1133" t="s">
        <v>625</v>
      </c>
      <c r="L1133" t="s">
        <v>628</v>
      </c>
      <c r="M1133" t="s">
        <v>629</v>
      </c>
      <c r="N1133" t="s">
        <v>630</v>
      </c>
      <c r="O1133" t="s">
        <v>632</v>
      </c>
    </row>
    <row r="1134" spans="1:15" x14ac:dyDescent="0.35">
      <c r="A1134" s="77">
        <v>3.9534246575342467</v>
      </c>
      <c r="B1134" s="19">
        <v>74295</v>
      </c>
      <c r="C1134" s="19" t="s">
        <v>3452</v>
      </c>
      <c r="D1134" s="19" t="s">
        <v>333</v>
      </c>
      <c r="E1134" s="19" t="s">
        <v>334</v>
      </c>
      <c r="F1134" s="19" t="s">
        <v>1333</v>
      </c>
      <c r="G1134" s="19" t="s">
        <v>1028</v>
      </c>
      <c r="H1134" s="19" t="s">
        <v>1020</v>
      </c>
      <c r="I1134" s="19" t="s">
        <v>1575</v>
      </c>
      <c r="J1134" s="20">
        <v>45</v>
      </c>
      <c r="K1134" t="s">
        <v>636</v>
      </c>
      <c r="L1134" t="s">
        <v>666</v>
      </c>
      <c r="M1134" t="s">
        <v>629</v>
      </c>
      <c r="N1134" t="s">
        <v>630</v>
      </c>
      <c r="O1134" t="s">
        <v>652</v>
      </c>
    </row>
    <row r="1135" spans="1:15" x14ac:dyDescent="0.35">
      <c r="A1135" s="77">
        <v>0.79726027397260268</v>
      </c>
      <c r="B1135" s="19">
        <v>74434</v>
      </c>
      <c r="C1135" s="19" t="s">
        <v>3453</v>
      </c>
      <c r="D1135" s="19" t="s">
        <v>82</v>
      </c>
      <c r="E1135" s="19" t="s">
        <v>83</v>
      </c>
      <c r="F1135" s="19" t="s">
        <v>1103</v>
      </c>
      <c r="G1135" s="19" t="s">
        <v>1019</v>
      </c>
      <c r="H1135" s="19" t="s">
        <v>1020</v>
      </c>
      <c r="I1135" s="19" t="s">
        <v>1575</v>
      </c>
      <c r="J1135" s="20">
        <v>23</v>
      </c>
      <c r="K1135" t="s">
        <v>642</v>
      </c>
      <c r="L1135" t="s">
        <v>661</v>
      </c>
      <c r="M1135" t="s">
        <v>657</v>
      </c>
      <c r="N1135" t="s">
        <v>662</v>
      </c>
      <c r="O1135" t="s">
        <v>632</v>
      </c>
    </row>
    <row r="1136" spans="1:15" x14ac:dyDescent="0.35">
      <c r="A1136" s="77">
        <v>3.9452054794520546</v>
      </c>
      <c r="B1136" s="19">
        <v>74448</v>
      </c>
      <c r="C1136" s="19" t="s">
        <v>3454</v>
      </c>
      <c r="D1136" s="19" t="s">
        <v>421</v>
      </c>
      <c r="E1136" s="19" t="s">
        <v>421</v>
      </c>
      <c r="F1136" s="19" t="s">
        <v>698</v>
      </c>
      <c r="G1136" s="19" t="s">
        <v>1028</v>
      </c>
      <c r="H1136" s="19" t="s">
        <v>1020</v>
      </c>
      <c r="I1136" s="19" t="s">
        <v>1575</v>
      </c>
      <c r="J1136" s="20">
        <v>21</v>
      </c>
      <c r="K1136" t="s">
        <v>636</v>
      </c>
      <c r="L1136" t="s">
        <v>678</v>
      </c>
      <c r="M1136" t="s">
        <v>623</v>
      </c>
      <c r="N1136" t="s">
        <v>624</v>
      </c>
      <c r="O1136" t="s">
        <v>679</v>
      </c>
    </row>
    <row r="1137" spans="1:15" x14ac:dyDescent="0.35">
      <c r="A1137" s="77">
        <v>3.9424657534246577</v>
      </c>
      <c r="B1137" s="19">
        <v>74456</v>
      </c>
      <c r="C1137" s="19" t="s">
        <v>3445</v>
      </c>
      <c r="D1137" s="19" t="s">
        <v>250</v>
      </c>
      <c r="E1137" s="19" t="s">
        <v>251</v>
      </c>
      <c r="F1137" s="19" t="s">
        <v>1126</v>
      </c>
      <c r="G1137" s="19" t="s">
        <v>1038</v>
      </c>
      <c r="H1137" s="19" t="s">
        <v>1020</v>
      </c>
      <c r="I1137" s="19" t="s">
        <v>1575</v>
      </c>
      <c r="J1137" s="20">
        <v>38</v>
      </c>
      <c r="K1137" t="s">
        <v>668</v>
      </c>
      <c r="L1137" t="s">
        <v>634</v>
      </c>
      <c r="M1137" t="s">
        <v>629</v>
      </c>
      <c r="N1137" t="s">
        <v>635</v>
      </c>
      <c r="O1137" t="s">
        <v>637</v>
      </c>
    </row>
    <row r="1138" spans="1:15" x14ac:dyDescent="0.35">
      <c r="A1138" s="77">
        <v>3.9397260273972603</v>
      </c>
      <c r="B1138" s="19">
        <v>74458</v>
      </c>
      <c r="C1138" s="19" t="s">
        <v>3455</v>
      </c>
      <c r="D1138" s="19" t="s">
        <v>425</v>
      </c>
      <c r="E1138" s="19" t="s">
        <v>425</v>
      </c>
      <c r="F1138" s="19" t="s">
        <v>1330</v>
      </c>
      <c r="G1138" s="19" t="s">
        <v>1008</v>
      </c>
      <c r="H1138" s="19" t="s">
        <v>1001</v>
      </c>
      <c r="I1138" s="19" t="s">
        <v>1575</v>
      </c>
      <c r="J1138" s="20">
        <v>32</v>
      </c>
      <c r="K1138" t="s">
        <v>654</v>
      </c>
      <c r="L1138" t="s">
        <v>678</v>
      </c>
      <c r="M1138" t="s">
        <v>623</v>
      </c>
      <c r="N1138" t="s">
        <v>624</v>
      </c>
      <c r="O1138" t="s">
        <v>689</v>
      </c>
    </row>
    <row r="1139" spans="1:15" x14ac:dyDescent="0.35">
      <c r="A1139" s="77">
        <v>2.8273972602739725</v>
      </c>
      <c r="B1139" s="19">
        <v>74476</v>
      </c>
      <c r="C1139" s="19" t="s">
        <v>3456</v>
      </c>
      <c r="D1139" s="19" t="s">
        <v>284</v>
      </c>
      <c r="E1139" s="19" t="s">
        <v>285</v>
      </c>
      <c r="F1139" s="19" t="s">
        <v>1150</v>
      </c>
      <c r="G1139" s="19" t="s">
        <v>1034</v>
      </c>
      <c r="H1139" s="19" t="s">
        <v>1001</v>
      </c>
      <c r="I1139" s="19" t="s">
        <v>1599</v>
      </c>
      <c r="J1139" s="20">
        <v>20</v>
      </c>
      <c r="K1139" t="s">
        <v>625</v>
      </c>
      <c r="L1139" t="s">
        <v>661</v>
      </c>
      <c r="M1139" t="s">
        <v>657</v>
      </c>
      <c r="N1139" t="s">
        <v>662</v>
      </c>
      <c r="O1139" t="s">
        <v>632</v>
      </c>
    </row>
    <row r="1140" spans="1:15" x14ac:dyDescent="0.35">
      <c r="A1140" s="77">
        <v>3.9424657534246577</v>
      </c>
      <c r="B1140" s="19">
        <v>74485</v>
      </c>
      <c r="C1140" s="19" t="s">
        <v>3457</v>
      </c>
      <c r="D1140" s="19" t="s">
        <v>49</v>
      </c>
      <c r="E1140" s="19" t="s">
        <v>50</v>
      </c>
      <c r="F1140" s="19" t="s">
        <v>1213</v>
      </c>
      <c r="G1140" s="19" t="s">
        <v>1046</v>
      </c>
      <c r="H1140" s="19" t="s">
        <v>1001</v>
      </c>
      <c r="I1140" s="19" t="s">
        <v>1575</v>
      </c>
      <c r="J1140" s="20">
        <v>32</v>
      </c>
      <c r="K1140" t="s">
        <v>625</v>
      </c>
      <c r="L1140" t="s">
        <v>648</v>
      </c>
      <c r="M1140" t="s">
        <v>623</v>
      </c>
      <c r="N1140" t="s">
        <v>624</v>
      </c>
      <c r="O1140" t="s">
        <v>649</v>
      </c>
    </row>
    <row r="1141" spans="1:15" x14ac:dyDescent="0.35">
      <c r="A1141" s="77">
        <v>1.8493150684931507</v>
      </c>
      <c r="B1141" s="19">
        <v>74498</v>
      </c>
      <c r="C1141" s="19" t="s">
        <v>3458</v>
      </c>
      <c r="D1141" s="19" t="s">
        <v>252</v>
      </c>
      <c r="E1141" s="19" t="s">
        <v>253</v>
      </c>
      <c r="F1141" s="19" t="s">
        <v>914</v>
      </c>
      <c r="G1141" s="19" t="s">
        <v>1028</v>
      </c>
      <c r="H1141" s="19" t="s">
        <v>1020</v>
      </c>
      <c r="I1141" s="19" t="s">
        <v>1575</v>
      </c>
      <c r="J1141" s="20">
        <v>22</v>
      </c>
      <c r="K1141" t="s">
        <v>636</v>
      </c>
      <c r="L1141" t="s">
        <v>656</v>
      </c>
      <c r="M1141" t="s">
        <v>657</v>
      </c>
      <c r="N1141" t="s">
        <v>658</v>
      </c>
      <c r="O1141" t="s">
        <v>718</v>
      </c>
    </row>
    <row r="1142" spans="1:15" x14ac:dyDescent="0.35">
      <c r="A1142" s="77">
        <v>3.9397260273972603</v>
      </c>
      <c r="B1142" s="19">
        <v>74524</v>
      </c>
      <c r="C1142" s="19" t="s">
        <v>3459</v>
      </c>
      <c r="D1142" s="19" t="s">
        <v>93</v>
      </c>
      <c r="E1142" s="19" t="s">
        <v>94</v>
      </c>
      <c r="F1142" s="19" t="s">
        <v>919</v>
      </c>
      <c r="G1142" s="19" t="s">
        <v>1084</v>
      </c>
      <c r="H1142" s="19" t="s">
        <v>1020</v>
      </c>
      <c r="I1142" s="19" t="s">
        <v>1599</v>
      </c>
      <c r="J1142" s="20">
        <v>26</v>
      </c>
      <c r="K1142" t="s">
        <v>654</v>
      </c>
      <c r="L1142" t="s">
        <v>691</v>
      </c>
      <c r="M1142" t="s">
        <v>657</v>
      </c>
      <c r="N1142" t="s">
        <v>658</v>
      </c>
      <c r="O1142" t="s">
        <v>632</v>
      </c>
    </row>
    <row r="1143" spans="1:15" x14ac:dyDescent="0.35">
      <c r="A1143" s="77">
        <v>3.9369863013698629</v>
      </c>
      <c r="B1143" s="19">
        <v>74533</v>
      </c>
      <c r="C1143" s="19" t="s">
        <v>3460</v>
      </c>
      <c r="D1143" s="19" t="s">
        <v>126</v>
      </c>
      <c r="E1143" s="19" t="s">
        <v>127</v>
      </c>
      <c r="F1143" s="19" t="s">
        <v>1152</v>
      </c>
      <c r="G1143" s="19" t="s">
        <v>1045</v>
      </c>
      <c r="H1143" s="19" t="s">
        <v>1001</v>
      </c>
      <c r="I1143" s="19" t="s">
        <v>1575</v>
      </c>
      <c r="J1143" s="20">
        <v>22</v>
      </c>
      <c r="K1143" t="s">
        <v>654</v>
      </c>
      <c r="L1143" t="s">
        <v>628</v>
      </c>
      <c r="M1143" t="s">
        <v>629</v>
      </c>
      <c r="N1143" t="s">
        <v>630</v>
      </c>
      <c r="O1143" t="s">
        <v>632</v>
      </c>
    </row>
    <row r="1144" spans="1:15" x14ac:dyDescent="0.35">
      <c r="A1144" s="77">
        <v>0.74520547945205484</v>
      </c>
      <c r="B1144" s="19">
        <v>74540</v>
      </c>
      <c r="C1144" s="19" t="s">
        <v>3461</v>
      </c>
      <c r="D1144" s="19" t="s">
        <v>347</v>
      </c>
      <c r="E1144" s="19" t="s">
        <v>348</v>
      </c>
      <c r="F1144" s="19" t="s">
        <v>910</v>
      </c>
      <c r="G1144" s="19" t="s">
        <v>1028</v>
      </c>
      <c r="H1144" s="19" t="s">
        <v>1020</v>
      </c>
      <c r="I1144" s="19" t="s">
        <v>1599</v>
      </c>
      <c r="J1144" s="20">
        <v>29</v>
      </c>
      <c r="K1144" t="s">
        <v>654</v>
      </c>
      <c r="L1144" t="s">
        <v>707</v>
      </c>
      <c r="M1144" t="s">
        <v>629</v>
      </c>
      <c r="N1144" t="s">
        <v>635</v>
      </c>
      <c r="O1144" t="s">
        <v>710</v>
      </c>
    </row>
    <row r="1145" spans="1:15" x14ac:dyDescent="0.35">
      <c r="A1145" s="77">
        <v>3.9342465753424656</v>
      </c>
      <c r="B1145" s="19">
        <v>74629</v>
      </c>
      <c r="C1145" s="19" t="s">
        <v>3462</v>
      </c>
      <c r="D1145" s="19" t="s">
        <v>250</v>
      </c>
      <c r="E1145" s="19" t="s">
        <v>251</v>
      </c>
      <c r="F1145" s="19" t="s">
        <v>1126</v>
      </c>
      <c r="G1145" s="19" t="s">
        <v>1038</v>
      </c>
      <c r="H1145" s="19" t="s">
        <v>1020</v>
      </c>
      <c r="I1145" s="19" t="s">
        <v>1575</v>
      </c>
      <c r="J1145" s="20">
        <v>40</v>
      </c>
      <c r="K1145" t="s">
        <v>668</v>
      </c>
      <c r="L1145" t="s">
        <v>634</v>
      </c>
      <c r="M1145" t="s">
        <v>629</v>
      </c>
      <c r="N1145" t="s">
        <v>635</v>
      </c>
      <c r="O1145" t="s">
        <v>637</v>
      </c>
    </row>
    <row r="1146" spans="1:15" x14ac:dyDescent="0.35">
      <c r="A1146" s="77">
        <v>3.7479452054794522</v>
      </c>
      <c r="B1146" s="19">
        <v>74631</v>
      </c>
      <c r="C1146" s="19" t="s">
        <v>3463</v>
      </c>
      <c r="D1146" s="19" t="s">
        <v>16</v>
      </c>
      <c r="E1146" s="19" t="s">
        <v>16</v>
      </c>
      <c r="F1146" s="19" t="s">
        <v>1211</v>
      </c>
      <c r="G1146" s="19" t="s">
        <v>1034</v>
      </c>
      <c r="H1146" s="19" t="s">
        <v>1001</v>
      </c>
      <c r="I1146" s="19" t="s">
        <v>1599</v>
      </c>
      <c r="J1146" s="20">
        <v>20</v>
      </c>
      <c r="K1146" t="s">
        <v>631</v>
      </c>
      <c r="L1146" t="s">
        <v>645</v>
      </c>
      <c r="M1146" t="s">
        <v>629</v>
      </c>
      <c r="N1146" t="s">
        <v>646</v>
      </c>
      <c r="O1146" t="s">
        <v>632</v>
      </c>
    </row>
    <row r="1147" spans="1:15" x14ac:dyDescent="0.35">
      <c r="A1147" s="77">
        <v>2.6657534246575341</v>
      </c>
      <c r="B1147" s="19">
        <v>74693</v>
      </c>
      <c r="C1147" s="19" t="s">
        <v>3464</v>
      </c>
      <c r="D1147" s="19" t="s">
        <v>159</v>
      </c>
      <c r="E1147" s="19" t="s">
        <v>160</v>
      </c>
      <c r="F1147" s="19" t="s">
        <v>1488</v>
      </c>
      <c r="G1147" s="19" t="s">
        <v>1057</v>
      </c>
      <c r="H1147" s="19" t="s">
        <v>1001</v>
      </c>
      <c r="I1147" s="19" t="s">
        <v>1599</v>
      </c>
      <c r="J1147" s="20">
        <v>21</v>
      </c>
      <c r="K1147" t="s">
        <v>654</v>
      </c>
      <c r="L1147" t="s">
        <v>678</v>
      </c>
      <c r="M1147" t="s">
        <v>623</v>
      </c>
      <c r="N1147" t="s">
        <v>624</v>
      </c>
      <c r="O1147" t="s">
        <v>679</v>
      </c>
    </row>
    <row r="1148" spans="1:15" x14ac:dyDescent="0.35">
      <c r="A1148" s="77">
        <v>3.9178082191780823</v>
      </c>
      <c r="B1148" s="19">
        <v>74705</v>
      </c>
      <c r="C1148" s="19" t="s">
        <v>3465</v>
      </c>
      <c r="D1148" s="19" t="s">
        <v>204</v>
      </c>
      <c r="E1148" s="19" t="s">
        <v>205</v>
      </c>
      <c r="F1148" s="19" t="s">
        <v>1090</v>
      </c>
      <c r="G1148" s="19" t="s">
        <v>1046</v>
      </c>
      <c r="H1148" s="19" t="s">
        <v>1001</v>
      </c>
      <c r="I1148" s="19" t="s">
        <v>1575</v>
      </c>
      <c r="J1148" s="20">
        <v>23</v>
      </c>
      <c r="K1148" t="s">
        <v>668</v>
      </c>
      <c r="L1148" t="s">
        <v>634</v>
      </c>
      <c r="M1148" t="s">
        <v>629</v>
      </c>
      <c r="N1148" t="s">
        <v>635</v>
      </c>
      <c r="O1148" t="s">
        <v>637</v>
      </c>
    </row>
    <row r="1149" spans="1:15" x14ac:dyDescent="0.35">
      <c r="A1149" s="77">
        <v>1.9972602739726026</v>
      </c>
      <c r="B1149" s="19">
        <v>74720</v>
      </c>
      <c r="C1149" s="19" t="s">
        <v>3466</v>
      </c>
      <c r="D1149" s="19" t="s">
        <v>280</v>
      </c>
      <c r="E1149" s="19" t="s">
        <v>281</v>
      </c>
      <c r="F1149" s="19" t="s">
        <v>1223</v>
      </c>
      <c r="G1149" s="19" t="s">
        <v>1028</v>
      </c>
      <c r="H1149" s="19" t="s">
        <v>1020</v>
      </c>
      <c r="I1149" s="19" t="s">
        <v>1575</v>
      </c>
      <c r="J1149" s="20">
        <v>22</v>
      </c>
      <c r="K1149" t="s">
        <v>631</v>
      </c>
      <c r="L1149" t="s">
        <v>691</v>
      </c>
      <c r="M1149" t="s">
        <v>657</v>
      </c>
      <c r="N1149" t="s">
        <v>658</v>
      </c>
      <c r="O1149" t="s">
        <v>632</v>
      </c>
    </row>
    <row r="1150" spans="1:15" x14ac:dyDescent="0.35">
      <c r="A1150" s="77">
        <v>3.9178082191780823</v>
      </c>
      <c r="B1150" s="19">
        <v>74726</v>
      </c>
      <c r="C1150" s="19" t="s">
        <v>3467</v>
      </c>
      <c r="D1150" s="19" t="s">
        <v>425</v>
      </c>
      <c r="E1150" s="19" t="s">
        <v>425</v>
      </c>
      <c r="F1150" s="19" t="s">
        <v>1330</v>
      </c>
      <c r="G1150" s="19" t="s">
        <v>1046</v>
      </c>
      <c r="H1150" s="19" t="s">
        <v>1001</v>
      </c>
      <c r="I1150" s="19" t="s">
        <v>1575</v>
      </c>
      <c r="J1150" s="20">
        <v>27</v>
      </c>
      <c r="K1150" t="s">
        <v>654</v>
      </c>
      <c r="L1150" t="s">
        <v>678</v>
      </c>
      <c r="M1150" t="s">
        <v>623</v>
      </c>
      <c r="N1150" t="s">
        <v>624</v>
      </c>
      <c r="O1150" t="s">
        <v>689</v>
      </c>
    </row>
    <row r="1151" spans="1:15" x14ac:dyDescent="0.35">
      <c r="A1151" s="77">
        <v>3.9178082191780823</v>
      </c>
      <c r="B1151" s="19">
        <v>74727</v>
      </c>
      <c r="C1151" s="19" t="s">
        <v>3468</v>
      </c>
      <c r="D1151" s="19" t="s">
        <v>35</v>
      </c>
      <c r="E1151" s="19" t="s">
        <v>35</v>
      </c>
      <c r="F1151" s="19" t="s">
        <v>1657</v>
      </c>
      <c r="G1151" s="19" t="s">
        <v>1008</v>
      </c>
      <c r="H1151" s="19" t="s">
        <v>1001</v>
      </c>
      <c r="I1151" s="19" t="s">
        <v>1599</v>
      </c>
      <c r="J1151" s="20">
        <v>28</v>
      </c>
      <c r="K1151" t="s">
        <v>654</v>
      </c>
      <c r="L1151" t="s">
        <v>684</v>
      </c>
      <c r="M1151" t="s">
        <v>623</v>
      </c>
      <c r="N1151" t="s">
        <v>662</v>
      </c>
      <c r="O1151" t="s">
        <v>685</v>
      </c>
    </row>
    <row r="1152" spans="1:15" x14ac:dyDescent="0.35">
      <c r="A1152" s="77">
        <v>2.3150684931506849</v>
      </c>
      <c r="B1152" s="19">
        <v>74766</v>
      </c>
      <c r="C1152" s="19" t="s">
        <v>3469</v>
      </c>
      <c r="D1152" s="19" t="s">
        <v>49</v>
      </c>
      <c r="E1152" s="19" t="s">
        <v>50</v>
      </c>
      <c r="F1152" s="19" t="s">
        <v>1213</v>
      </c>
      <c r="G1152" s="19" t="s">
        <v>1034</v>
      </c>
      <c r="H1152" s="19" t="s">
        <v>1001</v>
      </c>
      <c r="I1152" s="19" t="s">
        <v>1575</v>
      </c>
      <c r="J1152" s="20">
        <v>27</v>
      </c>
      <c r="K1152" t="s">
        <v>625</v>
      </c>
      <c r="L1152" t="s">
        <v>648</v>
      </c>
      <c r="M1152" t="s">
        <v>623</v>
      </c>
      <c r="N1152" t="s">
        <v>624</v>
      </c>
      <c r="O1152" t="s">
        <v>649</v>
      </c>
    </row>
    <row r="1153" spans="1:15" x14ac:dyDescent="0.35">
      <c r="A1153" s="77">
        <v>3.9068493150684933</v>
      </c>
      <c r="B1153" s="19">
        <v>74777</v>
      </c>
      <c r="C1153" s="19" t="s">
        <v>3470</v>
      </c>
      <c r="D1153" s="19" t="s">
        <v>222</v>
      </c>
      <c r="E1153" s="19" t="s">
        <v>223</v>
      </c>
      <c r="F1153" s="19" t="s">
        <v>1660</v>
      </c>
      <c r="G1153" s="19" t="s">
        <v>1057</v>
      </c>
      <c r="H1153" s="19" t="s">
        <v>1001</v>
      </c>
      <c r="I1153" s="19" t="s">
        <v>1575</v>
      </c>
      <c r="J1153" s="20">
        <v>34</v>
      </c>
      <c r="K1153" t="s">
        <v>642</v>
      </c>
      <c r="L1153" t="s">
        <v>684</v>
      </c>
      <c r="M1153" t="s">
        <v>623</v>
      </c>
      <c r="N1153" t="s">
        <v>662</v>
      </c>
      <c r="O1153" t="s">
        <v>792</v>
      </c>
    </row>
    <row r="1154" spans="1:15" x14ac:dyDescent="0.35">
      <c r="A1154" s="77">
        <v>3.9150684931506849</v>
      </c>
      <c r="B1154" s="19">
        <v>74797</v>
      </c>
      <c r="C1154" s="19" t="s">
        <v>3471</v>
      </c>
      <c r="D1154" s="19" t="s">
        <v>276</v>
      </c>
      <c r="E1154" s="19" t="s">
        <v>277</v>
      </c>
      <c r="F1154" s="19" t="s">
        <v>893</v>
      </c>
      <c r="G1154" s="19" t="s">
        <v>1008</v>
      </c>
      <c r="H1154" s="19" t="s">
        <v>1001</v>
      </c>
      <c r="I1154" s="19" t="s">
        <v>1599</v>
      </c>
      <c r="J1154" s="20">
        <v>33</v>
      </c>
      <c r="K1154" t="s">
        <v>631</v>
      </c>
      <c r="L1154" t="s">
        <v>707</v>
      </c>
      <c r="M1154" t="s">
        <v>629</v>
      </c>
      <c r="N1154" t="s">
        <v>635</v>
      </c>
      <c r="O1154" t="s">
        <v>710</v>
      </c>
    </row>
    <row r="1155" spans="1:15" x14ac:dyDescent="0.35">
      <c r="A1155" s="77">
        <v>5.2054794520547946E-2</v>
      </c>
      <c r="B1155" s="19">
        <v>74892</v>
      </c>
      <c r="C1155" s="19" t="s">
        <v>3472</v>
      </c>
      <c r="D1155" s="19" t="s">
        <v>295</v>
      </c>
      <c r="E1155" s="19" t="s">
        <v>296</v>
      </c>
      <c r="F1155" s="19" t="s">
        <v>1095</v>
      </c>
      <c r="G1155" s="19" t="s">
        <v>1028</v>
      </c>
      <c r="H1155" s="19" t="s">
        <v>1020</v>
      </c>
      <c r="I1155" s="19" t="s">
        <v>1575</v>
      </c>
      <c r="J1155" s="20">
        <v>27</v>
      </c>
      <c r="K1155" t="s">
        <v>654</v>
      </c>
      <c r="L1155" t="s">
        <v>651</v>
      </c>
      <c r="M1155" t="s">
        <v>629</v>
      </c>
      <c r="N1155" t="s">
        <v>630</v>
      </c>
      <c r="O1155" t="s">
        <v>705</v>
      </c>
    </row>
    <row r="1156" spans="1:15" x14ac:dyDescent="0.35">
      <c r="A1156" s="77">
        <v>3.9013698630136986</v>
      </c>
      <c r="B1156" s="19">
        <v>74907</v>
      </c>
      <c r="C1156" s="19" t="s">
        <v>3473</v>
      </c>
      <c r="D1156" s="19" t="s">
        <v>278</v>
      </c>
      <c r="E1156" s="19" t="s">
        <v>279</v>
      </c>
      <c r="F1156" s="19" t="s">
        <v>1131</v>
      </c>
      <c r="G1156" s="19" t="s">
        <v>1598</v>
      </c>
      <c r="H1156" s="19" t="s">
        <v>1001</v>
      </c>
      <c r="I1156" s="19" t="s">
        <v>1599</v>
      </c>
      <c r="J1156" s="20">
        <v>23</v>
      </c>
      <c r="K1156" t="s">
        <v>625</v>
      </c>
      <c r="L1156" t="s">
        <v>661</v>
      </c>
      <c r="M1156" t="s">
        <v>657</v>
      </c>
      <c r="N1156" t="s">
        <v>662</v>
      </c>
      <c r="O1156" t="s">
        <v>632</v>
      </c>
    </row>
    <row r="1157" spans="1:15" x14ac:dyDescent="0.35">
      <c r="A1157" s="77">
        <v>3.8958904109589043</v>
      </c>
      <c r="B1157" s="19">
        <v>74944</v>
      </c>
      <c r="C1157" s="19" t="s">
        <v>3474</v>
      </c>
      <c r="D1157" s="19" t="s">
        <v>181</v>
      </c>
      <c r="E1157" s="19" t="s">
        <v>182</v>
      </c>
      <c r="F1157" s="19" t="s">
        <v>1374</v>
      </c>
      <c r="G1157" s="19" t="s">
        <v>1028</v>
      </c>
      <c r="H1157" s="19" t="s">
        <v>1020</v>
      </c>
      <c r="I1157" s="19" t="s">
        <v>1575</v>
      </c>
      <c r="J1157" s="20">
        <v>26</v>
      </c>
      <c r="K1157" t="s">
        <v>625</v>
      </c>
      <c r="L1157" t="s">
        <v>678</v>
      </c>
      <c r="M1157" t="s">
        <v>623</v>
      </c>
      <c r="N1157" t="s">
        <v>624</v>
      </c>
      <c r="O1157" t="s">
        <v>679</v>
      </c>
    </row>
    <row r="1158" spans="1:15" x14ac:dyDescent="0.35">
      <c r="A1158" s="77">
        <v>3.1342465753424658</v>
      </c>
      <c r="B1158" s="19">
        <v>75089</v>
      </c>
      <c r="C1158" s="19" t="s">
        <v>3475</v>
      </c>
      <c r="D1158" s="19" t="s">
        <v>35</v>
      </c>
      <c r="E1158" s="19" t="s">
        <v>35</v>
      </c>
      <c r="F1158" s="19" t="s">
        <v>1657</v>
      </c>
      <c r="G1158" s="19" t="s">
        <v>1057</v>
      </c>
      <c r="H1158" s="19" t="s">
        <v>1001</v>
      </c>
      <c r="I1158" s="19" t="s">
        <v>1599</v>
      </c>
      <c r="J1158" s="20">
        <v>27</v>
      </c>
      <c r="K1158" t="s">
        <v>654</v>
      </c>
      <c r="L1158" t="s">
        <v>684</v>
      </c>
      <c r="M1158" t="s">
        <v>623</v>
      </c>
      <c r="N1158" t="s">
        <v>662</v>
      </c>
      <c r="O1158" t="s">
        <v>685</v>
      </c>
    </row>
    <row r="1159" spans="1:15" x14ac:dyDescent="0.35">
      <c r="A1159" s="77">
        <v>1.6136986301369862</v>
      </c>
      <c r="B1159" s="19">
        <v>75129</v>
      </c>
      <c r="C1159" s="19" t="s">
        <v>3476</v>
      </c>
      <c r="D1159" s="19" t="s">
        <v>115</v>
      </c>
      <c r="E1159" s="19" t="s">
        <v>116</v>
      </c>
      <c r="F1159" s="19" t="s">
        <v>1383</v>
      </c>
      <c r="G1159" s="19" t="s">
        <v>1038</v>
      </c>
      <c r="H1159" s="19" t="s">
        <v>1020</v>
      </c>
      <c r="I1159" s="19" t="s">
        <v>1575</v>
      </c>
      <c r="J1159" s="20">
        <v>39</v>
      </c>
      <c r="K1159" t="s">
        <v>631</v>
      </c>
      <c r="L1159" t="s">
        <v>670</v>
      </c>
      <c r="M1159" t="s">
        <v>657</v>
      </c>
      <c r="N1159" t="s">
        <v>641</v>
      </c>
      <c r="O1159" t="s">
        <v>671</v>
      </c>
    </row>
    <row r="1160" spans="1:15" x14ac:dyDescent="0.35">
      <c r="A1160" s="77">
        <v>0.13698630136986301</v>
      </c>
      <c r="B1160" s="19">
        <v>75198</v>
      </c>
      <c r="C1160" s="19" t="s">
        <v>3477</v>
      </c>
      <c r="D1160" s="19" t="s">
        <v>173</v>
      </c>
      <c r="E1160" s="19" t="s">
        <v>174</v>
      </c>
      <c r="F1160" s="19" t="s">
        <v>901</v>
      </c>
      <c r="G1160" s="19" t="s">
        <v>1028</v>
      </c>
      <c r="H1160" s="19" t="s">
        <v>1020</v>
      </c>
      <c r="I1160" s="19" t="s">
        <v>1599</v>
      </c>
      <c r="J1160" s="20">
        <v>24</v>
      </c>
      <c r="K1160" t="s">
        <v>668</v>
      </c>
      <c r="L1160" t="s">
        <v>656</v>
      </c>
      <c r="M1160" t="s">
        <v>657</v>
      </c>
      <c r="N1160" t="s">
        <v>658</v>
      </c>
      <c r="O1160" t="s">
        <v>632</v>
      </c>
    </row>
    <row r="1161" spans="1:15" x14ac:dyDescent="0.35">
      <c r="A1161" s="77">
        <v>3.8328767123287673</v>
      </c>
      <c r="B1161" s="19">
        <v>75253</v>
      </c>
      <c r="C1161" s="19" t="s">
        <v>3478</v>
      </c>
      <c r="D1161" s="19" t="s">
        <v>407</v>
      </c>
      <c r="E1161" s="19" t="s">
        <v>408</v>
      </c>
      <c r="F1161" s="19" t="s">
        <v>1230</v>
      </c>
      <c r="G1161" s="19" t="s">
        <v>1008</v>
      </c>
      <c r="H1161" s="19" t="s">
        <v>1001</v>
      </c>
      <c r="I1161" s="19" t="s">
        <v>1599</v>
      </c>
      <c r="J1161" s="20">
        <v>21</v>
      </c>
      <c r="K1161" t="s">
        <v>636</v>
      </c>
      <c r="L1161" t="s">
        <v>622</v>
      </c>
      <c r="M1161" t="s">
        <v>623</v>
      </c>
      <c r="N1161" t="s">
        <v>624</v>
      </c>
      <c r="O1161" t="s">
        <v>730</v>
      </c>
    </row>
    <row r="1162" spans="1:15" x14ac:dyDescent="0.35">
      <c r="A1162" s="77">
        <v>1.6794520547945206</v>
      </c>
      <c r="B1162" s="19">
        <v>75302</v>
      </c>
      <c r="C1162" s="19" t="s">
        <v>3479</v>
      </c>
      <c r="D1162" s="19" t="s">
        <v>266</v>
      </c>
      <c r="E1162" s="19" t="s">
        <v>267</v>
      </c>
      <c r="F1162" s="19" t="s">
        <v>2070</v>
      </c>
      <c r="G1162" s="19" t="s">
        <v>1028</v>
      </c>
      <c r="H1162" s="19" t="s">
        <v>1020</v>
      </c>
      <c r="I1162" s="19" t="s">
        <v>1575</v>
      </c>
      <c r="J1162" s="20">
        <v>24</v>
      </c>
      <c r="K1162" t="s">
        <v>636</v>
      </c>
      <c r="L1162" t="s">
        <v>634</v>
      </c>
      <c r="M1162" t="s">
        <v>629</v>
      </c>
      <c r="N1162" t="s">
        <v>635</v>
      </c>
      <c r="O1162" t="s">
        <v>637</v>
      </c>
    </row>
    <row r="1163" spans="1:15" x14ac:dyDescent="0.35">
      <c r="A1163" s="77">
        <v>0.24931506849315069</v>
      </c>
      <c r="B1163" s="19">
        <v>75313</v>
      </c>
      <c r="C1163" s="19" t="s">
        <v>3480</v>
      </c>
      <c r="D1163" s="19" t="s">
        <v>260</v>
      </c>
      <c r="E1163" s="19" t="s">
        <v>261</v>
      </c>
      <c r="F1163" s="19" t="s">
        <v>1109</v>
      </c>
      <c r="G1163" s="19" t="s">
        <v>1028</v>
      </c>
      <c r="H1163" s="19" t="s">
        <v>1020</v>
      </c>
      <c r="I1163" s="19" t="s">
        <v>1575</v>
      </c>
      <c r="J1163" s="20">
        <v>23</v>
      </c>
      <c r="K1163" t="s">
        <v>636</v>
      </c>
      <c r="L1163" t="s">
        <v>656</v>
      </c>
      <c r="M1163" t="s">
        <v>657</v>
      </c>
      <c r="N1163" t="s">
        <v>658</v>
      </c>
      <c r="O1163" t="s">
        <v>808</v>
      </c>
    </row>
    <row r="1164" spans="1:15" x14ac:dyDescent="0.35">
      <c r="A1164" s="77">
        <v>3.9178082191780823</v>
      </c>
      <c r="B1164" s="19">
        <v>75351</v>
      </c>
      <c r="C1164" s="19" t="s">
        <v>3481</v>
      </c>
      <c r="D1164" s="19" t="s">
        <v>311</v>
      </c>
      <c r="E1164" s="19" t="s">
        <v>312</v>
      </c>
      <c r="F1164" s="19" t="s">
        <v>1140</v>
      </c>
      <c r="G1164" s="19" t="s">
        <v>1034</v>
      </c>
      <c r="H1164" s="19" t="s">
        <v>1001</v>
      </c>
      <c r="I1164" s="19" t="s">
        <v>1575</v>
      </c>
      <c r="J1164" s="20">
        <v>23</v>
      </c>
      <c r="K1164" t="s">
        <v>631</v>
      </c>
      <c r="L1164" t="s">
        <v>628</v>
      </c>
      <c r="M1164" t="s">
        <v>629</v>
      </c>
      <c r="N1164" t="s">
        <v>630</v>
      </c>
      <c r="O1164" t="s">
        <v>632</v>
      </c>
    </row>
    <row r="1165" spans="1:15" x14ac:dyDescent="0.35">
      <c r="A1165" s="77">
        <v>2.2000000000000002</v>
      </c>
      <c r="B1165" s="19">
        <v>75379</v>
      </c>
      <c r="C1165" s="19" t="s">
        <v>3482</v>
      </c>
      <c r="D1165" s="19" t="s">
        <v>239</v>
      </c>
      <c r="E1165" s="19" t="s">
        <v>240</v>
      </c>
      <c r="F1165" s="19" t="s">
        <v>798</v>
      </c>
      <c r="G1165" s="19" t="s">
        <v>1034</v>
      </c>
      <c r="H1165" s="19" t="s">
        <v>1001</v>
      </c>
      <c r="I1165" s="19" t="s">
        <v>1575</v>
      </c>
      <c r="J1165" s="20">
        <v>27</v>
      </c>
      <c r="K1165" t="s">
        <v>636</v>
      </c>
      <c r="L1165" t="s">
        <v>628</v>
      </c>
      <c r="M1165" t="s">
        <v>629</v>
      </c>
      <c r="N1165" t="s">
        <v>646</v>
      </c>
      <c r="O1165" t="s">
        <v>632</v>
      </c>
    </row>
    <row r="1166" spans="1:15" x14ac:dyDescent="0.35">
      <c r="A1166" s="77">
        <v>0.64657534246575343</v>
      </c>
      <c r="B1166" s="19">
        <v>75383</v>
      </c>
      <c r="C1166" s="19" t="s">
        <v>3483</v>
      </c>
      <c r="D1166" s="19" t="s">
        <v>309</v>
      </c>
      <c r="E1166" s="19" t="s">
        <v>310</v>
      </c>
      <c r="F1166" s="19" t="s">
        <v>1234</v>
      </c>
      <c r="G1166" s="19" t="s">
        <v>1057</v>
      </c>
      <c r="H1166" s="19" t="s">
        <v>1001</v>
      </c>
      <c r="I1166" s="19" t="s">
        <v>1575</v>
      </c>
      <c r="J1166" s="20">
        <v>26</v>
      </c>
      <c r="K1166" t="s">
        <v>668</v>
      </c>
      <c r="L1166" t="s">
        <v>666</v>
      </c>
      <c r="M1166" t="s">
        <v>629</v>
      </c>
      <c r="N1166" t="s">
        <v>635</v>
      </c>
      <c r="O1166" t="s">
        <v>637</v>
      </c>
    </row>
    <row r="1167" spans="1:15" x14ac:dyDescent="0.35">
      <c r="A1167" s="77">
        <v>1.8876712328767122</v>
      </c>
      <c r="B1167" s="19">
        <v>75409</v>
      </c>
      <c r="C1167" s="19" t="s">
        <v>3484</v>
      </c>
      <c r="D1167" s="19" t="s">
        <v>405</v>
      </c>
      <c r="E1167" s="19" t="s">
        <v>406</v>
      </c>
      <c r="F1167" s="19" t="s">
        <v>594</v>
      </c>
      <c r="G1167" s="19" t="s">
        <v>1008</v>
      </c>
      <c r="H1167" s="19" t="s">
        <v>1001</v>
      </c>
      <c r="I1167" s="19" t="s">
        <v>1599</v>
      </c>
      <c r="J1167" s="20">
        <v>26</v>
      </c>
      <c r="K1167" t="s">
        <v>654</v>
      </c>
      <c r="L1167" t="s">
        <v>684</v>
      </c>
      <c r="M1167" t="s">
        <v>623</v>
      </c>
      <c r="N1167" t="s">
        <v>662</v>
      </c>
      <c r="O1167" t="s">
        <v>872</v>
      </c>
    </row>
    <row r="1168" spans="1:15" x14ac:dyDescent="0.35">
      <c r="A1168" s="77">
        <v>0.86849315068493149</v>
      </c>
      <c r="B1168" s="19">
        <v>75444</v>
      </c>
      <c r="C1168" s="19" t="s">
        <v>3485</v>
      </c>
      <c r="D1168" s="19" t="s">
        <v>35</v>
      </c>
      <c r="E1168" s="19" t="s">
        <v>35</v>
      </c>
      <c r="F1168" s="19" t="s">
        <v>1657</v>
      </c>
      <c r="G1168" s="19" t="s">
        <v>1008</v>
      </c>
      <c r="H1168" s="19" t="s">
        <v>1001</v>
      </c>
      <c r="I1168" s="19" t="s">
        <v>1575</v>
      </c>
      <c r="J1168" s="20">
        <v>22</v>
      </c>
      <c r="K1168" t="s">
        <v>654</v>
      </c>
      <c r="L1168" t="s">
        <v>684</v>
      </c>
      <c r="M1168" t="s">
        <v>623</v>
      </c>
      <c r="N1168" t="s">
        <v>662</v>
      </c>
      <c r="O1168" t="s">
        <v>685</v>
      </c>
    </row>
    <row r="1169" spans="1:15" x14ac:dyDescent="0.35">
      <c r="A1169" s="77">
        <v>0.20273972602739726</v>
      </c>
      <c r="B1169" s="19">
        <v>75453</v>
      </c>
      <c r="C1169" s="19" t="s">
        <v>3486</v>
      </c>
      <c r="D1169" s="19" t="s">
        <v>28</v>
      </c>
      <c r="E1169" s="19" t="s">
        <v>28</v>
      </c>
      <c r="F1169" s="19" t="s">
        <v>916</v>
      </c>
      <c r="G1169" s="19" t="s">
        <v>1028</v>
      </c>
      <c r="H1169" s="19" t="s">
        <v>1020</v>
      </c>
      <c r="I1169" s="19" t="s">
        <v>1575</v>
      </c>
      <c r="J1169" s="20">
        <v>27</v>
      </c>
      <c r="K1169" t="s">
        <v>654</v>
      </c>
      <c r="L1169" t="s">
        <v>670</v>
      </c>
      <c r="M1169" t="s">
        <v>657</v>
      </c>
      <c r="N1169" t="s">
        <v>641</v>
      </c>
      <c r="O1169" t="s">
        <v>671</v>
      </c>
    </row>
    <row r="1170" spans="1:15" x14ac:dyDescent="0.35">
      <c r="A1170" s="77">
        <v>3.8657534246575342</v>
      </c>
      <c r="B1170" s="19">
        <v>75475</v>
      </c>
      <c r="C1170" s="19" t="s">
        <v>3487</v>
      </c>
      <c r="D1170" s="19" t="s">
        <v>421</v>
      </c>
      <c r="E1170" s="19" t="s">
        <v>421</v>
      </c>
      <c r="F1170" s="19" t="s">
        <v>698</v>
      </c>
      <c r="G1170" s="19" t="s">
        <v>1045</v>
      </c>
      <c r="H1170" s="19" t="s">
        <v>1001</v>
      </c>
      <c r="I1170" s="19" t="s">
        <v>1575</v>
      </c>
      <c r="J1170" s="20">
        <v>24</v>
      </c>
      <c r="K1170" t="s">
        <v>636</v>
      </c>
      <c r="L1170" t="s">
        <v>678</v>
      </c>
      <c r="M1170" t="s">
        <v>623</v>
      </c>
      <c r="N1170" t="s">
        <v>624</v>
      </c>
      <c r="O1170" t="s">
        <v>679</v>
      </c>
    </row>
    <row r="1171" spans="1:15" x14ac:dyDescent="0.35">
      <c r="A1171" s="77">
        <v>3.9150684931506849</v>
      </c>
      <c r="B1171" s="19">
        <v>75498</v>
      </c>
      <c r="C1171" s="19" t="s">
        <v>3488</v>
      </c>
      <c r="D1171" s="19" t="s">
        <v>237</v>
      </c>
      <c r="E1171" s="19" t="s">
        <v>238</v>
      </c>
      <c r="F1171" s="19" t="s">
        <v>1070</v>
      </c>
      <c r="G1171" s="19" t="s">
        <v>1034</v>
      </c>
      <c r="H1171" s="19" t="s">
        <v>1001</v>
      </c>
      <c r="I1171" s="19" t="s">
        <v>1575</v>
      </c>
      <c r="J1171" s="20">
        <v>22</v>
      </c>
      <c r="K1171" t="s">
        <v>631</v>
      </c>
      <c r="L1171" t="s">
        <v>661</v>
      </c>
      <c r="M1171" t="s">
        <v>657</v>
      </c>
      <c r="N1171" t="s">
        <v>662</v>
      </c>
      <c r="O1171" t="s">
        <v>632</v>
      </c>
    </row>
    <row r="1172" spans="1:15" x14ac:dyDescent="0.35">
      <c r="A1172" s="77">
        <v>0.56986301369863013</v>
      </c>
      <c r="B1172" s="19">
        <v>75515</v>
      </c>
      <c r="C1172" s="19" t="s">
        <v>3489</v>
      </c>
      <c r="D1172" s="19" t="s">
        <v>351</v>
      </c>
      <c r="E1172" s="19" t="s">
        <v>352</v>
      </c>
      <c r="F1172" s="19" t="s">
        <v>1507</v>
      </c>
      <c r="G1172" s="19" t="s">
        <v>1019</v>
      </c>
      <c r="H1172" s="19" t="s">
        <v>1020</v>
      </c>
      <c r="I1172" s="19" t="s">
        <v>1575</v>
      </c>
      <c r="J1172" s="20">
        <v>22</v>
      </c>
      <c r="K1172" t="s">
        <v>636</v>
      </c>
      <c r="L1172" t="s">
        <v>661</v>
      </c>
      <c r="M1172" t="s">
        <v>657</v>
      </c>
      <c r="N1172" t="s">
        <v>662</v>
      </c>
      <c r="O1172" t="s">
        <v>632</v>
      </c>
    </row>
    <row r="1173" spans="1:15" x14ac:dyDescent="0.35">
      <c r="A1173" s="77">
        <v>3.904109589041096</v>
      </c>
      <c r="B1173" s="19">
        <v>75529</v>
      </c>
      <c r="C1173" s="19" t="s">
        <v>3490</v>
      </c>
      <c r="D1173" s="19" t="s">
        <v>278</v>
      </c>
      <c r="E1173" s="19" t="s">
        <v>279</v>
      </c>
      <c r="F1173" s="19" t="s">
        <v>1131</v>
      </c>
      <c r="G1173" s="19" t="s">
        <v>1084</v>
      </c>
      <c r="H1173" s="19" t="s">
        <v>1020</v>
      </c>
      <c r="I1173" s="19" t="s">
        <v>1575</v>
      </c>
      <c r="J1173" s="20">
        <v>23</v>
      </c>
      <c r="K1173" t="s">
        <v>625</v>
      </c>
      <c r="L1173" t="s">
        <v>661</v>
      </c>
      <c r="M1173" t="s">
        <v>657</v>
      </c>
      <c r="N1173" t="s">
        <v>662</v>
      </c>
      <c r="O1173" t="s">
        <v>632</v>
      </c>
    </row>
    <row r="1174" spans="1:15" x14ac:dyDescent="0.35">
      <c r="A1174" s="77">
        <v>0.9452054794520548</v>
      </c>
      <c r="B1174" s="19">
        <v>75547</v>
      </c>
      <c r="C1174" s="19" t="s">
        <v>3491</v>
      </c>
      <c r="D1174" s="19" t="s">
        <v>62</v>
      </c>
      <c r="E1174" s="19" t="s">
        <v>63</v>
      </c>
      <c r="F1174" s="19" t="s">
        <v>1228</v>
      </c>
      <c r="G1174" s="19" t="s">
        <v>1028</v>
      </c>
      <c r="H1174" s="19" t="s">
        <v>1020</v>
      </c>
      <c r="I1174" s="19" t="s">
        <v>1575</v>
      </c>
      <c r="J1174" s="20">
        <v>20</v>
      </c>
      <c r="K1174" t="s">
        <v>636</v>
      </c>
      <c r="L1174" t="s">
        <v>645</v>
      </c>
      <c r="M1174" t="s">
        <v>629</v>
      </c>
      <c r="N1174" t="s">
        <v>646</v>
      </c>
      <c r="O1174" t="s">
        <v>632</v>
      </c>
    </row>
    <row r="1175" spans="1:15" x14ac:dyDescent="0.35">
      <c r="A1175" s="77">
        <v>0.77808219178082194</v>
      </c>
      <c r="B1175" s="19">
        <v>75572</v>
      </c>
      <c r="C1175" s="19" t="s">
        <v>3492</v>
      </c>
      <c r="D1175" s="19" t="s">
        <v>218</v>
      </c>
      <c r="E1175" s="19" t="s">
        <v>219</v>
      </c>
      <c r="F1175" s="19" t="s">
        <v>1372</v>
      </c>
      <c r="G1175" s="19" t="s">
        <v>1008</v>
      </c>
      <c r="H1175" s="19" t="s">
        <v>1001</v>
      </c>
      <c r="I1175" s="19" t="s">
        <v>1575</v>
      </c>
      <c r="J1175" s="20">
        <v>24</v>
      </c>
      <c r="K1175" t="s">
        <v>625</v>
      </c>
      <c r="L1175" t="s">
        <v>661</v>
      </c>
      <c r="M1175" t="s">
        <v>657</v>
      </c>
      <c r="N1175" t="s">
        <v>662</v>
      </c>
      <c r="O1175" t="s">
        <v>632</v>
      </c>
    </row>
    <row r="1176" spans="1:15" x14ac:dyDescent="0.35">
      <c r="A1176" s="77">
        <v>3.904109589041096</v>
      </c>
      <c r="B1176" s="19">
        <v>75623</v>
      </c>
      <c r="C1176" s="19" t="s">
        <v>3493</v>
      </c>
      <c r="D1176" s="19" t="s">
        <v>417</v>
      </c>
      <c r="E1176" s="19" t="s">
        <v>417</v>
      </c>
      <c r="F1176" s="19" t="s">
        <v>418</v>
      </c>
      <c r="G1176" s="19" t="s">
        <v>1008</v>
      </c>
      <c r="H1176" s="19" t="s">
        <v>1001</v>
      </c>
      <c r="I1176" s="19" t="s">
        <v>1575</v>
      </c>
      <c r="J1176" s="20">
        <v>24</v>
      </c>
      <c r="K1176" t="s">
        <v>654</v>
      </c>
      <c r="L1176" t="s">
        <v>684</v>
      </c>
      <c r="M1176" t="s">
        <v>623</v>
      </c>
      <c r="N1176" t="s">
        <v>662</v>
      </c>
      <c r="O1176" t="s">
        <v>687</v>
      </c>
    </row>
    <row r="1177" spans="1:15" x14ac:dyDescent="0.35">
      <c r="A1177" s="77">
        <v>0.60821917808219184</v>
      </c>
      <c r="B1177" s="19">
        <v>75660</v>
      </c>
      <c r="C1177" s="19" t="s">
        <v>3494</v>
      </c>
      <c r="D1177" s="19" t="s">
        <v>193</v>
      </c>
      <c r="E1177" s="19" t="s">
        <v>194</v>
      </c>
      <c r="F1177" s="19" t="s">
        <v>2422</v>
      </c>
      <c r="G1177" s="19" t="s">
        <v>1028</v>
      </c>
      <c r="H1177" s="19" t="s">
        <v>1020</v>
      </c>
      <c r="I1177" s="19" t="s">
        <v>1599</v>
      </c>
      <c r="J1177" s="20">
        <v>26</v>
      </c>
      <c r="K1177" t="s">
        <v>654</v>
      </c>
      <c r="L1177" t="s">
        <v>670</v>
      </c>
      <c r="M1177" t="s">
        <v>657</v>
      </c>
      <c r="N1177" t="s">
        <v>641</v>
      </c>
      <c r="O1177" t="s">
        <v>676</v>
      </c>
    </row>
    <row r="1178" spans="1:15" x14ac:dyDescent="0.35">
      <c r="A1178" s="77">
        <v>3.8575342465753426</v>
      </c>
      <c r="B1178" s="19">
        <v>75697</v>
      </c>
      <c r="C1178" s="19" t="s">
        <v>3495</v>
      </c>
      <c r="D1178" s="19" t="s">
        <v>165</v>
      </c>
      <c r="E1178" s="19" t="s">
        <v>166</v>
      </c>
      <c r="F1178" s="19" t="s">
        <v>1238</v>
      </c>
      <c r="G1178" s="19" t="s">
        <v>1008</v>
      </c>
      <c r="H1178" s="19" t="s">
        <v>1001</v>
      </c>
      <c r="I1178" s="19" t="s">
        <v>1575</v>
      </c>
      <c r="J1178" s="20">
        <v>28</v>
      </c>
      <c r="K1178" t="s">
        <v>636</v>
      </c>
      <c r="L1178" t="s">
        <v>648</v>
      </c>
      <c r="M1178" t="s">
        <v>623</v>
      </c>
      <c r="N1178" t="s">
        <v>624</v>
      </c>
      <c r="O1178" t="s">
        <v>649</v>
      </c>
    </row>
    <row r="1179" spans="1:15" x14ac:dyDescent="0.35">
      <c r="A1179" s="77">
        <v>3.8465753424657536</v>
      </c>
      <c r="B1179" s="19">
        <v>75717</v>
      </c>
      <c r="C1179" s="19" t="s">
        <v>3496</v>
      </c>
      <c r="D1179" s="19" t="s">
        <v>318</v>
      </c>
      <c r="E1179" s="19" t="s">
        <v>319</v>
      </c>
      <c r="F1179" s="19" t="s">
        <v>1266</v>
      </c>
      <c r="G1179" s="19" t="s">
        <v>1045</v>
      </c>
      <c r="H1179" s="19" t="s">
        <v>1001</v>
      </c>
      <c r="I1179" s="19" t="s">
        <v>1575</v>
      </c>
      <c r="J1179" s="20">
        <v>28</v>
      </c>
      <c r="K1179" t="s">
        <v>625</v>
      </c>
      <c r="L1179" t="s">
        <v>678</v>
      </c>
      <c r="M1179" t="s">
        <v>623</v>
      </c>
      <c r="N1179" t="s">
        <v>624</v>
      </c>
      <c r="O1179" t="s">
        <v>679</v>
      </c>
    </row>
    <row r="1180" spans="1:15" x14ac:dyDescent="0.35">
      <c r="A1180" s="77">
        <v>1.6410958904109589</v>
      </c>
      <c r="B1180" s="19">
        <v>75751</v>
      </c>
      <c r="C1180" s="19" t="s">
        <v>3497</v>
      </c>
      <c r="D1180" s="19" t="s">
        <v>113</v>
      </c>
      <c r="E1180" s="19" t="s">
        <v>114</v>
      </c>
      <c r="F1180" s="19" t="s">
        <v>1871</v>
      </c>
      <c r="G1180" s="19" t="s">
        <v>1028</v>
      </c>
      <c r="H1180" s="19" t="s">
        <v>1020</v>
      </c>
      <c r="I1180" s="19" t="s">
        <v>1575</v>
      </c>
      <c r="J1180" s="20">
        <v>23</v>
      </c>
      <c r="K1180" t="s">
        <v>654</v>
      </c>
      <c r="L1180" t="s">
        <v>661</v>
      </c>
      <c r="M1180" t="s">
        <v>657</v>
      </c>
      <c r="N1180" t="s">
        <v>662</v>
      </c>
      <c r="O1180" t="s">
        <v>632</v>
      </c>
    </row>
    <row r="1181" spans="1:15" x14ac:dyDescent="0.35">
      <c r="A1181" s="77">
        <v>3.8465753424657536</v>
      </c>
      <c r="B1181" s="19">
        <v>75752</v>
      </c>
      <c r="C1181" s="19" t="s">
        <v>3498</v>
      </c>
      <c r="D1181" s="19" t="s">
        <v>403</v>
      </c>
      <c r="E1181" s="19" t="s">
        <v>404</v>
      </c>
      <c r="F1181" s="19" t="s">
        <v>870</v>
      </c>
      <c r="G1181" s="19" t="s">
        <v>1046</v>
      </c>
      <c r="H1181" s="19" t="s">
        <v>1001</v>
      </c>
      <c r="I1181" s="19" t="s">
        <v>1575</v>
      </c>
      <c r="J1181" s="20">
        <v>22</v>
      </c>
      <c r="K1181" t="s">
        <v>631</v>
      </c>
      <c r="L1181" t="s">
        <v>691</v>
      </c>
      <c r="M1181" t="s">
        <v>657</v>
      </c>
      <c r="N1181" t="s">
        <v>658</v>
      </c>
      <c r="O1181" t="s">
        <v>632</v>
      </c>
    </row>
    <row r="1182" spans="1:15" x14ac:dyDescent="0.35">
      <c r="A1182" s="77">
        <v>3.8328767123287673</v>
      </c>
      <c r="B1182" s="19">
        <v>75808</v>
      </c>
      <c r="C1182" s="19" t="s">
        <v>3499</v>
      </c>
      <c r="D1182" s="19" t="s">
        <v>393</v>
      </c>
      <c r="E1182" s="19" t="s">
        <v>394</v>
      </c>
      <c r="F1182" s="19" t="s">
        <v>865</v>
      </c>
      <c r="G1182" s="19" t="s">
        <v>1008</v>
      </c>
      <c r="H1182" s="19" t="s">
        <v>1001</v>
      </c>
      <c r="I1182" s="19" t="s">
        <v>1599</v>
      </c>
      <c r="J1182" s="20">
        <v>24</v>
      </c>
      <c r="K1182" t="s">
        <v>631</v>
      </c>
      <c r="L1182" t="s">
        <v>684</v>
      </c>
      <c r="M1182" t="s">
        <v>623</v>
      </c>
      <c r="N1182" t="s">
        <v>662</v>
      </c>
      <c r="O1182" t="s">
        <v>685</v>
      </c>
    </row>
    <row r="1183" spans="1:15" x14ac:dyDescent="0.35">
      <c r="A1183" s="77">
        <v>3.8328767123287673</v>
      </c>
      <c r="B1183" s="19">
        <v>75809</v>
      </c>
      <c r="C1183" s="19" t="s">
        <v>3500</v>
      </c>
      <c r="D1183" s="19" t="s">
        <v>201</v>
      </c>
      <c r="E1183" s="19" t="s">
        <v>202</v>
      </c>
      <c r="F1183" s="19" t="s">
        <v>1061</v>
      </c>
      <c r="G1183" s="19" t="s">
        <v>1034</v>
      </c>
      <c r="H1183" s="19" t="s">
        <v>1001</v>
      </c>
      <c r="I1183" s="19" t="s">
        <v>1575</v>
      </c>
      <c r="J1183" s="20">
        <v>29</v>
      </c>
      <c r="K1183" t="s">
        <v>631</v>
      </c>
      <c r="L1183" t="s">
        <v>628</v>
      </c>
      <c r="M1183" t="s">
        <v>629</v>
      </c>
      <c r="N1183" t="s">
        <v>630</v>
      </c>
      <c r="O1183" t="s">
        <v>784</v>
      </c>
    </row>
    <row r="1184" spans="1:15" x14ac:dyDescent="0.35">
      <c r="A1184" s="77">
        <v>3.8301369863013699</v>
      </c>
      <c r="B1184" s="19">
        <v>75819</v>
      </c>
      <c r="C1184" s="19" t="s">
        <v>3501</v>
      </c>
      <c r="D1184" s="19" t="s">
        <v>89</v>
      </c>
      <c r="E1184" s="19" t="s">
        <v>90</v>
      </c>
      <c r="F1184" s="19" t="s">
        <v>1217</v>
      </c>
      <c r="G1184" s="19" t="s">
        <v>1057</v>
      </c>
      <c r="H1184" s="19" t="s">
        <v>1001</v>
      </c>
      <c r="I1184" s="19" t="s">
        <v>1575</v>
      </c>
      <c r="J1184" s="20">
        <v>25</v>
      </c>
      <c r="K1184" t="s">
        <v>636</v>
      </c>
      <c r="L1184" t="s">
        <v>666</v>
      </c>
      <c r="M1184" t="s">
        <v>629</v>
      </c>
      <c r="N1184" t="s">
        <v>635</v>
      </c>
      <c r="O1184" t="s">
        <v>637</v>
      </c>
    </row>
    <row r="1185" spans="1:15" x14ac:dyDescent="0.35">
      <c r="A1185" s="77">
        <v>3.8301369863013699</v>
      </c>
      <c r="B1185" s="19">
        <v>75869</v>
      </c>
      <c r="C1185" s="19" t="s">
        <v>3502</v>
      </c>
      <c r="D1185" s="19" t="s">
        <v>284</v>
      </c>
      <c r="E1185" s="19" t="s">
        <v>285</v>
      </c>
      <c r="F1185" s="19" t="s">
        <v>1150</v>
      </c>
      <c r="G1185" s="19" t="s">
        <v>1084</v>
      </c>
      <c r="H1185" s="19" t="s">
        <v>1020</v>
      </c>
      <c r="I1185" s="19" t="s">
        <v>1599</v>
      </c>
      <c r="J1185" s="20">
        <v>36</v>
      </c>
      <c r="K1185" t="s">
        <v>625</v>
      </c>
      <c r="L1185" t="s">
        <v>661</v>
      </c>
      <c r="M1185" t="s">
        <v>657</v>
      </c>
      <c r="N1185" t="s">
        <v>662</v>
      </c>
      <c r="O1185" t="s">
        <v>632</v>
      </c>
    </row>
    <row r="1186" spans="1:15" x14ac:dyDescent="0.35">
      <c r="A1186" s="77">
        <v>3.8191780821917809</v>
      </c>
      <c r="B1186" s="19">
        <v>75902</v>
      </c>
      <c r="C1186" s="19" t="s">
        <v>3503</v>
      </c>
      <c r="D1186" s="19" t="s">
        <v>208</v>
      </c>
      <c r="E1186" s="19" t="s">
        <v>209</v>
      </c>
      <c r="F1186" s="19" t="s">
        <v>1444</v>
      </c>
      <c r="G1186" s="19" t="s">
        <v>1046</v>
      </c>
      <c r="H1186" s="19" t="s">
        <v>1001</v>
      </c>
      <c r="I1186" s="19" t="s">
        <v>1575</v>
      </c>
      <c r="J1186" s="20">
        <v>23</v>
      </c>
      <c r="K1186" t="s">
        <v>636</v>
      </c>
      <c r="L1186" t="s">
        <v>640</v>
      </c>
      <c r="M1186" t="s">
        <v>623</v>
      </c>
      <c r="N1186" t="s">
        <v>624</v>
      </c>
      <c r="O1186" t="s">
        <v>787</v>
      </c>
    </row>
    <row r="1187" spans="1:15" x14ac:dyDescent="0.35">
      <c r="A1187" s="77">
        <v>3.8054794520547945</v>
      </c>
      <c r="B1187" s="19">
        <v>75956</v>
      </c>
      <c r="C1187" s="19" t="s">
        <v>3504</v>
      </c>
      <c r="D1187" s="19" t="s">
        <v>78</v>
      </c>
      <c r="E1187" s="19" t="s">
        <v>79</v>
      </c>
      <c r="F1187" s="19" t="s">
        <v>1107</v>
      </c>
      <c r="G1187" s="19" t="s">
        <v>1034</v>
      </c>
      <c r="H1187" s="19" t="s">
        <v>1001</v>
      </c>
      <c r="I1187" s="19" t="s">
        <v>1575</v>
      </c>
      <c r="J1187" s="20">
        <v>24</v>
      </c>
      <c r="K1187" t="s">
        <v>654</v>
      </c>
      <c r="L1187" t="s">
        <v>661</v>
      </c>
      <c r="M1187" t="s">
        <v>657</v>
      </c>
      <c r="N1187" t="s">
        <v>658</v>
      </c>
      <c r="O1187" t="s">
        <v>632</v>
      </c>
    </row>
    <row r="1188" spans="1:15" x14ac:dyDescent="0.35">
      <c r="A1188" s="77">
        <v>2.9013698630136986</v>
      </c>
      <c r="B1188" s="19">
        <v>76000</v>
      </c>
      <c r="C1188" s="19" t="s">
        <v>3505</v>
      </c>
      <c r="D1188" s="19" t="s">
        <v>95</v>
      </c>
      <c r="E1188" s="19" t="s">
        <v>96</v>
      </c>
      <c r="F1188" s="19" t="s">
        <v>1188</v>
      </c>
      <c r="G1188" s="19" t="s">
        <v>1008</v>
      </c>
      <c r="H1188" s="19" t="s">
        <v>1001</v>
      </c>
      <c r="I1188" s="19" t="s">
        <v>1575</v>
      </c>
      <c r="J1188" s="20">
        <v>22</v>
      </c>
      <c r="K1188" t="s">
        <v>636</v>
      </c>
      <c r="L1188" t="s">
        <v>737</v>
      </c>
      <c r="M1188" t="s">
        <v>657</v>
      </c>
      <c r="N1188" t="s">
        <v>641</v>
      </c>
      <c r="O1188" t="s">
        <v>738</v>
      </c>
    </row>
    <row r="1189" spans="1:15" x14ac:dyDescent="0.35">
      <c r="A1189" s="77">
        <v>0.24931506849315069</v>
      </c>
      <c r="B1189" s="19">
        <v>76003</v>
      </c>
      <c r="C1189" s="19" t="s">
        <v>3506</v>
      </c>
      <c r="D1189" s="19" t="s">
        <v>428</v>
      </c>
      <c r="E1189" s="19" t="s">
        <v>428</v>
      </c>
      <c r="F1189" s="19" t="s">
        <v>1063</v>
      </c>
      <c r="G1189" s="19" t="s">
        <v>1057</v>
      </c>
      <c r="H1189" s="19" t="s">
        <v>1001</v>
      </c>
      <c r="I1189" s="19" t="s">
        <v>1575</v>
      </c>
      <c r="J1189" s="20">
        <v>33</v>
      </c>
      <c r="K1189" t="s">
        <v>668</v>
      </c>
      <c r="L1189" t="s">
        <v>656</v>
      </c>
      <c r="M1189" t="s">
        <v>657</v>
      </c>
      <c r="N1189" t="s">
        <v>658</v>
      </c>
      <c r="O1189" t="s">
        <v>632</v>
      </c>
    </row>
    <row r="1190" spans="1:15" x14ac:dyDescent="0.35">
      <c r="A1190" s="77">
        <v>3.7917808219178082</v>
      </c>
      <c r="B1190" s="19">
        <v>76058</v>
      </c>
      <c r="C1190" s="19" t="s">
        <v>3507</v>
      </c>
      <c r="D1190" s="19" t="s">
        <v>100</v>
      </c>
      <c r="E1190" s="19" t="s">
        <v>101</v>
      </c>
      <c r="F1190" s="19" t="s">
        <v>2786</v>
      </c>
      <c r="G1190" s="19" t="s">
        <v>3508</v>
      </c>
      <c r="H1190" s="19" t="s">
        <v>1020</v>
      </c>
      <c r="I1190" s="19" t="s">
        <v>1575</v>
      </c>
      <c r="J1190" s="20">
        <v>17</v>
      </c>
      <c r="K1190" t="s">
        <v>654</v>
      </c>
      <c r="L1190" t="s">
        <v>651</v>
      </c>
      <c r="M1190" t="s">
        <v>629</v>
      </c>
      <c r="N1190" t="s">
        <v>630</v>
      </c>
      <c r="O1190" t="s">
        <v>705</v>
      </c>
    </row>
    <row r="1191" spans="1:15" x14ac:dyDescent="0.35">
      <c r="A1191" s="77">
        <v>2.1917808219178082E-2</v>
      </c>
      <c r="B1191" s="19">
        <v>76079</v>
      </c>
      <c r="C1191" s="19" t="s">
        <v>1647</v>
      </c>
      <c r="D1191" s="19" t="s">
        <v>45</v>
      </c>
      <c r="E1191" s="19" t="s">
        <v>46</v>
      </c>
      <c r="F1191" s="19" t="s">
        <v>1122</v>
      </c>
      <c r="G1191" s="19" t="s">
        <v>1008</v>
      </c>
      <c r="H1191" s="19" t="s">
        <v>1001</v>
      </c>
      <c r="I1191" s="19" t="s">
        <v>1575</v>
      </c>
      <c r="J1191" s="20">
        <v>27</v>
      </c>
      <c r="K1191" t="s">
        <v>631</v>
      </c>
      <c r="L1191" t="s">
        <v>651</v>
      </c>
      <c r="M1191" t="s">
        <v>629</v>
      </c>
      <c r="N1191" t="s">
        <v>630</v>
      </c>
      <c r="O1191" t="s">
        <v>705</v>
      </c>
    </row>
    <row r="1192" spans="1:15" x14ac:dyDescent="0.35">
      <c r="A1192" s="77">
        <v>0.62465753424657533</v>
      </c>
      <c r="B1192" s="19">
        <v>76165</v>
      </c>
      <c r="C1192" s="19" t="s">
        <v>3509</v>
      </c>
      <c r="D1192" s="19" t="s">
        <v>159</v>
      </c>
      <c r="E1192" s="19" t="s">
        <v>160</v>
      </c>
      <c r="F1192" s="19" t="s">
        <v>1488</v>
      </c>
      <c r="G1192" s="19" t="s">
        <v>3508</v>
      </c>
      <c r="H1192" s="19" t="s">
        <v>1020</v>
      </c>
      <c r="I1192" s="19" t="s">
        <v>1599</v>
      </c>
      <c r="J1192" s="20">
        <v>18</v>
      </c>
      <c r="K1192" t="s">
        <v>654</v>
      </c>
      <c r="L1192" t="s">
        <v>678</v>
      </c>
      <c r="M1192" t="s">
        <v>623</v>
      </c>
      <c r="N1192" t="s">
        <v>624</v>
      </c>
      <c r="O1192" t="s">
        <v>679</v>
      </c>
    </row>
    <row r="1193" spans="1:15" x14ac:dyDescent="0.35">
      <c r="A1193" s="77">
        <v>3.7671232876712328</v>
      </c>
      <c r="B1193" s="19">
        <v>76168</v>
      </c>
      <c r="C1193" s="19" t="s">
        <v>3510</v>
      </c>
      <c r="D1193" s="19" t="s">
        <v>313</v>
      </c>
      <c r="E1193" s="19" t="s">
        <v>314</v>
      </c>
      <c r="F1193" s="19" t="s">
        <v>1401</v>
      </c>
      <c r="G1193" s="19" t="s">
        <v>1008</v>
      </c>
      <c r="H1193" s="19" t="s">
        <v>1001</v>
      </c>
      <c r="I1193" s="19" t="s">
        <v>1599</v>
      </c>
      <c r="J1193" s="20">
        <v>32</v>
      </c>
      <c r="K1193" t="s">
        <v>654</v>
      </c>
      <c r="L1193" t="s">
        <v>666</v>
      </c>
      <c r="M1193" t="s">
        <v>629</v>
      </c>
      <c r="N1193" t="s">
        <v>635</v>
      </c>
      <c r="O1193" t="s">
        <v>637</v>
      </c>
    </row>
    <row r="1194" spans="1:15" x14ac:dyDescent="0.35">
      <c r="A1194" s="77">
        <v>3.7643835616438355</v>
      </c>
      <c r="B1194" s="19">
        <v>76170</v>
      </c>
      <c r="C1194" s="19" t="s">
        <v>3511</v>
      </c>
      <c r="D1194" s="19" t="s">
        <v>243</v>
      </c>
      <c r="E1194" s="19" t="s">
        <v>244</v>
      </c>
      <c r="F1194" s="19" t="s">
        <v>1318</v>
      </c>
      <c r="G1194" s="19" t="s">
        <v>1158</v>
      </c>
      <c r="H1194" s="19" t="s">
        <v>1001</v>
      </c>
      <c r="I1194" s="19" t="s">
        <v>1575</v>
      </c>
      <c r="J1194" s="20">
        <v>22</v>
      </c>
      <c r="K1194" t="s">
        <v>631</v>
      </c>
      <c r="L1194" t="s">
        <v>707</v>
      </c>
      <c r="M1194" t="s">
        <v>629</v>
      </c>
      <c r="N1194" t="s">
        <v>635</v>
      </c>
      <c r="O1194" t="s">
        <v>710</v>
      </c>
    </row>
    <row r="1195" spans="1:15" x14ac:dyDescent="0.35">
      <c r="A1195" s="77">
        <v>2.3698630136986303</v>
      </c>
      <c r="B1195" s="19">
        <v>76185</v>
      </c>
      <c r="C1195" s="19" t="s">
        <v>3512</v>
      </c>
      <c r="D1195" s="19" t="s">
        <v>349</v>
      </c>
      <c r="E1195" s="19" t="s">
        <v>350</v>
      </c>
      <c r="F1195" s="19" t="s">
        <v>912</v>
      </c>
      <c r="G1195" s="19" t="s">
        <v>1084</v>
      </c>
      <c r="H1195" s="19" t="s">
        <v>1001</v>
      </c>
      <c r="I1195" s="19" t="s">
        <v>1599</v>
      </c>
      <c r="J1195" s="20">
        <v>31</v>
      </c>
      <c r="K1195" t="s">
        <v>625</v>
      </c>
      <c r="L1195" t="s">
        <v>648</v>
      </c>
      <c r="M1195" t="s">
        <v>623</v>
      </c>
      <c r="N1195" t="s">
        <v>624</v>
      </c>
      <c r="O1195" t="s">
        <v>649</v>
      </c>
    </row>
    <row r="1196" spans="1:15" x14ac:dyDescent="0.35">
      <c r="A1196" s="77">
        <v>3.7863013698630139</v>
      </c>
      <c r="B1196" s="19">
        <v>76186</v>
      </c>
      <c r="C1196" s="19" t="s">
        <v>3513</v>
      </c>
      <c r="D1196" s="19" t="s">
        <v>222</v>
      </c>
      <c r="E1196" s="19" t="s">
        <v>223</v>
      </c>
      <c r="F1196" s="19" t="s">
        <v>1660</v>
      </c>
      <c r="G1196" s="19" t="s">
        <v>1008</v>
      </c>
      <c r="H1196" s="19" t="s">
        <v>1001</v>
      </c>
      <c r="I1196" s="19" t="s">
        <v>1575</v>
      </c>
      <c r="J1196" s="20">
        <v>24</v>
      </c>
      <c r="K1196" t="s">
        <v>642</v>
      </c>
      <c r="L1196" t="s">
        <v>684</v>
      </c>
      <c r="M1196" t="s">
        <v>623</v>
      </c>
      <c r="N1196" t="s">
        <v>662</v>
      </c>
      <c r="O1196" t="s">
        <v>792</v>
      </c>
    </row>
    <row r="1197" spans="1:15" x14ac:dyDescent="0.35">
      <c r="A1197" s="77">
        <v>2.6164383561643834</v>
      </c>
      <c r="B1197" s="19">
        <v>76215</v>
      </c>
      <c r="C1197" s="19" t="s">
        <v>3514</v>
      </c>
      <c r="D1197" s="19" t="s">
        <v>252</v>
      </c>
      <c r="E1197" s="19" t="s">
        <v>253</v>
      </c>
      <c r="F1197" s="19" t="s">
        <v>914</v>
      </c>
      <c r="G1197" s="19" t="s">
        <v>1008</v>
      </c>
      <c r="H1197" s="19" t="s">
        <v>1001</v>
      </c>
      <c r="I1197" s="19" t="s">
        <v>1599</v>
      </c>
      <c r="J1197" s="20">
        <v>25</v>
      </c>
      <c r="K1197" t="s">
        <v>636</v>
      </c>
      <c r="L1197" t="s">
        <v>656</v>
      </c>
      <c r="M1197" t="s">
        <v>657</v>
      </c>
      <c r="N1197" t="s">
        <v>658</v>
      </c>
      <c r="O1197" t="s">
        <v>718</v>
      </c>
    </row>
    <row r="1198" spans="1:15" x14ac:dyDescent="0.35">
      <c r="A1198" s="77">
        <v>3.7479452054794522</v>
      </c>
      <c r="B1198" s="19">
        <v>76262</v>
      </c>
      <c r="C1198" s="19" t="s">
        <v>3515</v>
      </c>
      <c r="D1198" s="19" t="s">
        <v>335</v>
      </c>
      <c r="E1198" s="19" t="s">
        <v>336</v>
      </c>
      <c r="F1198" s="19" t="s">
        <v>841</v>
      </c>
      <c r="G1198" s="19" t="s">
        <v>1046</v>
      </c>
      <c r="H1198" s="19" t="s">
        <v>1001</v>
      </c>
      <c r="I1198" s="19" t="s">
        <v>1575</v>
      </c>
      <c r="J1198" s="20">
        <v>29</v>
      </c>
      <c r="K1198" t="s">
        <v>636</v>
      </c>
      <c r="L1198" t="s">
        <v>622</v>
      </c>
      <c r="M1198" t="s">
        <v>623</v>
      </c>
      <c r="N1198" t="s">
        <v>624</v>
      </c>
      <c r="O1198" t="s">
        <v>649</v>
      </c>
    </row>
    <row r="1199" spans="1:15" x14ac:dyDescent="0.35">
      <c r="A1199" s="77">
        <v>1.9698630136986301</v>
      </c>
      <c r="B1199" s="19">
        <v>76292</v>
      </c>
      <c r="C1199" s="19" t="s">
        <v>3516</v>
      </c>
      <c r="D1199" s="19" t="s">
        <v>337</v>
      </c>
      <c r="E1199" s="19" t="s">
        <v>338</v>
      </c>
      <c r="F1199" s="19" t="s">
        <v>2642</v>
      </c>
      <c r="G1199" s="19" t="s">
        <v>1046</v>
      </c>
      <c r="H1199" s="19" t="s">
        <v>1001</v>
      </c>
      <c r="I1199" s="19" t="s">
        <v>1575</v>
      </c>
      <c r="J1199" s="20">
        <v>23</v>
      </c>
      <c r="K1199" t="s">
        <v>668</v>
      </c>
      <c r="L1199" t="s">
        <v>656</v>
      </c>
      <c r="M1199" t="s">
        <v>657</v>
      </c>
      <c r="N1199" t="s">
        <v>658</v>
      </c>
      <c r="O1199" t="s">
        <v>843</v>
      </c>
    </row>
    <row r="1200" spans="1:15" x14ac:dyDescent="0.35">
      <c r="A1200" s="77">
        <v>3.7315068493150685</v>
      </c>
      <c r="B1200" s="19">
        <v>76308</v>
      </c>
      <c r="C1200" s="19" t="s">
        <v>3517</v>
      </c>
      <c r="D1200" s="19" t="s">
        <v>276</v>
      </c>
      <c r="E1200" s="19" t="s">
        <v>277</v>
      </c>
      <c r="F1200" s="19" t="s">
        <v>893</v>
      </c>
      <c r="G1200" s="19" t="s">
        <v>1008</v>
      </c>
      <c r="H1200" s="19" t="s">
        <v>1001</v>
      </c>
      <c r="I1200" s="19" t="s">
        <v>1575</v>
      </c>
      <c r="J1200" s="20">
        <v>23</v>
      </c>
      <c r="K1200" t="s">
        <v>631</v>
      </c>
      <c r="L1200" t="s">
        <v>707</v>
      </c>
      <c r="M1200" t="s">
        <v>629</v>
      </c>
      <c r="N1200" t="s">
        <v>635</v>
      </c>
      <c r="O1200" t="s">
        <v>710</v>
      </c>
    </row>
    <row r="1201" spans="1:15" x14ac:dyDescent="0.35">
      <c r="A1201" s="77">
        <v>3.7287671232876711</v>
      </c>
      <c r="B1201" s="19">
        <v>76310</v>
      </c>
      <c r="C1201" s="19" t="s">
        <v>3518</v>
      </c>
      <c r="D1201" s="19" t="s">
        <v>153</v>
      </c>
      <c r="E1201" s="19" t="s">
        <v>154</v>
      </c>
      <c r="F1201" s="19" t="s">
        <v>2384</v>
      </c>
      <c r="G1201" s="19" t="s">
        <v>1008</v>
      </c>
      <c r="H1201" s="19" t="s">
        <v>1001</v>
      </c>
      <c r="I1201" s="19" t="s">
        <v>1575</v>
      </c>
      <c r="J1201" s="20">
        <v>25</v>
      </c>
      <c r="K1201" t="s">
        <v>654</v>
      </c>
      <c r="L1201" t="s">
        <v>762</v>
      </c>
      <c r="M1201" t="s">
        <v>629</v>
      </c>
      <c r="N1201" t="s">
        <v>646</v>
      </c>
      <c r="O1201" t="s">
        <v>763</v>
      </c>
    </row>
    <row r="1202" spans="1:15" x14ac:dyDescent="0.35">
      <c r="A1202" s="77">
        <v>3.7260273972602738</v>
      </c>
      <c r="B1202" s="19">
        <v>76328</v>
      </c>
      <c r="C1202" s="19" t="s">
        <v>3519</v>
      </c>
      <c r="D1202" s="19" t="s">
        <v>286</v>
      </c>
      <c r="E1202" s="19" t="s">
        <v>287</v>
      </c>
      <c r="F1202" s="19" t="s">
        <v>1675</v>
      </c>
      <c r="G1202" s="19" t="s">
        <v>1084</v>
      </c>
      <c r="H1202" s="19" t="s">
        <v>1001</v>
      </c>
      <c r="I1202" s="19" t="s">
        <v>1599</v>
      </c>
      <c r="J1202" s="20">
        <v>35</v>
      </c>
      <c r="K1202" t="s">
        <v>668</v>
      </c>
      <c r="L1202" t="s">
        <v>640</v>
      </c>
      <c r="M1202" t="s">
        <v>623</v>
      </c>
      <c r="N1202" t="s">
        <v>641</v>
      </c>
      <c r="O1202" t="s">
        <v>754</v>
      </c>
    </row>
    <row r="1203" spans="1:15" x14ac:dyDescent="0.35">
      <c r="A1203" s="77">
        <v>3.7479452054794522</v>
      </c>
      <c r="B1203" s="19">
        <v>76345</v>
      </c>
      <c r="C1203" s="19" t="s">
        <v>3520</v>
      </c>
      <c r="D1203" s="19" t="s">
        <v>60</v>
      </c>
      <c r="E1203" s="19" t="s">
        <v>61</v>
      </c>
      <c r="F1203" s="19" t="s">
        <v>1119</v>
      </c>
      <c r="G1203" s="19" t="s">
        <v>1028</v>
      </c>
      <c r="H1203" s="19" t="s">
        <v>1020</v>
      </c>
      <c r="I1203" s="19" t="s">
        <v>1575</v>
      </c>
      <c r="J1203" s="20">
        <v>25</v>
      </c>
      <c r="K1203" t="s">
        <v>654</v>
      </c>
      <c r="L1203" t="s">
        <v>651</v>
      </c>
      <c r="M1203" t="s">
        <v>629</v>
      </c>
      <c r="N1203" t="s">
        <v>630</v>
      </c>
      <c r="O1203" t="s">
        <v>705</v>
      </c>
    </row>
    <row r="1204" spans="1:15" x14ac:dyDescent="0.35">
      <c r="A1204" s="77">
        <v>3.7452054794520548</v>
      </c>
      <c r="B1204" s="19">
        <v>76369</v>
      </c>
      <c r="C1204" s="19" t="s">
        <v>3521</v>
      </c>
      <c r="D1204" s="19" t="s">
        <v>290</v>
      </c>
      <c r="E1204" s="19" t="s">
        <v>291</v>
      </c>
      <c r="F1204" s="19" t="s">
        <v>1182</v>
      </c>
      <c r="G1204" s="19" t="s">
        <v>1019</v>
      </c>
      <c r="H1204" s="19" t="s">
        <v>1020</v>
      </c>
      <c r="I1204" s="19" t="s">
        <v>1575</v>
      </c>
      <c r="J1204" s="20">
        <v>24</v>
      </c>
      <c r="K1204" t="s">
        <v>668</v>
      </c>
      <c r="L1204" t="s">
        <v>663</v>
      </c>
      <c r="M1204" t="s">
        <v>629</v>
      </c>
      <c r="N1204" t="s">
        <v>646</v>
      </c>
      <c r="O1204" t="s">
        <v>639</v>
      </c>
    </row>
    <row r="1205" spans="1:15" x14ac:dyDescent="0.35">
      <c r="A1205" s="77">
        <v>3.7342465753424658</v>
      </c>
      <c r="B1205" s="19">
        <v>76391</v>
      </c>
      <c r="C1205" s="19" t="s">
        <v>3522</v>
      </c>
      <c r="D1205" s="19" t="s">
        <v>193</v>
      </c>
      <c r="E1205" s="19" t="s">
        <v>194</v>
      </c>
      <c r="F1205" s="19" t="s">
        <v>2422</v>
      </c>
      <c r="G1205" s="19" t="s">
        <v>1034</v>
      </c>
      <c r="H1205" s="19" t="s">
        <v>1001</v>
      </c>
      <c r="I1205" s="19" t="s">
        <v>1575</v>
      </c>
      <c r="J1205" s="20">
        <v>33</v>
      </c>
      <c r="K1205" t="s">
        <v>654</v>
      </c>
      <c r="L1205" t="s">
        <v>670</v>
      </c>
      <c r="M1205" t="s">
        <v>657</v>
      </c>
      <c r="N1205" t="s">
        <v>641</v>
      </c>
      <c r="O1205" t="s">
        <v>676</v>
      </c>
    </row>
    <row r="1206" spans="1:15" x14ac:dyDescent="0.35">
      <c r="A1206" s="77">
        <v>3.7342465753424658</v>
      </c>
      <c r="B1206" s="19">
        <v>76407</v>
      </c>
      <c r="C1206" s="19" t="s">
        <v>3523</v>
      </c>
      <c r="D1206" s="19" t="s">
        <v>118</v>
      </c>
      <c r="E1206" s="19" t="s">
        <v>119</v>
      </c>
      <c r="F1206" s="19" t="s">
        <v>1360</v>
      </c>
      <c r="G1206" s="19" t="s">
        <v>1008</v>
      </c>
      <c r="H1206" s="19" t="s">
        <v>1001</v>
      </c>
      <c r="I1206" s="19" t="s">
        <v>1575</v>
      </c>
      <c r="J1206" s="20">
        <v>22</v>
      </c>
      <c r="K1206" t="s">
        <v>625</v>
      </c>
      <c r="L1206" t="s">
        <v>656</v>
      </c>
      <c r="M1206" t="s">
        <v>657</v>
      </c>
      <c r="N1206" t="s">
        <v>658</v>
      </c>
      <c r="O1206" t="s">
        <v>632</v>
      </c>
    </row>
    <row r="1207" spans="1:15" x14ac:dyDescent="0.35">
      <c r="A1207" s="77">
        <v>3.7232876712328768</v>
      </c>
      <c r="B1207" s="19">
        <v>76435</v>
      </c>
      <c r="C1207" s="19" t="s">
        <v>3524</v>
      </c>
      <c r="D1207" s="19" t="s">
        <v>264</v>
      </c>
      <c r="E1207" s="19" t="s">
        <v>265</v>
      </c>
      <c r="F1207" s="19" t="s">
        <v>2526</v>
      </c>
      <c r="G1207" s="19" t="s">
        <v>1057</v>
      </c>
      <c r="H1207" s="19" t="s">
        <v>1001</v>
      </c>
      <c r="I1207" s="19" t="s">
        <v>1575</v>
      </c>
      <c r="J1207" s="20">
        <v>27</v>
      </c>
      <c r="K1207" t="s">
        <v>654</v>
      </c>
      <c r="L1207" t="s">
        <v>678</v>
      </c>
      <c r="M1207" t="s">
        <v>623</v>
      </c>
      <c r="N1207" t="s">
        <v>624</v>
      </c>
      <c r="O1207" t="s">
        <v>689</v>
      </c>
    </row>
    <row r="1208" spans="1:15" x14ac:dyDescent="0.35">
      <c r="A1208" s="77">
        <v>2.9808219178082194</v>
      </c>
      <c r="B1208" s="19">
        <v>76461</v>
      </c>
      <c r="C1208" s="19" t="s">
        <v>3525</v>
      </c>
      <c r="D1208" s="19" t="s">
        <v>324</v>
      </c>
      <c r="E1208" s="19" t="s">
        <v>325</v>
      </c>
      <c r="F1208" s="19" t="s">
        <v>1284</v>
      </c>
      <c r="G1208" s="19" t="s">
        <v>1008</v>
      </c>
      <c r="H1208" s="19" t="s">
        <v>1001</v>
      </c>
      <c r="I1208" s="19" t="s">
        <v>1599</v>
      </c>
      <c r="J1208" s="20">
        <v>28</v>
      </c>
      <c r="K1208" t="s">
        <v>631</v>
      </c>
      <c r="L1208" t="s">
        <v>663</v>
      </c>
      <c r="M1208" t="s">
        <v>629</v>
      </c>
      <c r="N1208" t="s">
        <v>646</v>
      </c>
      <c r="O1208" t="s">
        <v>639</v>
      </c>
    </row>
    <row r="1209" spans="1:15" x14ac:dyDescent="0.35">
      <c r="A1209" s="77">
        <v>0.14520547945205478</v>
      </c>
      <c r="B1209" s="19">
        <v>76511</v>
      </c>
      <c r="C1209" s="19" t="s">
        <v>3526</v>
      </c>
      <c r="D1209" s="19" t="s">
        <v>309</v>
      </c>
      <c r="E1209" s="19" t="s">
        <v>310</v>
      </c>
      <c r="F1209" s="19" t="s">
        <v>1234</v>
      </c>
      <c r="G1209" s="19" t="s">
        <v>1028</v>
      </c>
      <c r="H1209" s="19" t="s">
        <v>1020</v>
      </c>
      <c r="I1209" s="19" t="s">
        <v>1599</v>
      </c>
      <c r="J1209" s="20">
        <v>21</v>
      </c>
      <c r="K1209" t="s">
        <v>668</v>
      </c>
      <c r="L1209" t="s">
        <v>666</v>
      </c>
      <c r="M1209" t="s">
        <v>629</v>
      </c>
      <c r="N1209" t="s">
        <v>635</v>
      </c>
      <c r="O1209" t="s">
        <v>637</v>
      </c>
    </row>
    <row r="1210" spans="1:15" x14ac:dyDescent="0.35">
      <c r="A1210" s="77">
        <v>3.7178082191780821</v>
      </c>
      <c r="B1210" s="19">
        <v>76544</v>
      </c>
      <c r="C1210" s="19" t="s">
        <v>3527</v>
      </c>
      <c r="D1210" s="19" t="s">
        <v>181</v>
      </c>
      <c r="E1210" s="19" t="s">
        <v>182</v>
      </c>
      <c r="F1210" s="19" t="s">
        <v>1374</v>
      </c>
      <c r="G1210" s="19" t="s">
        <v>3508</v>
      </c>
      <c r="H1210" s="19" t="s">
        <v>1020</v>
      </c>
      <c r="I1210" s="19" t="s">
        <v>1575</v>
      </c>
      <c r="J1210" s="20">
        <v>18</v>
      </c>
      <c r="K1210" t="s">
        <v>625</v>
      </c>
      <c r="L1210" t="s">
        <v>678</v>
      </c>
      <c r="M1210" t="s">
        <v>623</v>
      </c>
      <c r="N1210" t="s">
        <v>624</v>
      </c>
      <c r="O1210" t="s">
        <v>679</v>
      </c>
    </row>
    <row r="1211" spans="1:15" x14ac:dyDescent="0.35">
      <c r="A1211" s="77">
        <v>3.7150684931506848</v>
      </c>
      <c r="B1211" s="19">
        <v>76558</v>
      </c>
      <c r="C1211" s="19" t="s">
        <v>3528</v>
      </c>
      <c r="D1211" s="19" t="s">
        <v>58</v>
      </c>
      <c r="E1211" s="19" t="s">
        <v>59</v>
      </c>
      <c r="F1211" s="19" t="s">
        <v>1650</v>
      </c>
      <c r="G1211" s="19" t="s">
        <v>1034</v>
      </c>
      <c r="H1211" s="19" t="s">
        <v>1001</v>
      </c>
      <c r="I1211" s="19" t="s">
        <v>1575</v>
      </c>
      <c r="J1211" s="20">
        <v>23</v>
      </c>
      <c r="K1211" t="s">
        <v>668</v>
      </c>
      <c r="L1211" t="s">
        <v>651</v>
      </c>
      <c r="M1211" t="s">
        <v>629</v>
      </c>
      <c r="N1211" t="s">
        <v>630</v>
      </c>
      <c r="O1211" t="s">
        <v>705</v>
      </c>
    </row>
    <row r="1212" spans="1:15" x14ac:dyDescent="0.35">
      <c r="A1212" s="77">
        <v>0.47397260273972602</v>
      </c>
      <c r="B1212" s="19">
        <v>76574</v>
      </c>
      <c r="C1212" s="19" t="s">
        <v>3529</v>
      </c>
      <c r="D1212" s="19" t="s">
        <v>124</v>
      </c>
      <c r="E1212" s="19" t="s">
        <v>125</v>
      </c>
      <c r="F1212" s="19" t="s">
        <v>1398</v>
      </c>
      <c r="G1212" s="19" t="s">
        <v>3508</v>
      </c>
      <c r="H1212" s="19" t="s">
        <v>1020</v>
      </c>
      <c r="I1212" s="19" t="s">
        <v>1599</v>
      </c>
      <c r="J1212" s="20">
        <v>17</v>
      </c>
      <c r="K1212" t="s">
        <v>654</v>
      </c>
      <c r="L1212" t="s">
        <v>661</v>
      </c>
      <c r="M1212" t="s">
        <v>657</v>
      </c>
      <c r="N1212" t="s">
        <v>662</v>
      </c>
      <c r="O1212" t="s">
        <v>632</v>
      </c>
    </row>
    <row r="1213" spans="1:15" x14ac:dyDescent="0.35">
      <c r="A1213" s="77">
        <v>2.8630136986301369</v>
      </c>
      <c r="B1213" s="19">
        <v>76603</v>
      </c>
      <c r="C1213" s="19" t="s">
        <v>3530</v>
      </c>
      <c r="D1213" s="19" t="s">
        <v>284</v>
      </c>
      <c r="E1213" s="19" t="s">
        <v>285</v>
      </c>
      <c r="F1213" s="19" t="s">
        <v>1150</v>
      </c>
      <c r="G1213" s="19" t="s">
        <v>1084</v>
      </c>
      <c r="H1213" s="19" t="s">
        <v>1020</v>
      </c>
      <c r="I1213" s="19" t="s">
        <v>1575</v>
      </c>
      <c r="J1213" s="20">
        <v>20</v>
      </c>
      <c r="K1213" t="s">
        <v>625</v>
      </c>
      <c r="L1213" t="s">
        <v>661</v>
      </c>
      <c r="M1213" t="s">
        <v>657</v>
      </c>
      <c r="N1213" t="s">
        <v>662</v>
      </c>
      <c r="O1213" t="s">
        <v>632</v>
      </c>
    </row>
    <row r="1214" spans="1:15" x14ac:dyDescent="0.35">
      <c r="A1214" s="77">
        <v>2.9095890410958902</v>
      </c>
      <c r="B1214" s="19">
        <v>76612</v>
      </c>
      <c r="C1214" s="19" t="s">
        <v>3531</v>
      </c>
      <c r="D1214" s="19" t="s">
        <v>284</v>
      </c>
      <c r="E1214" s="19" t="s">
        <v>285</v>
      </c>
      <c r="F1214" s="19" t="s">
        <v>1150</v>
      </c>
      <c r="G1214" s="19" t="s">
        <v>1008</v>
      </c>
      <c r="H1214" s="19" t="s">
        <v>1001</v>
      </c>
      <c r="I1214" s="19" t="s">
        <v>1575</v>
      </c>
      <c r="J1214" s="20">
        <v>20</v>
      </c>
      <c r="K1214" t="s">
        <v>625</v>
      </c>
      <c r="L1214" t="s">
        <v>661</v>
      </c>
      <c r="M1214" t="s">
        <v>657</v>
      </c>
      <c r="N1214" t="s">
        <v>662</v>
      </c>
      <c r="O1214" t="s">
        <v>632</v>
      </c>
    </row>
    <row r="1215" spans="1:15" x14ac:dyDescent="0.35">
      <c r="A1215" s="77">
        <v>2.8328767123287673</v>
      </c>
      <c r="B1215" s="19">
        <v>76628</v>
      </c>
      <c r="C1215" s="19" t="s">
        <v>3532</v>
      </c>
      <c r="D1215" s="19" t="s">
        <v>80</v>
      </c>
      <c r="E1215" s="19" t="s">
        <v>81</v>
      </c>
      <c r="F1215" s="19" t="s">
        <v>1022</v>
      </c>
      <c r="G1215" s="19" t="s">
        <v>1034</v>
      </c>
      <c r="H1215" s="19" t="s">
        <v>1001</v>
      </c>
      <c r="I1215" s="19" t="s">
        <v>1599</v>
      </c>
      <c r="J1215" s="20">
        <v>20</v>
      </c>
      <c r="K1215" t="s">
        <v>654</v>
      </c>
      <c r="L1215" t="s">
        <v>628</v>
      </c>
      <c r="M1215" t="s">
        <v>629</v>
      </c>
      <c r="N1215" t="s">
        <v>630</v>
      </c>
      <c r="O1215" t="s">
        <v>632</v>
      </c>
    </row>
    <row r="1216" spans="1:15" x14ac:dyDescent="0.35">
      <c r="A1216" s="77">
        <v>2.8054794520547945</v>
      </c>
      <c r="B1216" s="19">
        <v>76638</v>
      </c>
      <c r="C1216" s="19" t="s">
        <v>3533</v>
      </c>
      <c r="D1216" s="19" t="s">
        <v>365</v>
      </c>
      <c r="E1216" s="19" t="s">
        <v>366</v>
      </c>
      <c r="F1216" s="19" t="s">
        <v>1117</v>
      </c>
      <c r="G1216" s="19" t="s">
        <v>1034</v>
      </c>
      <c r="H1216" s="19" t="s">
        <v>1001</v>
      </c>
      <c r="I1216" s="19" t="s">
        <v>1575</v>
      </c>
      <c r="J1216" s="20">
        <v>21</v>
      </c>
      <c r="K1216" t="s">
        <v>668</v>
      </c>
      <c r="L1216" t="s">
        <v>691</v>
      </c>
      <c r="M1216" t="s">
        <v>657</v>
      </c>
      <c r="N1216" t="s">
        <v>658</v>
      </c>
      <c r="O1216" t="s">
        <v>632</v>
      </c>
    </row>
    <row r="1217" spans="1:15" x14ac:dyDescent="0.35">
      <c r="A1217" s="77">
        <v>2.9863013698630136</v>
      </c>
      <c r="B1217" s="19">
        <v>76661</v>
      </c>
      <c r="C1217" s="19" t="s">
        <v>3534</v>
      </c>
      <c r="D1217" s="19" t="s">
        <v>151</v>
      </c>
      <c r="E1217" s="19" t="s">
        <v>152</v>
      </c>
      <c r="F1217" s="19" t="s">
        <v>1557</v>
      </c>
      <c r="G1217" s="19" t="s">
        <v>1046</v>
      </c>
      <c r="H1217" s="19" t="s">
        <v>1001</v>
      </c>
      <c r="I1217" s="19" t="s">
        <v>1575</v>
      </c>
      <c r="J1217" s="20">
        <v>21</v>
      </c>
      <c r="K1217" t="s">
        <v>654</v>
      </c>
      <c r="L1217" t="s">
        <v>691</v>
      </c>
      <c r="M1217" t="s">
        <v>657</v>
      </c>
      <c r="N1217" t="s">
        <v>658</v>
      </c>
      <c r="O1217" t="s">
        <v>632</v>
      </c>
    </row>
    <row r="1218" spans="1:15" x14ac:dyDescent="0.35">
      <c r="A1218" s="77">
        <v>3.7123287671232879</v>
      </c>
      <c r="B1218" s="19">
        <v>76675</v>
      </c>
      <c r="C1218" s="19" t="s">
        <v>3535</v>
      </c>
      <c r="D1218" s="19" t="s">
        <v>284</v>
      </c>
      <c r="E1218" s="19" t="s">
        <v>285</v>
      </c>
      <c r="F1218" s="19" t="s">
        <v>1150</v>
      </c>
      <c r="G1218" s="19" t="s">
        <v>3508</v>
      </c>
      <c r="H1218" s="19" t="s">
        <v>1020</v>
      </c>
      <c r="I1218" s="19" t="s">
        <v>1575</v>
      </c>
      <c r="J1218" s="20">
        <v>17</v>
      </c>
      <c r="K1218" t="s">
        <v>625</v>
      </c>
      <c r="L1218" t="s">
        <v>661</v>
      </c>
      <c r="M1218" t="s">
        <v>657</v>
      </c>
      <c r="N1218" t="s">
        <v>662</v>
      </c>
      <c r="O1218" t="s">
        <v>632</v>
      </c>
    </row>
    <row r="1219" spans="1:15" x14ac:dyDescent="0.35">
      <c r="A1219" s="77">
        <v>2.1808219178082191</v>
      </c>
      <c r="B1219" s="19">
        <v>76692</v>
      </c>
      <c r="C1219" s="19" t="s">
        <v>3536</v>
      </c>
      <c r="D1219" s="19" t="s">
        <v>379</v>
      </c>
      <c r="E1219" s="19" t="s">
        <v>380</v>
      </c>
      <c r="F1219" s="19" t="s">
        <v>381</v>
      </c>
      <c r="G1219" s="19" t="s">
        <v>1034</v>
      </c>
      <c r="H1219" s="19" t="s">
        <v>1001</v>
      </c>
      <c r="I1219" s="19" t="s">
        <v>1575</v>
      </c>
      <c r="J1219" s="20">
        <v>20</v>
      </c>
      <c r="K1219" t="s">
        <v>636</v>
      </c>
      <c r="L1219" t="s">
        <v>628</v>
      </c>
      <c r="M1219" t="s">
        <v>629</v>
      </c>
      <c r="N1219" t="s">
        <v>630</v>
      </c>
      <c r="O1219" t="s">
        <v>632</v>
      </c>
    </row>
    <row r="1220" spans="1:15" x14ac:dyDescent="0.35">
      <c r="A1220" s="77">
        <v>2.9397260273972603</v>
      </c>
      <c r="B1220" s="19">
        <v>76693</v>
      </c>
      <c r="C1220" s="19" t="s">
        <v>3537</v>
      </c>
      <c r="D1220" s="19" t="s">
        <v>239</v>
      </c>
      <c r="E1220" s="19" t="s">
        <v>240</v>
      </c>
      <c r="F1220" s="19" t="s">
        <v>798</v>
      </c>
      <c r="G1220" s="19" t="s">
        <v>1008</v>
      </c>
      <c r="H1220" s="19" t="s">
        <v>1001</v>
      </c>
      <c r="I1220" s="19" t="s">
        <v>1575</v>
      </c>
      <c r="J1220" s="20">
        <v>22</v>
      </c>
      <c r="K1220" t="s">
        <v>636</v>
      </c>
      <c r="L1220" t="s">
        <v>628</v>
      </c>
      <c r="M1220" t="s">
        <v>629</v>
      </c>
      <c r="N1220" t="s">
        <v>646</v>
      </c>
      <c r="O1220" t="s">
        <v>632</v>
      </c>
    </row>
    <row r="1221" spans="1:15" x14ac:dyDescent="0.35">
      <c r="A1221" s="77">
        <v>3.7068493150684931</v>
      </c>
      <c r="B1221" s="19">
        <v>76722</v>
      </c>
      <c r="C1221" s="19" t="s">
        <v>3538</v>
      </c>
      <c r="D1221" s="19" t="s">
        <v>113</v>
      </c>
      <c r="E1221" s="19" t="s">
        <v>114</v>
      </c>
      <c r="F1221" s="19" t="s">
        <v>1871</v>
      </c>
      <c r="G1221" s="19" t="s">
        <v>1038</v>
      </c>
      <c r="H1221" s="19" t="s">
        <v>1020</v>
      </c>
      <c r="I1221" s="19" t="s">
        <v>1575</v>
      </c>
      <c r="J1221" s="20">
        <v>22</v>
      </c>
      <c r="K1221" t="s">
        <v>654</v>
      </c>
      <c r="L1221" t="s">
        <v>661</v>
      </c>
      <c r="M1221" t="s">
        <v>657</v>
      </c>
      <c r="N1221" t="s">
        <v>662</v>
      </c>
      <c r="O1221" t="s">
        <v>632</v>
      </c>
    </row>
    <row r="1222" spans="1:15" x14ac:dyDescent="0.35">
      <c r="A1222" s="77">
        <v>2.8986301369863012</v>
      </c>
      <c r="B1222" s="19">
        <v>76793</v>
      </c>
      <c r="C1222" s="19" t="s">
        <v>3539</v>
      </c>
      <c r="D1222" s="19" t="s">
        <v>375</v>
      </c>
      <c r="E1222" s="19" t="s">
        <v>376</v>
      </c>
      <c r="F1222" s="19" t="s">
        <v>1270</v>
      </c>
      <c r="G1222" s="19" t="s">
        <v>1008</v>
      </c>
      <c r="H1222" s="19" t="s">
        <v>1001</v>
      </c>
      <c r="I1222" s="19" t="s">
        <v>1599</v>
      </c>
      <c r="J1222" s="20">
        <v>22</v>
      </c>
      <c r="K1222" t="s">
        <v>636</v>
      </c>
      <c r="L1222" t="s">
        <v>678</v>
      </c>
      <c r="M1222" t="s">
        <v>623</v>
      </c>
      <c r="N1222" t="s">
        <v>624</v>
      </c>
      <c r="O1222" t="s">
        <v>679</v>
      </c>
    </row>
    <row r="1223" spans="1:15" x14ac:dyDescent="0.35">
      <c r="A1223" s="77">
        <v>2.1150684931506851</v>
      </c>
      <c r="B1223" s="19">
        <v>76819</v>
      </c>
      <c r="C1223" s="19" t="s">
        <v>3540</v>
      </c>
      <c r="D1223" s="19" t="s">
        <v>39</v>
      </c>
      <c r="E1223" s="19" t="s">
        <v>39</v>
      </c>
      <c r="F1223" s="19" t="s">
        <v>1168</v>
      </c>
      <c r="G1223" s="19" t="s">
        <v>1084</v>
      </c>
      <c r="H1223" s="19" t="s">
        <v>1001</v>
      </c>
      <c r="I1223" s="19" t="s">
        <v>1575</v>
      </c>
      <c r="J1223" s="20">
        <v>44</v>
      </c>
      <c r="K1223" t="s">
        <v>636</v>
      </c>
      <c r="L1223" t="s">
        <v>661</v>
      </c>
      <c r="M1223" t="s">
        <v>657</v>
      </c>
      <c r="N1223" t="s">
        <v>662</v>
      </c>
      <c r="O1223" t="s">
        <v>632</v>
      </c>
    </row>
    <row r="1224" spans="1:15" x14ac:dyDescent="0.35">
      <c r="A1224" s="77">
        <v>3.7150684931506848</v>
      </c>
      <c r="B1224" s="19">
        <v>76851</v>
      </c>
      <c r="C1224" s="19" t="s">
        <v>3541</v>
      </c>
      <c r="D1224" s="19" t="s">
        <v>237</v>
      </c>
      <c r="E1224" s="19" t="s">
        <v>238</v>
      </c>
      <c r="F1224" s="19" t="s">
        <v>1070</v>
      </c>
      <c r="G1224" s="19" t="s">
        <v>1046</v>
      </c>
      <c r="H1224" s="19" t="s">
        <v>1001</v>
      </c>
      <c r="I1224" s="19" t="s">
        <v>1575</v>
      </c>
      <c r="J1224" s="20">
        <v>24</v>
      </c>
      <c r="K1224" t="s">
        <v>631</v>
      </c>
      <c r="L1224" t="s">
        <v>661</v>
      </c>
      <c r="M1224" t="s">
        <v>657</v>
      </c>
      <c r="N1224" t="s">
        <v>662</v>
      </c>
      <c r="O1224" t="s">
        <v>632</v>
      </c>
    </row>
    <row r="1225" spans="1:15" x14ac:dyDescent="0.35">
      <c r="A1225" s="77">
        <v>3.6958904109589041</v>
      </c>
      <c r="B1225" s="19">
        <v>76860</v>
      </c>
      <c r="C1225" s="19" t="s">
        <v>3542</v>
      </c>
      <c r="D1225" s="19" t="s">
        <v>11</v>
      </c>
      <c r="E1225" s="19" t="s">
        <v>11</v>
      </c>
      <c r="F1225" s="19" t="s">
        <v>627</v>
      </c>
      <c r="G1225" s="19" t="s">
        <v>1008</v>
      </c>
      <c r="H1225" s="19" t="s">
        <v>1001</v>
      </c>
      <c r="I1225" s="19" t="s">
        <v>1599</v>
      </c>
      <c r="J1225" s="20">
        <v>24</v>
      </c>
      <c r="K1225" t="s">
        <v>631</v>
      </c>
      <c r="L1225" t="s">
        <v>628</v>
      </c>
      <c r="M1225" t="s">
        <v>629</v>
      </c>
      <c r="N1225" t="s">
        <v>630</v>
      </c>
      <c r="O1225" t="s">
        <v>632</v>
      </c>
    </row>
    <row r="1226" spans="1:15" x14ac:dyDescent="0.35">
      <c r="A1226" s="77">
        <v>3.6958904109589041</v>
      </c>
      <c r="B1226" s="19">
        <v>76869</v>
      </c>
      <c r="C1226" s="19" t="s">
        <v>3543</v>
      </c>
      <c r="D1226" s="19" t="s">
        <v>278</v>
      </c>
      <c r="E1226" s="19" t="s">
        <v>279</v>
      </c>
      <c r="F1226" s="19" t="s">
        <v>1131</v>
      </c>
      <c r="G1226" s="19" t="s">
        <v>1008</v>
      </c>
      <c r="H1226" s="19" t="s">
        <v>1001</v>
      </c>
      <c r="I1226" s="19" t="s">
        <v>1575</v>
      </c>
      <c r="J1226" s="20">
        <v>30</v>
      </c>
      <c r="K1226" t="s">
        <v>625</v>
      </c>
      <c r="L1226" t="s">
        <v>661</v>
      </c>
      <c r="M1226" t="s">
        <v>657</v>
      </c>
      <c r="N1226" t="s">
        <v>662</v>
      </c>
      <c r="O1226" t="s">
        <v>632</v>
      </c>
    </row>
    <row r="1227" spans="1:15" x14ac:dyDescent="0.35">
      <c r="A1227" s="77">
        <v>3.7123287671232879</v>
      </c>
      <c r="B1227" s="19">
        <v>76909</v>
      </c>
      <c r="C1227" s="19" t="s">
        <v>3544</v>
      </c>
      <c r="D1227" s="19" t="s">
        <v>8</v>
      </c>
      <c r="E1227" s="19" t="s">
        <v>8</v>
      </c>
      <c r="F1227" s="19" t="s">
        <v>1176</v>
      </c>
      <c r="G1227" s="19" t="s">
        <v>1028</v>
      </c>
      <c r="H1227" s="19" t="s">
        <v>1020</v>
      </c>
      <c r="I1227" s="19" t="s">
        <v>1575</v>
      </c>
      <c r="J1227" s="20">
        <v>22</v>
      </c>
      <c r="K1227" t="s">
        <v>625</v>
      </c>
      <c r="L1227" t="s">
        <v>622</v>
      </c>
      <c r="M1227" t="s">
        <v>623</v>
      </c>
      <c r="N1227" t="s">
        <v>624</v>
      </c>
      <c r="O1227" t="s">
        <v>626</v>
      </c>
    </row>
    <row r="1228" spans="1:15" x14ac:dyDescent="0.35">
      <c r="A1228" s="77">
        <v>1.8821917808219177</v>
      </c>
      <c r="B1228" s="19">
        <v>76928</v>
      </c>
      <c r="C1228" s="19" t="s">
        <v>3545</v>
      </c>
      <c r="D1228" s="19" t="s">
        <v>35</v>
      </c>
      <c r="E1228" s="19" t="s">
        <v>35</v>
      </c>
      <c r="F1228" s="19" t="s">
        <v>1657</v>
      </c>
      <c r="G1228" s="19" t="s">
        <v>1084</v>
      </c>
      <c r="H1228" s="19" t="s">
        <v>1001</v>
      </c>
      <c r="I1228" s="19" t="s">
        <v>1575</v>
      </c>
      <c r="J1228" s="20">
        <v>20</v>
      </c>
      <c r="K1228" t="s">
        <v>654</v>
      </c>
      <c r="L1228" t="s">
        <v>684</v>
      </c>
      <c r="M1228" t="s">
        <v>623</v>
      </c>
      <c r="N1228" t="s">
        <v>662</v>
      </c>
      <c r="O1228" t="s">
        <v>685</v>
      </c>
    </row>
    <row r="1229" spans="1:15" x14ac:dyDescent="0.35">
      <c r="A1229" s="77">
        <v>3.7150684931506848</v>
      </c>
      <c r="B1229" s="19">
        <v>76946</v>
      </c>
      <c r="C1229" s="19" t="s">
        <v>3546</v>
      </c>
      <c r="D1229" s="19" t="s">
        <v>421</v>
      </c>
      <c r="E1229" s="19" t="s">
        <v>421</v>
      </c>
      <c r="F1229" s="19" t="s">
        <v>698</v>
      </c>
      <c r="G1229" s="19" t="s">
        <v>1028</v>
      </c>
      <c r="H1229" s="19" t="s">
        <v>1020</v>
      </c>
      <c r="I1229" s="19" t="s">
        <v>1599</v>
      </c>
      <c r="J1229" s="20">
        <v>23</v>
      </c>
      <c r="K1229" t="s">
        <v>636</v>
      </c>
      <c r="L1229" t="s">
        <v>678</v>
      </c>
      <c r="M1229" t="s">
        <v>623</v>
      </c>
      <c r="N1229" t="s">
        <v>624</v>
      </c>
      <c r="O1229" t="s">
        <v>679</v>
      </c>
    </row>
    <row r="1230" spans="1:15" x14ac:dyDescent="0.35">
      <c r="A1230" s="77">
        <v>3.6876712328767125</v>
      </c>
      <c r="B1230" s="19">
        <v>77028</v>
      </c>
      <c r="C1230" s="19" t="s">
        <v>3547</v>
      </c>
      <c r="D1230" s="19" t="s">
        <v>297</v>
      </c>
      <c r="E1230" s="19" t="s">
        <v>298</v>
      </c>
      <c r="F1230" s="19" t="s">
        <v>904</v>
      </c>
      <c r="G1230" s="19" t="s">
        <v>1008</v>
      </c>
      <c r="H1230" s="19" t="s">
        <v>1001</v>
      </c>
      <c r="I1230" s="19" t="s">
        <v>1575</v>
      </c>
      <c r="J1230" s="20">
        <v>33</v>
      </c>
      <c r="K1230" t="s">
        <v>654</v>
      </c>
      <c r="L1230" t="s">
        <v>762</v>
      </c>
      <c r="M1230" t="s">
        <v>629</v>
      </c>
      <c r="N1230" t="s">
        <v>646</v>
      </c>
      <c r="O1230" t="s">
        <v>823</v>
      </c>
    </row>
    <row r="1231" spans="1:15" x14ac:dyDescent="0.35">
      <c r="A1231" s="77">
        <v>0.13972602739726028</v>
      </c>
      <c r="B1231" s="19">
        <v>77042</v>
      </c>
      <c r="C1231" s="19" t="s">
        <v>3548</v>
      </c>
      <c r="D1231" s="19" t="s">
        <v>145</v>
      </c>
      <c r="E1231" s="19" t="s">
        <v>146</v>
      </c>
      <c r="F1231" s="19" t="s">
        <v>1015</v>
      </c>
      <c r="G1231" s="19" t="s">
        <v>1008</v>
      </c>
      <c r="H1231" s="19" t="s">
        <v>1001</v>
      </c>
      <c r="I1231" s="19" t="s">
        <v>1599</v>
      </c>
      <c r="J1231" s="20">
        <v>20</v>
      </c>
      <c r="K1231" t="s">
        <v>636</v>
      </c>
      <c r="L1231" t="s">
        <v>737</v>
      </c>
      <c r="M1231" t="s">
        <v>657</v>
      </c>
      <c r="N1231" t="s">
        <v>641</v>
      </c>
      <c r="O1231" t="s">
        <v>757</v>
      </c>
    </row>
    <row r="1232" spans="1:15" x14ac:dyDescent="0.35">
      <c r="A1232" s="77">
        <v>3.6876712328767125</v>
      </c>
      <c r="B1232" s="19">
        <v>77049</v>
      </c>
      <c r="C1232" s="19" t="s">
        <v>3549</v>
      </c>
      <c r="D1232" s="19" t="s">
        <v>23</v>
      </c>
      <c r="E1232" s="19" t="s">
        <v>23</v>
      </c>
      <c r="F1232" s="19" t="s">
        <v>660</v>
      </c>
      <c r="G1232" s="19" t="s">
        <v>1084</v>
      </c>
      <c r="H1232" s="19" t="s">
        <v>1020</v>
      </c>
      <c r="I1232" s="19" t="s">
        <v>1575</v>
      </c>
      <c r="J1232" s="20">
        <v>24</v>
      </c>
      <c r="K1232" t="s">
        <v>631</v>
      </c>
      <c r="L1232" t="s">
        <v>661</v>
      </c>
      <c r="M1232" t="s">
        <v>657</v>
      </c>
      <c r="N1232" t="s">
        <v>662</v>
      </c>
      <c r="O1232" t="s">
        <v>632</v>
      </c>
    </row>
    <row r="1233" spans="1:15" x14ac:dyDescent="0.35">
      <c r="A1233" s="77">
        <v>0.24931506849315069</v>
      </c>
      <c r="B1233" s="19">
        <v>77065</v>
      </c>
      <c r="C1233" s="19" t="s">
        <v>3550</v>
      </c>
      <c r="D1233" s="19" t="s">
        <v>311</v>
      </c>
      <c r="E1233" s="19" t="s">
        <v>312</v>
      </c>
      <c r="F1233" s="19" t="s">
        <v>1140</v>
      </c>
      <c r="G1233" s="19" t="s">
        <v>1008</v>
      </c>
      <c r="H1233" s="19" t="s">
        <v>1001</v>
      </c>
      <c r="I1233" s="19" t="s">
        <v>1599</v>
      </c>
      <c r="J1233" s="20">
        <v>20</v>
      </c>
      <c r="K1233" t="s">
        <v>631</v>
      </c>
      <c r="L1233" t="s">
        <v>628</v>
      </c>
      <c r="M1233" t="s">
        <v>629</v>
      </c>
      <c r="N1233" t="s">
        <v>630</v>
      </c>
      <c r="O1233" t="s">
        <v>632</v>
      </c>
    </row>
    <row r="1234" spans="1:15" x14ac:dyDescent="0.35">
      <c r="A1234" s="77">
        <v>2.2301369863013698</v>
      </c>
      <c r="B1234" s="19">
        <v>77124</v>
      </c>
      <c r="C1234" s="19" t="s">
        <v>3551</v>
      </c>
      <c r="D1234" s="19" t="s">
        <v>16</v>
      </c>
      <c r="E1234" s="19" t="s">
        <v>16</v>
      </c>
      <c r="F1234" s="19" t="s">
        <v>1211</v>
      </c>
      <c r="G1234" s="19" t="s">
        <v>1034</v>
      </c>
      <c r="H1234" s="19" t="s">
        <v>1001</v>
      </c>
      <c r="I1234" s="19" t="s">
        <v>1575</v>
      </c>
      <c r="J1234" s="20">
        <v>25</v>
      </c>
      <c r="K1234" t="s">
        <v>631</v>
      </c>
      <c r="L1234" t="s">
        <v>645</v>
      </c>
      <c r="M1234" t="s">
        <v>629</v>
      </c>
      <c r="N1234" t="s">
        <v>646</v>
      </c>
      <c r="O1234" t="s">
        <v>632</v>
      </c>
    </row>
    <row r="1235" spans="1:15" x14ac:dyDescent="0.35">
      <c r="A1235" s="77">
        <v>0.38630136986301372</v>
      </c>
      <c r="B1235" s="19">
        <v>77155</v>
      </c>
      <c r="C1235" s="19" t="s">
        <v>3552</v>
      </c>
      <c r="D1235" s="19" t="s">
        <v>280</v>
      </c>
      <c r="E1235" s="19" t="s">
        <v>281</v>
      </c>
      <c r="F1235" s="19" t="s">
        <v>1223</v>
      </c>
      <c r="G1235" s="19" t="s">
        <v>1019</v>
      </c>
      <c r="H1235" s="19" t="s">
        <v>1020</v>
      </c>
      <c r="I1235" s="19" t="s">
        <v>1575</v>
      </c>
      <c r="J1235" s="20">
        <v>23</v>
      </c>
      <c r="K1235" t="s">
        <v>631</v>
      </c>
      <c r="L1235" t="s">
        <v>691</v>
      </c>
      <c r="M1235" t="s">
        <v>657</v>
      </c>
      <c r="N1235" t="s">
        <v>658</v>
      </c>
      <c r="O1235" t="s">
        <v>632</v>
      </c>
    </row>
    <row r="1236" spans="1:15" x14ac:dyDescent="0.35">
      <c r="A1236" s="77">
        <v>3.6876712328767125</v>
      </c>
      <c r="B1236" s="19">
        <v>77283</v>
      </c>
      <c r="C1236" s="19" t="s">
        <v>3553</v>
      </c>
      <c r="D1236" s="19" t="s">
        <v>201</v>
      </c>
      <c r="E1236" s="19" t="s">
        <v>202</v>
      </c>
      <c r="F1236" s="19" t="s">
        <v>1061</v>
      </c>
      <c r="G1236" s="19" t="s">
        <v>1045</v>
      </c>
      <c r="H1236" s="19" t="s">
        <v>1001</v>
      </c>
      <c r="I1236" s="19" t="s">
        <v>1575</v>
      </c>
      <c r="J1236" s="20">
        <v>41</v>
      </c>
      <c r="K1236" t="s">
        <v>631</v>
      </c>
      <c r="L1236" t="s">
        <v>628</v>
      </c>
      <c r="M1236" t="s">
        <v>629</v>
      </c>
      <c r="N1236" t="s">
        <v>630</v>
      </c>
      <c r="O1236" t="s">
        <v>784</v>
      </c>
    </row>
    <row r="1237" spans="1:15" x14ac:dyDescent="0.35">
      <c r="A1237" s="77">
        <v>2.8602739726027395</v>
      </c>
      <c r="B1237" s="19">
        <v>77288</v>
      </c>
      <c r="C1237" s="19" t="s">
        <v>3554</v>
      </c>
      <c r="D1237" s="19" t="s">
        <v>326</v>
      </c>
      <c r="E1237" s="19" t="s">
        <v>327</v>
      </c>
      <c r="F1237" s="19" t="s">
        <v>1051</v>
      </c>
      <c r="G1237" s="19" t="s">
        <v>1046</v>
      </c>
      <c r="H1237" s="19" t="s">
        <v>1001</v>
      </c>
      <c r="I1237" s="19" t="s">
        <v>1599</v>
      </c>
      <c r="J1237" s="20">
        <v>25</v>
      </c>
      <c r="K1237" t="s">
        <v>631</v>
      </c>
      <c r="L1237" t="s">
        <v>648</v>
      </c>
      <c r="M1237" t="s">
        <v>623</v>
      </c>
      <c r="N1237" t="s">
        <v>624</v>
      </c>
      <c r="O1237" t="s">
        <v>837</v>
      </c>
    </row>
    <row r="1238" spans="1:15" x14ac:dyDescent="0.35">
      <c r="A1238" s="77">
        <v>2.9095890410958902</v>
      </c>
      <c r="B1238" s="19">
        <v>77306</v>
      </c>
      <c r="C1238" s="19" t="s">
        <v>3555</v>
      </c>
      <c r="D1238" s="19" t="s">
        <v>118</v>
      </c>
      <c r="E1238" s="19" t="s">
        <v>119</v>
      </c>
      <c r="F1238" s="19" t="s">
        <v>1360</v>
      </c>
      <c r="G1238" s="19" t="s">
        <v>1028</v>
      </c>
      <c r="H1238" s="19" t="s">
        <v>1020</v>
      </c>
      <c r="I1238" s="19" t="s">
        <v>1575</v>
      </c>
      <c r="J1238" s="20">
        <v>25</v>
      </c>
      <c r="K1238" t="s">
        <v>625</v>
      </c>
      <c r="L1238" t="s">
        <v>656</v>
      </c>
      <c r="M1238" t="s">
        <v>657</v>
      </c>
      <c r="N1238" t="s">
        <v>658</v>
      </c>
      <c r="O1238" t="s">
        <v>632</v>
      </c>
    </row>
    <row r="1239" spans="1:15" x14ac:dyDescent="0.35">
      <c r="A1239" s="77">
        <v>2.2657534246575342</v>
      </c>
      <c r="B1239" s="19">
        <v>77327</v>
      </c>
      <c r="C1239" s="19" t="s">
        <v>3556</v>
      </c>
      <c r="D1239" s="19" t="s">
        <v>49</v>
      </c>
      <c r="E1239" s="19" t="s">
        <v>50</v>
      </c>
      <c r="F1239" s="19" t="s">
        <v>1213</v>
      </c>
      <c r="G1239" s="19" t="s">
        <v>1008</v>
      </c>
      <c r="H1239" s="19" t="s">
        <v>1001</v>
      </c>
      <c r="I1239" s="19" t="s">
        <v>1575</v>
      </c>
      <c r="J1239" s="20">
        <v>21</v>
      </c>
      <c r="K1239" t="s">
        <v>625</v>
      </c>
      <c r="L1239" t="s">
        <v>648</v>
      </c>
      <c r="M1239" t="s">
        <v>623</v>
      </c>
      <c r="N1239" t="s">
        <v>624</v>
      </c>
      <c r="O1239" t="s">
        <v>649</v>
      </c>
    </row>
    <row r="1240" spans="1:15" x14ac:dyDescent="0.35">
      <c r="A1240" s="77">
        <v>2.8986301369863012</v>
      </c>
      <c r="B1240" s="19">
        <v>77365</v>
      </c>
      <c r="C1240" s="19" t="s">
        <v>3557</v>
      </c>
      <c r="D1240" s="19" t="s">
        <v>355</v>
      </c>
      <c r="E1240" s="19" t="s">
        <v>356</v>
      </c>
      <c r="F1240" s="19" t="s">
        <v>1100</v>
      </c>
      <c r="G1240" s="19" t="s">
        <v>1084</v>
      </c>
      <c r="H1240" s="19" t="s">
        <v>1001</v>
      </c>
      <c r="I1240" s="19" t="s">
        <v>1599</v>
      </c>
      <c r="J1240" s="20">
        <v>21</v>
      </c>
      <c r="K1240" t="s">
        <v>625</v>
      </c>
      <c r="L1240" t="s">
        <v>622</v>
      </c>
      <c r="M1240" t="s">
        <v>623</v>
      </c>
      <c r="N1240" t="s">
        <v>624</v>
      </c>
      <c r="O1240" t="s">
        <v>649</v>
      </c>
    </row>
    <row r="1241" spans="1:15" x14ac:dyDescent="0.35">
      <c r="A1241" s="77">
        <v>2.6383561643835618</v>
      </c>
      <c r="B1241" s="19">
        <v>77397</v>
      </c>
      <c r="C1241" s="19" t="s">
        <v>3558</v>
      </c>
      <c r="D1241" s="19" t="s">
        <v>237</v>
      </c>
      <c r="E1241" s="19" t="s">
        <v>238</v>
      </c>
      <c r="F1241" s="19" t="s">
        <v>1070</v>
      </c>
      <c r="G1241" s="19" t="s">
        <v>1008</v>
      </c>
      <c r="H1241" s="19" t="s">
        <v>1001</v>
      </c>
      <c r="I1241" s="19" t="s">
        <v>1575</v>
      </c>
      <c r="J1241" s="20">
        <v>21</v>
      </c>
      <c r="K1241" t="s">
        <v>631</v>
      </c>
      <c r="L1241" t="s">
        <v>661</v>
      </c>
      <c r="M1241" t="s">
        <v>657</v>
      </c>
      <c r="N1241" t="s">
        <v>662</v>
      </c>
      <c r="O1241" t="s">
        <v>632</v>
      </c>
    </row>
    <row r="1242" spans="1:15" x14ac:dyDescent="0.35">
      <c r="A1242" s="77">
        <v>2.9397260273972603</v>
      </c>
      <c r="B1242" s="19">
        <v>77400</v>
      </c>
      <c r="C1242" s="19" t="s">
        <v>3559</v>
      </c>
      <c r="D1242" s="19" t="s">
        <v>11</v>
      </c>
      <c r="E1242" s="19" t="s">
        <v>11</v>
      </c>
      <c r="F1242" s="19" t="s">
        <v>627</v>
      </c>
      <c r="G1242" s="19" t="s">
        <v>1028</v>
      </c>
      <c r="H1242" s="19" t="s">
        <v>1020</v>
      </c>
      <c r="I1242" s="19" t="s">
        <v>1599</v>
      </c>
      <c r="J1242" s="20">
        <v>20</v>
      </c>
      <c r="K1242" t="s">
        <v>631</v>
      </c>
      <c r="L1242" t="s">
        <v>628</v>
      </c>
      <c r="M1242" t="s">
        <v>629</v>
      </c>
      <c r="N1242" t="s">
        <v>630</v>
      </c>
      <c r="O1242" t="s">
        <v>632</v>
      </c>
    </row>
    <row r="1243" spans="1:15" x14ac:dyDescent="0.35">
      <c r="A1243" s="77">
        <v>3.6657534246575341</v>
      </c>
      <c r="B1243" s="19">
        <v>77485</v>
      </c>
      <c r="C1243" s="19" t="s">
        <v>3560</v>
      </c>
      <c r="D1243" s="19" t="s">
        <v>300</v>
      </c>
      <c r="E1243" s="19" t="s">
        <v>301</v>
      </c>
      <c r="F1243" s="19" t="s">
        <v>1719</v>
      </c>
      <c r="G1243" s="19" t="s">
        <v>1028</v>
      </c>
      <c r="H1243" s="19" t="s">
        <v>1020</v>
      </c>
      <c r="I1243" s="19" t="s">
        <v>1575</v>
      </c>
      <c r="J1243" s="20">
        <v>27</v>
      </c>
      <c r="K1243" t="s">
        <v>668</v>
      </c>
      <c r="L1243" t="s">
        <v>737</v>
      </c>
      <c r="M1243" t="s">
        <v>657</v>
      </c>
      <c r="N1243" t="s">
        <v>641</v>
      </c>
      <c r="O1243" t="s">
        <v>738</v>
      </c>
    </row>
    <row r="1244" spans="1:15" x14ac:dyDescent="0.35">
      <c r="A1244" s="77">
        <v>0.76164383561643834</v>
      </c>
      <c r="B1244" s="19">
        <v>77502</v>
      </c>
      <c r="C1244" s="19" t="s">
        <v>3561</v>
      </c>
      <c r="D1244" s="19" t="s">
        <v>421</v>
      </c>
      <c r="E1244" s="19" t="s">
        <v>421</v>
      </c>
      <c r="F1244" s="19" t="s">
        <v>698</v>
      </c>
      <c r="G1244" s="19" t="s">
        <v>1057</v>
      </c>
      <c r="H1244" s="19" t="s">
        <v>1001</v>
      </c>
      <c r="I1244" s="19" t="s">
        <v>1599</v>
      </c>
      <c r="J1244" s="20">
        <v>19</v>
      </c>
      <c r="K1244" t="s">
        <v>636</v>
      </c>
      <c r="L1244" t="s">
        <v>678</v>
      </c>
      <c r="M1244" t="s">
        <v>623</v>
      </c>
      <c r="N1244" t="s">
        <v>624</v>
      </c>
      <c r="O1244" t="s">
        <v>679</v>
      </c>
    </row>
    <row r="1245" spans="1:15" x14ac:dyDescent="0.35">
      <c r="A1245" s="77">
        <v>3.6657534246575341</v>
      </c>
      <c r="B1245" s="19">
        <v>77555</v>
      </c>
      <c r="C1245" s="19" t="s">
        <v>3562</v>
      </c>
      <c r="D1245" s="19" t="s">
        <v>333</v>
      </c>
      <c r="E1245" s="19" t="s">
        <v>334</v>
      </c>
      <c r="F1245" s="19" t="s">
        <v>1333</v>
      </c>
      <c r="G1245" s="19" t="s">
        <v>1008</v>
      </c>
      <c r="H1245" s="19" t="s">
        <v>1001</v>
      </c>
      <c r="I1245" s="19" t="s">
        <v>1575</v>
      </c>
      <c r="J1245" s="20">
        <v>34</v>
      </c>
      <c r="K1245" t="s">
        <v>636</v>
      </c>
      <c r="L1245" t="s">
        <v>666</v>
      </c>
      <c r="M1245" t="s">
        <v>629</v>
      </c>
      <c r="N1245" t="s">
        <v>630</v>
      </c>
      <c r="O1245" t="s">
        <v>652</v>
      </c>
    </row>
    <row r="1246" spans="1:15" x14ac:dyDescent="0.35">
      <c r="A1246" s="77">
        <v>3.6520547945205482</v>
      </c>
      <c r="B1246" s="19">
        <v>77596</v>
      </c>
      <c r="C1246" s="19" t="s">
        <v>3563</v>
      </c>
      <c r="D1246" s="19" t="s">
        <v>23</v>
      </c>
      <c r="E1246" s="19" t="s">
        <v>23</v>
      </c>
      <c r="F1246" s="19" t="s">
        <v>660</v>
      </c>
      <c r="G1246" s="19" t="s">
        <v>1034</v>
      </c>
      <c r="H1246" s="19" t="s">
        <v>1001</v>
      </c>
      <c r="I1246" s="19" t="s">
        <v>1599</v>
      </c>
      <c r="J1246" s="20">
        <v>27</v>
      </c>
      <c r="K1246" t="s">
        <v>631</v>
      </c>
      <c r="L1246" t="s">
        <v>661</v>
      </c>
      <c r="M1246" t="s">
        <v>657</v>
      </c>
      <c r="N1246" t="s">
        <v>662</v>
      </c>
      <c r="O1246" t="s">
        <v>632</v>
      </c>
    </row>
    <row r="1247" spans="1:15" x14ac:dyDescent="0.35">
      <c r="A1247" s="77">
        <v>3.6520547945205482</v>
      </c>
      <c r="B1247" s="19">
        <v>77606</v>
      </c>
      <c r="C1247" s="19" t="s">
        <v>3564</v>
      </c>
      <c r="D1247" s="19" t="s">
        <v>280</v>
      </c>
      <c r="E1247" s="19" t="s">
        <v>281</v>
      </c>
      <c r="F1247" s="19" t="s">
        <v>1223</v>
      </c>
      <c r="G1247" s="19" t="s">
        <v>1046</v>
      </c>
      <c r="H1247" s="19" t="s">
        <v>1001</v>
      </c>
      <c r="I1247" s="19" t="s">
        <v>1575</v>
      </c>
      <c r="J1247" s="20">
        <v>26</v>
      </c>
      <c r="K1247" t="s">
        <v>631</v>
      </c>
      <c r="L1247" t="s">
        <v>691</v>
      </c>
      <c r="M1247" t="s">
        <v>657</v>
      </c>
      <c r="N1247" t="s">
        <v>658</v>
      </c>
      <c r="O1247" t="s">
        <v>632</v>
      </c>
    </row>
    <row r="1248" spans="1:15" x14ac:dyDescent="0.35">
      <c r="A1248" s="77">
        <v>3.6657534246575341</v>
      </c>
      <c r="B1248" s="19">
        <v>77653</v>
      </c>
      <c r="C1248" s="19" t="s">
        <v>3565</v>
      </c>
      <c r="D1248" s="19" t="s">
        <v>362</v>
      </c>
      <c r="E1248" s="19" t="s">
        <v>363</v>
      </c>
      <c r="F1248" s="19" t="s">
        <v>1056</v>
      </c>
      <c r="G1248" s="19" t="s">
        <v>1046</v>
      </c>
      <c r="H1248" s="19" t="s">
        <v>1001</v>
      </c>
      <c r="I1248" s="19" t="s">
        <v>1575</v>
      </c>
      <c r="J1248" s="20">
        <v>28</v>
      </c>
      <c r="K1248" t="s">
        <v>654</v>
      </c>
      <c r="L1248" t="s">
        <v>663</v>
      </c>
      <c r="M1248" t="s">
        <v>629</v>
      </c>
      <c r="N1248" t="s">
        <v>646</v>
      </c>
      <c r="O1248" t="s">
        <v>810</v>
      </c>
    </row>
    <row r="1249" spans="1:15" x14ac:dyDescent="0.35">
      <c r="A1249" s="77">
        <v>3.6493150684931508</v>
      </c>
      <c r="B1249" s="19">
        <v>77668</v>
      </c>
      <c r="C1249" s="19" t="s">
        <v>3566</v>
      </c>
      <c r="D1249" s="19" t="s">
        <v>82</v>
      </c>
      <c r="E1249" s="19" t="s">
        <v>83</v>
      </c>
      <c r="F1249" s="19" t="s">
        <v>1103</v>
      </c>
      <c r="G1249" s="19" t="s">
        <v>1034</v>
      </c>
      <c r="H1249" s="19" t="s">
        <v>1001</v>
      </c>
      <c r="I1249" s="19" t="s">
        <v>1575</v>
      </c>
      <c r="J1249" s="20">
        <v>32</v>
      </c>
      <c r="K1249" t="s">
        <v>642</v>
      </c>
      <c r="L1249" t="s">
        <v>661</v>
      </c>
      <c r="M1249" t="s">
        <v>657</v>
      </c>
      <c r="N1249" t="s">
        <v>662</v>
      </c>
      <c r="O1249" t="s">
        <v>632</v>
      </c>
    </row>
    <row r="1250" spans="1:15" x14ac:dyDescent="0.35">
      <c r="A1250" s="77">
        <v>3.6657534246575341</v>
      </c>
      <c r="B1250" s="19">
        <v>77691</v>
      </c>
      <c r="C1250" s="19" t="s">
        <v>3567</v>
      </c>
      <c r="D1250" s="19" t="s">
        <v>39</v>
      </c>
      <c r="E1250" s="19" t="s">
        <v>39</v>
      </c>
      <c r="F1250" s="19" t="s">
        <v>1168</v>
      </c>
      <c r="G1250" s="19" t="s">
        <v>1057</v>
      </c>
      <c r="H1250" s="19" t="s">
        <v>1001</v>
      </c>
      <c r="I1250" s="19" t="s">
        <v>1575</v>
      </c>
      <c r="J1250" s="20">
        <v>21</v>
      </c>
      <c r="K1250" t="s">
        <v>636</v>
      </c>
      <c r="L1250" t="s">
        <v>661</v>
      </c>
      <c r="M1250" t="s">
        <v>657</v>
      </c>
      <c r="N1250" t="s">
        <v>662</v>
      </c>
      <c r="O1250" t="s">
        <v>632</v>
      </c>
    </row>
    <row r="1251" spans="1:15" x14ac:dyDescent="0.35">
      <c r="A1251" s="77">
        <v>3.6657534246575341</v>
      </c>
      <c r="B1251" s="19">
        <v>77697</v>
      </c>
      <c r="C1251" s="19" t="s">
        <v>3568</v>
      </c>
      <c r="D1251" s="19" t="s">
        <v>41</v>
      </c>
      <c r="E1251" s="19" t="s">
        <v>41</v>
      </c>
      <c r="F1251" s="19" t="s">
        <v>1157</v>
      </c>
      <c r="G1251" s="19" t="s">
        <v>1057</v>
      </c>
      <c r="H1251" s="19" t="s">
        <v>1001</v>
      </c>
      <c r="I1251" s="19" t="s">
        <v>1575</v>
      </c>
      <c r="J1251" s="20">
        <v>24</v>
      </c>
      <c r="K1251" t="s">
        <v>625</v>
      </c>
      <c r="L1251" t="s">
        <v>691</v>
      </c>
      <c r="M1251" t="s">
        <v>657</v>
      </c>
      <c r="N1251" t="s">
        <v>658</v>
      </c>
      <c r="O1251" t="s">
        <v>632</v>
      </c>
    </row>
    <row r="1252" spans="1:15" x14ac:dyDescent="0.35">
      <c r="A1252" s="77">
        <v>3.6465753424657534</v>
      </c>
      <c r="B1252" s="19">
        <v>77703</v>
      </c>
      <c r="C1252" s="19" t="s">
        <v>3569</v>
      </c>
      <c r="D1252" s="19" t="s">
        <v>118</v>
      </c>
      <c r="E1252" s="19" t="s">
        <v>119</v>
      </c>
      <c r="F1252" s="19" t="s">
        <v>1360</v>
      </c>
      <c r="G1252" s="19" t="s">
        <v>1046</v>
      </c>
      <c r="H1252" s="19" t="s">
        <v>1001</v>
      </c>
      <c r="I1252" s="19" t="s">
        <v>1575</v>
      </c>
      <c r="J1252" s="20">
        <v>24</v>
      </c>
      <c r="K1252" t="s">
        <v>625</v>
      </c>
      <c r="L1252" t="s">
        <v>656</v>
      </c>
      <c r="M1252" t="s">
        <v>657</v>
      </c>
      <c r="N1252" t="s">
        <v>658</v>
      </c>
      <c r="O1252" t="s">
        <v>632</v>
      </c>
    </row>
    <row r="1253" spans="1:15" x14ac:dyDescent="0.35">
      <c r="A1253" s="77">
        <v>2.904109589041096</v>
      </c>
      <c r="B1253" s="19">
        <v>77707</v>
      </c>
      <c r="C1253" s="19" t="s">
        <v>3570</v>
      </c>
      <c r="D1253" s="19" t="s">
        <v>23</v>
      </c>
      <c r="E1253" s="19" t="s">
        <v>23</v>
      </c>
      <c r="F1253" s="19" t="s">
        <v>660</v>
      </c>
      <c r="G1253" s="19" t="s">
        <v>1057</v>
      </c>
      <c r="H1253" s="19" t="s">
        <v>1001</v>
      </c>
      <c r="I1253" s="19" t="s">
        <v>1599</v>
      </c>
      <c r="J1253" s="20">
        <v>21</v>
      </c>
      <c r="K1253" t="s">
        <v>631</v>
      </c>
      <c r="L1253" t="s">
        <v>661</v>
      </c>
      <c r="M1253" t="s">
        <v>657</v>
      </c>
      <c r="N1253" t="s">
        <v>662</v>
      </c>
      <c r="O1253" t="s">
        <v>632</v>
      </c>
    </row>
    <row r="1254" spans="1:15" x14ac:dyDescent="0.35">
      <c r="A1254" s="77">
        <v>3.6657534246575341</v>
      </c>
      <c r="B1254" s="19">
        <v>77759</v>
      </c>
      <c r="C1254" s="19" t="s">
        <v>3571</v>
      </c>
      <c r="D1254" s="19" t="s">
        <v>163</v>
      </c>
      <c r="E1254" s="19" t="s">
        <v>164</v>
      </c>
      <c r="F1254" s="19" t="s">
        <v>1174</v>
      </c>
      <c r="G1254" s="19" t="s">
        <v>1034</v>
      </c>
      <c r="H1254" s="19" t="s">
        <v>1001</v>
      </c>
      <c r="I1254" s="19" t="s">
        <v>1575</v>
      </c>
      <c r="J1254" s="20">
        <v>25</v>
      </c>
      <c r="K1254" t="s">
        <v>654</v>
      </c>
      <c r="L1254" t="s">
        <v>634</v>
      </c>
      <c r="M1254" t="s">
        <v>629</v>
      </c>
      <c r="N1254" t="s">
        <v>635</v>
      </c>
      <c r="O1254" t="s">
        <v>637</v>
      </c>
    </row>
    <row r="1255" spans="1:15" x14ac:dyDescent="0.35">
      <c r="A1255" s="77">
        <v>3.6657534246575341</v>
      </c>
      <c r="B1255" s="19">
        <v>77770</v>
      </c>
      <c r="C1255" s="19" t="s">
        <v>3572</v>
      </c>
      <c r="D1255" s="19" t="s">
        <v>8</v>
      </c>
      <c r="E1255" s="19" t="s">
        <v>8</v>
      </c>
      <c r="F1255" s="19" t="s">
        <v>1176</v>
      </c>
      <c r="G1255" s="19" t="s">
        <v>1046</v>
      </c>
      <c r="H1255" s="19" t="s">
        <v>1001</v>
      </c>
      <c r="I1255" s="19" t="s">
        <v>1575</v>
      </c>
      <c r="J1255" s="20">
        <v>28</v>
      </c>
      <c r="K1255" t="s">
        <v>625</v>
      </c>
      <c r="L1255" t="s">
        <v>622</v>
      </c>
      <c r="M1255" t="s">
        <v>623</v>
      </c>
      <c r="N1255" t="s">
        <v>624</v>
      </c>
      <c r="O1255" t="s">
        <v>626</v>
      </c>
    </row>
    <row r="1256" spans="1:15" x14ac:dyDescent="0.35">
      <c r="A1256" s="77">
        <v>3.6657534246575341</v>
      </c>
      <c r="B1256" s="19">
        <v>77790</v>
      </c>
      <c r="C1256" s="19" t="s">
        <v>3573</v>
      </c>
      <c r="D1256" s="19" t="s">
        <v>284</v>
      </c>
      <c r="E1256" s="19" t="s">
        <v>285</v>
      </c>
      <c r="F1256" s="19" t="s">
        <v>1150</v>
      </c>
      <c r="G1256" s="19" t="s">
        <v>1008</v>
      </c>
      <c r="H1256" s="19" t="s">
        <v>1001</v>
      </c>
      <c r="I1256" s="19" t="s">
        <v>1575</v>
      </c>
      <c r="J1256" s="20">
        <v>39</v>
      </c>
      <c r="K1256" t="s">
        <v>625</v>
      </c>
      <c r="L1256" t="s">
        <v>661</v>
      </c>
      <c r="M1256" t="s">
        <v>657</v>
      </c>
      <c r="N1256" t="s">
        <v>662</v>
      </c>
      <c r="O1256" t="s">
        <v>632</v>
      </c>
    </row>
    <row r="1257" spans="1:15" x14ac:dyDescent="0.35">
      <c r="A1257" s="77">
        <v>0.16438356164383561</v>
      </c>
      <c r="B1257" s="19">
        <v>77798</v>
      </c>
      <c r="C1257" s="19" t="s">
        <v>3574</v>
      </c>
      <c r="D1257" s="19" t="s">
        <v>220</v>
      </c>
      <c r="E1257" s="19" t="s">
        <v>221</v>
      </c>
      <c r="F1257" s="19" t="s">
        <v>2309</v>
      </c>
      <c r="G1257" s="19" t="s">
        <v>1008</v>
      </c>
      <c r="H1257" s="19" t="s">
        <v>1001</v>
      </c>
      <c r="I1257" s="19" t="s">
        <v>1575</v>
      </c>
      <c r="J1257" s="20">
        <v>28</v>
      </c>
      <c r="K1257" t="s">
        <v>668</v>
      </c>
      <c r="L1257" t="s">
        <v>648</v>
      </c>
      <c r="M1257" t="s">
        <v>623</v>
      </c>
      <c r="N1257" t="s">
        <v>624</v>
      </c>
      <c r="O1257" t="s">
        <v>649</v>
      </c>
    </row>
    <row r="1258" spans="1:15" x14ac:dyDescent="0.35">
      <c r="A1258" s="77">
        <v>3.6520547945205482</v>
      </c>
      <c r="B1258" s="19">
        <v>77801</v>
      </c>
      <c r="C1258" s="19" t="s">
        <v>3575</v>
      </c>
      <c r="D1258" s="19" t="s">
        <v>382</v>
      </c>
      <c r="E1258" s="19" t="s">
        <v>383</v>
      </c>
      <c r="F1258" s="19" t="s">
        <v>384</v>
      </c>
      <c r="G1258" s="19" t="s">
        <v>1045</v>
      </c>
      <c r="H1258" s="19" t="s">
        <v>1001</v>
      </c>
      <c r="I1258" s="19" t="s">
        <v>1599</v>
      </c>
      <c r="J1258" s="20">
        <v>30</v>
      </c>
      <c r="K1258" t="s">
        <v>636</v>
      </c>
      <c r="L1258" t="s">
        <v>656</v>
      </c>
      <c r="M1258" t="s">
        <v>657</v>
      </c>
      <c r="N1258" t="s">
        <v>658</v>
      </c>
      <c r="O1258" t="s">
        <v>843</v>
      </c>
    </row>
    <row r="1259" spans="1:15" x14ac:dyDescent="0.35">
      <c r="A1259" s="77">
        <v>3.6383561643835618</v>
      </c>
      <c r="B1259" s="19">
        <v>77832</v>
      </c>
      <c r="C1259" s="19" t="s">
        <v>3576</v>
      </c>
      <c r="D1259" s="19" t="s">
        <v>82</v>
      </c>
      <c r="E1259" s="19" t="s">
        <v>83</v>
      </c>
      <c r="F1259" s="19" t="s">
        <v>1103</v>
      </c>
      <c r="G1259" s="19" t="s">
        <v>3508</v>
      </c>
      <c r="H1259" s="19" t="s">
        <v>1020</v>
      </c>
      <c r="I1259" s="19" t="s">
        <v>1599</v>
      </c>
      <c r="J1259" s="20">
        <v>18</v>
      </c>
      <c r="K1259" t="s">
        <v>642</v>
      </c>
      <c r="L1259" t="s">
        <v>661</v>
      </c>
      <c r="M1259" t="s">
        <v>657</v>
      </c>
      <c r="N1259" t="s">
        <v>662</v>
      </c>
      <c r="O1259" t="s">
        <v>632</v>
      </c>
    </row>
    <row r="1260" spans="1:15" x14ac:dyDescent="0.35">
      <c r="A1260" s="77">
        <v>3.6301369863013697</v>
      </c>
      <c r="B1260" s="19">
        <v>77834</v>
      </c>
      <c r="C1260" s="19" t="s">
        <v>3577</v>
      </c>
      <c r="D1260" s="19" t="s">
        <v>280</v>
      </c>
      <c r="E1260" s="19" t="s">
        <v>281</v>
      </c>
      <c r="F1260" s="19" t="s">
        <v>1223</v>
      </c>
      <c r="G1260" s="19" t="s">
        <v>1046</v>
      </c>
      <c r="H1260" s="19" t="s">
        <v>1001</v>
      </c>
      <c r="I1260" s="19" t="s">
        <v>1575</v>
      </c>
      <c r="J1260" s="20">
        <v>22</v>
      </c>
      <c r="K1260" t="s">
        <v>631</v>
      </c>
      <c r="L1260" t="s">
        <v>691</v>
      </c>
      <c r="M1260" t="s">
        <v>657</v>
      </c>
      <c r="N1260" t="s">
        <v>658</v>
      </c>
      <c r="O1260" t="s">
        <v>632</v>
      </c>
    </row>
    <row r="1261" spans="1:15" x14ac:dyDescent="0.35">
      <c r="A1261" s="77">
        <v>3.6328767123287671</v>
      </c>
      <c r="B1261" s="19">
        <v>77904</v>
      </c>
      <c r="C1261" s="19" t="s">
        <v>3578</v>
      </c>
      <c r="D1261" s="19" t="s">
        <v>39</v>
      </c>
      <c r="E1261" s="19" t="s">
        <v>39</v>
      </c>
      <c r="F1261" s="19" t="s">
        <v>1168</v>
      </c>
      <c r="G1261" s="19" t="s">
        <v>1084</v>
      </c>
      <c r="H1261" s="19" t="s">
        <v>1001</v>
      </c>
      <c r="I1261" s="19" t="s">
        <v>1575</v>
      </c>
      <c r="J1261" s="20">
        <v>33</v>
      </c>
      <c r="K1261" t="s">
        <v>636</v>
      </c>
      <c r="L1261" t="s">
        <v>661</v>
      </c>
      <c r="M1261" t="s">
        <v>657</v>
      </c>
      <c r="N1261" t="s">
        <v>662</v>
      </c>
      <c r="O1261" t="s">
        <v>632</v>
      </c>
    </row>
    <row r="1262" spans="1:15" x14ac:dyDescent="0.35">
      <c r="A1262" s="77">
        <v>3.6273972602739728</v>
      </c>
      <c r="B1262" s="19">
        <v>77920</v>
      </c>
      <c r="C1262" s="19" t="s">
        <v>3579</v>
      </c>
      <c r="D1262" s="19" t="s">
        <v>16</v>
      </c>
      <c r="E1262" s="19" t="s">
        <v>16</v>
      </c>
      <c r="F1262" s="19" t="s">
        <v>1211</v>
      </c>
      <c r="G1262" s="19" t="s">
        <v>1057</v>
      </c>
      <c r="H1262" s="19" t="s">
        <v>1001</v>
      </c>
      <c r="I1262" s="19" t="s">
        <v>1575</v>
      </c>
      <c r="J1262" s="20">
        <v>27</v>
      </c>
      <c r="K1262" t="s">
        <v>631</v>
      </c>
      <c r="L1262" t="s">
        <v>645</v>
      </c>
      <c r="M1262" t="s">
        <v>629</v>
      </c>
      <c r="N1262" t="s">
        <v>646</v>
      </c>
      <c r="O1262" t="s">
        <v>632</v>
      </c>
    </row>
    <row r="1263" spans="1:15" x14ac:dyDescent="0.35">
      <c r="A1263" s="77">
        <v>0.86027397260273974</v>
      </c>
      <c r="B1263" s="19">
        <v>77922</v>
      </c>
      <c r="C1263" s="19" t="s">
        <v>3580</v>
      </c>
      <c r="D1263" s="19" t="s">
        <v>39</v>
      </c>
      <c r="E1263" s="19" t="s">
        <v>39</v>
      </c>
      <c r="F1263" s="19" t="s">
        <v>1168</v>
      </c>
      <c r="G1263" s="19" t="s">
        <v>1057</v>
      </c>
      <c r="H1263" s="19" t="s">
        <v>1001</v>
      </c>
      <c r="I1263" s="19" t="s">
        <v>1599</v>
      </c>
      <c r="J1263" s="20">
        <v>21</v>
      </c>
      <c r="K1263" t="s">
        <v>636</v>
      </c>
      <c r="L1263" t="s">
        <v>661</v>
      </c>
      <c r="M1263" t="s">
        <v>657</v>
      </c>
      <c r="N1263" t="s">
        <v>662</v>
      </c>
      <c r="O1263" t="s">
        <v>632</v>
      </c>
    </row>
    <row r="1264" spans="1:15" x14ac:dyDescent="0.35">
      <c r="A1264" s="77">
        <v>3.6219178082191781</v>
      </c>
      <c r="B1264" s="19">
        <v>77945</v>
      </c>
      <c r="C1264" s="19" t="s">
        <v>3581</v>
      </c>
      <c r="D1264" s="19" t="s">
        <v>181</v>
      </c>
      <c r="E1264" s="19" t="s">
        <v>182</v>
      </c>
      <c r="F1264" s="19" t="s">
        <v>1374</v>
      </c>
      <c r="G1264" s="19" t="s">
        <v>3508</v>
      </c>
      <c r="H1264" s="19" t="s">
        <v>1020</v>
      </c>
      <c r="I1264" s="19" t="s">
        <v>1575</v>
      </c>
      <c r="J1264" s="20">
        <v>18</v>
      </c>
      <c r="K1264" t="s">
        <v>625</v>
      </c>
      <c r="L1264" t="s">
        <v>678</v>
      </c>
      <c r="M1264" t="s">
        <v>623</v>
      </c>
      <c r="N1264" t="s">
        <v>624</v>
      </c>
      <c r="O1264" t="s">
        <v>679</v>
      </c>
    </row>
    <row r="1265" spans="1:15" x14ac:dyDescent="0.35">
      <c r="A1265" s="77">
        <v>3.6356164383561644</v>
      </c>
      <c r="B1265" s="19">
        <v>77951</v>
      </c>
      <c r="C1265" s="19" t="s">
        <v>3582</v>
      </c>
      <c r="D1265" s="19" t="s">
        <v>118</v>
      </c>
      <c r="E1265" s="19" t="s">
        <v>119</v>
      </c>
      <c r="F1265" s="19" t="s">
        <v>1360</v>
      </c>
      <c r="G1265" s="19" t="s">
        <v>1028</v>
      </c>
      <c r="H1265" s="19" t="s">
        <v>1020</v>
      </c>
      <c r="I1265" s="19" t="s">
        <v>1599</v>
      </c>
      <c r="J1265" s="20">
        <v>24</v>
      </c>
      <c r="K1265" t="s">
        <v>625</v>
      </c>
      <c r="L1265" t="s">
        <v>656</v>
      </c>
      <c r="M1265" t="s">
        <v>657</v>
      </c>
      <c r="N1265" t="s">
        <v>658</v>
      </c>
      <c r="O1265" t="s">
        <v>632</v>
      </c>
    </row>
    <row r="1266" spans="1:15" x14ac:dyDescent="0.35">
      <c r="A1266" s="77">
        <v>3.6164383561643834</v>
      </c>
      <c r="B1266" s="19">
        <v>78017</v>
      </c>
      <c r="C1266" s="19" t="s">
        <v>3583</v>
      </c>
      <c r="D1266" s="19" t="s">
        <v>360</v>
      </c>
      <c r="E1266" s="19" t="s">
        <v>361</v>
      </c>
      <c r="F1266" s="19" t="s">
        <v>2312</v>
      </c>
      <c r="G1266" s="19" t="s">
        <v>1008</v>
      </c>
      <c r="H1266" s="19" t="s">
        <v>1001</v>
      </c>
      <c r="I1266" s="19" t="s">
        <v>1575</v>
      </c>
      <c r="J1266" s="20">
        <v>39</v>
      </c>
      <c r="K1266" t="s">
        <v>642</v>
      </c>
      <c r="L1266" t="s">
        <v>670</v>
      </c>
      <c r="M1266" t="s">
        <v>657</v>
      </c>
      <c r="N1266" t="s">
        <v>641</v>
      </c>
      <c r="O1266" t="s">
        <v>671</v>
      </c>
    </row>
    <row r="1267" spans="1:15" x14ac:dyDescent="0.35">
      <c r="A1267" s="77">
        <v>3.6301369863013697</v>
      </c>
      <c r="B1267" s="19">
        <v>78053</v>
      </c>
      <c r="C1267" s="19" t="s">
        <v>3584</v>
      </c>
      <c r="D1267" s="19" t="s">
        <v>113</v>
      </c>
      <c r="E1267" s="19" t="s">
        <v>114</v>
      </c>
      <c r="F1267" s="19" t="s">
        <v>1871</v>
      </c>
      <c r="G1267" s="19" t="s">
        <v>1046</v>
      </c>
      <c r="H1267" s="19" t="s">
        <v>1001</v>
      </c>
      <c r="I1267" s="19" t="s">
        <v>1575</v>
      </c>
      <c r="J1267" s="20">
        <v>23</v>
      </c>
      <c r="K1267" t="s">
        <v>654</v>
      </c>
      <c r="L1267" t="s">
        <v>661</v>
      </c>
      <c r="M1267" t="s">
        <v>657</v>
      </c>
      <c r="N1267" t="s">
        <v>662</v>
      </c>
      <c r="O1267" t="s">
        <v>632</v>
      </c>
    </row>
    <row r="1268" spans="1:15" x14ac:dyDescent="0.35">
      <c r="A1268" s="77">
        <v>3.6273972602739728</v>
      </c>
      <c r="B1268" s="19">
        <v>78055</v>
      </c>
      <c r="C1268" s="19" t="s">
        <v>3585</v>
      </c>
      <c r="D1268" s="19" t="s">
        <v>155</v>
      </c>
      <c r="E1268" s="19" t="s">
        <v>156</v>
      </c>
      <c r="F1268" s="19" t="s">
        <v>896</v>
      </c>
      <c r="G1268" s="19" t="s">
        <v>1008</v>
      </c>
      <c r="H1268" s="19" t="s">
        <v>1001</v>
      </c>
      <c r="I1268" s="19" t="s">
        <v>1599</v>
      </c>
      <c r="J1268" s="20">
        <v>31</v>
      </c>
      <c r="K1268" t="s">
        <v>636</v>
      </c>
      <c r="L1268" t="s">
        <v>663</v>
      </c>
      <c r="M1268" t="s">
        <v>629</v>
      </c>
      <c r="N1268" t="s">
        <v>646</v>
      </c>
      <c r="O1268" t="s">
        <v>639</v>
      </c>
    </row>
    <row r="1269" spans="1:15" x14ac:dyDescent="0.35">
      <c r="A1269" s="77">
        <v>0.23287671232876711</v>
      </c>
      <c r="B1269" s="19">
        <v>78155</v>
      </c>
      <c r="C1269" s="19" t="s">
        <v>3586</v>
      </c>
      <c r="D1269" s="19" t="s">
        <v>64</v>
      </c>
      <c r="E1269" s="19" t="s">
        <v>65</v>
      </c>
      <c r="F1269" s="19" t="s">
        <v>1197</v>
      </c>
      <c r="G1269" s="19" t="s">
        <v>1028</v>
      </c>
      <c r="H1269" s="19" t="s">
        <v>1020</v>
      </c>
      <c r="I1269" s="19" t="s">
        <v>1575</v>
      </c>
      <c r="J1269" s="20">
        <v>19</v>
      </c>
      <c r="K1269" t="s">
        <v>654</v>
      </c>
      <c r="L1269" t="s">
        <v>651</v>
      </c>
      <c r="M1269" t="s">
        <v>629</v>
      </c>
      <c r="N1269" t="s">
        <v>630</v>
      </c>
      <c r="O1269" t="s">
        <v>705</v>
      </c>
    </row>
    <row r="1270" spans="1:15" x14ac:dyDescent="0.35">
      <c r="A1270" s="77">
        <v>3.6082191780821917</v>
      </c>
      <c r="B1270" s="19">
        <v>78169</v>
      </c>
      <c r="C1270" s="19" t="s">
        <v>3587</v>
      </c>
      <c r="D1270" s="19" t="s">
        <v>409</v>
      </c>
      <c r="E1270" s="19" t="s">
        <v>410</v>
      </c>
      <c r="F1270" s="19" t="s">
        <v>874</v>
      </c>
      <c r="G1270" s="19" t="s">
        <v>1046</v>
      </c>
      <c r="H1270" s="19" t="s">
        <v>1001</v>
      </c>
      <c r="I1270" s="19" t="s">
        <v>1575</v>
      </c>
      <c r="J1270" s="20">
        <v>22</v>
      </c>
      <c r="K1270" t="s">
        <v>631</v>
      </c>
      <c r="L1270" t="s">
        <v>666</v>
      </c>
      <c r="M1270" t="s">
        <v>629</v>
      </c>
      <c r="N1270" t="s">
        <v>635</v>
      </c>
      <c r="O1270" t="s">
        <v>637</v>
      </c>
    </row>
    <row r="1271" spans="1:15" x14ac:dyDescent="0.35">
      <c r="A1271" s="77">
        <v>3.6109589041095891</v>
      </c>
      <c r="B1271" s="19">
        <v>78170</v>
      </c>
      <c r="C1271" s="19" t="s">
        <v>3588</v>
      </c>
      <c r="D1271" s="19" t="s">
        <v>297</v>
      </c>
      <c r="E1271" s="19" t="s">
        <v>298</v>
      </c>
      <c r="F1271" s="19" t="s">
        <v>904</v>
      </c>
      <c r="G1271" s="19" t="s">
        <v>1057</v>
      </c>
      <c r="H1271" s="19" t="s">
        <v>1001</v>
      </c>
      <c r="I1271" s="19" t="s">
        <v>1599</v>
      </c>
      <c r="J1271" s="20">
        <v>25</v>
      </c>
      <c r="K1271" t="s">
        <v>654</v>
      </c>
      <c r="L1271" t="s">
        <v>762</v>
      </c>
      <c r="M1271" t="s">
        <v>629</v>
      </c>
      <c r="N1271" t="s">
        <v>646</v>
      </c>
      <c r="O1271" t="s">
        <v>823</v>
      </c>
    </row>
    <row r="1272" spans="1:15" x14ac:dyDescent="0.35">
      <c r="A1272" s="77">
        <v>3.6301369863013697</v>
      </c>
      <c r="B1272" s="19">
        <v>78192</v>
      </c>
      <c r="C1272" s="19" t="s">
        <v>3589</v>
      </c>
      <c r="D1272" s="19" t="s">
        <v>17</v>
      </c>
      <c r="E1272" s="19" t="s">
        <v>17</v>
      </c>
      <c r="F1272" s="19" t="s">
        <v>906</v>
      </c>
      <c r="G1272" s="19" t="s">
        <v>1028</v>
      </c>
      <c r="H1272" s="19" t="s">
        <v>1020</v>
      </c>
      <c r="I1272" s="19" t="s">
        <v>1575</v>
      </c>
      <c r="J1272" s="20">
        <v>22</v>
      </c>
      <c r="K1272" t="s">
        <v>636</v>
      </c>
      <c r="L1272" t="s">
        <v>648</v>
      </c>
      <c r="M1272" t="s">
        <v>623</v>
      </c>
      <c r="N1272" t="s">
        <v>624</v>
      </c>
      <c r="O1272" t="s">
        <v>649</v>
      </c>
    </row>
    <row r="1273" spans="1:15" x14ac:dyDescent="0.35">
      <c r="A1273" s="77">
        <v>2.2000000000000002</v>
      </c>
      <c r="B1273" s="19">
        <v>78194</v>
      </c>
      <c r="C1273" s="19" t="s">
        <v>3590</v>
      </c>
      <c r="D1273" s="19" t="s">
        <v>49</v>
      </c>
      <c r="E1273" s="19" t="s">
        <v>50</v>
      </c>
      <c r="F1273" s="19" t="s">
        <v>1213</v>
      </c>
      <c r="G1273" s="19" t="s">
        <v>1008</v>
      </c>
      <c r="H1273" s="19" t="s">
        <v>1001</v>
      </c>
      <c r="I1273" s="19" t="s">
        <v>1575</v>
      </c>
      <c r="J1273" s="20">
        <v>30</v>
      </c>
      <c r="K1273" t="s">
        <v>625</v>
      </c>
      <c r="L1273" t="s">
        <v>648</v>
      </c>
      <c r="M1273" t="s">
        <v>623</v>
      </c>
      <c r="N1273" t="s">
        <v>624</v>
      </c>
      <c r="O1273" t="s">
        <v>649</v>
      </c>
    </row>
    <row r="1274" spans="1:15" x14ac:dyDescent="0.35">
      <c r="A1274" s="77">
        <v>3.6191780821917807</v>
      </c>
      <c r="B1274" s="19">
        <v>78243</v>
      </c>
      <c r="C1274" s="19" t="s">
        <v>3591</v>
      </c>
      <c r="D1274" s="19" t="s">
        <v>351</v>
      </c>
      <c r="E1274" s="19" t="s">
        <v>352</v>
      </c>
      <c r="F1274" s="19" t="s">
        <v>1507</v>
      </c>
      <c r="G1274" s="19" t="s">
        <v>1034</v>
      </c>
      <c r="H1274" s="19" t="s">
        <v>1001</v>
      </c>
      <c r="I1274" s="19" t="s">
        <v>1575</v>
      </c>
      <c r="J1274" s="20">
        <v>23</v>
      </c>
      <c r="K1274" t="s">
        <v>636</v>
      </c>
      <c r="L1274" t="s">
        <v>661</v>
      </c>
      <c r="M1274" t="s">
        <v>657</v>
      </c>
      <c r="N1274" t="s">
        <v>662</v>
      </c>
      <c r="O1274" t="s">
        <v>632</v>
      </c>
    </row>
    <row r="1275" spans="1:15" x14ac:dyDescent="0.35">
      <c r="A1275" s="77">
        <v>0.91506849315068495</v>
      </c>
      <c r="B1275" s="19">
        <v>78358</v>
      </c>
      <c r="C1275" s="19" t="s">
        <v>3592</v>
      </c>
      <c r="D1275" s="19" t="s">
        <v>377</v>
      </c>
      <c r="E1275" s="19" t="s">
        <v>378</v>
      </c>
      <c r="F1275" s="19" t="s">
        <v>862</v>
      </c>
      <c r="G1275" s="19" t="s">
        <v>1084</v>
      </c>
      <c r="H1275" s="19" t="s">
        <v>1001</v>
      </c>
      <c r="I1275" s="19" t="s">
        <v>1599</v>
      </c>
      <c r="J1275" s="20">
        <v>20</v>
      </c>
      <c r="K1275" t="s">
        <v>631</v>
      </c>
      <c r="L1275" t="s">
        <v>661</v>
      </c>
      <c r="M1275" t="s">
        <v>657</v>
      </c>
      <c r="N1275" t="s">
        <v>662</v>
      </c>
      <c r="O1275" t="s">
        <v>632</v>
      </c>
    </row>
    <row r="1276" spans="1:15" x14ac:dyDescent="0.35">
      <c r="A1276" s="77">
        <v>3.580821917808219</v>
      </c>
      <c r="B1276" s="19">
        <v>78367</v>
      </c>
      <c r="C1276" s="19" t="s">
        <v>3593</v>
      </c>
      <c r="D1276" s="19" t="s">
        <v>276</v>
      </c>
      <c r="E1276" s="19" t="s">
        <v>277</v>
      </c>
      <c r="F1276" s="19" t="s">
        <v>893</v>
      </c>
      <c r="G1276" s="19" t="s">
        <v>1045</v>
      </c>
      <c r="H1276" s="19" t="s">
        <v>1001</v>
      </c>
      <c r="I1276" s="19" t="s">
        <v>1599</v>
      </c>
      <c r="J1276" s="20">
        <v>60</v>
      </c>
      <c r="K1276" t="s">
        <v>631</v>
      </c>
      <c r="L1276" t="s">
        <v>707</v>
      </c>
      <c r="M1276" t="s">
        <v>629</v>
      </c>
      <c r="N1276" t="s">
        <v>635</v>
      </c>
      <c r="O1276" t="s">
        <v>710</v>
      </c>
    </row>
    <row r="1277" spans="1:15" x14ac:dyDescent="0.35">
      <c r="A1277" s="77">
        <v>3.5753424657534247</v>
      </c>
      <c r="B1277" s="19">
        <v>78368</v>
      </c>
      <c r="C1277" s="19" t="s">
        <v>3594</v>
      </c>
      <c r="D1277" s="19" t="s">
        <v>199</v>
      </c>
      <c r="E1277" s="19" t="s">
        <v>200</v>
      </c>
      <c r="F1277" s="19" t="s">
        <v>1496</v>
      </c>
      <c r="G1277" s="19" t="s">
        <v>1057</v>
      </c>
      <c r="H1277" s="19" t="s">
        <v>1001</v>
      </c>
      <c r="I1277" s="19" t="s">
        <v>1575</v>
      </c>
      <c r="J1277" s="20">
        <v>38</v>
      </c>
      <c r="K1277" t="s">
        <v>654</v>
      </c>
      <c r="L1277" t="s">
        <v>737</v>
      </c>
      <c r="M1277" t="s">
        <v>657</v>
      </c>
      <c r="N1277" t="s">
        <v>641</v>
      </c>
      <c r="O1277" t="s">
        <v>738</v>
      </c>
    </row>
    <row r="1278" spans="1:15" x14ac:dyDescent="0.35">
      <c r="A1278" s="77">
        <v>3.5780821917808221</v>
      </c>
      <c r="B1278" s="19">
        <v>78404</v>
      </c>
      <c r="C1278" s="19" t="s">
        <v>3595</v>
      </c>
      <c r="D1278" s="19" t="s">
        <v>23</v>
      </c>
      <c r="E1278" s="19" t="s">
        <v>23</v>
      </c>
      <c r="F1278" s="19" t="s">
        <v>660</v>
      </c>
      <c r="G1278" s="19" t="s">
        <v>1084</v>
      </c>
      <c r="H1278" s="19" t="s">
        <v>1020</v>
      </c>
      <c r="I1278" s="19" t="s">
        <v>1575</v>
      </c>
      <c r="J1278" s="20">
        <v>39</v>
      </c>
      <c r="K1278" t="s">
        <v>631</v>
      </c>
      <c r="L1278" t="s">
        <v>661</v>
      </c>
      <c r="M1278" t="s">
        <v>657</v>
      </c>
      <c r="N1278" t="s">
        <v>662</v>
      </c>
      <c r="O1278" t="s">
        <v>632</v>
      </c>
    </row>
    <row r="1279" spans="1:15" x14ac:dyDescent="0.35">
      <c r="A1279" s="77">
        <v>3.5506849315068494</v>
      </c>
      <c r="B1279" s="19">
        <v>78495</v>
      </c>
      <c r="C1279" s="19" t="s">
        <v>3596</v>
      </c>
      <c r="D1279" s="19" t="s">
        <v>377</v>
      </c>
      <c r="E1279" s="19" t="s">
        <v>378</v>
      </c>
      <c r="F1279" s="19" t="s">
        <v>862</v>
      </c>
      <c r="G1279" s="19" t="s">
        <v>1008</v>
      </c>
      <c r="H1279" s="19" t="s">
        <v>1001</v>
      </c>
      <c r="I1279" s="19" t="s">
        <v>1575</v>
      </c>
      <c r="J1279" s="20">
        <v>24</v>
      </c>
      <c r="K1279" t="s">
        <v>631</v>
      </c>
      <c r="L1279" t="s">
        <v>661</v>
      </c>
      <c r="M1279" t="s">
        <v>657</v>
      </c>
      <c r="N1279" t="s">
        <v>662</v>
      </c>
      <c r="O1279" t="s">
        <v>632</v>
      </c>
    </row>
    <row r="1280" spans="1:15" x14ac:dyDescent="0.35">
      <c r="A1280" s="77">
        <v>3.5780821917808221</v>
      </c>
      <c r="B1280" s="19">
        <v>78514</v>
      </c>
      <c r="C1280" s="19" t="s">
        <v>3597</v>
      </c>
      <c r="D1280" s="19" t="s">
        <v>278</v>
      </c>
      <c r="E1280" s="19" t="s">
        <v>279</v>
      </c>
      <c r="F1280" s="19" t="s">
        <v>1131</v>
      </c>
      <c r="G1280" s="19" t="s">
        <v>1034</v>
      </c>
      <c r="H1280" s="19" t="s">
        <v>1001</v>
      </c>
      <c r="I1280" s="19" t="s">
        <v>1575</v>
      </c>
      <c r="J1280" s="20">
        <v>23</v>
      </c>
      <c r="K1280" t="s">
        <v>625</v>
      </c>
      <c r="L1280" t="s">
        <v>661</v>
      </c>
      <c r="M1280" t="s">
        <v>657</v>
      </c>
      <c r="N1280" t="s">
        <v>662</v>
      </c>
      <c r="O1280" t="s">
        <v>632</v>
      </c>
    </row>
    <row r="1281" spans="1:15" x14ac:dyDescent="0.35">
      <c r="A1281" s="77">
        <v>0.41095890410958902</v>
      </c>
      <c r="B1281" s="19">
        <v>78520</v>
      </c>
      <c r="C1281" s="19" t="s">
        <v>3598</v>
      </c>
      <c r="D1281" s="19" t="s">
        <v>76</v>
      </c>
      <c r="E1281" s="19" t="s">
        <v>77</v>
      </c>
      <c r="F1281" s="19" t="s">
        <v>899</v>
      </c>
      <c r="G1281" s="19" t="s">
        <v>1019</v>
      </c>
      <c r="H1281" s="19" t="s">
        <v>1020</v>
      </c>
      <c r="I1281" s="19" t="s">
        <v>1575</v>
      </c>
      <c r="J1281" s="20">
        <v>22</v>
      </c>
      <c r="K1281" t="s">
        <v>636</v>
      </c>
      <c r="L1281" t="s">
        <v>645</v>
      </c>
      <c r="M1281" t="s">
        <v>629</v>
      </c>
      <c r="N1281" t="s">
        <v>646</v>
      </c>
      <c r="O1281" t="s">
        <v>632</v>
      </c>
    </row>
    <row r="1282" spans="1:15" x14ac:dyDescent="0.35">
      <c r="A1282" s="77">
        <v>3.5643835616438357</v>
      </c>
      <c r="B1282" s="19">
        <v>78534</v>
      </c>
      <c r="C1282" s="19" t="s">
        <v>3599</v>
      </c>
      <c r="D1282" s="19" t="s">
        <v>403</v>
      </c>
      <c r="E1282" s="19" t="s">
        <v>404</v>
      </c>
      <c r="F1282" s="19" t="s">
        <v>870</v>
      </c>
      <c r="G1282" s="19" t="s">
        <v>1000</v>
      </c>
      <c r="H1282" s="19" t="s">
        <v>1001</v>
      </c>
      <c r="I1282" s="19" t="s">
        <v>1599</v>
      </c>
      <c r="J1282" s="20">
        <v>37</v>
      </c>
      <c r="K1282" t="s">
        <v>631</v>
      </c>
      <c r="L1282" t="s">
        <v>691</v>
      </c>
      <c r="M1282" t="s">
        <v>657</v>
      </c>
      <c r="N1282" t="s">
        <v>658</v>
      </c>
      <c r="O1282" t="s">
        <v>632</v>
      </c>
    </row>
    <row r="1283" spans="1:15" x14ac:dyDescent="0.35">
      <c r="A1283" s="77">
        <v>3.5561643835616437</v>
      </c>
      <c r="B1283" s="19">
        <v>78543</v>
      </c>
      <c r="C1283" s="19" t="s">
        <v>3600</v>
      </c>
      <c r="D1283" s="19" t="s">
        <v>403</v>
      </c>
      <c r="E1283" s="19" t="s">
        <v>404</v>
      </c>
      <c r="F1283" s="19" t="s">
        <v>870</v>
      </c>
      <c r="G1283" s="19" t="s">
        <v>1028</v>
      </c>
      <c r="H1283" s="19" t="s">
        <v>1020</v>
      </c>
      <c r="I1283" s="19" t="s">
        <v>1575</v>
      </c>
      <c r="J1283" s="20">
        <v>24</v>
      </c>
      <c r="K1283" t="s">
        <v>631</v>
      </c>
      <c r="L1283" t="s">
        <v>691</v>
      </c>
      <c r="M1283" t="s">
        <v>657</v>
      </c>
      <c r="N1283" t="s">
        <v>658</v>
      </c>
      <c r="O1283" t="s">
        <v>632</v>
      </c>
    </row>
    <row r="1284" spans="1:15" x14ac:dyDescent="0.35">
      <c r="A1284" s="77">
        <v>3.5534246575342467</v>
      </c>
      <c r="B1284" s="19">
        <v>78548</v>
      </c>
      <c r="C1284" s="19" t="s">
        <v>3601</v>
      </c>
      <c r="D1284" s="19" t="s">
        <v>403</v>
      </c>
      <c r="E1284" s="19" t="s">
        <v>404</v>
      </c>
      <c r="F1284" s="19" t="s">
        <v>870</v>
      </c>
      <c r="G1284" s="19" t="s">
        <v>1038</v>
      </c>
      <c r="H1284" s="19" t="s">
        <v>1020</v>
      </c>
      <c r="I1284" s="19" t="s">
        <v>1575</v>
      </c>
      <c r="J1284" s="20">
        <v>39</v>
      </c>
      <c r="K1284" t="s">
        <v>631</v>
      </c>
      <c r="L1284" t="s">
        <v>691</v>
      </c>
      <c r="M1284" t="s">
        <v>657</v>
      </c>
      <c r="N1284" t="s">
        <v>658</v>
      </c>
      <c r="O1284" t="s">
        <v>632</v>
      </c>
    </row>
    <row r="1285" spans="1:15" x14ac:dyDescent="0.35">
      <c r="A1285" s="77">
        <v>3.5397260273972604</v>
      </c>
      <c r="B1285" s="19">
        <v>78640</v>
      </c>
      <c r="C1285" s="19" t="s">
        <v>3602</v>
      </c>
      <c r="D1285" s="19" t="s">
        <v>397</v>
      </c>
      <c r="E1285" s="19" t="s">
        <v>398</v>
      </c>
      <c r="F1285" s="19" t="s">
        <v>867</v>
      </c>
      <c r="G1285" s="19" t="s">
        <v>1046</v>
      </c>
      <c r="H1285" s="19" t="s">
        <v>1001</v>
      </c>
      <c r="I1285" s="19" t="s">
        <v>1599</v>
      </c>
      <c r="J1285" s="20">
        <v>30</v>
      </c>
      <c r="K1285" t="s">
        <v>625</v>
      </c>
      <c r="L1285" t="s">
        <v>634</v>
      </c>
      <c r="M1285" t="s">
        <v>629</v>
      </c>
      <c r="N1285" t="s">
        <v>635</v>
      </c>
      <c r="O1285" t="s">
        <v>637</v>
      </c>
    </row>
    <row r="1286" spans="1:15" x14ac:dyDescent="0.35">
      <c r="A1286" s="77">
        <v>1.6931506849315068</v>
      </c>
      <c r="B1286" s="19">
        <v>78664</v>
      </c>
      <c r="C1286" s="19" t="s">
        <v>3603</v>
      </c>
      <c r="D1286" s="19" t="s">
        <v>266</v>
      </c>
      <c r="E1286" s="19" t="s">
        <v>267</v>
      </c>
      <c r="F1286" s="19" t="s">
        <v>2070</v>
      </c>
      <c r="G1286" s="19" t="s">
        <v>1028</v>
      </c>
      <c r="H1286" s="19" t="s">
        <v>1020</v>
      </c>
      <c r="I1286" s="19" t="s">
        <v>1575</v>
      </c>
      <c r="J1286" s="20">
        <v>21</v>
      </c>
      <c r="K1286" t="s">
        <v>636</v>
      </c>
      <c r="L1286" t="s">
        <v>634</v>
      </c>
      <c r="M1286" t="s">
        <v>629</v>
      </c>
      <c r="N1286" t="s">
        <v>635</v>
      </c>
      <c r="O1286" t="s">
        <v>637</v>
      </c>
    </row>
    <row r="1287" spans="1:15" x14ac:dyDescent="0.35">
      <c r="A1287" s="77">
        <v>3.5506849315068494</v>
      </c>
      <c r="B1287" s="19">
        <v>78682</v>
      </c>
      <c r="C1287" s="19" t="s">
        <v>3604</v>
      </c>
      <c r="D1287" s="19" t="s">
        <v>26</v>
      </c>
      <c r="E1287" s="19" t="s">
        <v>26</v>
      </c>
      <c r="F1287" s="19" t="s">
        <v>1124</v>
      </c>
      <c r="G1287" s="19" t="s">
        <v>1008</v>
      </c>
      <c r="H1287" s="19" t="s">
        <v>1001</v>
      </c>
      <c r="I1287" s="19" t="s">
        <v>1575</v>
      </c>
      <c r="J1287" s="20">
        <v>29</v>
      </c>
      <c r="K1287" t="s">
        <v>636</v>
      </c>
      <c r="L1287" t="s">
        <v>666</v>
      </c>
      <c r="M1287" t="s">
        <v>629</v>
      </c>
      <c r="N1287" t="s">
        <v>635</v>
      </c>
      <c r="O1287" t="s">
        <v>637</v>
      </c>
    </row>
    <row r="1288" spans="1:15" x14ac:dyDescent="0.35">
      <c r="A1288" s="77">
        <v>3.5205479452054793</v>
      </c>
      <c r="B1288" s="19">
        <v>78718</v>
      </c>
      <c r="C1288" s="19" t="s">
        <v>3605</v>
      </c>
      <c r="D1288" s="19" t="s">
        <v>300</v>
      </c>
      <c r="E1288" s="19" t="s">
        <v>301</v>
      </c>
      <c r="F1288" s="19" t="s">
        <v>1719</v>
      </c>
      <c r="G1288" s="19" t="s">
        <v>3508</v>
      </c>
      <c r="H1288" s="19" t="s">
        <v>1020</v>
      </c>
      <c r="I1288" s="19" t="s">
        <v>1575</v>
      </c>
      <c r="J1288" s="20">
        <v>19</v>
      </c>
      <c r="K1288" t="s">
        <v>668</v>
      </c>
      <c r="L1288" t="s">
        <v>737</v>
      </c>
      <c r="M1288" t="s">
        <v>657</v>
      </c>
      <c r="N1288" t="s">
        <v>641</v>
      </c>
      <c r="O1288" t="s">
        <v>738</v>
      </c>
    </row>
    <row r="1289" spans="1:15" x14ac:dyDescent="0.35">
      <c r="A1289" s="77">
        <v>3.5232876712328767</v>
      </c>
      <c r="B1289" s="19">
        <v>78742</v>
      </c>
      <c r="C1289" s="19" t="s">
        <v>3606</v>
      </c>
      <c r="D1289" s="19" t="s">
        <v>326</v>
      </c>
      <c r="E1289" s="19" t="s">
        <v>327</v>
      </c>
      <c r="F1289" s="19" t="s">
        <v>1051</v>
      </c>
      <c r="G1289" s="19" t="s">
        <v>1038</v>
      </c>
      <c r="H1289" s="19" t="s">
        <v>1020</v>
      </c>
      <c r="I1289" s="19" t="s">
        <v>1575</v>
      </c>
      <c r="J1289" s="20">
        <v>37</v>
      </c>
      <c r="K1289" t="s">
        <v>631</v>
      </c>
      <c r="L1289" t="s">
        <v>648</v>
      </c>
      <c r="M1289" t="s">
        <v>623</v>
      </c>
      <c r="N1289" t="s">
        <v>624</v>
      </c>
      <c r="O1289" t="s">
        <v>837</v>
      </c>
    </row>
    <row r="1290" spans="1:15" x14ac:dyDescent="0.35">
      <c r="A1290" s="77">
        <v>3.515068493150685</v>
      </c>
      <c r="B1290" s="19">
        <v>78809</v>
      </c>
      <c r="C1290" s="19" t="s">
        <v>3607</v>
      </c>
      <c r="D1290" s="19" t="s">
        <v>403</v>
      </c>
      <c r="E1290" s="19" t="s">
        <v>404</v>
      </c>
      <c r="F1290" s="19" t="s">
        <v>870</v>
      </c>
      <c r="G1290" s="19" t="s">
        <v>1008</v>
      </c>
      <c r="H1290" s="19" t="s">
        <v>1001</v>
      </c>
      <c r="I1290" s="19" t="s">
        <v>1575</v>
      </c>
      <c r="J1290" s="20">
        <v>26</v>
      </c>
      <c r="K1290" t="s">
        <v>631</v>
      </c>
      <c r="L1290" t="s">
        <v>691</v>
      </c>
      <c r="M1290" t="s">
        <v>657</v>
      </c>
      <c r="N1290" t="s">
        <v>658</v>
      </c>
      <c r="O1290" t="s">
        <v>632</v>
      </c>
    </row>
    <row r="1291" spans="1:15" x14ac:dyDescent="0.35">
      <c r="A1291" s="77">
        <v>3.484931506849315</v>
      </c>
      <c r="B1291" s="19">
        <v>78953</v>
      </c>
      <c r="C1291" s="19" t="s">
        <v>3608</v>
      </c>
      <c r="D1291" s="19" t="s">
        <v>151</v>
      </c>
      <c r="E1291" s="19" t="s">
        <v>152</v>
      </c>
      <c r="F1291" s="19" t="s">
        <v>1557</v>
      </c>
      <c r="G1291" s="19" t="s">
        <v>1046</v>
      </c>
      <c r="H1291" s="19" t="s">
        <v>1001</v>
      </c>
      <c r="I1291" s="19" t="s">
        <v>1575</v>
      </c>
      <c r="J1291" s="20">
        <v>27</v>
      </c>
      <c r="K1291" t="s">
        <v>654</v>
      </c>
      <c r="L1291" t="s">
        <v>691</v>
      </c>
      <c r="M1291" t="s">
        <v>657</v>
      </c>
      <c r="N1291" t="s">
        <v>658</v>
      </c>
      <c r="O1291" t="s">
        <v>632</v>
      </c>
    </row>
    <row r="1292" spans="1:15" x14ac:dyDescent="0.35">
      <c r="A1292" s="77">
        <v>0.66301369863013704</v>
      </c>
      <c r="B1292" s="19">
        <v>78972</v>
      </c>
      <c r="C1292" s="19" t="s">
        <v>3609</v>
      </c>
      <c r="D1292" s="19" t="s">
        <v>355</v>
      </c>
      <c r="E1292" s="19" t="s">
        <v>356</v>
      </c>
      <c r="F1292" s="19" t="s">
        <v>1100</v>
      </c>
      <c r="G1292" s="19" t="s">
        <v>3508</v>
      </c>
      <c r="H1292" s="19" t="s">
        <v>1020</v>
      </c>
      <c r="I1292" s="19" t="s">
        <v>1599</v>
      </c>
      <c r="J1292" s="20">
        <v>18</v>
      </c>
      <c r="K1292" t="s">
        <v>625</v>
      </c>
      <c r="L1292" t="s">
        <v>622</v>
      </c>
      <c r="M1292" t="s">
        <v>623</v>
      </c>
      <c r="N1292" t="s">
        <v>624</v>
      </c>
      <c r="O1292" t="s">
        <v>649</v>
      </c>
    </row>
    <row r="1293" spans="1:15" x14ac:dyDescent="0.35">
      <c r="A1293" s="77">
        <v>3.463013698630137</v>
      </c>
      <c r="B1293" s="19">
        <v>79031</v>
      </c>
      <c r="C1293" s="19" t="s">
        <v>3610</v>
      </c>
      <c r="D1293" s="19" t="s">
        <v>375</v>
      </c>
      <c r="E1293" s="19" t="s">
        <v>376</v>
      </c>
      <c r="F1293" s="19" t="s">
        <v>1270</v>
      </c>
      <c r="G1293" s="19" t="s">
        <v>1019</v>
      </c>
      <c r="H1293" s="19" t="s">
        <v>1020</v>
      </c>
      <c r="I1293" s="19" t="s">
        <v>1575</v>
      </c>
      <c r="J1293" s="20">
        <v>29</v>
      </c>
      <c r="K1293" t="s">
        <v>636</v>
      </c>
      <c r="L1293" t="s">
        <v>678</v>
      </c>
      <c r="M1293" t="s">
        <v>623</v>
      </c>
      <c r="N1293" t="s">
        <v>624</v>
      </c>
      <c r="O1293" t="s">
        <v>679</v>
      </c>
    </row>
    <row r="1294" spans="1:15" x14ac:dyDescent="0.35">
      <c r="A1294" s="77">
        <v>3.4657534246575343</v>
      </c>
      <c r="B1294" s="19">
        <v>79068</v>
      </c>
      <c r="C1294" s="19" t="s">
        <v>3611</v>
      </c>
      <c r="D1294" s="19" t="s">
        <v>80</v>
      </c>
      <c r="E1294" s="19" t="s">
        <v>81</v>
      </c>
      <c r="F1294" s="19" t="s">
        <v>1022</v>
      </c>
      <c r="G1294" s="19" t="s">
        <v>1046</v>
      </c>
      <c r="H1294" s="19" t="s">
        <v>1001</v>
      </c>
      <c r="I1294" s="19" t="s">
        <v>1575</v>
      </c>
      <c r="J1294" s="20">
        <v>23</v>
      </c>
      <c r="K1294" t="s">
        <v>654</v>
      </c>
      <c r="L1294" t="s">
        <v>628</v>
      </c>
      <c r="M1294" t="s">
        <v>629</v>
      </c>
      <c r="N1294" t="s">
        <v>630</v>
      </c>
      <c r="O1294" t="s">
        <v>632</v>
      </c>
    </row>
    <row r="1295" spans="1:15" x14ac:dyDescent="0.35">
      <c r="A1295" s="77">
        <v>1.9068493150684931</v>
      </c>
      <c r="B1295" s="19">
        <v>79106</v>
      </c>
      <c r="C1295" s="19" t="s">
        <v>3612</v>
      </c>
      <c r="D1295" s="19" t="s">
        <v>280</v>
      </c>
      <c r="E1295" s="19" t="s">
        <v>281</v>
      </c>
      <c r="F1295" s="19" t="s">
        <v>1223</v>
      </c>
      <c r="G1295" s="19" t="s">
        <v>1008</v>
      </c>
      <c r="H1295" s="19" t="s">
        <v>1001</v>
      </c>
      <c r="I1295" s="19" t="s">
        <v>1599</v>
      </c>
      <c r="J1295" s="20">
        <v>25</v>
      </c>
      <c r="K1295" t="s">
        <v>631</v>
      </c>
      <c r="L1295" t="s">
        <v>691</v>
      </c>
      <c r="M1295" t="s">
        <v>657</v>
      </c>
      <c r="N1295" t="s">
        <v>658</v>
      </c>
      <c r="O1295" t="s">
        <v>632</v>
      </c>
    </row>
    <row r="1296" spans="1:15" x14ac:dyDescent="0.35">
      <c r="A1296" s="77">
        <v>3.4547945205479453</v>
      </c>
      <c r="B1296" s="19">
        <v>79133</v>
      </c>
      <c r="C1296" s="19" t="s">
        <v>3613</v>
      </c>
      <c r="D1296" s="19" t="s">
        <v>278</v>
      </c>
      <c r="E1296" s="19" t="s">
        <v>279</v>
      </c>
      <c r="F1296" s="19" t="s">
        <v>1131</v>
      </c>
      <c r="G1296" s="19" t="s">
        <v>1034</v>
      </c>
      <c r="H1296" s="19" t="s">
        <v>1001</v>
      </c>
      <c r="I1296" s="19" t="s">
        <v>1575</v>
      </c>
      <c r="J1296" s="20">
        <v>28</v>
      </c>
      <c r="K1296" t="s">
        <v>625</v>
      </c>
      <c r="L1296" t="s">
        <v>661</v>
      </c>
      <c r="M1296" t="s">
        <v>657</v>
      </c>
      <c r="N1296" t="s">
        <v>662</v>
      </c>
      <c r="O1296" t="s">
        <v>632</v>
      </c>
    </row>
    <row r="1297" spans="1:15" x14ac:dyDescent="0.35">
      <c r="A1297" s="77">
        <v>3.463013698630137</v>
      </c>
      <c r="B1297" s="19">
        <v>79162</v>
      </c>
      <c r="C1297" s="19" t="s">
        <v>3614</v>
      </c>
      <c r="D1297" s="19" t="s">
        <v>165</v>
      </c>
      <c r="E1297" s="19" t="s">
        <v>166</v>
      </c>
      <c r="F1297" s="19" t="s">
        <v>1238</v>
      </c>
      <c r="G1297" s="19" t="s">
        <v>1057</v>
      </c>
      <c r="H1297" s="19" t="s">
        <v>1001</v>
      </c>
      <c r="I1297" s="19" t="s">
        <v>1575</v>
      </c>
      <c r="J1297" s="20">
        <v>31</v>
      </c>
      <c r="K1297" t="s">
        <v>636</v>
      </c>
      <c r="L1297" t="s">
        <v>648</v>
      </c>
      <c r="M1297" t="s">
        <v>623</v>
      </c>
      <c r="N1297" t="s">
        <v>624</v>
      </c>
      <c r="O1297" t="s">
        <v>649</v>
      </c>
    </row>
    <row r="1298" spans="1:15" x14ac:dyDescent="0.35">
      <c r="A1298" s="77">
        <v>3.4383561643835616</v>
      </c>
      <c r="B1298" s="19">
        <v>79171</v>
      </c>
      <c r="C1298" s="19" t="s">
        <v>3615</v>
      </c>
      <c r="D1298" s="19" t="s">
        <v>427</v>
      </c>
      <c r="E1298" s="19" t="s">
        <v>427</v>
      </c>
      <c r="F1298" s="19" t="s">
        <v>1290</v>
      </c>
      <c r="G1298" s="19" t="s">
        <v>1057</v>
      </c>
      <c r="H1298" s="19" t="s">
        <v>1001</v>
      </c>
      <c r="I1298" s="19" t="s">
        <v>1575</v>
      </c>
      <c r="J1298" s="20">
        <v>44</v>
      </c>
      <c r="K1298" t="s">
        <v>654</v>
      </c>
      <c r="L1298" t="s">
        <v>651</v>
      </c>
      <c r="M1298" t="s">
        <v>629</v>
      </c>
      <c r="N1298" t="s">
        <v>630</v>
      </c>
      <c r="O1298" t="s">
        <v>652</v>
      </c>
    </row>
    <row r="1299" spans="1:15" x14ac:dyDescent="0.35">
      <c r="A1299" s="77">
        <v>3.4273972602739726</v>
      </c>
      <c r="B1299" s="19">
        <v>79244</v>
      </c>
      <c r="C1299" s="19" t="s">
        <v>3616</v>
      </c>
      <c r="D1299" s="19" t="s">
        <v>278</v>
      </c>
      <c r="E1299" s="19" t="s">
        <v>279</v>
      </c>
      <c r="F1299" s="19" t="s">
        <v>1131</v>
      </c>
      <c r="G1299" s="19" t="s">
        <v>1084</v>
      </c>
      <c r="H1299" s="19" t="s">
        <v>1020</v>
      </c>
      <c r="I1299" s="19" t="s">
        <v>1575</v>
      </c>
      <c r="J1299" s="20">
        <v>58</v>
      </c>
      <c r="K1299" t="s">
        <v>625</v>
      </c>
      <c r="L1299" t="s">
        <v>661</v>
      </c>
      <c r="M1299" t="s">
        <v>657</v>
      </c>
      <c r="N1299" t="s">
        <v>662</v>
      </c>
      <c r="O1299" t="s">
        <v>632</v>
      </c>
    </row>
    <row r="1300" spans="1:15" x14ac:dyDescent="0.35">
      <c r="A1300" s="77">
        <v>3.4383561643835616</v>
      </c>
      <c r="B1300" s="19">
        <v>79267</v>
      </c>
      <c r="C1300" s="19" t="s">
        <v>3617</v>
      </c>
      <c r="D1300" s="19" t="s">
        <v>427</v>
      </c>
      <c r="E1300" s="19" t="s">
        <v>427</v>
      </c>
      <c r="F1300" s="19" t="s">
        <v>1290</v>
      </c>
      <c r="G1300" s="19" t="s">
        <v>1034</v>
      </c>
      <c r="H1300" s="19" t="s">
        <v>1001</v>
      </c>
      <c r="I1300" s="19" t="s">
        <v>1575</v>
      </c>
      <c r="J1300" s="20">
        <v>28</v>
      </c>
      <c r="K1300" t="s">
        <v>654</v>
      </c>
      <c r="L1300" t="s">
        <v>651</v>
      </c>
      <c r="M1300" t="s">
        <v>629</v>
      </c>
      <c r="N1300" t="s">
        <v>630</v>
      </c>
      <c r="O1300" t="s">
        <v>652</v>
      </c>
    </row>
    <row r="1301" spans="1:15" x14ac:dyDescent="0.35">
      <c r="A1301" s="77">
        <v>3.4383561643835616</v>
      </c>
      <c r="B1301" s="19">
        <v>79268</v>
      </c>
      <c r="C1301" s="19" t="s">
        <v>3618</v>
      </c>
      <c r="D1301" s="19" t="s">
        <v>427</v>
      </c>
      <c r="E1301" s="19" t="s">
        <v>427</v>
      </c>
      <c r="F1301" s="19" t="s">
        <v>1290</v>
      </c>
      <c r="G1301" s="19" t="s">
        <v>1084</v>
      </c>
      <c r="H1301" s="19" t="s">
        <v>1001</v>
      </c>
      <c r="I1301" s="19" t="s">
        <v>1575</v>
      </c>
      <c r="J1301" s="20">
        <v>33</v>
      </c>
      <c r="K1301" t="s">
        <v>654</v>
      </c>
      <c r="L1301" t="s">
        <v>651</v>
      </c>
      <c r="M1301" t="s">
        <v>629</v>
      </c>
      <c r="N1301" t="s">
        <v>630</v>
      </c>
      <c r="O1301" t="s">
        <v>652</v>
      </c>
    </row>
    <row r="1302" spans="1:15" x14ac:dyDescent="0.35">
      <c r="A1302" s="77">
        <v>3.4383561643835616</v>
      </c>
      <c r="B1302" s="19">
        <v>79272</v>
      </c>
      <c r="C1302" s="19" t="s">
        <v>3619</v>
      </c>
      <c r="D1302" s="19" t="s">
        <v>427</v>
      </c>
      <c r="E1302" s="19" t="s">
        <v>427</v>
      </c>
      <c r="F1302" s="19" t="s">
        <v>1290</v>
      </c>
      <c r="G1302" s="19" t="s">
        <v>1008</v>
      </c>
      <c r="H1302" s="19" t="s">
        <v>1001</v>
      </c>
      <c r="I1302" s="19" t="s">
        <v>1575</v>
      </c>
      <c r="J1302" s="20">
        <v>45</v>
      </c>
      <c r="K1302" t="s">
        <v>654</v>
      </c>
      <c r="L1302" t="s">
        <v>651</v>
      </c>
      <c r="M1302" t="s">
        <v>629</v>
      </c>
      <c r="N1302" t="s">
        <v>630</v>
      </c>
      <c r="O1302" t="s">
        <v>652</v>
      </c>
    </row>
    <row r="1303" spans="1:15" x14ac:dyDescent="0.35">
      <c r="A1303" s="77">
        <v>3.4136986301369863</v>
      </c>
      <c r="B1303" s="19">
        <v>79289</v>
      </c>
      <c r="C1303" s="19" t="s">
        <v>3620</v>
      </c>
      <c r="D1303" s="19" t="s">
        <v>181</v>
      </c>
      <c r="E1303" s="19" t="s">
        <v>182</v>
      </c>
      <c r="F1303" s="19" t="s">
        <v>1374</v>
      </c>
      <c r="G1303" s="19" t="s">
        <v>1046</v>
      </c>
      <c r="H1303" s="19" t="s">
        <v>1001</v>
      </c>
      <c r="I1303" s="19" t="s">
        <v>1575</v>
      </c>
      <c r="J1303" s="20">
        <v>24</v>
      </c>
      <c r="K1303" t="s">
        <v>625</v>
      </c>
      <c r="L1303" t="s">
        <v>678</v>
      </c>
      <c r="M1303" t="s">
        <v>623</v>
      </c>
      <c r="N1303" t="s">
        <v>624</v>
      </c>
      <c r="O1303" t="s">
        <v>679</v>
      </c>
    </row>
    <row r="1304" spans="1:15" x14ac:dyDescent="0.35">
      <c r="A1304" s="77">
        <v>3.4109589041095889</v>
      </c>
      <c r="B1304" s="19">
        <v>79291</v>
      </c>
      <c r="C1304" s="19" t="s">
        <v>3621</v>
      </c>
      <c r="D1304" s="19" t="s">
        <v>100</v>
      </c>
      <c r="E1304" s="19" t="s">
        <v>101</v>
      </c>
      <c r="F1304" s="19" t="s">
        <v>2786</v>
      </c>
      <c r="G1304" s="19" t="s">
        <v>1034</v>
      </c>
      <c r="H1304" s="19" t="s">
        <v>1001</v>
      </c>
      <c r="I1304" s="19" t="s">
        <v>1575</v>
      </c>
      <c r="J1304" s="20">
        <v>32</v>
      </c>
      <c r="K1304" t="s">
        <v>654</v>
      </c>
      <c r="L1304" t="s">
        <v>651</v>
      </c>
      <c r="M1304" t="s">
        <v>629</v>
      </c>
      <c r="N1304" t="s">
        <v>630</v>
      </c>
      <c r="O1304" t="s">
        <v>705</v>
      </c>
    </row>
    <row r="1305" spans="1:15" x14ac:dyDescent="0.35">
      <c r="A1305" s="77">
        <v>3.408219178082192</v>
      </c>
      <c r="B1305" s="19">
        <v>79292</v>
      </c>
      <c r="C1305" s="19" t="s">
        <v>3622</v>
      </c>
      <c r="D1305" s="19" t="s">
        <v>413</v>
      </c>
      <c r="E1305" s="19" t="s">
        <v>414</v>
      </c>
      <c r="F1305" s="19" t="s">
        <v>1699</v>
      </c>
      <c r="G1305" s="19" t="s">
        <v>1000</v>
      </c>
      <c r="H1305" s="19" t="s">
        <v>1001</v>
      </c>
      <c r="I1305" s="19" t="s">
        <v>1599</v>
      </c>
      <c r="J1305" s="20">
        <v>47</v>
      </c>
      <c r="K1305" t="s">
        <v>668</v>
      </c>
      <c r="L1305" t="s">
        <v>691</v>
      </c>
      <c r="M1305" t="s">
        <v>657</v>
      </c>
      <c r="N1305" t="s">
        <v>658</v>
      </c>
      <c r="O1305" t="s">
        <v>632</v>
      </c>
    </row>
    <row r="1306" spans="1:15" x14ac:dyDescent="0.35">
      <c r="A1306" s="77">
        <v>3.408219178082192</v>
      </c>
      <c r="B1306" s="19">
        <v>79294</v>
      </c>
      <c r="C1306" s="19" t="s">
        <v>3623</v>
      </c>
      <c r="D1306" s="19" t="s">
        <v>428</v>
      </c>
      <c r="E1306" s="19" t="s">
        <v>428</v>
      </c>
      <c r="F1306" s="19" t="s">
        <v>1063</v>
      </c>
      <c r="G1306" s="19" t="s">
        <v>1034</v>
      </c>
      <c r="H1306" s="19" t="s">
        <v>1001</v>
      </c>
      <c r="I1306" s="19" t="s">
        <v>1575</v>
      </c>
      <c r="J1306" s="20">
        <v>24</v>
      </c>
      <c r="K1306" t="s">
        <v>668</v>
      </c>
      <c r="L1306" t="s">
        <v>656</v>
      </c>
      <c r="M1306" t="s">
        <v>657</v>
      </c>
      <c r="N1306" t="s">
        <v>658</v>
      </c>
      <c r="O1306" t="s">
        <v>632</v>
      </c>
    </row>
    <row r="1307" spans="1:15" x14ac:dyDescent="0.35">
      <c r="A1307" s="77">
        <v>3.4136986301369863</v>
      </c>
      <c r="B1307" s="19">
        <v>79307</v>
      </c>
      <c r="C1307" s="19" t="s">
        <v>3624</v>
      </c>
      <c r="D1307" s="19" t="s">
        <v>8</v>
      </c>
      <c r="E1307" s="19" t="s">
        <v>8</v>
      </c>
      <c r="F1307" s="19" t="s">
        <v>1176</v>
      </c>
      <c r="G1307" s="19" t="s">
        <v>1046</v>
      </c>
      <c r="H1307" s="19" t="s">
        <v>1001</v>
      </c>
      <c r="I1307" s="19" t="s">
        <v>1575</v>
      </c>
      <c r="J1307" s="20">
        <v>44</v>
      </c>
      <c r="K1307" t="s">
        <v>625</v>
      </c>
      <c r="L1307" t="s">
        <v>622</v>
      </c>
      <c r="M1307" t="s">
        <v>623</v>
      </c>
      <c r="N1307" t="s">
        <v>624</v>
      </c>
      <c r="O1307" t="s">
        <v>626</v>
      </c>
    </row>
    <row r="1308" spans="1:15" x14ac:dyDescent="0.35">
      <c r="A1308" s="77">
        <v>3.4054794520547946</v>
      </c>
      <c r="B1308" s="19">
        <v>79319</v>
      </c>
      <c r="C1308" s="19" t="s">
        <v>3625</v>
      </c>
      <c r="D1308" s="19" t="s">
        <v>113</v>
      </c>
      <c r="E1308" s="19" t="s">
        <v>114</v>
      </c>
      <c r="F1308" s="19" t="s">
        <v>1871</v>
      </c>
      <c r="G1308" s="19" t="s">
        <v>1028</v>
      </c>
      <c r="H1308" s="19" t="s">
        <v>1020</v>
      </c>
      <c r="I1308" s="19" t="s">
        <v>1575</v>
      </c>
      <c r="J1308" s="20">
        <v>21</v>
      </c>
      <c r="K1308" t="s">
        <v>654</v>
      </c>
      <c r="L1308" t="s">
        <v>661</v>
      </c>
      <c r="M1308" t="s">
        <v>657</v>
      </c>
      <c r="N1308" t="s">
        <v>662</v>
      </c>
      <c r="O1308" t="s">
        <v>632</v>
      </c>
    </row>
    <row r="1309" spans="1:15" x14ac:dyDescent="0.35">
      <c r="A1309" s="77">
        <v>0.73150684931506849</v>
      </c>
      <c r="B1309" s="19">
        <v>79382</v>
      </c>
      <c r="C1309" s="19" t="s">
        <v>3626</v>
      </c>
      <c r="D1309" s="19" t="s">
        <v>97</v>
      </c>
      <c r="E1309" s="19" t="s">
        <v>98</v>
      </c>
      <c r="F1309" s="19" t="s">
        <v>2395</v>
      </c>
      <c r="G1309" s="19" t="s">
        <v>1008</v>
      </c>
      <c r="H1309" s="19" t="s">
        <v>1001</v>
      </c>
      <c r="I1309" s="19" t="s">
        <v>1575</v>
      </c>
      <c r="J1309" s="20">
        <v>27</v>
      </c>
      <c r="K1309" t="s">
        <v>654</v>
      </c>
      <c r="L1309" t="s">
        <v>666</v>
      </c>
      <c r="M1309" t="s">
        <v>629</v>
      </c>
      <c r="N1309" t="s">
        <v>635</v>
      </c>
      <c r="O1309" t="s">
        <v>739</v>
      </c>
    </row>
    <row r="1310" spans="1:15" x14ac:dyDescent="0.35">
      <c r="A1310" s="77">
        <v>3.408219178082192</v>
      </c>
      <c r="B1310" s="19">
        <v>79387</v>
      </c>
      <c r="C1310" s="19" t="s">
        <v>3627</v>
      </c>
      <c r="D1310" s="19" t="s">
        <v>250</v>
      </c>
      <c r="E1310" s="19" t="s">
        <v>251</v>
      </c>
      <c r="F1310" s="19" t="s">
        <v>1126</v>
      </c>
      <c r="G1310" s="19" t="s">
        <v>1057</v>
      </c>
      <c r="H1310" s="19" t="s">
        <v>1001</v>
      </c>
      <c r="I1310" s="19" t="s">
        <v>1575</v>
      </c>
      <c r="J1310" s="20">
        <v>34</v>
      </c>
      <c r="K1310" t="s">
        <v>668</v>
      </c>
      <c r="L1310" t="s">
        <v>634</v>
      </c>
      <c r="M1310" t="s">
        <v>629</v>
      </c>
      <c r="N1310" t="s">
        <v>635</v>
      </c>
      <c r="O1310" t="s">
        <v>637</v>
      </c>
    </row>
    <row r="1311" spans="1:15" x14ac:dyDescent="0.35">
      <c r="A1311" s="77">
        <v>3.3863013698630136</v>
      </c>
      <c r="B1311" s="19">
        <v>79413</v>
      </c>
      <c r="C1311" s="19" t="s">
        <v>3628</v>
      </c>
      <c r="D1311" s="19" t="s">
        <v>97</v>
      </c>
      <c r="E1311" s="19" t="s">
        <v>98</v>
      </c>
      <c r="F1311" s="19" t="s">
        <v>2395</v>
      </c>
      <c r="G1311" s="19" t="s">
        <v>1008</v>
      </c>
      <c r="H1311" s="19" t="s">
        <v>1001</v>
      </c>
      <c r="I1311" s="19" t="s">
        <v>1575</v>
      </c>
      <c r="J1311" s="20">
        <v>25</v>
      </c>
      <c r="K1311" t="s">
        <v>654</v>
      </c>
      <c r="L1311" t="s">
        <v>666</v>
      </c>
      <c r="M1311" t="s">
        <v>629</v>
      </c>
      <c r="N1311" t="s">
        <v>635</v>
      </c>
      <c r="O1311" t="s">
        <v>739</v>
      </c>
    </row>
    <row r="1312" spans="1:15" x14ac:dyDescent="0.35">
      <c r="A1312" s="77">
        <v>3.3972602739726026</v>
      </c>
      <c r="B1312" s="19">
        <v>79432</v>
      </c>
      <c r="C1312" s="19" t="s">
        <v>3629</v>
      </c>
      <c r="D1312" s="19" t="s">
        <v>66</v>
      </c>
      <c r="E1312" s="19" t="s">
        <v>67</v>
      </c>
      <c r="F1312" s="19" t="s">
        <v>1708</v>
      </c>
      <c r="G1312" s="19" t="s">
        <v>1034</v>
      </c>
      <c r="H1312" s="19" t="s">
        <v>1001</v>
      </c>
      <c r="I1312" s="19" t="s">
        <v>1575</v>
      </c>
      <c r="J1312" s="20">
        <v>24</v>
      </c>
      <c r="K1312" t="s">
        <v>654</v>
      </c>
      <c r="L1312" t="s">
        <v>645</v>
      </c>
      <c r="M1312" t="s">
        <v>629</v>
      </c>
      <c r="N1312" t="s">
        <v>646</v>
      </c>
      <c r="O1312" t="s">
        <v>632</v>
      </c>
    </row>
    <row r="1313" spans="1:15" x14ac:dyDescent="0.35">
      <c r="A1313" s="77">
        <v>2.1917808219178082E-2</v>
      </c>
      <c r="B1313" s="19">
        <v>79485</v>
      </c>
      <c r="C1313" s="19" t="s">
        <v>3630</v>
      </c>
      <c r="D1313" s="19" t="s">
        <v>45</v>
      </c>
      <c r="E1313" s="19" t="s">
        <v>46</v>
      </c>
      <c r="F1313" s="19" t="s">
        <v>1122</v>
      </c>
      <c r="G1313" s="19" t="s">
        <v>1008</v>
      </c>
      <c r="H1313" s="19" t="s">
        <v>1001</v>
      </c>
      <c r="I1313" s="19" t="s">
        <v>1575</v>
      </c>
      <c r="J1313" s="20">
        <v>27</v>
      </c>
      <c r="K1313" t="s">
        <v>631</v>
      </c>
      <c r="L1313" t="s">
        <v>651</v>
      </c>
      <c r="M1313" t="s">
        <v>629</v>
      </c>
      <c r="N1313" t="s">
        <v>630</v>
      </c>
      <c r="O1313" t="s">
        <v>705</v>
      </c>
    </row>
    <row r="1314" spans="1:15" x14ac:dyDescent="0.35">
      <c r="A1314" s="77">
        <v>3.3863013698630136</v>
      </c>
      <c r="B1314" s="19">
        <v>79504</v>
      </c>
      <c r="C1314" s="19" t="s">
        <v>3631</v>
      </c>
      <c r="D1314" s="19" t="s">
        <v>107</v>
      </c>
      <c r="E1314" s="19" t="s">
        <v>108</v>
      </c>
      <c r="F1314" s="19" t="s">
        <v>2702</v>
      </c>
      <c r="G1314" s="19" t="s">
        <v>1034</v>
      </c>
      <c r="H1314" s="19" t="s">
        <v>1001</v>
      </c>
      <c r="I1314" s="19" t="s">
        <v>1575</v>
      </c>
      <c r="J1314" s="20">
        <v>24</v>
      </c>
      <c r="K1314" t="s">
        <v>668</v>
      </c>
      <c r="L1314" t="s">
        <v>691</v>
      </c>
      <c r="M1314" t="s">
        <v>657</v>
      </c>
      <c r="N1314" t="s">
        <v>658</v>
      </c>
      <c r="O1314" t="s">
        <v>632</v>
      </c>
    </row>
    <row r="1315" spans="1:15" x14ac:dyDescent="0.35">
      <c r="A1315" s="77">
        <v>3.3780821917808219</v>
      </c>
      <c r="B1315" s="19">
        <v>79505</v>
      </c>
      <c r="C1315" s="19" t="s">
        <v>3632</v>
      </c>
      <c r="D1315" s="19" t="s">
        <v>373</v>
      </c>
      <c r="E1315" s="19" t="s">
        <v>374</v>
      </c>
      <c r="F1315" s="19" t="s">
        <v>1033</v>
      </c>
      <c r="G1315" s="19" t="s">
        <v>1057</v>
      </c>
      <c r="H1315" s="19" t="s">
        <v>1001</v>
      </c>
      <c r="I1315" s="19" t="s">
        <v>1575</v>
      </c>
      <c r="J1315" s="20">
        <v>21</v>
      </c>
      <c r="K1315" t="s">
        <v>654</v>
      </c>
      <c r="L1315" t="s">
        <v>634</v>
      </c>
      <c r="M1315" t="s">
        <v>629</v>
      </c>
      <c r="N1315" t="s">
        <v>635</v>
      </c>
      <c r="O1315" t="s">
        <v>637</v>
      </c>
    </row>
    <row r="1316" spans="1:15" x14ac:dyDescent="0.35">
      <c r="A1316" s="77">
        <v>1.9863013698630136</v>
      </c>
      <c r="B1316" s="19">
        <v>79530</v>
      </c>
      <c r="C1316" s="19" t="s">
        <v>3633</v>
      </c>
      <c r="D1316" s="19" t="s">
        <v>118</v>
      </c>
      <c r="E1316" s="19" t="s">
        <v>119</v>
      </c>
      <c r="F1316" s="19" t="s">
        <v>1360</v>
      </c>
      <c r="G1316" s="19" t="s">
        <v>1046</v>
      </c>
      <c r="H1316" s="19" t="s">
        <v>1001</v>
      </c>
      <c r="I1316" s="19" t="s">
        <v>1575</v>
      </c>
      <c r="J1316" s="20">
        <v>33</v>
      </c>
      <c r="K1316" t="s">
        <v>625</v>
      </c>
      <c r="L1316" t="s">
        <v>656</v>
      </c>
      <c r="M1316" t="s">
        <v>657</v>
      </c>
      <c r="N1316" t="s">
        <v>658</v>
      </c>
      <c r="O1316" t="s">
        <v>632</v>
      </c>
    </row>
    <row r="1317" spans="1:15" x14ac:dyDescent="0.35">
      <c r="A1317" s="77">
        <v>3.3671232876712329</v>
      </c>
      <c r="B1317" s="19">
        <v>79564</v>
      </c>
      <c r="C1317" s="19" t="s">
        <v>3634</v>
      </c>
      <c r="D1317" s="19" t="s">
        <v>66</v>
      </c>
      <c r="E1317" s="19" t="s">
        <v>67</v>
      </c>
      <c r="F1317" s="19" t="s">
        <v>1708</v>
      </c>
      <c r="G1317" s="19" t="s">
        <v>1084</v>
      </c>
      <c r="H1317" s="19" t="s">
        <v>1001</v>
      </c>
      <c r="I1317" s="19" t="s">
        <v>1575</v>
      </c>
      <c r="J1317" s="20">
        <v>40</v>
      </c>
      <c r="K1317" t="s">
        <v>654</v>
      </c>
      <c r="L1317" t="s">
        <v>645</v>
      </c>
      <c r="M1317" t="s">
        <v>629</v>
      </c>
      <c r="N1317" t="s">
        <v>646</v>
      </c>
      <c r="O1317" t="s">
        <v>632</v>
      </c>
    </row>
    <row r="1318" spans="1:15" x14ac:dyDescent="0.35">
      <c r="A1318" s="77">
        <v>3.3726027397260272</v>
      </c>
      <c r="B1318" s="19">
        <v>79568</v>
      </c>
      <c r="C1318" s="19" t="s">
        <v>3635</v>
      </c>
      <c r="D1318" s="19" t="s">
        <v>315</v>
      </c>
      <c r="E1318" s="19" t="s">
        <v>316</v>
      </c>
      <c r="F1318" s="19" t="s">
        <v>1322</v>
      </c>
      <c r="G1318" s="19" t="s">
        <v>1045</v>
      </c>
      <c r="H1318" s="19" t="s">
        <v>1001</v>
      </c>
      <c r="I1318" s="19" t="s">
        <v>1599</v>
      </c>
      <c r="J1318" s="20">
        <v>27</v>
      </c>
      <c r="K1318" t="s">
        <v>654</v>
      </c>
      <c r="L1318" t="s">
        <v>684</v>
      </c>
      <c r="M1318" t="s">
        <v>623</v>
      </c>
      <c r="N1318" t="s">
        <v>662</v>
      </c>
      <c r="O1318" t="s">
        <v>831</v>
      </c>
    </row>
    <row r="1319" spans="1:15" x14ac:dyDescent="0.35">
      <c r="A1319" s="77">
        <v>3.3890410958904109</v>
      </c>
      <c r="B1319" s="19">
        <v>79573</v>
      </c>
      <c r="C1319" s="19" t="s">
        <v>3636</v>
      </c>
      <c r="D1319" s="19" t="s">
        <v>417</v>
      </c>
      <c r="E1319" s="19" t="s">
        <v>417</v>
      </c>
      <c r="F1319" s="19" t="s">
        <v>418</v>
      </c>
      <c r="G1319" s="19" t="s">
        <v>1028</v>
      </c>
      <c r="H1319" s="19" t="s">
        <v>1020</v>
      </c>
      <c r="I1319" s="19" t="s">
        <v>1599</v>
      </c>
      <c r="J1319" s="20">
        <v>27</v>
      </c>
      <c r="K1319" t="s">
        <v>654</v>
      </c>
      <c r="L1319" t="s">
        <v>684</v>
      </c>
      <c r="M1319" t="s">
        <v>623</v>
      </c>
      <c r="N1319" t="s">
        <v>662</v>
      </c>
      <c r="O1319" t="s">
        <v>687</v>
      </c>
    </row>
    <row r="1320" spans="1:15" x14ac:dyDescent="0.35">
      <c r="A1320" s="77">
        <v>0.74520547945205484</v>
      </c>
      <c r="B1320" s="19">
        <v>79598</v>
      </c>
      <c r="C1320" s="19" t="s">
        <v>3637</v>
      </c>
      <c r="D1320" s="19" t="s">
        <v>426</v>
      </c>
      <c r="E1320" s="19" t="s">
        <v>426</v>
      </c>
      <c r="F1320" s="19" t="s">
        <v>1220</v>
      </c>
      <c r="G1320" s="19" t="s">
        <v>1034</v>
      </c>
      <c r="H1320" s="19" t="s">
        <v>1001</v>
      </c>
      <c r="I1320" s="19" t="s">
        <v>1599</v>
      </c>
      <c r="J1320" s="20">
        <v>27</v>
      </c>
      <c r="K1320" t="s">
        <v>654</v>
      </c>
      <c r="L1320" t="s">
        <v>622</v>
      </c>
      <c r="M1320" t="s">
        <v>623</v>
      </c>
      <c r="N1320" t="s">
        <v>624</v>
      </c>
      <c r="O1320" t="s">
        <v>649</v>
      </c>
    </row>
    <row r="1321" spans="1:15" x14ac:dyDescent="0.35">
      <c r="A1321" s="77">
        <v>3.3506849315068492</v>
      </c>
      <c r="B1321" s="19">
        <v>79618</v>
      </c>
      <c r="C1321" s="19" t="s">
        <v>3638</v>
      </c>
      <c r="D1321" s="19" t="s">
        <v>377</v>
      </c>
      <c r="E1321" s="19" t="s">
        <v>378</v>
      </c>
      <c r="F1321" s="19" t="s">
        <v>862</v>
      </c>
      <c r="G1321" s="19" t="s">
        <v>1046</v>
      </c>
      <c r="H1321" s="19" t="s">
        <v>1001</v>
      </c>
      <c r="I1321" s="19" t="s">
        <v>1575</v>
      </c>
      <c r="J1321" s="20">
        <v>26</v>
      </c>
      <c r="K1321" t="s">
        <v>631</v>
      </c>
      <c r="L1321" t="s">
        <v>661</v>
      </c>
      <c r="M1321" t="s">
        <v>657</v>
      </c>
      <c r="N1321" t="s">
        <v>662</v>
      </c>
      <c r="O1321" t="s">
        <v>632</v>
      </c>
    </row>
    <row r="1322" spans="1:15" x14ac:dyDescent="0.35">
      <c r="A1322" s="77">
        <v>3.3424657534246576</v>
      </c>
      <c r="B1322" s="19">
        <v>79640</v>
      </c>
      <c r="C1322" s="19" t="s">
        <v>3639</v>
      </c>
      <c r="D1322" s="19" t="s">
        <v>284</v>
      </c>
      <c r="E1322" s="19" t="s">
        <v>285</v>
      </c>
      <c r="F1322" s="19" t="s">
        <v>1150</v>
      </c>
      <c r="G1322" s="19" t="s">
        <v>1008</v>
      </c>
      <c r="H1322" s="19" t="s">
        <v>1001</v>
      </c>
      <c r="I1322" s="19" t="s">
        <v>1599</v>
      </c>
      <c r="J1322" s="20">
        <v>29</v>
      </c>
      <c r="K1322" t="s">
        <v>625</v>
      </c>
      <c r="L1322" t="s">
        <v>661</v>
      </c>
      <c r="M1322" t="s">
        <v>657</v>
      </c>
      <c r="N1322" t="s">
        <v>662</v>
      </c>
      <c r="O1322" t="s">
        <v>632</v>
      </c>
    </row>
    <row r="1323" spans="1:15" x14ac:dyDescent="0.35">
      <c r="A1323" s="77">
        <v>3.3424657534246576</v>
      </c>
      <c r="B1323" s="19">
        <v>79658</v>
      </c>
      <c r="C1323" s="19" t="s">
        <v>3640</v>
      </c>
      <c r="D1323" s="19" t="s">
        <v>250</v>
      </c>
      <c r="E1323" s="19" t="s">
        <v>251</v>
      </c>
      <c r="F1323" s="19" t="s">
        <v>1126</v>
      </c>
      <c r="G1323" s="19" t="s">
        <v>1084</v>
      </c>
      <c r="H1323" s="19" t="s">
        <v>1001</v>
      </c>
      <c r="I1323" s="19" t="s">
        <v>1575</v>
      </c>
      <c r="J1323" s="20">
        <v>43</v>
      </c>
      <c r="K1323" t="s">
        <v>668</v>
      </c>
      <c r="L1323" t="s">
        <v>634</v>
      </c>
      <c r="M1323" t="s">
        <v>629</v>
      </c>
      <c r="N1323" t="s">
        <v>635</v>
      </c>
      <c r="O1323" t="s">
        <v>637</v>
      </c>
    </row>
    <row r="1324" spans="1:15" x14ac:dyDescent="0.35">
      <c r="A1324" s="77">
        <v>3.3287671232876712</v>
      </c>
      <c r="B1324" s="19">
        <v>79685</v>
      </c>
      <c r="C1324" s="19" t="s">
        <v>3641</v>
      </c>
      <c r="D1324" s="19" t="s">
        <v>78</v>
      </c>
      <c r="E1324" s="19" t="s">
        <v>79</v>
      </c>
      <c r="F1324" s="19" t="s">
        <v>1107</v>
      </c>
      <c r="G1324" s="19" t="s">
        <v>1008</v>
      </c>
      <c r="H1324" s="19" t="s">
        <v>1001</v>
      </c>
      <c r="I1324" s="19" t="s">
        <v>1575</v>
      </c>
      <c r="J1324" s="20">
        <v>27</v>
      </c>
      <c r="K1324" t="s">
        <v>654</v>
      </c>
      <c r="L1324" t="s">
        <v>661</v>
      </c>
      <c r="M1324" t="s">
        <v>657</v>
      </c>
      <c r="N1324" t="s">
        <v>658</v>
      </c>
      <c r="O1324" t="s">
        <v>632</v>
      </c>
    </row>
    <row r="1325" spans="1:15" x14ac:dyDescent="0.35">
      <c r="A1325" s="77">
        <v>3.3287671232876712</v>
      </c>
      <c r="B1325" s="19">
        <v>79688</v>
      </c>
      <c r="C1325" s="19" t="s">
        <v>3642</v>
      </c>
      <c r="D1325" s="19" t="s">
        <v>89</v>
      </c>
      <c r="E1325" s="19" t="s">
        <v>90</v>
      </c>
      <c r="F1325" s="19" t="s">
        <v>1217</v>
      </c>
      <c r="G1325" s="19" t="s">
        <v>1046</v>
      </c>
      <c r="H1325" s="19" t="s">
        <v>1001</v>
      </c>
      <c r="I1325" s="19" t="s">
        <v>1575</v>
      </c>
      <c r="J1325" s="20">
        <v>25</v>
      </c>
      <c r="K1325" t="s">
        <v>636</v>
      </c>
      <c r="L1325" t="s">
        <v>666</v>
      </c>
      <c r="M1325" t="s">
        <v>629</v>
      </c>
      <c r="N1325" t="s">
        <v>635</v>
      </c>
      <c r="O1325" t="s">
        <v>637</v>
      </c>
    </row>
    <row r="1326" spans="1:15" x14ac:dyDescent="0.35">
      <c r="A1326" s="77">
        <v>3.3287671232876712</v>
      </c>
      <c r="B1326" s="19">
        <v>79694</v>
      </c>
      <c r="C1326" s="19" t="s">
        <v>3643</v>
      </c>
      <c r="D1326" s="19" t="s">
        <v>11</v>
      </c>
      <c r="E1326" s="19" t="s">
        <v>11</v>
      </c>
      <c r="F1326" s="19" t="s">
        <v>627</v>
      </c>
      <c r="G1326" s="19" t="s">
        <v>3644</v>
      </c>
      <c r="H1326" s="19" t="s">
        <v>1020</v>
      </c>
      <c r="I1326" s="19" t="s">
        <v>1575</v>
      </c>
      <c r="J1326" s="20">
        <v>22</v>
      </c>
      <c r="K1326" t="s">
        <v>631</v>
      </c>
      <c r="L1326" t="s">
        <v>628</v>
      </c>
      <c r="M1326" t="s">
        <v>629</v>
      </c>
      <c r="N1326" t="s">
        <v>630</v>
      </c>
      <c r="O1326" t="s">
        <v>632</v>
      </c>
    </row>
    <row r="1327" spans="1:15" x14ac:dyDescent="0.35">
      <c r="A1327" s="77">
        <v>3.3287671232876712</v>
      </c>
      <c r="B1327" s="19">
        <v>79741</v>
      </c>
      <c r="C1327" s="19" t="s">
        <v>3645</v>
      </c>
      <c r="D1327" s="19" t="s">
        <v>420</v>
      </c>
      <c r="E1327" s="19" t="s">
        <v>420</v>
      </c>
      <c r="F1327" s="19" t="s">
        <v>686</v>
      </c>
      <c r="G1327" s="19" t="s">
        <v>1028</v>
      </c>
      <c r="H1327" s="19" t="s">
        <v>1020</v>
      </c>
      <c r="I1327" s="19" t="s">
        <v>1575</v>
      </c>
      <c r="J1327" s="20">
        <v>57</v>
      </c>
      <c r="K1327" t="s">
        <v>631</v>
      </c>
      <c r="L1327" t="s">
        <v>634</v>
      </c>
      <c r="M1327" t="s">
        <v>629</v>
      </c>
      <c r="N1327" t="s">
        <v>635</v>
      </c>
      <c r="O1327" t="s">
        <v>637</v>
      </c>
    </row>
    <row r="1328" spans="1:15" x14ac:dyDescent="0.35">
      <c r="A1328" s="77">
        <v>0.57808219178082187</v>
      </c>
      <c r="B1328" s="19">
        <v>79745</v>
      </c>
      <c r="C1328" s="19" t="s">
        <v>3646</v>
      </c>
      <c r="D1328" s="19" t="s">
        <v>403</v>
      </c>
      <c r="E1328" s="19" t="s">
        <v>404</v>
      </c>
      <c r="F1328" s="19" t="s">
        <v>870</v>
      </c>
      <c r="G1328" s="19" t="s">
        <v>1084</v>
      </c>
      <c r="H1328" s="19" t="s">
        <v>1020</v>
      </c>
      <c r="I1328" s="19" t="s">
        <v>1599</v>
      </c>
      <c r="J1328" s="20">
        <v>20</v>
      </c>
      <c r="K1328" t="s">
        <v>631</v>
      </c>
      <c r="L1328" t="s">
        <v>691</v>
      </c>
      <c r="M1328" t="s">
        <v>657</v>
      </c>
      <c r="N1328" t="s">
        <v>658</v>
      </c>
      <c r="O1328" t="s">
        <v>632</v>
      </c>
    </row>
    <row r="1329" spans="1:15" x14ac:dyDescent="0.35">
      <c r="A1329" s="77">
        <v>0.27945205479452057</v>
      </c>
      <c r="B1329" s="19">
        <v>79772</v>
      </c>
      <c r="C1329" s="19" t="s">
        <v>3647</v>
      </c>
      <c r="D1329" s="19" t="s">
        <v>355</v>
      </c>
      <c r="E1329" s="19" t="s">
        <v>356</v>
      </c>
      <c r="F1329" s="19" t="s">
        <v>1100</v>
      </c>
      <c r="G1329" s="19" t="s">
        <v>1034</v>
      </c>
      <c r="H1329" s="19" t="s">
        <v>1001</v>
      </c>
      <c r="I1329" s="19" t="s">
        <v>1575</v>
      </c>
      <c r="J1329" s="20">
        <v>33</v>
      </c>
      <c r="K1329" t="s">
        <v>625</v>
      </c>
      <c r="L1329" t="s">
        <v>622</v>
      </c>
      <c r="M1329" t="s">
        <v>623</v>
      </c>
      <c r="N1329" t="s">
        <v>624</v>
      </c>
      <c r="O1329" t="s">
        <v>649</v>
      </c>
    </row>
    <row r="1330" spans="1:15" x14ac:dyDescent="0.35">
      <c r="A1330" s="77">
        <v>3.3068493150684932</v>
      </c>
      <c r="B1330" s="19">
        <v>79786</v>
      </c>
      <c r="C1330" s="19" t="s">
        <v>3648</v>
      </c>
      <c r="D1330" s="19" t="s">
        <v>159</v>
      </c>
      <c r="E1330" s="19" t="s">
        <v>160</v>
      </c>
      <c r="F1330" s="19" t="s">
        <v>1488</v>
      </c>
      <c r="G1330" s="19" t="s">
        <v>1008</v>
      </c>
      <c r="H1330" s="19" t="s">
        <v>1001</v>
      </c>
      <c r="I1330" s="19" t="s">
        <v>1575</v>
      </c>
      <c r="J1330" s="20">
        <v>29</v>
      </c>
      <c r="K1330" t="s">
        <v>654</v>
      </c>
      <c r="L1330" t="s">
        <v>678</v>
      </c>
      <c r="M1330" t="s">
        <v>623</v>
      </c>
      <c r="N1330" t="s">
        <v>624</v>
      </c>
      <c r="O1330" t="s">
        <v>679</v>
      </c>
    </row>
    <row r="1331" spans="1:15" x14ac:dyDescent="0.35">
      <c r="A1331" s="77">
        <v>3.3260273972602739</v>
      </c>
      <c r="B1331" s="19">
        <v>79790</v>
      </c>
      <c r="C1331" s="19" t="s">
        <v>3649</v>
      </c>
      <c r="D1331" s="19" t="s">
        <v>51</v>
      </c>
      <c r="E1331" s="19" t="s">
        <v>52</v>
      </c>
      <c r="F1331" s="19" t="s">
        <v>921</v>
      </c>
      <c r="G1331" s="19" t="s">
        <v>1019</v>
      </c>
      <c r="H1331" s="19" t="s">
        <v>1020</v>
      </c>
      <c r="I1331" s="19" t="s">
        <v>1575</v>
      </c>
      <c r="J1331" s="20">
        <v>26</v>
      </c>
      <c r="K1331" t="s">
        <v>636</v>
      </c>
      <c r="L1331" t="s">
        <v>656</v>
      </c>
      <c r="M1331" t="s">
        <v>657</v>
      </c>
      <c r="N1331" t="s">
        <v>658</v>
      </c>
      <c r="O1331" t="s">
        <v>718</v>
      </c>
    </row>
    <row r="1332" spans="1:15" x14ac:dyDescent="0.35">
      <c r="A1332" s="77">
        <v>3.3013698630136985</v>
      </c>
      <c r="B1332" s="19">
        <v>79839</v>
      </c>
      <c r="C1332" s="19" t="s">
        <v>3650</v>
      </c>
      <c r="D1332" s="19" t="s">
        <v>159</v>
      </c>
      <c r="E1332" s="19" t="s">
        <v>160</v>
      </c>
      <c r="F1332" s="19" t="s">
        <v>1488</v>
      </c>
      <c r="G1332" s="19" t="s">
        <v>1028</v>
      </c>
      <c r="H1332" s="19" t="s">
        <v>1020</v>
      </c>
      <c r="I1332" s="19" t="s">
        <v>1575</v>
      </c>
      <c r="J1332" s="20">
        <v>32</v>
      </c>
      <c r="K1332" t="s">
        <v>654</v>
      </c>
      <c r="L1332" t="s">
        <v>678</v>
      </c>
      <c r="M1332" t="s">
        <v>623</v>
      </c>
      <c r="N1332" t="s">
        <v>624</v>
      </c>
      <c r="O1332" t="s">
        <v>679</v>
      </c>
    </row>
    <row r="1333" spans="1:15" x14ac:dyDescent="0.35">
      <c r="A1333" s="77">
        <v>3.2876712328767121</v>
      </c>
      <c r="B1333" s="19">
        <v>79869</v>
      </c>
      <c r="C1333" s="19" t="s">
        <v>3651</v>
      </c>
      <c r="D1333" s="19" t="s">
        <v>128</v>
      </c>
      <c r="E1333" s="19" t="s">
        <v>129</v>
      </c>
      <c r="F1333" s="19" t="s">
        <v>1075</v>
      </c>
      <c r="G1333" s="19" t="s">
        <v>1028</v>
      </c>
      <c r="H1333" s="19" t="s">
        <v>1020</v>
      </c>
      <c r="I1333" s="19" t="s">
        <v>1575</v>
      </c>
      <c r="J1333" s="20">
        <v>44</v>
      </c>
      <c r="K1333" t="s">
        <v>636</v>
      </c>
      <c r="L1333" t="s">
        <v>678</v>
      </c>
      <c r="M1333" t="s">
        <v>623</v>
      </c>
      <c r="N1333" t="s">
        <v>624</v>
      </c>
      <c r="O1333" t="s">
        <v>679</v>
      </c>
    </row>
    <row r="1334" spans="1:15" x14ac:dyDescent="0.35">
      <c r="A1334" s="77">
        <v>3.2493150684931509</v>
      </c>
      <c r="B1334" s="19">
        <v>80003</v>
      </c>
      <c r="C1334" s="19" t="s">
        <v>3652</v>
      </c>
      <c r="D1334" s="19" t="s">
        <v>124</v>
      </c>
      <c r="E1334" s="19" t="s">
        <v>125</v>
      </c>
      <c r="F1334" s="19" t="s">
        <v>1398</v>
      </c>
      <c r="G1334" s="19" t="s">
        <v>1046</v>
      </c>
      <c r="H1334" s="19" t="s">
        <v>1001</v>
      </c>
      <c r="I1334" s="19" t="s">
        <v>1575</v>
      </c>
      <c r="J1334" s="20">
        <v>27</v>
      </c>
      <c r="K1334" t="s">
        <v>654</v>
      </c>
      <c r="L1334" t="s">
        <v>661</v>
      </c>
      <c r="M1334" t="s">
        <v>657</v>
      </c>
      <c r="N1334" t="s">
        <v>662</v>
      </c>
      <c r="O1334" t="s">
        <v>632</v>
      </c>
    </row>
    <row r="1335" spans="1:15" x14ac:dyDescent="0.35">
      <c r="A1335" s="77">
        <v>3.2520547945205478</v>
      </c>
      <c r="B1335" s="19">
        <v>80038</v>
      </c>
      <c r="C1335" s="19" t="s">
        <v>3653</v>
      </c>
      <c r="D1335" s="19" t="s">
        <v>318</v>
      </c>
      <c r="E1335" s="19" t="s">
        <v>319</v>
      </c>
      <c r="F1335" s="19" t="s">
        <v>1266</v>
      </c>
      <c r="G1335" s="19" t="s">
        <v>1598</v>
      </c>
      <c r="H1335" s="19" t="s">
        <v>1001</v>
      </c>
      <c r="I1335" s="19" t="s">
        <v>1575</v>
      </c>
      <c r="J1335" s="20">
        <v>24</v>
      </c>
      <c r="K1335" t="s">
        <v>625</v>
      </c>
      <c r="L1335" t="s">
        <v>678</v>
      </c>
      <c r="M1335" t="s">
        <v>623</v>
      </c>
      <c r="N1335" t="s">
        <v>624</v>
      </c>
      <c r="O1335" t="s">
        <v>679</v>
      </c>
    </row>
    <row r="1336" spans="1:15" x14ac:dyDescent="0.35">
      <c r="A1336" s="77">
        <v>3.2493150684931509</v>
      </c>
      <c r="B1336" s="19">
        <v>80050</v>
      </c>
      <c r="C1336" s="19" t="s">
        <v>3654</v>
      </c>
      <c r="D1336" s="19" t="s">
        <v>151</v>
      </c>
      <c r="E1336" s="19" t="s">
        <v>152</v>
      </c>
      <c r="F1336" s="19" t="s">
        <v>1557</v>
      </c>
      <c r="G1336" s="19" t="s">
        <v>1046</v>
      </c>
      <c r="H1336" s="19" t="s">
        <v>1001</v>
      </c>
      <c r="I1336" s="19" t="s">
        <v>1599</v>
      </c>
      <c r="J1336" s="20">
        <v>21</v>
      </c>
      <c r="K1336" t="s">
        <v>654</v>
      </c>
      <c r="L1336" t="s">
        <v>691</v>
      </c>
      <c r="M1336" t="s">
        <v>657</v>
      </c>
      <c r="N1336" t="s">
        <v>658</v>
      </c>
      <c r="O1336" t="s">
        <v>632</v>
      </c>
    </row>
    <row r="1337" spans="1:15" x14ac:dyDescent="0.35">
      <c r="A1337" s="77">
        <v>3.2356164383561645</v>
      </c>
      <c r="B1337" s="19">
        <v>80053</v>
      </c>
      <c r="C1337" s="19" t="s">
        <v>3655</v>
      </c>
      <c r="D1337" s="19" t="s">
        <v>24</v>
      </c>
      <c r="E1337" s="19" t="s">
        <v>24</v>
      </c>
      <c r="F1337" s="19" t="s">
        <v>2097</v>
      </c>
      <c r="G1337" s="19" t="s">
        <v>1045</v>
      </c>
      <c r="H1337" s="19" t="s">
        <v>1001</v>
      </c>
      <c r="I1337" s="19" t="s">
        <v>1575</v>
      </c>
      <c r="J1337" s="20">
        <v>29</v>
      </c>
      <c r="K1337" t="s">
        <v>664</v>
      </c>
      <c r="L1337" t="s">
        <v>663</v>
      </c>
      <c r="M1337" t="s">
        <v>629</v>
      </c>
      <c r="N1337" t="s">
        <v>646</v>
      </c>
      <c r="O1337" t="s">
        <v>639</v>
      </c>
    </row>
    <row r="1338" spans="1:15" x14ac:dyDescent="0.35">
      <c r="A1338" s="77">
        <v>3.2301369863013698</v>
      </c>
      <c r="B1338" s="19">
        <v>80088</v>
      </c>
      <c r="C1338" s="19" t="s">
        <v>3656</v>
      </c>
      <c r="D1338" s="19" t="s">
        <v>115</v>
      </c>
      <c r="E1338" s="19" t="s">
        <v>116</v>
      </c>
      <c r="F1338" s="19" t="s">
        <v>1383</v>
      </c>
      <c r="G1338" s="19" t="s">
        <v>1008</v>
      </c>
      <c r="H1338" s="19" t="s">
        <v>1001</v>
      </c>
      <c r="I1338" s="19" t="s">
        <v>1599</v>
      </c>
      <c r="J1338" s="20">
        <v>19</v>
      </c>
      <c r="K1338" t="s">
        <v>631</v>
      </c>
      <c r="L1338" t="s">
        <v>670</v>
      </c>
      <c r="M1338" t="s">
        <v>657</v>
      </c>
      <c r="N1338" t="s">
        <v>641</v>
      </c>
      <c r="O1338" t="s">
        <v>671</v>
      </c>
    </row>
    <row r="1339" spans="1:15" x14ac:dyDescent="0.35">
      <c r="A1339" s="77">
        <v>0.60821917808219184</v>
      </c>
      <c r="B1339" s="19">
        <v>80089</v>
      </c>
      <c r="C1339" s="19" t="s">
        <v>3657</v>
      </c>
      <c r="D1339" s="19" t="s">
        <v>335</v>
      </c>
      <c r="E1339" s="19" t="s">
        <v>336</v>
      </c>
      <c r="F1339" s="19" t="s">
        <v>841</v>
      </c>
      <c r="G1339" s="19" t="s">
        <v>1028</v>
      </c>
      <c r="H1339" s="19" t="s">
        <v>1020</v>
      </c>
      <c r="I1339" s="19" t="s">
        <v>1599</v>
      </c>
      <c r="J1339" s="20">
        <v>18</v>
      </c>
      <c r="K1339" t="s">
        <v>636</v>
      </c>
      <c r="L1339" t="s">
        <v>622</v>
      </c>
      <c r="M1339" t="s">
        <v>623</v>
      </c>
      <c r="N1339" t="s">
        <v>624</v>
      </c>
      <c r="O1339" t="s">
        <v>649</v>
      </c>
    </row>
    <row r="1340" spans="1:15" x14ac:dyDescent="0.35">
      <c r="A1340" s="77">
        <v>3.2246575342465755</v>
      </c>
      <c r="B1340" s="19">
        <v>80159</v>
      </c>
      <c r="C1340" s="19" t="s">
        <v>3658</v>
      </c>
      <c r="D1340" s="19" t="s">
        <v>278</v>
      </c>
      <c r="E1340" s="19" t="s">
        <v>279</v>
      </c>
      <c r="F1340" s="19" t="s">
        <v>1131</v>
      </c>
      <c r="G1340" s="19" t="s">
        <v>1084</v>
      </c>
      <c r="H1340" s="19" t="s">
        <v>1001</v>
      </c>
      <c r="I1340" s="19" t="s">
        <v>1599</v>
      </c>
      <c r="J1340" s="20">
        <v>47</v>
      </c>
      <c r="K1340" t="s">
        <v>625</v>
      </c>
      <c r="L1340" t="s">
        <v>661</v>
      </c>
      <c r="M1340" t="s">
        <v>657</v>
      </c>
      <c r="N1340" t="s">
        <v>662</v>
      </c>
      <c r="O1340" t="s">
        <v>632</v>
      </c>
    </row>
    <row r="1341" spans="1:15" x14ac:dyDescent="0.35">
      <c r="A1341" s="77">
        <v>3.2136986301369861</v>
      </c>
      <c r="B1341" s="19">
        <v>80179</v>
      </c>
      <c r="C1341" s="19" t="s">
        <v>3659</v>
      </c>
      <c r="D1341" s="19" t="s">
        <v>109</v>
      </c>
      <c r="E1341" s="19" t="s">
        <v>110</v>
      </c>
      <c r="F1341" s="19" t="s">
        <v>2347</v>
      </c>
      <c r="G1341" s="19" t="s">
        <v>1008</v>
      </c>
      <c r="H1341" s="19" t="s">
        <v>1001</v>
      </c>
      <c r="I1341" s="19" t="s">
        <v>1575</v>
      </c>
      <c r="J1341" s="20">
        <v>33</v>
      </c>
      <c r="K1341" t="s">
        <v>654</v>
      </c>
      <c r="L1341" t="s">
        <v>684</v>
      </c>
      <c r="M1341" t="s">
        <v>623</v>
      </c>
      <c r="N1341" t="s">
        <v>662</v>
      </c>
      <c r="O1341" t="s">
        <v>685</v>
      </c>
    </row>
    <row r="1342" spans="1:15" x14ac:dyDescent="0.35">
      <c r="A1342" s="77">
        <v>0.58904109589041098</v>
      </c>
      <c r="B1342" s="19">
        <v>80181</v>
      </c>
      <c r="C1342" s="19" t="s">
        <v>3660</v>
      </c>
      <c r="D1342" s="19" t="s">
        <v>204</v>
      </c>
      <c r="E1342" s="19" t="s">
        <v>205</v>
      </c>
      <c r="F1342" s="19" t="s">
        <v>1090</v>
      </c>
      <c r="G1342" s="19" t="s">
        <v>3508</v>
      </c>
      <c r="H1342" s="19" t="s">
        <v>1020</v>
      </c>
      <c r="I1342" s="19" t="s">
        <v>1599</v>
      </c>
      <c r="J1342" s="20">
        <v>17</v>
      </c>
      <c r="K1342" t="s">
        <v>668</v>
      </c>
      <c r="L1342" t="s">
        <v>634</v>
      </c>
      <c r="M1342" t="s">
        <v>629</v>
      </c>
      <c r="N1342" t="s">
        <v>635</v>
      </c>
      <c r="O1342" t="s">
        <v>637</v>
      </c>
    </row>
    <row r="1343" spans="1:15" x14ac:dyDescent="0.35">
      <c r="A1343" s="77">
        <v>0.73698630136986298</v>
      </c>
      <c r="B1343" s="19">
        <v>80182</v>
      </c>
      <c r="C1343" s="19" t="s">
        <v>3661</v>
      </c>
      <c r="D1343" s="19" t="s">
        <v>420</v>
      </c>
      <c r="E1343" s="19" t="s">
        <v>420</v>
      </c>
      <c r="F1343" s="19" t="s">
        <v>686</v>
      </c>
      <c r="G1343" s="19" t="s">
        <v>3508</v>
      </c>
      <c r="H1343" s="19" t="s">
        <v>1020</v>
      </c>
      <c r="I1343" s="19" t="s">
        <v>1575</v>
      </c>
      <c r="J1343" s="20">
        <v>17</v>
      </c>
      <c r="K1343" t="s">
        <v>631</v>
      </c>
      <c r="L1343" t="s">
        <v>634</v>
      </c>
      <c r="M1343" t="s">
        <v>629</v>
      </c>
      <c r="N1343" t="s">
        <v>635</v>
      </c>
      <c r="O1343" t="s">
        <v>637</v>
      </c>
    </row>
    <row r="1344" spans="1:15" x14ac:dyDescent="0.35">
      <c r="A1344" s="77">
        <v>3.2082191780821918</v>
      </c>
      <c r="B1344" s="19">
        <v>80209</v>
      </c>
      <c r="C1344" s="19" t="s">
        <v>3662</v>
      </c>
      <c r="D1344" s="19" t="s">
        <v>411</v>
      </c>
      <c r="E1344" s="19" t="s">
        <v>412</v>
      </c>
      <c r="F1344" s="19" t="s">
        <v>1225</v>
      </c>
      <c r="G1344" s="19" t="s">
        <v>1046</v>
      </c>
      <c r="H1344" s="19" t="s">
        <v>1001</v>
      </c>
      <c r="I1344" s="19" t="s">
        <v>1575</v>
      </c>
      <c r="J1344" s="20">
        <v>33</v>
      </c>
      <c r="K1344" t="s">
        <v>636</v>
      </c>
      <c r="L1344" t="s">
        <v>691</v>
      </c>
      <c r="M1344" t="s">
        <v>657</v>
      </c>
      <c r="N1344" t="s">
        <v>658</v>
      </c>
      <c r="O1344" t="s">
        <v>632</v>
      </c>
    </row>
    <row r="1345" spans="1:15" x14ac:dyDescent="0.35">
      <c r="A1345" s="77">
        <v>4.9315068493150684E-2</v>
      </c>
      <c r="B1345" s="19">
        <v>80253</v>
      </c>
      <c r="C1345" s="19" t="s">
        <v>3663</v>
      </c>
      <c r="D1345" s="19" t="s">
        <v>105</v>
      </c>
      <c r="E1345" s="19" t="s">
        <v>106</v>
      </c>
      <c r="F1345" s="19" t="s">
        <v>1207</v>
      </c>
      <c r="G1345" s="19" t="s">
        <v>1008</v>
      </c>
      <c r="H1345" s="19" t="s">
        <v>1001</v>
      </c>
      <c r="I1345" s="19" t="s">
        <v>1575</v>
      </c>
      <c r="J1345" s="20">
        <v>23</v>
      </c>
      <c r="K1345" t="s">
        <v>654</v>
      </c>
      <c r="L1345" t="s">
        <v>622</v>
      </c>
      <c r="M1345" t="s">
        <v>623</v>
      </c>
      <c r="N1345" t="s">
        <v>624</v>
      </c>
      <c r="O1345" t="s">
        <v>626</v>
      </c>
    </row>
    <row r="1346" spans="1:15" x14ac:dyDescent="0.35">
      <c r="A1346" s="77">
        <v>3.1945205479452055</v>
      </c>
      <c r="B1346" s="19">
        <v>80256</v>
      </c>
      <c r="C1346" s="19" t="s">
        <v>3664</v>
      </c>
      <c r="D1346" s="19" t="s">
        <v>302</v>
      </c>
      <c r="E1346" s="19" t="s">
        <v>303</v>
      </c>
      <c r="F1346" s="19" t="s">
        <v>1053</v>
      </c>
      <c r="G1346" s="19" t="s">
        <v>3508</v>
      </c>
      <c r="H1346" s="19" t="s">
        <v>1020</v>
      </c>
      <c r="I1346" s="19" t="s">
        <v>1575</v>
      </c>
      <c r="J1346" s="20">
        <v>17</v>
      </c>
      <c r="K1346" t="s">
        <v>668</v>
      </c>
      <c r="L1346" t="s">
        <v>737</v>
      </c>
      <c r="M1346" t="s">
        <v>657</v>
      </c>
      <c r="N1346" t="s">
        <v>641</v>
      </c>
      <c r="O1346" t="s">
        <v>738</v>
      </c>
    </row>
    <row r="1347" spans="1:15" x14ac:dyDescent="0.35">
      <c r="A1347" s="77">
        <v>1.1123287671232878</v>
      </c>
      <c r="B1347" s="19">
        <v>80271</v>
      </c>
      <c r="C1347" s="19" t="s">
        <v>3665</v>
      </c>
      <c r="D1347" s="19" t="s">
        <v>284</v>
      </c>
      <c r="E1347" s="19" t="s">
        <v>285</v>
      </c>
      <c r="F1347" s="19" t="s">
        <v>1150</v>
      </c>
      <c r="G1347" s="19" t="s">
        <v>1008</v>
      </c>
      <c r="H1347" s="19" t="s">
        <v>1001</v>
      </c>
      <c r="I1347" s="19" t="s">
        <v>1599</v>
      </c>
      <c r="J1347" s="20">
        <v>23</v>
      </c>
      <c r="K1347" t="s">
        <v>625</v>
      </c>
      <c r="L1347" t="s">
        <v>661</v>
      </c>
      <c r="M1347" t="s">
        <v>657</v>
      </c>
      <c r="N1347" t="s">
        <v>662</v>
      </c>
      <c r="O1347" t="s">
        <v>632</v>
      </c>
    </row>
    <row r="1348" spans="1:15" x14ac:dyDescent="0.35">
      <c r="A1348" s="77">
        <v>1.3260273972602741</v>
      </c>
      <c r="B1348" s="19">
        <v>80274</v>
      </c>
      <c r="C1348" s="19" t="s">
        <v>3666</v>
      </c>
      <c r="D1348" s="19" t="s">
        <v>16</v>
      </c>
      <c r="E1348" s="19" t="s">
        <v>16</v>
      </c>
      <c r="F1348" s="19" t="s">
        <v>1211</v>
      </c>
      <c r="G1348" s="19" t="s">
        <v>1046</v>
      </c>
      <c r="H1348" s="19" t="s">
        <v>1001</v>
      </c>
      <c r="I1348" s="19" t="s">
        <v>1575</v>
      </c>
      <c r="J1348" s="20">
        <v>25</v>
      </c>
      <c r="K1348" t="s">
        <v>631</v>
      </c>
      <c r="L1348" t="s">
        <v>645</v>
      </c>
      <c r="M1348" t="s">
        <v>629</v>
      </c>
      <c r="N1348" t="s">
        <v>646</v>
      </c>
      <c r="O1348" t="s">
        <v>632</v>
      </c>
    </row>
    <row r="1349" spans="1:15" x14ac:dyDescent="0.35">
      <c r="A1349" s="77">
        <v>3.1945205479452055</v>
      </c>
      <c r="B1349" s="19">
        <v>80283</v>
      </c>
      <c r="C1349" s="19" t="s">
        <v>3667</v>
      </c>
      <c r="D1349" s="19" t="s">
        <v>326</v>
      </c>
      <c r="E1349" s="19" t="s">
        <v>327</v>
      </c>
      <c r="F1349" s="19" t="s">
        <v>1051</v>
      </c>
      <c r="G1349" s="19" t="s">
        <v>1008</v>
      </c>
      <c r="H1349" s="19" t="s">
        <v>1001</v>
      </c>
      <c r="I1349" s="19" t="s">
        <v>1575</v>
      </c>
      <c r="J1349" s="20">
        <v>22</v>
      </c>
      <c r="K1349" t="s">
        <v>631</v>
      </c>
      <c r="L1349" t="s">
        <v>648</v>
      </c>
      <c r="M1349" t="s">
        <v>623</v>
      </c>
      <c r="N1349" t="s">
        <v>624</v>
      </c>
      <c r="O1349" t="s">
        <v>837</v>
      </c>
    </row>
    <row r="1350" spans="1:15" x14ac:dyDescent="0.35">
      <c r="A1350" s="77">
        <v>3.1890410958904107</v>
      </c>
      <c r="B1350" s="19">
        <v>80349</v>
      </c>
      <c r="C1350" s="19" t="s">
        <v>3668</v>
      </c>
      <c r="D1350" s="19" t="s">
        <v>161</v>
      </c>
      <c r="E1350" s="19" t="s">
        <v>162</v>
      </c>
      <c r="F1350" s="19" t="s">
        <v>1027</v>
      </c>
      <c r="G1350" s="19" t="s">
        <v>1084</v>
      </c>
      <c r="H1350" s="19" t="s">
        <v>1001</v>
      </c>
      <c r="I1350" s="19" t="s">
        <v>1599</v>
      </c>
      <c r="J1350" s="20">
        <v>31</v>
      </c>
      <c r="K1350" t="s">
        <v>654</v>
      </c>
      <c r="L1350" t="s">
        <v>622</v>
      </c>
      <c r="M1350" t="s">
        <v>623</v>
      </c>
      <c r="N1350" t="s">
        <v>624</v>
      </c>
      <c r="O1350" t="s">
        <v>649</v>
      </c>
    </row>
    <row r="1351" spans="1:15" x14ac:dyDescent="0.35">
      <c r="A1351" s="77">
        <v>3.1890410958904107</v>
      </c>
      <c r="B1351" s="19">
        <v>80360</v>
      </c>
      <c r="C1351" s="19" t="s">
        <v>3669</v>
      </c>
      <c r="D1351" s="19" t="s">
        <v>19</v>
      </c>
      <c r="E1351" s="19" t="s">
        <v>19</v>
      </c>
      <c r="F1351" s="19" t="s">
        <v>1255</v>
      </c>
      <c r="G1351" s="19" t="s">
        <v>1034</v>
      </c>
      <c r="H1351" s="19" t="s">
        <v>1001</v>
      </c>
      <c r="I1351" s="19" t="s">
        <v>1599</v>
      </c>
      <c r="J1351" s="20">
        <v>27</v>
      </c>
      <c r="K1351" t="s">
        <v>654</v>
      </c>
      <c r="L1351" t="s">
        <v>645</v>
      </c>
      <c r="M1351" t="s">
        <v>629</v>
      </c>
      <c r="N1351" t="s">
        <v>646</v>
      </c>
      <c r="O1351" t="s">
        <v>632</v>
      </c>
    </row>
    <row r="1352" spans="1:15" x14ac:dyDescent="0.35">
      <c r="A1352" s="77">
        <v>3.1671232876712327</v>
      </c>
      <c r="B1352" s="19">
        <v>80375</v>
      </c>
      <c r="C1352" s="19" t="s">
        <v>3670</v>
      </c>
      <c r="D1352" s="19" t="s">
        <v>8</v>
      </c>
      <c r="E1352" s="19" t="s">
        <v>8</v>
      </c>
      <c r="F1352" s="19" t="s">
        <v>1176</v>
      </c>
      <c r="G1352" s="19" t="s">
        <v>1084</v>
      </c>
      <c r="H1352" s="19" t="s">
        <v>1001</v>
      </c>
      <c r="I1352" s="19" t="s">
        <v>1575</v>
      </c>
      <c r="J1352" s="20">
        <v>39</v>
      </c>
      <c r="K1352" t="s">
        <v>625</v>
      </c>
      <c r="L1352" t="s">
        <v>622</v>
      </c>
      <c r="M1352" t="s">
        <v>623</v>
      </c>
      <c r="N1352" t="s">
        <v>624</v>
      </c>
      <c r="O1352" t="s">
        <v>626</v>
      </c>
    </row>
    <row r="1353" spans="1:15" x14ac:dyDescent="0.35">
      <c r="A1353" s="77">
        <v>0.32602739726027397</v>
      </c>
      <c r="B1353" s="19">
        <v>80385</v>
      </c>
      <c r="C1353" s="19" t="s">
        <v>3671</v>
      </c>
      <c r="D1353" s="19" t="s">
        <v>91</v>
      </c>
      <c r="E1353" s="19" t="s">
        <v>92</v>
      </c>
      <c r="F1353" s="19" t="s">
        <v>1113</v>
      </c>
      <c r="G1353" s="19" t="s">
        <v>1057</v>
      </c>
      <c r="H1353" s="19" t="s">
        <v>1001</v>
      </c>
      <c r="I1353" s="19" t="s">
        <v>1575</v>
      </c>
      <c r="J1353" s="20">
        <v>23</v>
      </c>
      <c r="K1353" t="s">
        <v>636</v>
      </c>
      <c r="L1353" t="s">
        <v>634</v>
      </c>
      <c r="M1353" t="s">
        <v>629</v>
      </c>
      <c r="N1353" t="s">
        <v>630</v>
      </c>
      <c r="O1353" t="s">
        <v>734</v>
      </c>
    </row>
    <row r="1354" spans="1:15" x14ac:dyDescent="0.35">
      <c r="A1354" s="77">
        <v>3.1671232876712327</v>
      </c>
      <c r="B1354" s="19">
        <v>80392</v>
      </c>
      <c r="C1354" s="19" t="s">
        <v>3672</v>
      </c>
      <c r="D1354" s="19" t="s">
        <v>357</v>
      </c>
      <c r="E1354" s="19" t="s">
        <v>358</v>
      </c>
      <c r="F1354" s="19" t="s">
        <v>1161</v>
      </c>
      <c r="G1354" s="19" t="s">
        <v>1000</v>
      </c>
      <c r="H1354" s="19" t="s">
        <v>1001</v>
      </c>
      <c r="I1354" s="19" t="s">
        <v>1599</v>
      </c>
      <c r="J1354" s="20">
        <v>46</v>
      </c>
      <c r="K1354" t="s">
        <v>668</v>
      </c>
      <c r="L1354" t="s">
        <v>640</v>
      </c>
      <c r="M1354" t="s">
        <v>623</v>
      </c>
      <c r="N1354" t="s">
        <v>641</v>
      </c>
      <c r="O1354" t="s">
        <v>852</v>
      </c>
    </row>
    <row r="1355" spans="1:15" x14ac:dyDescent="0.35">
      <c r="A1355" s="77">
        <v>3.1671232876712327</v>
      </c>
      <c r="B1355" s="19">
        <v>80403</v>
      </c>
      <c r="C1355" s="19" t="s">
        <v>3673</v>
      </c>
      <c r="D1355" s="19" t="s">
        <v>284</v>
      </c>
      <c r="E1355" s="19" t="s">
        <v>285</v>
      </c>
      <c r="F1355" s="19" t="s">
        <v>1150</v>
      </c>
      <c r="G1355" s="19" t="s">
        <v>1057</v>
      </c>
      <c r="H1355" s="19" t="s">
        <v>1001</v>
      </c>
      <c r="I1355" s="19" t="s">
        <v>1599</v>
      </c>
      <c r="J1355" s="20">
        <v>23</v>
      </c>
      <c r="K1355" t="s">
        <v>625</v>
      </c>
      <c r="L1355" t="s">
        <v>661</v>
      </c>
      <c r="M1355" t="s">
        <v>657</v>
      </c>
      <c r="N1355" t="s">
        <v>662</v>
      </c>
      <c r="O1355" t="s">
        <v>632</v>
      </c>
    </row>
    <row r="1356" spans="1:15" x14ac:dyDescent="0.35">
      <c r="A1356" s="77">
        <v>3.1589041095890411</v>
      </c>
      <c r="B1356" s="19">
        <v>80430</v>
      </c>
      <c r="C1356" s="19" t="s">
        <v>3674</v>
      </c>
      <c r="D1356" s="19" t="s">
        <v>181</v>
      </c>
      <c r="E1356" s="19" t="s">
        <v>182</v>
      </c>
      <c r="F1356" s="19" t="s">
        <v>1374</v>
      </c>
      <c r="G1356" s="19" t="s">
        <v>1084</v>
      </c>
      <c r="H1356" s="19" t="s">
        <v>1001</v>
      </c>
      <c r="I1356" s="19" t="s">
        <v>1599</v>
      </c>
      <c r="J1356" s="20">
        <v>39</v>
      </c>
      <c r="K1356" t="s">
        <v>625</v>
      </c>
      <c r="L1356" t="s">
        <v>678</v>
      </c>
      <c r="M1356" t="s">
        <v>623</v>
      </c>
      <c r="N1356" t="s">
        <v>624</v>
      </c>
      <c r="O1356" t="s">
        <v>679</v>
      </c>
    </row>
    <row r="1357" spans="1:15" x14ac:dyDescent="0.35">
      <c r="A1357" s="77">
        <v>3.1671232876712327</v>
      </c>
      <c r="B1357" s="19">
        <v>80455</v>
      </c>
      <c r="C1357" s="19" t="s">
        <v>3675</v>
      </c>
      <c r="D1357" s="19" t="s">
        <v>328</v>
      </c>
      <c r="E1357" s="19" t="s">
        <v>329</v>
      </c>
      <c r="F1357" s="19" t="s">
        <v>838</v>
      </c>
      <c r="G1357" s="19" t="s">
        <v>1034</v>
      </c>
      <c r="H1357" s="19" t="s">
        <v>1001</v>
      </c>
      <c r="I1357" s="19" t="s">
        <v>1599</v>
      </c>
      <c r="J1357" s="20">
        <v>25</v>
      </c>
      <c r="K1357" t="s">
        <v>631</v>
      </c>
      <c r="L1357" t="s">
        <v>645</v>
      </c>
      <c r="M1357" t="s">
        <v>629</v>
      </c>
      <c r="N1357" t="s">
        <v>646</v>
      </c>
      <c r="O1357" t="s">
        <v>632</v>
      </c>
    </row>
    <row r="1358" spans="1:15" x14ac:dyDescent="0.35">
      <c r="A1358" s="77">
        <v>3.1671232876712327</v>
      </c>
      <c r="B1358" s="19">
        <v>80456</v>
      </c>
      <c r="C1358" s="19" t="s">
        <v>3676</v>
      </c>
      <c r="D1358" s="19" t="s">
        <v>27</v>
      </c>
      <c r="E1358" s="19" t="s">
        <v>27</v>
      </c>
      <c r="F1358" s="19" t="s">
        <v>1250</v>
      </c>
      <c r="G1358" s="19" t="s">
        <v>1057</v>
      </c>
      <c r="H1358" s="19" t="s">
        <v>1001</v>
      </c>
      <c r="I1358" s="19" t="s">
        <v>1575</v>
      </c>
      <c r="J1358" s="20">
        <v>25</v>
      </c>
      <c r="K1358" t="s">
        <v>668</v>
      </c>
      <c r="L1358" t="s">
        <v>645</v>
      </c>
      <c r="M1358" t="s">
        <v>629</v>
      </c>
      <c r="N1358" t="s">
        <v>646</v>
      </c>
      <c r="O1358" t="s">
        <v>632</v>
      </c>
    </row>
    <row r="1359" spans="1:15" x14ac:dyDescent="0.35">
      <c r="A1359" s="77">
        <v>1.9178082191780823E-2</v>
      </c>
      <c r="B1359" s="19">
        <v>80461</v>
      </c>
      <c r="C1359" s="19" t="s">
        <v>3677</v>
      </c>
      <c r="D1359" s="19" t="s">
        <v>425</v>
      </c>
      <c r="E1359" s="19" t="s">
        <v>425</v>
      </c>
      <c r="F1359" s="19" t="s">
        <v>1330</v>
      </c>
      <c r="G1359" s="19" t="s">
        <v>1008</v>
      </c>
      <c r="H1359" s="19" t="s">
        <v>1001</v>
      </c>
      <c r="I1359" s="19" t="s">
        <v>1575</v>
      </c>
      <c r="J1359" s="20">
        <v>23</v>
      </c>
      <c r="K1359" t="s">
        <v>654</v>
      </c>
      <c r="L1359" t="s">
        <v>678</v>
      </c>
      <c r="M1359" t="s">
        <v>623</v>
      </c>
      <c r="N1359" t="s">
        <v>624</v>
      </c>
      <c r="O1359" t="s">
        <v>689</v>
      </c>
    </row>
    <row r="1360" spans="1:15" x14ac:dyDescent="0.35">
      <c r="A1360" s="77">
        <v>3.1534246575342464</v>
      </c>
      <c r="B1360" s="19">
        <v>80496</v>
      </c>
      <c r="C1360" s="19" t="s">
        <v>3678</v>
      </c>
      <c r="D1360" s="19" t="s">
        <v>218</v>
      </c>
      <c r="E1360" s="19" t="s">
        <v>219</v>
      </c>
      <c r="F1360" s="19" t="s">
        <v>1372</v>
      </c>
      <c r="G1360" s="19" t="s">
        <v>1046</v>
      </c>
      <c r="H1360" s="19" t="s">
        <v>1001</v>
      </c>
      <c r="I1360" s="19" t="s">
        <v>1575</v>
      </c>
      <c r="J1360" s="20">
        <v>25</v>
      </c>
      <c r="K1360" t="s">
        <v>625</v>
      </c>
      <c r="L1360" t="s">
        <v>661</v>
      </c>
      <c r="M1360" t="s">
        <v>657</v>
      </c>
      <c r="N1360" t="s">
        <v>662</v>
      </c>
      <c r="O1360" t="s">
        <v>632</v>
      </c>
    </row>
    <row r="1361" spans="1:15" x14ac:dyDescent="0.35">
      <c r="A1361" s="77">
        <v>1.4547945205479451</v>
      </c>
      <c r="B1361" s="19">
        <v>80504</v>
      </c>
      <c r="C1361" s="19" t="s">
        <v>3679</v>
      </c>
      <c r="D1361" s="19" t="s">
        <v>175</v>
      </c>
      <c r="E1361" s="19" t="s">
        <v>176</v>
      </c>
      <c r="F1361" s="19" t="s">
        <v>1538</v>
      </c>
      <c r="G1361" s="19" t="s">
        <v>1028</v>
      </c>
      <c r="H1361" s="19" t="s">
        <v>1020</v>
      </c>
      <c r="I1361" s="19" t="s">
        <v>1575</v>
      </c>
      <c r="J1361" s="20">
        <v>49</v>
      </c>
      <c r="K1361" t="s">
        <v>668</v>
      </c>
      <c r="L1361" t="s">
        <v>707</v>
      </c>
      <c r="M1361" t="s">
        <v>629</v>
      </c>
      <c r="N1361" t="s">
        <v>635</v>
      </c>
      <c r="O1361" t="s">
        <v>710</v>
      </c>
    </row>
    <row r="1362" spans="1:15" x14ac:dyDescent="0.35">
      <c r="A1362" s="77">
        <v>3.1561643835616437</v>
      </c>
      <c r="B1362" s="19">
        <v>80527</v>
      </c>
      <c r="C1362" s="19" t="s">
        <v>3680</v>
      </c>
      <c r="D1362" s="19" t="s">
        <v>130</v>
      </c>
      <c r="E1362" s="19" t="s">
        <v>131</v>
      </c>
      <c r="F1362" s="19" t="s">
        <v>1693</v>
      </c>
      <c r="G1362" s="19" t="s">
        <v>1057</v>
      </c>
      <c r="H1362" s="19" t="s">
        <v>1001</v>
      </c>
      <c r="I1362" s="19" t="s">
        <v>1575</v>
      </c>
      <c r="J1362" s="20">
        <v>25</v>
      </c>
      <c r="K1362" t="s">
        <v>654</v>
      </c>
      <c r="L1362" t="s">
        <v>670</v>
      </c>
      <c r="M1362" t="s">
        <v>657</v>
      </c>
      <c r="N1362" t="s">
        <v>641</v>
      </c>
      <c r="O1362" t="s">
        <v>752</v>
      </c>
    </row>
    <row r="1363" spans="1:15" x14ac:dyDescent="0.35">
      <c r="A1363" s="77">
        <v>2.4657534246575342E-2</v>
      </c>
      <c r="B1363" s="19">
        <v>80528</v>
      </c>
      <c r="C1363" s="19" t="s">
        <v>3681</v>
      </c>
      <c r="D1363" s="19" t="s">
        <v>307</v>
      </c>
      <c r="E1363" s="19" t="s">
        <v>308</v>
      </c>
      <c r="F1363" s="19" t="s">
        <v>1524</v>
      </c>
      <c r="G1363" s="19" t="s">
        <v>1008</v>
      </c>
      <c r="H1363" s="19" t="s">
        <v>1001</v>
      </c>
      <c r="I1363" s="19" t="s">
        <v>1575</v>
      </c>
      <c r="J1363" s="20">
        <v>22</v>
      </c>
      <c r="K1363" t="s">
        <v>668</v>
      </c>
      <c r="L1363" t="s">
        <v>656</v>
      </c>
      <c r="M1363" t="s">
        <v>657</v>
      </c>
      <c r="N1363" t="s">
        <v>658</v>
      </c>
      <c r="O1363" t="s">
        <v>718</v>
      </c>
    </row>
    <row r="1364" spans="1:15" x14ac:dyDescent="0.35">
      <c r="A1364" s="77">
        <v>3.1369863013698631</v>
      </c>
      <c r="B1364" s="19">
        <v>80558</v>
      </c>
      <c r="C1364" s="19" t="s">
        <v>3682</v>
      </c>
      <c r="D1364" s="19" t="s">
        <v>171</v>
      </c>
      <c r="E1364" s="19" t="s">
        <v>172</v>
      </c>
      <c r="F1364" s="19" t="s">
        <v>2239</v>
      </c>
      <c r="G1364" s="19" t="s">
        <v>1046</v>
      </c>
      <c r="H1364" s="19" t="s">
        <v>1001</v>
      </c>
      <c r="I1364" s="19" t="s">
        <v>1575</v>
      </c>
      <c r="J1364" s="20">
        <v>23</v>
      </c>
      <c r="K1364" t="s">
        <v>654</v>
      </c>
      <c r="L1364" t="s">
        <v>661</v>
      </c>
      <c r="M1364" t="s">
        <v>657</v>
      </c>
      <c r="N1364" t="s">
        <v>662</v>
      </c>
      <c r="O1364" t="s">
        <v>632</v>
      </c>
    </row>
    <row r="1365" spans="1:15" x14ac:dyDescent="0.35">
      <c r="A1365" s="77">
        <v>3.1369863013698631</v>
      </c>
      <c r="B1365" s="19">
        <v>80559</v>
      </c>
      <c r="C1365" s="19" t="s">
        <v>3683</v>
      </c>
      <c r="D1365" s="19" t="s">
        <v>341</v>
      </c>
      <c r="E1365" s="19" t="s">
        <v>342</v>
      </c>
      <c r="F1365" s="19" t="s">
        <v>1264</v>
      </c>
      <c r="G1365" s="19" t="s">
        <v>1008</v>
      </c>
      <c r="H1365" s="19" t="s">
        <v>1001</v>
      </c>
      <c r="I1365" s="19" t="s">
        <v>1575</v>
      </c>
      <c r="J1365" s="20">
        <v>41</v>
      </c>
      <c r="K1365" t="s">
        <v>636</v>
      </c>
      <c r="L1365" t="s">
        <v>678</v>
      </c>
      <c r="M1365" t="s">
        <v>623</v>
      </c>
      <c r="N1365" t="s">
        <v>624</v>
      </c>
      <c r="O1365" t="s">
        <v>679</v>
      </c>
    </row>
    <row r="1366" spans="1:15" x14ac:dyDescent="0.35">
      <c r="A1366" s="77">
        <v>3.1397260273972605</v>
      </c>
      <c r="B1366" s="19">
        <v>80566</v>
      </c>
      <c r="C1366" s="19" t="s">
        <v>3684</v>
      </c>
      <c r="D1366" s="19" t="s">
        <v>153</v>
      </c>
      <c r="E1366" s="19" t="s">
        <v>154</v>
      </c>
      <c r="F1366" s="19" t="s">
        <v>2384</v>
      </c>
      <c r="G1366" s="19" t="s">
        <v>1008</v>
      </c>
      <c r="H1366" s="19" t="s">
        <v>1001</v>
      </c>
      <c r="I1366" s="19" t="s">
        <v>1575</v>
      </c>
      <c r="J1366" s="20">
        <v>32</v>
      </c>
      <c r="K1366" t="s">
        <v>654</v>
      </c>
      <c r="L1366" t="s">
        <v>762</v>
      </c>
      <c r="M1366" t="s">
        <v>629</v>
      </c>
      <c r="N1366" t="s">
        <v>646</v>
      </c>
      <c r="O1366" t="s">
        <v>763</v>
      </c>
    </row>
    <row r="1367" spans="1:15" x14ac:dyDescent="0.35">
      <c r="A1367" s="77">
        <v>0.9945205479452055</v>
      </c>
      <c r="B1367" s="19">
        <v>80580</v>
      </c>
      <c r="C1367" s="19" t="s">
        <v>3685</v>
      </c>
      <c r="D1367" s="19" t="s">
        <v>60</v>
      </c>
      <c r="E1367" s="19" t="s">
        <v>61</v>
      </c>
      <c r="F1367" s="19" t="s">
        <v>1119</v>
      </c>
      <c r="G1367" s="19" t="s">
        <v>1028</v>
      </c>
      <c r="H1367" s="19" t="s">
        <v>1020</v>
      </c>
      <c r="I1367" s="19" t="s">
        <v>1575</v>
      </c>
      <c r="J1367" s="20">
        <v>25</v>
      </c>
      <c r="K1367" t="s">
        <v>654</v>
      </c>
      <c r="L1367" t="s">
        <v>651</v>
      </c>
      <c r="M1367" t="s">
        <v>629</v>
      </c>
      <c r="N1367" t="s">
        <v>630</v>
      </c>
      <c r="O1367" t="s">
        <v>705</v>
      </c>
    </row>
    <row r="1368" spans="1:15" x14ac:dyDescent="0.35">
      <c r="A1368" s="77">
        <v>3.1369863013698631</v>
      </c>
      <c r="B1368" s="19">
        <v>80593</v>
      </c>
      <c r="C1368" s="19" t="s">
        <v>3686</v>
      </c>
      <c r="D1368" s="19" t="s">
        <v>211</v>
      </c>
      <c r="E1368" s="19" t="s">
        <v>212</v>
      </c>
      <c r="F1368" s="19" t="s">
        <v>1049</v>
      </c>
      <c r="G1368" s="19" t="s">
        <v>1046</v>
      </c>
      <c r="H1368" s="19" t="s">
        <v>1001</v>
      </c>
      <c r="I1368" s="19" t="s">
        <v>1575</v>
      </c>
      <c r="J1368" s="20">
        <v>21</v>
      </c>
      <c r="K1368" t="s">
        <v>654</v>
      </c>
      <c r="L1368" t="s">
        <v>691</v>
      </c>
      <c r="M1368" t="s">
        <v>657</v>
      </c>
      <c r="N1368" t="s">
        <v>658</v>
      </c>
      <c r="O1368" t="s">
        <v>632</v>
      </c>
    </row>
    <row r="1369" spans="1:15" x14ac:dyDescent="0.35">
      <c r="A1369" s="77">
        <v>3.1315068493150684</v>
      </c>
      <c r="B1369" s="19">
        <v>80630</v>
      </c>
      <c r="C1369" s="19" t="s">
        <v>3687</v>
      </c>
      <c r="D1369" s="19" t="s">
        <v>347</v>
      </c>
      <c r="E1369" s="19" t="s">
        <v>348</v>
      </c>
      <c r="F1369" s="19" t="s">
        <v>910</v>
      </c>
      <c r="G1369" s="19" t="s">
        <v>1008</v>
      </c>
      <c r="H1369" s="19" t="s">
        <v>1001</v>
      </c>
      <c r="I1369" s="19" t="s">
        <v>1575</v>
      </c>
      <c r="J1369" s="20">
        <v>42</v>
      </c>
      <c r="K1369" t="s">
        <v>654</v>
      </c>
      <c r="L1369" t="s">
        <v>707</v>
      </c>
      <c r="M1369" t="s">
        <v>629</v>
      </c>
      <c r="N1369" t="s">
        <v>635</v>
      </c>
      <c r="O1369" t="s">
        <v>710</v>
      </c>
    </row>
    <row r="1370" spans="1:15" x14ac:dyDescent="0.35">
      <c r="A1370" s="77">
        <v>3.1205479452054794</v>
      </c>
      <c r="B1370" s="19">
        <v>80665</v>
      </c>
      <c r="C1370" s="19" t="s">
        <v>3688</v>
      </c>
      <c r="D1370" s="19" t="s">
        <v>601</v>
      </c>
      <c r="E1370" s="19" t="e">
        <v>#N/A</v>
      </c>
      <c r="F1370" s="19" t="s">
        <v>1136</v>
      </c>
      <c r="G1370" s="19" t="s">
        <v>1028</v>
      </c>
      <c r="H1370" s="19" t="s">
        <v>1020</v>
      </c>
      <c r="I1370" s="19" t="s">
        <v>1575</v>
      </c>
      <c r="J1370" s="20">
        <v>21</v>
      </c>
      <c r="K1370" t="s">
        <v>654</v>
      </c>
      <c r="L1370" t="s">
        <v>651</v>
      </c>
      <c r="M1370" t="s">
        <v>629</v>
      </c>
      <c r="N1370" t="s">
        <v>630</v>
      </c>
      <c r="O1370" t="s">
        <v>715</v>
      </c>
    </row>
    <row r="1371" spans="1:15" x14ac:dyDescent="0.35">
      <c r="A1371" s="77">
        <v>3.1342465753424658</v>
      </c>
      <c r="B1371" s="19">
        <v>80677</v>
      </c>
      <c r="C1371" s="19" t="s">
        <v>3689</v>
      </c>
      <c r="D1371" s="19" t="s">
        <v>102</v>
      </c>
      <c r="E1371" s="19" t="s">
        <v>103</v>
      </c>
      <c r="F1371" s="19" t="s">
        <v>1306</v>
      </c>
      <c r="G1371" s="19" t="s">
        <v>1008</v>
      </c>
      <c r="H1371" s="19" t="s">
        <v>1001</v>
      </c>
      <c r="I1371" s="19" t="s">
        <v>1575</v>
      </c>
      <c r="J1371" s="20">
        <v>32</v>
      </c>
      <c r="K1371" t="s">
        <v>654</v>
      </c>
      <c r="L1371" t="s">
        <v>707</v>
      </c>
      <c r="M1371" t="s">
        <v>629</v>
      </c>
      <c r="N1371" t="s">
        <v>635</v>
      </c>
      <c r="O1371" t="s">
        <v>708</v>
      </c>
    </row>
    <row r="1372" spans="1:15" x14ac:dyDescent="0.35">
      <c r="A1372" s="77">
        <v>3.1205479452054794</v>
      </c>
      <c r="B1372" s="19">
        <v>80725</v>
      </c>
      <c r="C1372" s="19" t="s">
        <v>3690</v>
      </c>
      <c r="D1372" s="19" t="s">
        <v>385</v>
      </c>
      <c r="E1372" s="19" t="s">
        <v>386</v>
      </c>
      <c r="F1372" s="19" t="s">
        <v>1059</v>
      </c>
      <c r="G1372" s="19" t="s">
        <v>1046</v>
      </c>
      <c r="H1372" s="19" t="s">
        <v>1001</v>
      </c>
      <c r="I1372" s="19" t="s">
        <v>1575</v>
      </c>
      <c r="J1372" s="20">
        <v>33</v>
      </c>
      <c r="K1372" t="s">
        <v>631</v>
      </c>
      <c r="L1372" t="s">
        <v>663</v>
      </c>
      <c r="M1372" t="s">
        <v>629</v>
      </c>
      <c r="N1372" t="s">
        <v>646</v>
      </c>
      <c r="O1372" t="s">
        <v>810</v>
      </c>
    </row>
    <row r="1373" spans="1:15" x14ac:dyDescent="0.35">
      <c r="A1373" s="77">
        <v>0.24931506849315069</v>
      </c>
      <c r="B1373" s="19">
        <v>80761</v>
      </c>
      <c r="C1373" s="19" t="s">
        <v>3691</v>
      </c>
      <c r="D1373" s="19" t="s">
        <v>16</v>
      </c>
      <c r="E1373" s="19" t="s">
        <v>16</v>
      </c>
      <c r="F1373" s="19" t="s">
        <v>1211</v>
      </c>
      <c r="G1373" s="19" t="s">
        <v>1028</v>
      </c>
      <c r="H1373" s="19" t="s">
        <v>1020</v>
      </c>
      <c r="I1373" s="19" t="s">
        <v>1575</v>
      </c>
      <c r="J1373" s="20">
        <v>23</v>
      </c>
      <c r="K1373" t="s">
        <v>631</v>
      </c>
      <c r="L1373" t="s">
        <v>645</v>
      </c>
      <c r="M1373" t="s">
        <v>629</v>
      </c>
      <c r="N1373" t="s">
        <v>646</v>
      </c>
      <c r="O1373" t="s">
        <v>632</v>
      </c>
    </row>
    <row r="1374" spans="1:15" x14ac:dyDescent="0.35">
      <c r="A1374" s="77">
        <v>3.0794520547945203</v>
      </c>
      <c r="B1374" s="19">
        <v>80764</v>
      </c>
      <c r="C1374" s="19" t="s">
        <v>3692</v>
      </c>
      <c r="D1374" s="19" t="s">
        <v>62</v>
      </c>
      <c r="E1374" s="19" t="s">
        <v>63</v>
      </c>
      <c r="F1374" s="19" t="s">
        <v>1228</v>
      </c>
      <c r="G1374" s="19" t="s">
        <v>1084</v>
      </c>
      <c r="H1374" s="19" t="s">
        <v>1001</v>
      </c>
      <c r="I1374" s="19" t="s">
        <v>1575</v>
      </c>
      <c r="J1374" s="20">
        <v>37</v>
      </c>
      <c r="K1374" t="s">
        <v>636</v>
      </c>
      <c r="L1374" t="s">
        <v>645</v>
      </c>
      <c r="M1374" t="s">
        <v>629</v>
      </c>
      <c r="N1374" t="s">
        <v>646</v>
      </c>
      <c r="O1374" t="s">
        <v>632</v>
      </c>
    </row>
    <row r="1375" spans="1:15" x14ac:dyDescent="0.35">
      <c r="A1375" s="77">
        <v>0.9506849315068493</v>
      </c>
      <c r="B1375" s="19">
        <v>80902</v>
      </c>
      <c r="C1375" s="19" t="s">
        <v>3693</v>
      </c>
      <c r="D1375" s="19" t="s">
        <v>82</v>
      </c>
      <c r="E1375" s="19" t="s">
        <v>83</v>
      </c>
      <c r="F1375" s="19" t="s">
        <v>1103</v>
      </c>
      <c r="G1375" s="19" t="s">
        <v>1028</v>
      </c>
      <c r="H1375" s="19" t="s">
        <v>1020</v>
      </c>
      <c r="I1375" s="19" t="s">
        <v>1599</v>
      </c>
      <c r="J1375" s="20">
        <v>23</v>
      </c>
      <c r="K1375" t="s">
        <v>642</v>
      </c>
      <c r="L1375" t="s">
        <v>661</v>
      </c>
      <c r="M1375" t="s">
        <v>657</v>
      </c>
      <c r="N1375" t="s">
        <v>662</v>
      </c>
      <c r="O1375" t="s">
        <v>632</v>
      </c>
    </row>
    <row r="1376" spans="1:15" x14ac:dyDescent="0.35">
      <c r="A1376" s="77">
        <v>1.178082191780822</v>
      </c>
      <c r="B1376" s="19">
        <v>80911</v>
      </c>
      <c r="C1376" s="19" t="s">
        <v>3694</v>
      </c>
      <c r="D1376" s="19" t="s">
        <v>201</v>
      </c>
      <c r="E1376" s="19" t="s">
        <v>202</v>
      </c>
      <c r="F1376" s="19" t="s">
        <v>1061</v>
      </c>
      <c r="G1376" s="19" t="s">
        <v>1008</v>
      </c>
      <c r="H1376" s="19" t="s">
        <v>1001</v>
      </c>
      <c r="I1376" s="19" t="s">
        <v>1575</v>
      </c>
      <c r="J1376" s="20">
        <v>29</v>
      </c>
      <c r="K1376" t="s">
        <v>631</v>
      </c>
      <c r="L1376" t="s">
        <v>628</v>
      </c>
      <c r="M1376" t="s">
        <v>629</v>
      </c>
      <c r="N1376" t="s">
        <v>630</v>
      </c>
      <c r="O1376" t="s">
        <v>784</v>
      </c>
    </row>
    <row r="1377" spans="1:15" x14ac:dyDescent="0.35">
      <c r="A1377" s="77">
        <v>2.5643835616438357</v>
      </c>
      <c r="B1377" s="19">
        <v>80970</v>
      </c>
      <c r="C1377" s="19" t="s">
        <v>3695</v>
      </c>
      <c r="D1377" s="19" t="s">
        <v>241</v>
      </c>
      <c r="E1377" s="19" t="s">
        <v>242</v>
      </c>
      <c r="F1377" s="19" t="s">
        <v>1030</v>
      </c>
      <c r="G1377" s="19" t="s">
        <v>1028</v>
      </c>
      <c r="H1377" s="19" t="s">
        <v>1020</v>
      </c>
      <c r="I1377" s="19" t="s">
        <v>1575</v>
      </c>
      <c r="J1377" s="20">
        <v>52</v>
      </c>
      <c r="K1377" t="s">
        <v>668</v>
      </c>
      <c r="L1377" t="s">
        <v>622</v>
      </c>
      <c r="M1377" t="s">
        <v>623</v>
      </c>
      <c r="N1377" t="s">
        <v>624</v>
      </c>
      <c r="O1377" t="s">
        <v>800</v>
      </c>
    </row>
    <row r="1378" spans="1:15" x14ac:dyDescent="0.35">
      <c r="A1378" s="77">
        <v>3.0136986301369864</v>
      </c>
      <c r="B1378" s="19">
        <v>80975</v>
      </c>
      <c r="C1378" s="19" t="s">
        <v>3696</v>
      </c>
      <c r="D1378" s="19" t="s">
        <v>247</v>
      </c>
      <c r="E1378" s="19" t="s">
        <v>248</v>
      </c>
      <c r="F1378" s="19" t="s">
        <v>1726</v>
      </c>
      <c r="G1378" s="19" t="s">
        <v>1019</v>
      </c>
      <c r="H1378" s="19" t="s">
        <v>1020</v>
      </c>
      <c r="I1378" s="19" t="s">
        <v>1575</v>
      </c>
      <c r="J1378" s="20">
        <v>37</v>
      </c>
      <c r="K1378" t="s">
        <v>668</v>
      </c>
      <c r="L1378" t="s">
        <v>634</v>
      </c>
      <c r="M1378" t="s">
        <v>629</v>
      </c>
      <c r="N1378" t="s">
        <v>635</v>
      </c>
      <c r="O1378" t="s">
        <v>637</v>
      </c>
    </row>
    <row r="1379" spans="1:15" x14ac:dyDescent="0.35">
      <c r="A1379" s="77">
        <v>3.1232876712328768</v>
      </c>
      <c r="B1379" s="19">
        <v>80989</v>
      </c>
      <c r="C1379" s="19" t="s">
        <v>3697</v>
      </c>
      <c r="D1379" s="19" t="s">
        <v>260</v>
      </c>
      <c r="E1379" s="19" t="s">
        <v>261</v>
      </c>
      <c r="F1379" s="19" t="s">
        <v>1109</v>
      </c>
      <c r="G1379" s="19" t="s">
        <v>1084</v>
      </c>
      <c r="H1379" s="19" t="s">
        <v>1020</v>
      </c>
      <c r="I1379" s="19" t="s">
        <v>1575</v>
      </c>
      <c r="J1379" s="20">
        <v>47</v>
      </c>
      <c r="K1379" t="s">
        <v>636</v>
      </c>
      <c r="L1379" t="s">
        <v>656</v>
      </c>
      <c r="M1379" t="s">
        <v>657</v>
      </c>
      <c r="N1379" t="s">
        <v>658</v>
      </c>
      <c r="O1379" t="s">
        <v>808</v>
      </c>
    </row>
    <row r="1380" spans="1:15" x14ac:dyDescent="0.35">
      <c r="A1380" s="77">
        <v>2.1917808219178082E-2</v>
      </c>
      <c r="B1380" s="19">
        <v>81047</v>
      </c>
      <c r="C1380" s="19" t="s">
        <v>3698</v>
      </c>
      <c r="D1380" s="19" t="s">
        <v>155</v>
      </c>
      <c r="E1380" s="19" t="s">
        <v>156</v>
      </c>
      <c r="F1380" s="19" t="s">
        <v>896</v>
      </c>
      <c r="G1380" s="19" t="s">
        <v>1008</v>
      </c>
      <c r="H1380" s="19" t="s">
        <v>1001</v>
      </c>
      <c r="I1380" s="19" t="s">
        <v>1575</v>
      </c>
      <c r="J1380" s="20">
        <v>21</v>
      </c>
      <c r="K1380" t="s">
        <v>636</v>
      </c>
      <c r="L1380" t="s">
        <v>663</v>
      </c>
      <c r="M1380" t="s">
        <v>629</v>
      </c>
      <c r="N1380" t="s">
        <v>646</v>
      </c>
      <c r="O1380" t="s">
        <v>639</v>
      </c>
    </row>
    <row r="1381" spans="1:15" x14ac:dyDescent="0.35">
      <c r="A1381" s="77">
        <v>6.3013698630136991E-2</v>
      </c>
      <c r="B1381" s="19">
        <v>81056</v>
      </c>
      <c r="C1381" s="19" t="s">
        <v>3699</v>
      </c>
      <c r="D1381" s="19" t="s">
        <v>333</v>
      </c>
      <c r="E1381" s="19" t="s">
        <v>334</v>
      </c>
      <c r="F1381" s="19" t="s">
        <v>1333</v>
      </c>
      <c r="G1381" s="19" t="s">
        <v>1028</v>
      </c>
      <c r="H1381" s="19" t="s">
        <v>1020</v>
      </c>
      <c r="I1381" s="19" t="s">
        <v>1575</v>
      </c>
      <c r="J1381" s="20">
        <v>23</v>
      </c>
      <c r="K1381" t="s">
        <v>636</v>
      </c>
      <c r="L1381" t="s">
        <v>666</v>
      </c>
      <c r="M1381" t="s">
        <v>629</v>
      </c>
      <c r="N1381" t="s">
        <v>630</v>
      </c>
      <c r="O1381" t="s">
        <v>652</v>
      </c>
    </row>
    <row r="1382" spans="1:15" x14ac:dyDescent="0.35">
      <c r="A1382" s="77">
        <v>0.18356164383561643</v>
      </c>
      <c r="B1382" s="19">
        <v>81057</v>
      </c>
      <c r="C1382" s="19" t="s">
        <v>3700</v>
      </c>
      <c r="D1382" s="19" t="s">
        <v>333</v>
      </c>
      <c r="E1382" s="19" t="s">
        <v>334</v>
      </c>
      <c r="F1382" s="19" t="s">
        <v>1333</v>
      </c>
      <c r="G1382" s="19" t="s">
        <v>1028</v>
      </c>
      <c r="H1382" s="19" t="s">
        <v>1020</v>
      </c>
      <c r="I1382" s="19" t="s">
        <v>1575</v>
      </c>
      <c r="J1382" s="20">
        <v>23</v>
      </c>
      <c r="K1382" t="s">
        <v>636</v>
      </c>
      <c r="L1382" t="s">
        <v>666</v>
      </c>
      <c r="M1382" t="s">
        <v>629</v>
      </c>
      <c r="N1382" t="s">
        <v>630</v>
      </c>
      <c r="O1382" t="s">
        <v>652</v>
      </c>
    </row>
    <row r="1383" spans="1:15" x14ac:dyDescent="0.35">
      <c r="A1383" s="77">
        <v>1.8465753424657534</v>
      </c>
      <c r="B1383" s="19">
        <v>81062</v>
      </c>
      <c r="C1383" s="19" t="s">
        <v>3701</v>
      </c>
      <c r="D1383" s="19" t="s">
        <v>335</v>
      </c>
      <c r="E1383" s="19" t="s">
        <v>336</v>
      </c>
      <c r="F1383" s="19" t="s">
        <v>841</v>
      </c>
      <c r="G1383" s="19" t="s">
        <v>1019</v>
      </c>
      <c r="H1383" s="19" t="s">
        <v>1020</v>
      </c>
      <c r="I1383" s="19" t="s">
        <v>1575</v>
      </c>
      <c r="J1383" s="20">
        <v>21</v>
      </c>
      <c r="K1383" t="s">
        <v>636</v>
      </c>
      <c r="L1383" t="s">
        <v>622</v>
      </c>
      <c r="M1383" t="s">
        <v>623</v>
      </c>
      <c r="N1383" t="s">
        <v>624</v>
      </c>
      <c r="O1383" t="s">
        <v>649</v>
      </c>
    </row>
    <row r="1384" spans="1:15" x14ac:dyDescent="0.35">
      <c r="A1384" s="77">
        <v>0.42465753424657532</v>
      </c>
      <c r="B1384" s="19">
        <v>81098</v>
      </c>
      <c r="C1384" s="19" t="s">
        <v>3702</v>
      </c>
      <c r="D1384" s="19" t="s">
        <v>373</v>
      </c>
      <c r="E1384" s="19" t="s">
        <v>374</v>
      </c>
      <c r="F1384" s="19" t="s">
        <v>1033</v>
      </c>
      <c r="G1384" s="19" t="s">
        <v>1028</v>
      </c>
      <c r="H1384" s="19" t="s">
        <v>1020</v>
      </c>
      <c r="I1384" s="19" t="s">
        <v>1575</v>
      </c>
      <c r="J1384" s="20">
        <v>21</v>
      </c>
      <c r="K1384" t="s">
        <v>654</v>
      </c>
      <c r="L1384" t="s">
        <v>634</v>
      </c>
      <c r="M1384" t="s">
        <v>629</v>
      </c>
      <c r="N1384" t="s">
        <v>635</v>
      </c>
      <c r="O1384" t="s">
        <v>637</v>
      </c>
    </row>
    <row r="1385" spans="1:15" x14ac:dyDescent="0.35">
      <c r="A1385" s="77">
        <v>3.0986301369863014</v>
      </c>
      <c r="B1385" s="19">
        <v>81155</v>
      </c>
      <c r="C1385" s="19" t="s">
        <v>3703</v>
      </c>
      <c r="D1385" s="19" t="s">
        <v>120</v>
      </c>
      <c r="E1385" s="19" t="s">
        <v>121</v>
      </c>
      <c r="F1385" s="19" t="s">
        <v>1236</v>
      </c>
      <c r="G1385" s="19" t="s">
        <v>1028</v>
      </c>
      <c r="H1385" s="19" t="s">
        <v>1020</v>
      </c>
      <c r="I1385" s="19" t="s">
        <v>1575</v>
      </c>
      <c r="J1385" s="20">
        <v>32</v>
      </c>
      <c r="K1385" t="s">
        <v>636</v>
      </c>
      <c r="L1385" t="s">
        <v>673</v>
      </c>
      <c r="M1385" t="s">
        <v>623</v>
      </c>
      <c r="N1385" t="s">
        <v>641</v>
      </c>
      <c r="O1385" t="s">
        <v>748</v>
      </c>
    </row>
    <row r="1386" spans="1:15" x14ac:dyDescent="0.35">
      <c r="A1386" s="77">
        <v>3.0849315068493151</v>
      </c>
      <c r="B1386" s="19">
        <v>81179</v>
      </c>
      <c r="C1386" s="19" t="s">
        <v>3704</v>
      </c>
      <c r="D1386" s="19" t="s">
        <v>429</v>
      </c>
      <c r="E1386" s="19" t="s">
        <v>429</v>
      </c>
      <c r="F1386" s="19" t="s">
        <v>1240</v>
      </c>
      <c r="G1386" s="19" t="s">
        <v>1008</v>
      </c>
      <c r="H1386" s="19" t="s">
        <v>1001</v>
      </c>
      <c r="I1386" s="19" t="s">
        <v>1575</v>
      </c>
      <c r="J1386" s="20">
        <v>28</v>
      </c>
      <c r="K1386" t="s">
        <v>654</v>
      </c>
      <c r="L1386" t="s">
        <v>678</v>
      </c>
      <c r="M1386" t="s">
        <v>623</v>
      </c>
      <c r="N1386" t="s">
        <v>624</v>
      </c>
      <c r="O1386" t="s">
        <v>679</v>
      </c>
    </row>
    <row r="1387" spans="1:15" x14ac:dyDescent="0.35">
      <c r="A1387" s="77">
        <v>3.0767123287671234</v>
      </c>
      <c r="B1387" s="19">
        <v>81198</v>
      </c>
      <c r="C1387" s="19" t="s">
        <v>3705</v>
      </c>
      <c r="D1387" s="19" t="s">
        <v>295</v>
      </c>
      <c r="E1387" s="19" t="s">
        <v>296</v>
      </c>
      <c r="F1387" s="19" t="s">
        <v>1095</v>
      </c>
      <c r="G1387" s="19" t="s">
        <v>1008</v>
      </c>
      <c r="H1387" s="19" t="s">
        <v>1001</v>
      </c>
      <c r="I1387" s="19" t="s">
        <v>1575</v>
      </c>
      <c r="J1387" s="20">
        <v>24</v>
      </c>
      <c r="K1387" t="s">
        <v>654</v>
      </c>
      <c r="L1387" t="s">
        <v>651</v>
      </c>
      <c r="M1387" t="s">
        <v>629</v>
      </c>
      <c r="N1387" t="s">
        <v>630</v>
      </c>
      <c r="O1387" t="s">
        <v>705</v>
      </c>
    </row>
    <row r="1388" spans="1:15" x14ac:dyDescent="0.35">
      <c r="A1388" s="77">
        <v>3.0767123287671234</v>
      </c>
      <c r="B1388" s="19">
        <v>81199</v>
      </c>
      <c r="C1388" s="19" t="s">
        <v>3706</v>
      </c>
      <c r="D1388" s="19" t="s">
        <v>181</v>
      </c>
      <c r="E1388" s="19" t="s">
        <v>182</v>
      </c>
      <c r="F1388" s="19" t="s">
        <v>1374</v>
      </c>
      <c r="G1388" s="19" t="s">
        <v>1084</v>
      </c>
      <c r="H1388" s="19" t="s">
        <v>1001</v>
      </c>
      <c r="I1388" s="19" t="s">
        <v>1599</v>
      </c>
      <c r="J1388" s="20">
        <v>27</v>
      </c>
      <c r="K1388" t="s">
        <v>625</v>
      </c>
      <c r="L1388" t="s">
        <v>678</v>
      </c>
      <c r="M1388" t="s">
        <v>623</v>
      </c>
      <c r="N1388" t="s">
        <v>624</v>
      </c>
      <c r="O1388" t="s">
        <v>679</v>
      </c>
    </row>
    <row r="1389" spans="1:15" x14ac:dyDescent="0.35">
      <c r="A1389" s="77">
        <v>3.0712328767123287</v>
      </c>
      <c r="B1389" s="19">
        <v>81283</v>
      </c>
      <c r="C1389" s="19" t="s">
        <v>3707</v>
      </c>
      <c r="D1389" s="19" t="s">
        <v>409</v>
      </c>
      <c r="E1389" s="19" t="s">
        <v>410</v>
      </c>
      <c r="F1389" s="19" t="s">
        <v>874</v>
      </c>
      <c r="G1389" s="19" t="s">
        <v>1046</v>
      </c>
      <c r="H1389" s="19" t="s">
        <v>1001</v>
      </c>
      <c r="I1389" s="19" t="s">
        <v>1575</v>
      </c>
      <c r="J1389" s="20">
        <v>24</v>
      </c>
      <c r="K1389" t="s">
        <v>631</v>
      </c>
      <c r="L1389" t="s">
        <v>666</v>
      </c>
      <c r="M1389" t="s">
        <v>629</v>
      </c>
      <c r="N1389" t="s">
        <v>635</v>
      </c>
      <c r="O1389" t="s">
        <v>637</v>
      </c>
    </row>
    <row r="1390" spans="1:15" x14ac:dyDescent="0.35">
      <c r="A1390" s="77">
        <v>3.0602739726027397</v>
      </c>
      <c r="B1390" s="19">
        <v>81336</v>
      </c>
      <c r="C1390" s="19" t="s">
        <v>3708</v>
      </c>
      <c r="D1390" s="19" t="s">
        <v>295</v>
      </c>
      <c r="E1390" s="19" t="s">
        <v>296</v>
      </c>
      <c r="F1390" s="19" t="s">
        <v>1095</v>
      </c>
      <c r="G1390" s="19" t="s">
        <v>3508</v>
      </c>
      <c r="H1390" s="19" t="s">
        <v>1020</v>
      </c>
      <c r="I1390" s="19" t="s">
        <v>1599</v>
      </c>
      <c r="J1390" s="20">
        <v>19</v>
      </c>
      <c r="K1390" t="s">
        <v>654</v>
      </c>
      <c r="L1390" t="s">
        <v>651</v>
      </c>
      <c r="M1390" t="s">
        <v>629</v>
      </c>
      <c r="N1390" t="s">
        <v>630</v>
      </c>
      <c r="O1390" t="s">
        <v>705</v>
      </c>
    </row>
    <row r="1391" spans="1:15" x14ac:dyDescent="0.35">
      <c r="A1391" s="77">
        <v>3.0547945205479454</v>
      </c>
      <c r="B1391" s="19">
        <v>81356</v>
      </c>
      <c r="C1391" s="19" t="s">
        <v>3709</v>
      </c>
      <c r="D1391" s="19" t="s">
        <v>64</v>
      </c>
      <c r="E1391" s="19" t="s">
        <v>65</v>
      </c>
      <c r="F1391" s="19" t="s">
        <v>1197</v>
      </c>
      <c r="G1391" s="19" t="s">
        <v>1008</v>
      </c>
      <c r="H1391" s="19" t="s">
        <v>1001</v>
      </c>
      <c r="I1391" s="19" t="s">
        <v>1575</v>
      </c>
      <c r="J1391" s="20">
        <v>48</v>
      </c>
      <c r="K1391" t="s">
        <v>654</v>
      </c>
      <c r="L1391" t="s">
        <v>651</v>
      </c>
      <c r="M1391" t="s">
        <v>629</v>
      </c>
      <c r="N1391" t="s">
        <v>630</v>
      </c>
      <c r="O1391" t="s">
        <v>705</v>
      </c>
    </row>
    <row r="1392" spans="1:15" x14ac:dyDescent="0.35">
      <c r="A1392" s="77">
        <v>3.0520547945205481</v>
      </c>
      <c r="B1392" s="19">
        <v>81378</v>
      </c>
      <c r="C1392" s="19" t="s">
        <v>3710</v>
      </c>
      <c r="D1392" s="19" t="s">
        <v>76</v>
      </c>
      <c r="E1392" s="19" t="s">
        <v>77</v>
      </c>
      <c r="F1392" s="19" t="s">
        <v>899</v>
      </c>
      <c r="G1392" s="19" t="s">
        <v>1084</v>
      </c>
      <c r="H1392" s="19" t="s">
        <v>1001</v>
      </c>
      <c r="I1392" s="19" t="s">
        <v>1575</v>
      </c>
      <c r="J1392" s="20">
        <v>29</v>
      </c>
      <c r="K1392" t="s">
        <v>636</v>
      </c>
      <c r="L1392" t="s">
        <v>645</v>
      </c>
      <c r="M1392" t="s">
        <v>629</v>
      </c>
      <c r="N1392" t="s">
        <v>646</v>
      </c>
      <c r="O1392" t="s">
        <v>632</v>
      </c>
    </row>
    <row r="1393" spans="1:15" x14ac:dyDescent="0.35">
      <c r="A1393" s="77">
        <v>3.0520547945205481</v>
      </c>
      <c r="B1393" s="19">
        <v>81389</v>
      </c>
      <c r="C1393" s="19" t="s">
        <v>3711</v>
      </c>
      <c r="D1393" s="19" t="s">
        <v>429</v>
      </c>
      <c r="E1393" s="19" t="s">
        <v>429</v>
      </c>
      <c r="F1393" s="19" t="s">
        <v>1240</v>
      </c>
      <c r="G1393" s="19" t="s">
        <v>1034</v>
      </c>
      <c r="H1393" s="19" t="s">
        <v>1001</v>
      </c>
      <c r="I1393" s="19" t="s">
        <v>1575</v>
      </c>
      <c r="J1393" s="20">
        <v>34</v>
      </c>
      <c r="K1393" t="s">
        <v>654</v>
      </c>
      <c r="L1393" t="s">
        <v>678</v>
      </c>
      <c r="M1393" t="s">
        <v>623</v>
      </c>
      <c r="N1393" t="s">
        <v>624</v>
      </c>
      <c r="O1393" t="s">
        <v>679</v>
      </c>
    </row>
    <row r="1394" spans="1:15" x14ac:dyDescent="0.35">
      <c r="A1394" s="77">
        <v>3.0547945205479454</v>
      </c>
      <c r="B1394" s="19">
        <v>81390</v>
      </c>
      <c r="C1394" s="19" t="s">
        <v>3712</v>
      </c>
      <c r="D1394" s="19" t="s">
        <v>405</v>
      </c>
      <c r="E1394" s="19" t="s">
        <v>406</v>
      </c>
      <c r="F1394" s="19" t="s">
        <v>594</v>
      </c>
      <c r="G1394" s="19" t="s">
        <v>1008</v>
      </c>
      <c r="H1394" s="19" t="s">
        <v>1001</v>
      </c>
      <c r="I1394" s="19" t="s">
        <v>1575</v>
      </c>
      <c r="J1394" s="20">
        <v>23</v>
      </c>
      <c r="K1394" t="s">
        <v>654</v>
      </c>
      <c r="L1394" t="s">
        <v>684</v>
      </c>
      <c r="M1394" t="s">
        <v>623</v>
      </c>
      <c r="N1394" t="s">
        <v>662</v>
      </c>
      <c r="O1394" t="s">
        <v>872</v>
      </c>
    </row>
    <row r="1395" spans="1:15" x14ac:dyDescent="0.35">
      <c r="A1395" s="77">
        <v>1.2876712328767124</v>
      </c>
      <c r="B1395" s="19">
        <v>81455</v>
      </c>
      <c r="C1395" s="19" t="s">
        <v>3713</v>
      </c>
      <c r="D1395" s="19" t="s">
        <v>23</v>
      </c>
      <c r="E1395" s="19" t="s">
        <v>23</v>
      </c>
      <c r="F1395" s="19" t="s">
        <v>660</v>
      </c>
      <c r="G1395" s="19" t="s">
        <v>1028</v>
      </c>
      <c r="H1395" s="19" t="s">
        <v>1020</v>
      </c>
      <c r="I1395" s="19" t="s">
        <v>1575</v>
      </c>
      <c r="J1395" s="20">
        <v>23</v>
      </c>
      <c r="K1395" t="s">
        <v>631</v>
      </c>
      <c r="L1395" t="s">
        <v>661</v>
      </c>
      <c r="M1395" t="s">
        <v>657</v>
      </c>
      <c r="N1395" t="s">
        <v>662</v>
      </c>
      <c r="O1395" t="s">
        <v>632</v>
      </c>
    </row>
    <row r="1396" spans="1:15" x14ac:dyDescent="0.35">
      <c r="A1396" s="77">
        <v>3.0410958904109591</v>
      </c>
      <c r="B1396" s="19">
        <v>81459</v>
      </c>
      <c r="C1396" s="19" t="s">
        <v>3714</v>
      </c>
      <c r="D1396" s="19" t="s">
        <v>284</v>
      </c>
      <c r="E1396" s="19" t="s">
        <v>285</v>
      </c>
      <c r="F1396" s="19" t="s">
        <v>1150</v>
      </c>
      <c r="G1396" s="19" t="s">
        <v>1034</v>
      </c>
      <c r="H1396" s="19" t="s">
        <v>1001</v>
      </c>
      <c r="I1396" s="19" t="s">
        <v>1575</v>
      </c>
      <c r="J1396" s="20">
        <v>25</v>
      </c>
      <c r="K1396" t="s">
        <v>625</v>
      </c>
      <c r="L1396" t="s">
        <v>661</v>
      </c>
      <c r="M1396" t="s">
        <v>657</v>
      </c>
      <c r="N1396" t="s">
        <v>662</v>
      </c>
      <c r="O1396" t="s">
        <v>632</v>
      </c>
    </row>
    <row r="1397" spans="1:15" x14ac:dyDescent="0.35">
      <c r="A1397" s="77">
        <v>0.32602739726027397</v>
      </c>
      <c r="B1397" s="19">
        <v>81509</v>
      </c>
      <c r="C1397" s="19" t="s">
        <v>3715</v>
      </c>
      <c r="D1397" s="19" t="s">
        <v>297</v>
      </c>
      <c r="E1397" s="19" t="s">
        <v>298</v>
      </c>
      <c r="F1397" s="19" t="s">
        <v>904</v>
      </c>
      <c r="G1397" s="19" t="s">
        <v>1084</v>
      </c>
      <c r="H1397" s="19" t="s">
        <v>1001</v>
      </c>
      <c r="I1397" s="19" t="s">
        <v>1599</v>
      </c>
      <c r="J1397" s="20">
        <v>22</v>
      </c>
      <c r="K1397" t="s">
        <v>654</v>
      </c>
      <c r="L1397" t="s">
        <v>762</v>
      </c>
      <c r="M1397" t="s">
        <v>629</v>
      </c>
      <c r="N1397" t="s">
        <v>646</v>
      </c>
      <c r="O1397" t="s">
        <v>823</v>
      </c>
    </row>
    <row r="1398" spans="1:15" x14ac:dyDescent="0.35">
      <c r="A1398" s="77">
        <v>1.558904109589041</v>
      </c>
      <c r="B1398" s="19">
        <v>81533</v>
      </c>
      <c r="C1398" s="19" t="s">
        <v>3716</v>
      </c>
      <c r="D1398" s="19" t="s">
        <v>290</v>
      </c>
      <c r="E1398" s="19" t="s">
        <v>291</v>
      </c>
      <c r="F1398" s="19" t="s">
        <v>1182</v>
      </c>
      <c r="G1398" s="19" t="s">
        <v>1008</v>
      </c>
      <c r="H1398" s="19" t="s">
        <v>1001</v>
      </c>
      <c r="I1398" s="19" t="s">
        <v>1575</v>
      </c>
      <c r="J1398" s="20">
        <v>26</v>
      </c>
      <c r="K1398" t="s">
        <v>668</v>
      </c>
      <c r="L1398" t="s">
        <v>663</v>
      </c>
      <c r="M1398" t="s">
        <v>629</v>
      </c>
      <c r="N1398" t="s">
        <v>646</v>
      </c>
      <c r="O1398" t="s">
        <v>639</v>
      </c>
    </row>
    <row r="1399" spans="1:15" x14ac:dyDescent="0.35">
      <c r="A1399" s="77">
        <v>3.021917808219178</v>
      </c>
      <c r="B1399" s="19">
        <v>81542</v>
      </c>
      <c r="C1399" s="19" t="s">
        <v>3717</v>
      </c>
      <c r="D1399" s="19" t="s">
        <v>235</v>
      </c>
      <c r="E1399" s="19" t="s">
        <v>236</v>
      </c>
      <c r="F1399" s="19" t="s">
        <v>1457</v>
      </c>
      <c r="G1399" s="19" t="s">
        <v>1028</v>
      </c>
      <c r="H1399" s="19" t="s">
        <v>1020</v>
      </c>
      <c r="I1399" s="19" t="s">
        <v>1575</v>
      </c>
      <c r="J1399" s="20">
        <v>45</v>
      </c>
      <c r="K1399" t="s">
        <v>654</v>
      </c>
      <c r="L1399" t="s">
        <v>707</v>
      </c>
      <c r="M1399" t="s">
        <v>629</v>
      </c>
      <c r="N1399" t="s">
        <v>635</v>
      </c>
      <c r="O1399" t="s">
        <v>710</v>
      </c>
    </row>
    <row r="1400" spans="1:15" x14ac:dyDescent="0.35">
      <c r="A1400" s="77">
        <v>3.021917808219178</v>
      </c>
      <c r="B1400" s="19">
        <v>81553</v>
      </c>
      <c r="C1400" s="19" t="s">
        <v>3718</v>
      </c>
      <c r="D1400" s="19" t="s">
        <v>237</v>
      </c>
      <c r="E1400" s="19" t="s">
        <v>238</v>
      </c>
      <c r="F1400" s="19" t="s">
        <v>1070</v>
      </c>
      <c r="G1400" s="19" t="s">
        <v>3508</v>
      </c>
      <c r="H1400" s="19" t="s">
        <v>1020</v>
      </c>
      <c r="I1400" s="19" t="s">
        <v>1599</v>
      </c>
      <c r="J1400" s="20">
        <v>18</v>
      </c>
      <c r="K1400" t="s">
        <v>631</v>
      </c>
      <c r="L1400" t="s">
        <v>661</v>
      </c>
      <c r="M1400" t="s">
        <v>657</v>
      </c>
      <c r="N1400" t="s">
        <v>662</v>
      </c>
      <c r="O1400" t="s">
        <v>632</v>
      </c>
    </row>
    <row r="1401" spans="1:15" x14ac:dyDescent="0.35">
      <c r="A1401" s="77">
        <v>3.0164383561643837</v>
      </c>
      <c r="B1401" s="19">
        <v>81569</v>
      </c>
      <c r="C1401" s="19" t="s">
        <v>3719</v>
      </c>
      <c r="D1401" s="19" t="s">
        <v>369</v>
      </c>
      <c r="E1401" s="19" t="s">
        <v>370</v>
      </c>
      <c r="F1401" s="19" t="s">
        <v>856</v>
      </c>
      <c r="G1401" s="19" t="s">
        <v>1008</v>
      </c>
      <c r="H1401" s="19" t="s">
        <v>1001</v>
      </c>
      <c r="I1401" s="19" t="s">
        <v>1575</v>
      </c>
      <c r="J1401" s="20">
        <v>26</v>
      </c>
      <c r="K1401" t="s">
        <v>654</v>
      </c>
      <c r="L1401" t="s">
        <v>684</v>
      </c>
      <c r="M1401" t="s">
        <v>623</v>
      </c>
      <c r="N1401" t="s">
        <v>662</v>
      </c>
      <c r="O1401" t="s">
        <v>857</v>
      </c>
    </row>
    <row r="1402" spans="1:15" x14ac:dyDescent="0.35">
      <c r="A1402" s="77">
        <v>3.0410958904109591</v>
      </c>
      <c r="B1402" s="19">
        <v>81586</v>
      </c>
      <c r="C1402" s="19" t="s">
        <v>3720</v>
      </c>
      <c r="D1402" s="19" t="s">
        <v>27</v>
      </c>
      <c r="E1402" s="19" t="s">
        <v>27</v>
      </c>
      <c r="F1402" s="19" t="s">
        <v>1250</v>
      </c>
      <c r="G1402" s="19" t="s">
        <v>1045</v>
      </c>
      <c r="H1402" s="19" t="s">
        <v>1001</v>
      </c>
      <c r="I1402" s="19" t="s">
        <v>1575</v>
      </c>
      <c r="J1402" s="20">
        <v>23</v>
      </c>
      <c r="K1402" t="s">
        <v>668</v>
      </c>
      <c r="L1402" t="s">
        <v>645</v>
      </c>
      <c r="M1402" t="s">
        <v>629</v>
      </c>
      <c r="N1402" t="s">
        <v>646</v>
      </c>
      <c r="O1402" t="s">
        <v>632</v>
      </c>
    </row>
    <row r="1403" spans="1:15" x14ac:dyDescent="0.35">
      <c r="A1403" s="77">
        <v>3.0191780821917806</v>
      </c>
      <c r="B1403" s="19">
        <v>81607</v>
      </c>
      <c r="C1403" s="19" t="s">
        <v>3721</v>
      </c>
      <c r="D1403" s="19" t="s">
        <v>173</v>
      </c>
      <c r="E1403" s="19" t="s">
        <v>174</v>
      </c>
      <c r="F1403" s="19" t="s">
        <v>901</v>
      </c>
      <c r="G1403" s="19" t="s">
        <v>1057</v>
      </c>
      <c r="H1403" s="19" t="s">
        <v>1001</v>
      </c>
      <c r="I1403" s="19" t="s">
        <v>1575</v>
      </c>
      <c r="J1403" s="20">
        <v>21</v>
      </c>
      <c r="K1403" t="s">
        <v>668</v>
      </c>
      <c r="L1403" t="s">
        <v>656</v>
      </c>
      <c r="M1403" t="s">
        <v>657</v>
      </c>
      <c r="N1403" t="s">
        <v>658</v>
      </c>
      <c r="O1403" t="s">
        <v>632</v>
      </c>
    </row>
    <row r="1404" spans="1:15" x14ac:dyDescent="0.35">
      <c r="A1404" s="77">
        <v>3.043835616438356</v>
      </c>
      <c r="B1404" s="19">
        <v>81612</v>
      </c>
      <c r="C1404" s="19" t="s">
        <v>3722</v>
      </c>
      <c r="D1404" s="19" t="s">
        <v>315</v>
      </c>
      <c r="E1404" s="19" t="s">
        <v>316</v>
      </c>
      <c r="F1404" s="19" t="s">
        <v>1322</v>
      </c>
      <c r="G1404" s="19" t="s">
        <v>1028</v>
      </c>
      <c r="H1404" s="19" t="s">
        <v>1020</v>
      </c>
      <c r="I1404" s="19" t="s">
        <v>1575</v>
      </c>
      <c r="J1404" s="20">
        <v>26</v>
      </c>
      <c r="K1404" t="s">
        <v>654</v>
      </c>
      <c r="L1404" t="s">
        <v>684</v>
      </c>
      <c r="M1404" t="s">
        <v>623</v>
      </c>
      <c r="N1404" t="s">
        <v>662</v>
      </c>
      <c r="O1404" t="s">
        <v>831</v>
      </c>
    </row>
    <row r="1405" spans="1:15" x14ac:dyDescent="0.35">
      <c r="A1405" s="77">
        <v>0.55068493150684927</v>
      </c>
      <c r="B1405" s="19">
        <v>81633</v>
      </c>
      <c r="C1405" s="19" t="s">
        <v>3723</v>
      </c>
      <c r="D1405" s="19" t="s">
        <v>379</v>
      </c>
      <c r="E1405" s="19" t="s">
        <v>380</v>
      </c>
      <c r="F1405" s="19" t="s">
        <v>381</v>
      </c>
      <c r="G1405" s="19" t="s">
        <v>1019</v>
      </c>
      <c r="H1405" s="19" t="s">
        <v>1020</v>
      </c>
      <c r="I1405" s="19" t="s">
        <v>1575</v>
      </c>
      <c r="J1405" s="20">
        <v>22</v>
      </c>
      <c r="K1405" t="s">
        <v>636</v>
      </c>
      <c r="L1405" t="s">
        <v>628</v>
      </c>
      <c r="M1405" t="s">
        <v>629</v>
      </c>
      <c r="N1405" t="s">
        <v>630</v>
      </c>
      <c r="O1405" t="s">
        <v>632</v>
      </c>
    </row>
    <row r="1406" spans="1:15" x14ac:dyDescent="0.35">
      <c r="A1406" s="77">
        <v>3</v>
      </c>
      <c r="B1406" s="19">
        <v>81653</v>
      </c>
      <c r="C1406" s="19" t="s">
        <v>3724</v>
      </c>
      <c r="D1406" s="19" t="s">
        <v>45</v>
      </c>
      <c r="E1406" s="19" t="s">
        <v>46</v>
      </c>
      <c r="F1406" s="19" t="s">
        <v>1122</v>
      </c>
      <c r="G1406" s="19" t="s">
        <v>1028</v>
      </c>
      <c r="H1406" s="19" t="s">
        <v>1020</v>
      </c>
      <c r="I1406" s="19" t="s">
        <v>1575</v>
      </c>
      <c r="J1406" s="20">
        <v>42</v>
      </c>
      <c r="K1406" t="s">
        <v>631</v>
      </c>
      <c r="L1406" t="s">
        <v>651</v>
      </c>
      <c r="M1406" t="s">
        <v>629</v>
      </c>
      <c r="N1406" t="s">
        <v>630</v>
      </c>
      <c r="O1406" t="s">
        <v>705</v>
      </c>
    </row>
    <row r="1407" spans="1:15" x14ac:dyDescent="0.35">
      <c r="A1407" s="77">
        <v>3</v>
      </c>
      <c r="B1407" s="19">
        <v>81669</v>
      </c>
      <c r="C1407" s="19" t="s">
        <v>3725</v>
      </c>
      <c r="D1407" s="19" t="s">
        <v>341</v>
      </c>
      <c r="E1407" s="19" t="s">
        <v>342</v>
      </c>
      <c r="F1407" s="19" t="s">
        <v>1264</v>
      </c>
      <c r="G1407" s="19" t="s">
        <v>1008</v>
      </c>
      <c r="H1407" s="19" t="s">
        <v>1001</v>
      </c>
      <c r="I1407" s="19" t="s">
        <v>1575</v>
      </c>
      <c r="J1407" s="20">
        <v>26</v>
      </c>
      <c r="K1407" t="s">
        <v>636</v>
      </c>
      <c r="L1407" t="s">
        <v>678</v>
      </c>
      <c r="M1407" t="s">
        <v>623</v>
      </c>
      <c r="N1407" t="s">
        <v>624</v>
      </c>
      <c r="O1407" t="s">
        <v>679</v>
      </c>
    </row>
    <row r="1408" spans="1:15" x14ac:dyDescent="0.35">
      <c r="A1408" s="77">
        <v>3</v>
      </c>
      <c r="B1408" s="19">
        <v>81680</v>
      </c>
      <c r="C1408" s="19" t="s">
        <v>3726</v>
      </c>
      <c r="D1408" s="19" t="s">
        <v>211</v>
      </c>
      <c r="E1408" s="19" t="s">
        <v>212</v>
      </c>
      <c r="F1408" s="19" t="s">
        <v>1049</v>
      </c>
      <c r="G1408" s="19" t="s">
        <v>1028</v>
      </c>
      <c r="H1408" s="19" t="s">
        <v>1020</v>
      </c>
      <c r="I1408" s="19" t="s">
        <v>1575</v>
      </c>
      <c r="J1408" s="20">
        <v>22</v>
      </c>
      <c r="K1408" t="s">
        <v>654</v>
      </c>
      <c r="L1408" t="s">
        <v>691</v>
      </c>
      <c r="M1408" t="s">
        <v>657</v>
      </c>
      <c r="N1408" t="s">
        <v>658</v>
      </c>
      <c r="O1408" t="s">
        <v>632</v>
      </c>
    </row>
    <row r="1409" spans="1:15" x14ac:dyDescent="0.35">
      <c r="A1409" s="77">
        <v>2.1917808219178082E-2</v>
      </c>
      <c r="B1409" s="19">
        <v>81687</v>
      </c>
      <c r="C1409" s="19" t="s">
        <v>3727</v>
      </c>
      <c r="D1409" s="19" t="s">
        <v>193</v>
      </c>
      <c r="E1409" s="19" t="s">
        <v>194</v>
      </c>
      <c r="F1409" s="19" t="s">
        <v>2422</v>
      </c>
      <c r="G1409" s="19" t="s">
        <v>1008</v>
      </c>
      <c r="H1409" s="19" t="s">
        <v>1001</v>
      </c>
      <c r="I1409" s="19" t="s">
        <v>1599</v>
      </c>
      <c r="J1409" s="20">
        <v>21</v>
      </c>
      <c r="K1409" t="s">
        <v>654</v>
      </c>
      <c r="L1409" t="s">
        <v>670</v>
      </c>
      <c r="M1409" t="s">
        <v>657</v>
      </c>
      <c r="N1409" t="s">
        <v>641</v>
      </c>
      <c r="O1409" t="s">
        <v>676</v>
      </c>
    </row>
    <row r="1410" spans="1:15" x14ac:dyDescent="0.35">
      <c r="A1410" s="77">
        <v>3</v>
      </c>
      <c r="B1410" s="19">
        <v>81696</v>
      </c>
      <c r="C1410" s="19" t="s">
        <v>3728</v>
      </c>
      <c r="D1410" s="19" t="s">
        <v>349</v>
      </c>
      <c r="E1410" s="19" t="s">
        <v>350</v>
      </c>
      <c r="F1410" s="19" t="s">
        <v>912</v>
      </c>
      <c r="G1410" s="19" t="s">
        <v>1028</v>
      </c>
      <c r="H1410" s="19" t="s">
        <v>1020</v>
      </c>
      <c r="I1410" s="19" t="s">
        <v>1575</v>
      </c>
      <c r="J1410" s="20">
        <v>22</v>
      </c>
      <c r="K1410" t="s">
        <v>625</v>
      </c>
      <c r="L1410" t="s">
        <v>648</v>
      </c>
      <c r="M1410" t="s">
        <v>623</v>
      </c>
      <c r="N1410" t="s">
        <v>624</v>
      </c>
      <c r="O1410" t="s">
        <v>649</v>
      </c>
    </row>
    <row r="1411" spans="1:15" x14ac:dyDescent="0.35">
      <c r="A1411" s="77">
        <v>2.9945205479452053</v>
      </c>
      <c r="B1411" s="19">
        <v>81706</v>
      </c>
      <c r="C1411" s="19" t="s">
        <v>3729</v>
      </c>
      <c r="D1411" s="19" t="s">
        <v>53</v>
      </c>
      <c r="E1411" s="19" t="s">
        <v>54</v>
      </c>
      <c r="F1411" s="19" t="s">
        <v>1308</v>
      </c>
      <c r="G1411" s="19" t="s">
        <v>1084</v>
      </c>
      <c r="H1411" s="19" t="s">
        <v>1020</v>
      </c>
      <c r="I1411" s="19" t="s">
        <v>1599</v>
      </c>
      <c r="J1411" s="20">
        <v>26</v>
      </c>
      <c r="K1411" t="s">
        <v>668</v>
      </c>
      <c r="L1411" t="s">
        <v>691</v>
      </c>
      <c r="M1411" t="s">
        <v>657</v>
      </c>
      <c r="N1411" t="s">
        <v>658</v>
      </c>
      <c r="O1411" t="s">
        <v>632</v>
      </c>
    </row>
    <row r="1412" spans="1:15" x14ac:dyDescent="0.35">
      <c r="A1412" s="77">
        <v>2.9945205479452053</v>
      </c>
      <c r="B1412" s="19">
        <v>81712</v>
      </c>
      <c r="C1412" s="19" t="s">
        <v>3730</v>
      </c>
      <c r="D1412" s="19" t="s">
        <v>409</v>
      </c>
      <c r="E1412" s="19" t="s">
        <v>410</v>
      </c>
      <c r="F1412" s="19" t="s">
        <v>874</v>
      </c>
      <c r="G1412" s="19" t="s">
        <v>1019</v>
      </c>
      <c r="H1412" s="19" t="s">
        <v>1020</v>
      </c>
      <c r="I1412" s="19" t="s">
        <v>1575</v>
      </c>
      <c r="J1412" s="20">
        <v>22</v>
      </c>
      <c r="K1412" t="s">
        <v>631</v>
      </c>
      <c r="L1412" t="s">
        <v>666</v>
      </c>
      <c r="M1412" t="s">
        <v>629</v>
      </c>
      <c r="N1412" t="s">
        <v>635</v>
      </c>
      <c r="O1412" t="s">
        <v>637</v>
      </c>
    </row>
    <row r="1413" spans="1:15" x14ac:dyDescent="0.35">
      <c r="A1413" s="77">
        <v>1.1753424657534246</v>
      </c>
      <c r="B1413" s="19">
        <v>81771</v>
      </c>
      <c r="C1413" s="19" t="s">
        <v>3731</v>
      </c>
      <c r="D1413" s="19" t="s">
        <v>256</v>
      </c>
      <c r="E1413" s="19" t="s">
        <v>257</v>
      </c>
      <c r="F1413" s="19" t="s">
        <v>1005</v>
      </c>
      <c r="G1413" s="19" t="s">
        <v>1028</v>
      </c>
      <c r="H1413" s="19" t="s">
        <v>1020</v>
      </c>
      <c r="I1413" s="19" t="s">
        <v>1575</v>
      </c>
      <c r="J1413" s="20">
        <v>22</v>
      </c>
      <c r="K1413" t="s">
        <v>668</v>
      </c>
      <c r="L1413" t="s">
        <v>651</v>
      </c>
      <c r="M1413" t="s">
        <v>629</v>
      </c>
      <c r="N1413" t="s">
        <v>630</v>
      </c>
      <c r="O1413" t="s">
        <v>705</v>
      </c>
    </row>
    <row r="1414" spans="1:15" x14ac:dyDescent="0.35">
      <c r="A1414" s="77">
        <v>2.9835616438356163</v>
      </c>
      <c r="B1414" s="19">
        <v>81796</v>
      </c>
      <c r="C1414" s="19" t="s">
        <v>3732</v>
      </c>
      <c r="D1414" s="19" t="s">
        <v>206</v>
      </c>
      <c r="E1414" s="19" t="s">
        <v>207</v>
      </c>
      <c r="F1414" s="19" t="s">
        <v>2447</v>
      </c>
      <c r="G1414" s="19" t="s">
        <v>1028</v>
      </c>
      <c r="H1414" s="19" t="s">
        <v>1020</v>
      </c>
      <c r="I1414" s="19" t="s">
        <v>1575</v>
      </c>
      <c r="J1414" s="20">
        <v>42</v>
      </c>
      <c r="K1414" t="s">
        <v>668</v>
      </c>
      <c r="L1414" t="s">
        <v>666</v>
      </c>
      <c r="M1414" t="s">
        <v>629</v>
      </c>
      <c r="N1414" t="s">
        <v>630</v>
      </c>
      <c r="O1414" t="s">
        <v>652</v>
      </c>
    </row>
    <row r="1415" spans="1:15" x14ac:dyDescent="0.35">
      <c r="A1415" s="77">
        <v>2.1917808219178082E-2</v>
      </c>
      <c r="B1415" s="19">
        <v>81855</v>
      </c>
      <c r="C1415" s="19" t="s">
        <v>3733</v>
      </c>
      <c r="D1415" s="19" t="s">
        <v>201</v>
      </c>
      <c r="E1415" s="19" t="s">
        <v>202</v>
      </c>
      <c r="F1415" s="19" t="s">
        <v>1061</v>
      </c>
      <c r="G1415" s="19" t="s">
        <v>1008</v>
      </c>
      <c r="H1415" s="19" t="s">
        <v>1001</v>
      </c>
      <c r="I1415" s="19" t="s">
        <v>1575</v>
      </c>
      <c r="J1415" s="20">
        <v>26</v>
      </c>
      <c r="K1415" t="s">
        <v>631</v>
      </c>
      <c r="L1415" t="s">
        <v>628</v>
      </c>
      <c r="M1415" t="s">
        <v>629</v>
      </c>
      <c r="N1415" t="s">
        <v>630</v>
      </c>
      <c r="O1415" t="s">
        <v>784</v>
      </c>
    </row>
    <row r="1416" spans="1:15" x14ac:dyDescent="0.35">
      <c r="A1416" s="77">
        <v>2.9753424657534246</v>
      </c>
      <c r="B1416" s="19">
        <v>81886</v>
      </c>
      <c r="C1416" s="19" t="s">
        <v>3734</v>
      </c>
      <c r="D1416" s="19" t="s">
        <v>328</v>
      </c>
      <c r="E1416" s="19" t="s">
        <v>329</v>
      </c>
      <c r="F1416" s="19" t="s">
        <v>838</v>
      </c>
      <c r="G1416" s="19" t="s">
        <v>1028</v>
      </c>
      <c r="H1416" s="19" t="s">
        <v>1020</v>
      </c>
      <c r="I1416" s="19" t="s">
        <v>1575</v>
      </c>
      <c r="J1416" s="20">
        <v>27</v>
      </c>
      <c r="K1416" t="s">
        <v>631</v>
      </c>
      <c r="L1416" t="s">
        <v>645</v>
      </c>
      <c r="M1416" t="s">
        <v>629</v>
      </c>
      <c r="N1416" t="s">
        <v>646</v>
      </c>
      <c r="O1416" t="s">
        <v>632</v>
      </c>
    </row>
    <row r="1417" spans="1:15" x14ac:dyDescent="0.35">
      <c r="A1417" s="77">
        <v>1.6438356164383561</v>
      </c>
      <c r="B1417" s="19">
        <v>81895</v>
      </c>
      <c r="C1417" s="19" t="s">
        <v>3735</v>
      </c>
      <c r="D1417" s="19" t="s">
        <v>339</v>
      </c>
      <c r="E1417" s="19" t="s">
        <v>340</v>
      </c>
      <c r="F1417" s="19" t="s">
        <v>1024</v>
      </c>
      <c r="G1417" s="19" t="s">
        <v>1057</v>
      </c>
      <c r="H1417" s="19" t="s">
        <v>1001</v>
      </c>
      <c r="I1417" s="19" t="s">
        <v>1599</v>
      </c>
      <c r="J1417" s="20">
        <v>23</v>
      </c>
      <c r="K1417" t="s">
        <v>631</v>
      </c>
      <c r="L1417" t="s">
        <v>651</v>
      </c>
      <c r="M1417" t="s">
        <v>629</v>
      </c>
      <c r="N1417" t="s">
        <v>630</v>
      </c>
      <c r="O1417" t="s">
        <v>705</v>
      </c>
    </row>
    <row r="1418" spans="1:15" x14ac:dyDescent="0.35">
      <c r="A1418" s="77">
        <v>2.967123287671233</v>
      </c>
      <c r="B1418" s="19">
        <v>81901</v>
      </c>
      <c r="C1418" s="19" t="s">
        <v>3736</v>
      </c>
      <c r="D1418" s="19" t="s">
        <v>128</v>
      </c>
      <c r="E1418" s="19" t="s">
        <v>129</v>
      </c>
      <c r="F1418" s="19" t="s">
        <v>1075</v>
      </c>
      <c r="G1418" s="19" t="s">
        <v>1057</v>
      </c>
      <c r="H1418" s="19" t="s">
        <v>1001</v>
      </c>
      <c r="I1418" s="19" t="s">
        <v>1575</v>
      </c>
      <c r="J1418" s="20">
        <v>44</v>
      </c>
      <c r="K1418" t="s">
        <v>636</v>
      </c>
      <c r="L1418" t="s">
        <v>678</v>
      </c>
      <c r="M1418" t="s">
        <v>623</v>
      </c>
      <c r="N1418" t="s">
        <v>624</v>
      </c>
      <c r="O1418" t="s">
        <v>679</v>
      </c>
    </row>
    <row r="1419" spans="1:15" x14ac:dyDescent="0.35">
      <c r="A1419" s="77">
        <v>2.967123287671233</v>
      </c>
      <c r="B1419" s="19">
        <v>81910</v>
      </c>
      <c r="C1419" s="19" t="s">
        <v>3737</v>
      </c>
      <c r="D1419" s="19" t="s">
        <v>247</v>
      </c>
      <c r="E1419" s="19" t="s">
        <v>248</v>
      </c>
      <c r="F1419" s="19" t="s">
        <v>1726</v>
      </c>
      <c r="G1419" s="19" t="s">
        <v>1028</v>
      </c>
      <c r="H1419" s="19" t="s">
        <v>1020</v>
      </c>
      <c r="I1419" s="19" t="s">
        <v>1575</v>
      </c>
      <c r="J1419" s="20">
        <v>41</v>
      </c>
      <c r="K1419" t="s">
        <v>668</v>
      </c>
      <c r="L1419" t="s">
        <v>634</v>
      </c>
      <c r="M1419" t="s">
        <v>629</v>
      </c>
      <c r="N1419" t="s">
        <v>635</v>
      </c>
      <c r="O1419" t="s">
        <v>637</v>
      </c>
    </row>
    <row r="1420" spans="1:15" x14ac:dyDescent="0.35">
      <c r="A1420" s="77">
        <v>2.9643835616438357</v>
      </c>
      <c r="B1420" s="19">
        <v>81920</v>
      </c>
      <c r="C1420" s="19" t="s">
        <v>3738</v>
      </c>
      <c r="D1420" s="19" t="s">
        <v>118</v>
      </c>
      <c r="E1420" s="19" t="s">
        <v>119</v>
      </c>
      <c r="F1420" s="19" t="s">
        <v>1360</v>
      </c>
      <c r="G1420" s="19" t="s">
        <v>1084</v>
      </c>
      <c r="H1420" s="19" t="s">
        <v>1020</v>
      </c>
      <c r="I1420" s="19" t="s">
        <v>1599</v>
      </c>
      <c r="J1420" s="20">
        <v>22</v>
      </c>
      <c r="K1420" t="s">
        <v>625</v>
      </c>
      <c r="L1420" t="s">
        <v>656</v>
      </c>
      <c r="M1420" t="s">
        <v>657</v>
      </c>
      <c r="N1420" t="s">
        <v>658</v>
      </c>
      <c r="O1420" t="s">
        <v>632</v>
      </c>
    </row>
    <row r="1421" spans="1:15" x14ac:dyDescent="0.35">
      <c r="A1421" s="77">
        <v>2.9753424657534246</v>
      </c>
      <c r="B1421" s="19">
        <v>81933</v>
      </c>
      <c r="C1421" s="19" t="s">
        <v>3739</v>
      </c>
      <c r="D1421" s="19" t="s">
        <v>201</v>
      </c>
      <c r="E1421" s="19" t="s">
        <v>202</v>
      </c>
      <c r="F1421" s="19" t="s">
        <v>1061</v>
      </c>
      <c r="G1421" s="19" t="s">
        <v>1034</v>
      </c>
      <c r="H1421" s="19" t="s">
        <v>1001</v>
      </c>
      <c r="I1421" s="19" t="s">
        <v>1575</v>
      </c>
      <c r="J1421" s="20">
        <v>25</v>
      </c>
      <c r="K1421" t="s">
        <v>631</v>
      </c>
      <c r="L1421" t="s">
        <v>628</v>
      </c>
      <c r="M1421" t="s">
        <v>629</v>
      </c>
      <c r="N1421" t="s">
        <v>630</v>
      </c>
      <c r="O1421" t="s">
        <v>784</v>
      </c>
    </row>
    <row r="1422" spans="1:15" x14ac:dyDescent="0.35">
      <c r="A1422" s="77">
        <v>2.9643835616438357</v>
      </c>
      <c r="B1422" s="19">
        <v>81953</v>
      </c>
      <c r="C1422" s="19" t="s">
        <v>3740</v>
      </c>
      <c r="D1422" s="19" t="s">
        <v>324</v>
      </c>
      <c r="E1422" s="19" t="s">
        <v>325</v>
      </c>
      <c r="F1422" s="19" t="s">
        <v>1284</v>
      </c>
      <c r="G1422" s="19" t="s">
        <v>1046</v>
      </c>
      <c r="H1422" s="19" t="s">
        <v>1001</v>
      </c>
      <c r="I1422" s="19" t="s">
        <v>1599</v>
      </c>
      <c r="J1422" s="20">
        <v>25</v>
      </c>
      <c r="K1422" t="s">
        <v>631</v>
      </c>
      <c r="L1422" t="s">
        <v>663</v>
      </c>
      <c r="M1422" t="s">
        <v>629</v>
      </c>
      <c r="N1422" t="s">
        <v>646</v>
      </c>
      <c r="O1422" t="s">
        <v>639</v>
      </c>
    </row>
    <row r="1423" spans="1:15" x14ac:dyDescent="0.35">
      <c r="A1423" s="77">
        <v>2.9616438356164383</v>
      </c>
      <c r="B1423" s="19">
        <v>81956</v>
      </c>
      <c r="C1423" s="19" t="s">
        <v>3741</v>
      </c>
      <c r="D1423" s="19" t="s">
        <v>64</v>
      </c>
      <c r="E1423" s="19" t="s">
        <v>65</v>
      </c>
      <c r="F1423" s="19" t="s">
        <v>1197</v>
      </c>
      <c r="G1423" s="19" t="s">
        <v>1046</v>
      </c>
      <c r="H1423" s="19" t="s">
        <v>1001</v>
      </c>
      <c r="I1423" s="19" t="s">
        <v>1575</v>
      </c>
      <c r="J1423" s="20">
        <v>22</v>
      </c>
      <c r="K1423" t="s">
        <v>654</v>
      </c>
      <c r="L1423" t="s">
        <v>651</v>
      </c>
      <c r="M1423" t="s">
        <v>629</v>
      </c>
      <c r="N1423" t="s">
        <v>630</v>
      </c>
      <c r="O1423" t="s">
        <v>705</v>
      </c>
    </row>
    <row r="1424" spans="1:15" x14ac:dyDescent="0.35">
      <c r="A1424" s="77">
        <v>2.9616438356164383</v>
      </c>
      <c r="B1424" s="19">
        <v>81958</v>
      </c>
      <c r="C1424" s="19" t="s">
        <v>3742</v>
      </c>
      <c r="D1424" s="19" t="s">
        <v>395</v>
      </c>
      <c r="E1424" s="19" t="s">
        <v>396</v>
      </c>
      <c r="F1424" s="19" t="s">
        <v>1147</v>
      </c>
      <c r="G1424" s="19" t="s">
        <v>1008</v>
      </c>
      <c r="H1424" s="19" t="s">
        <v>1001</v>
      </c>
      <c r="I1424" s="19" t="s">
        <v>1575</v>
      </c>
      <c r="J1424" s="20">
        <v>35</v>
      </c>
      <c r="K1424" t="s">
        <v>642</v>
      </c>
      <c r="L1424" t="s">
        <v>678</v>
      </c>
      <c r="M1424" t="s">
        <v>623</v>
      </c>
      <c r="N1424" t="s">
        <v>624</v>
      </c>
      <c r="O1424" t="s">
        <v>679</v>
      </c>
    </row>
    <row r="1425" spans="1:15" x14ac:dyDescent="0.35">
      <c r="A1425" s="77">
        <v>2.967123287671233</v>
      </c>
      <c r="B1425" s="19">
        <v>81965</v>
      </c>
      <c r="C1425" s="19" t="s">
        <v>3743</v>
      </c>
      <c r="D1425" s="19" t="s">
        <v>16</v>
      </c>
      <c r="E1425" s="19" t="s">
        <v>16</v>
      </c>
      <c r="F1425" s="19" t="s">
        <v>1211</v>
      </c>
      <c r="G1425" s="19" t="s">
        <v>1028</v>
      </c>
      <c r="H1425" s="19" t="s">
        <v>1020</v>
      </c>
      <c r="I1425" s="19" t="s">
        <v>1599</v>
      </c>
      <c r="J1425" s="20">
        <v>21</v>
      </c>
      <c r="K1425" t="s">
        <v>631</v>
      </c>
      <c r="L1425" t="s">
        <v>645</v>
      </c>
      <c r="M1425" t="s">
        <v>629</v>
      </c>
      <c r="N1425" t="s">
        <v>646</v>
      </c>
      <c r="O1425" t="s">
        <v>632</v>
      </c>
    </row>
    <row r="1426" spans="1:15" x14ac:dyDescent="0.35">
      <c r="A1426" s="77">
        <v>2.1917808219178082E-2</v>
      </c>
      <c r="B1426" s="19">
        <v>81981</v>
      </c>
      <c r="C1426" s="19" t="s">
        <v>3744</v>
      </c>
      <c r="D1426" s="19" t="s">
        <v>193</v>
      </c>
      <c r="E1426" s="19" t="s">
        <v>194</v>
      </c>
      <c r="F1426" s="19" t="s">
        <v>2422</v>
      </c>
      <c r="G1426" s="19" t="s">
        <v>1008</v>
      </c>
      <c r="H1426" s="19" t="s">
        <v>1001</v>
      </c>
      <c r="I1426" s="19" t="s">
        <v>1575</v>
      </c>
      <c r="J1426" s="20">
        <v>24</v>
      </c>
      <c r="K1426" t="s">
        <v>654</v>
      </c>
      <c r="L1426" t="s">
        <v>670</v>
      </c>
      <c r="M1426" t="s">
        <v>657</v>
      </c>
      <c r="N1426" t="s">
        <v>641</v>
      </c>
      <c r="O1426" t="s">
        <v>676</v>
      </c>
    </row>
    <row r="1427" spans="1:15" x14ac:dyDescent="0.35">
      <c r="A1427" s="77">
        <v>1.3726027397260274</v>
      </c>
      <c r="B1427" s="19">
        <v>82004</v>
      </c>
      <c r="C1427" s="19" t="s">
        <v>3745</v>
      </c>
      <c r="D1427" s="19" t="s">
        <v>21</v>
      </c>
      <c r="E1427" s="19" t="s">
        <v>21</v>
      </c>
      <c r="F1427" s="19" t="s">
        <v>22</v>
      </c>
      <c r="G1427" s="19" t="s">
        <v>1046</v>
      </c>
      <c r="H1427" s="19" t="s">
        <v>1001</v>
      </c>
      <c r="I1427" s="19" t="s">
        <v>1575</v>
      </c>
      <c r="J1427" s="20">
        <v>22</v>
      </c>
      <c r="K1427" t="s">
        <v>654</v>
      </c>
      <c r="L1427" t="s">
        <v>656</v>
      </c>
      <c r="M1427" t="s">
        <v>657</v>
      </c>
      <c r="N1427" t="s">
        <v>658</v>
      </c>
      <c r="O1427" t="s">
        <v>659</v>
      </c>
    </row>
    <row r="1428" spans="1:15" x14ac:dyDescent="0.35">
      <c r="A1428" s="77">
        <v>2.967123287671233</v>
      </c>
      <c r="B1428" s="19">
        <v>82007</v>
      </c>
      <c r="C1428" s="19" t="s">
        <v>3746</v>
      </c>
      <c r="D1428" s="19" t="s">
        <v>385</v>
      </c>
      <c r="E1428" s="19" t="s">
        <v>386</v>
      </c>
      <c r="F1428" s="19" t="s">
        <v>1059</v>
      </c>
      <c r="G1428" s="19" t="s">
        <v>1046</v>
      </c>
      <c r="H1428" s="19" t="s">
        <v>1001</v>
      </c>
      <c r="I1428" s="19" t="s">
        <v>1575</v>
      </c>
      <c r="J1428" s="20">
        <v>25</v>
      </c>
      <c r="K1428" t="s">
        <v>631</v>
      </c>
      <c r="L1428" t="s">
        <v>663</v>
      </c>
      <c r="M1428" t="s">
        <v>629</v>
      </c>
      <c r="N1428" t="s">
        <v>646</v>
      </c>
      <c r="O1428" t="s">
        <v>810</v>
      </c>
    </row>
    <row r="1429" spans="1:15" x14ac:dyDescent="0.35">
      <c r="A1429" s="77">
        <v>2.9589041095890409</v>
      </c>
      <c r="B1429" s="19">
        <v>82011</v>
      </c>
      <c r="C1429" s="19" t="s">
        <v>3747</v>
      </c>
      <c r="D1429" s="19" t="s">
        <v>280</v>
      </c>
      <c r="E1429" s="19" t="s">
        <v>281</v>
      </c>
      <c r="F1429" s="19" t="s">
        <v>1223</v>
      </c>
      <c r="G1429" s="19" t="s">
        <v>1028</v>
      </c>
      <c r="H1429" s="19" t="s">
        <v>1020</v>
      </c>
      <c r="I1429" s="19" t="s">
        <v>1575</v>
      </c>
      <c r="J1429" s="20">
        <v>49</v>
      </c>
      <c r="K1429" t="s">
        <v>631</v>
      </c>
      <c r="L1429" t="s">
        <v>691</v>
      </c>
      <c r="M1429" t="s">
        <v>657</v>
      </c>
      <c r="N1429" t="s">
        <v>658</v>
      </c>
      <c r="O1429" t="s">
        <v>632</v>
      </c>
    </row>
    <row r="1430" spans="1:15" x14ac:dyDescent="0.35">
      <c r="A1430" s="77">
        <v>2.0821917808219177</v>
      </c>
      <c r="B1430" s="19">
        <v>82014</v>
      </c>
      <c r="C1430" s="19" t="s">
        <v>3748</v>
      </c>
      <c r="D1430" s="19" t="s">
        <v>347</v>
      </c>
      <c r="E1430" s="19" t="s">
        <v>348</v>
      </c>
      <c r="F1430" s="19" t="s">
        <v>910</v>
      </c>
      <c r="G1430" s="19" t="s">
        <v>1034</v>
      </c>
      <c r="H1430" s="19" t="s">
        <v>1001</v>
      </c>
      <c r="I1430" s="19" t="s">
        <v>1599</v>
      </c>
      <c r="J1430" s="20">
        <v>19</v>
      </c>
      <c r="K1430" t="s">
        <v>654</v>
      </c>
      <c r="L1430" t="s">
        <v>707</v>
      </c>
      <c r="M1430" t="s">
        <v>629</v>
      </c>
      <c r="N1430" t="s">
        <v>635</v>
      </c>
      <c r="O1430" t="s">
        <v>710</v>
      </c>
    </row>
    <row r="1431" spans="1:15" x14ac:dyDescent="0.35">
      <c r="A1431" s="77">
        <v>2.9589041095890409</v>
      </c>
      <c r="B1431" s="19">
        <v>82027</v>
      </c>
      <c r="C1431" s="19" t="s">
        <v>3749</v>
      </c>
      <c r="D1431" s="19" t="s">
        <v>355</v>
      </c>
      <c r="E1431" s="19" t="s">
        <v>356</v>
      </c>
      <c r="F1431" s="19" t="s">
        <v>1100</v>
      </c>
      <c r="G1431" s="19" t="s">
        <v>1084</v>
      </c>
      <c r="H1431" s="19" t="s">
        <v>1001</v>
      </c>
      <c r="I1431" s="19" t="s">
        <v>1575</v>
      </c>
      <c r="J1431" s="20">
        <v>31</v>
      </c>
      <c r="K1431" t="s">
        <v>625</v>
      </c>
      <c r="L1431" t="s">
        <v>622</v>
      </c>
      <c r="M1431" t="s">
        <v>623</v>
      </c>
      <c r="N1431" t="s">
        <v>624</v>
      </c>
      <c r="O1431" t="s">
        <v>649</v>
      </c>
    </row>
    <row r="1432" spans="1:15" x14ac:dyDescent="0.35">
      <c r="A1432" s="77">
        <v>2.956164383561644</v>
      </c>
      <c r="B1432" s="19">
        <v>82042</v>
      </c>
      <c r="C1432" s="19" t="s">
        <v>3750</v>
      </c>
      <c r="D1432" s="19" t="s">
        <v>245</v>
      </c>
      <c r="E1432" s="19" t="s">
        <v>246</v>
      </c>
      <c r="F1432" s="19" t="s">
        <v>1365</v>
      </c>
      <c r="G1432" s="19" t="s">
        <v>1046</v>
      </c>
      <c r="H1432" s="19" t="s">
        <v>1001</v>
      </c>
      <c r="I1432" s="19" t="s">
        <v>1599</v>
      </c>
      <c r="J1432" s="20">
        <v>20</v>
      </c>
      <c r="K1432" t="s">
        <v>654</v>
      </c>
      <c r="L1432" t="s">
        <v>678</v>
      </c>
      <c r="M1432" t="s">
        <v>623</v>
      </c>
      <c r="N1432" t="s">
        <v>624</v>
      </c>
      <c r="O1432" t="s">
        <v>679</v>
      </c>
    </row>
    <row r="1433" spans="1:15" x14ac:dyDescent="0.35">
      <c r="A1433" s="77">
        <v>2.956164383561644</v>
      </c>
      <c r="B1433" s="19">
        <v>82046</v>
      </c>
      <c r="C1433" s="19" t="s">
        <v>3751</v>
      </c>
      <c r="D1433" s="19" t="s">
        <v>375</v>
      </c>
      <c r="E1433" s="19" t="s">
        <v>376</v>
      </c>
      <c r="F1433" s="19" t="s">
        <v>1270</v>
      </c>
      <c r="G1433" s="19" t="s">
        <v>1008</v>
      </c>
      <c r="H1433" s="19" t="s">
        <v>1001</v>
      </c>
      <c r="I1433" s="19" t="s">
        <v>1575</v>
      </c>
      <c r="J1433" s="20">
        <v>39</v>
      </c>
      <c r="K1433" t="s">
        <v>636</v>
      </c>
      <c r="L1433" t="s">
        <v>678</v>
      </c>
      <c r="M1433" t="s">
        <v>623</v>
      </c>
      <c r="N1433" t="s">
        <v>624</v>
      </c>
      <c r="O1433" t="s">
        <v>679</v>
      </c>
    </row>
    <row r="1434" spans="1:15" x14ac:dyDescent="0.35">
      <c r="A1434" s="77">
        <v>2.956164383561644</v>
      </c>
      <c r="B1434" s="19">
        <v>82075</v>
      </c>
      <c r="C1434" s="19" t="s">
        <v>3752</v>
      </c>
      <c r="D1434" s="19" t="s">
        <v>36</v>
      </c>
      <c r="E1434" s="19" t="s">
        <v>36</v>
      </c>
      <c r="F1434" s="19" t="s">
        <v>1403</v>
      </c>
      <c r="G1434" s="19" t="s">
        <v>1028</v>
      </c>
      <c r="H1434" s="19" t="s">
        <v>1020</v>
      </c>
      <c r="I1434" s="19" t="s">
        <v>1575</v>
      </c>
      <c r="J1434" s="20">
        <v>25</v>
      </c>
      <c r="K1434" t="s">
        <v>668</v>
      </c>
      <c r="L1434" t="s">
        <v>691</v>
      </c>
      <c r="M1434" t="s">
        <v>657</v>
      </c>
      <c r="N1434" t="s">
        <v>658</v>
      </c>
      <c r="O1434" t="s">
        <v>632</v>
      </c>
    </row>
    <row r="1435" spans="1:15" x14ac:dyDescent="0.35">
      <c r="A1435" s="77">
        <v>2.1917808219178082E-2</v>
      </c>
      <c r="B1435" s="19">
        <v>82085</v>
      </c>
      <c r="C1435" s="19" t="s">
        <v>3753</v>
      </c>
      <c r="D1435" s="19" t="s">
        <v>8</v>
      </c>
      <c r="E1435" s="19" t="s">
        <v>8</v>
      </c>
      <c r="F1435" s="19" t="s">
        <v>1176</v>
      </c>
      <c r="G1435" s="19" t="s">
        <v>1008</v>
      </c>
      <c r="H1435" s="19" t="s">
        <v>1001</v>
      </c>
      <c r="I1435" s="19" t="s">
        <v>1599</v>
      </c>
      <c r="J1435" s="20">
        <v>26</v>
      </c>
      <c r="K1435" t="s">
        <v>625</v>
      </c>
      <c r="L1435" t="s">
        <v>622</v>
      </c>
      <c r="M1435" t="s">
        <v>623</v>
      </c>
      <c r="N1435" t="s">
        <v>624</v>
      </c>
      <c r="O1435" t="s">
        <v>626</v>
      </c>
    </row>
    <row r="1436" spans="1:15" x14ac:dyDescent="0.35">
      <c r="A1436" s="77">
        <v>2.9479452054794519</v>
      </c>
      <c r="B1436" s="19">
        <v>82097</v>
      </c>
      <c r="C1436" s="19" t="s">
        <v>3754</v>
      </c>
      <c r="D1436" s="19" t="s">
        <v>280</v>
      </c>
      <c r="E1436" s="19" t="s">
        <v>281</v>
      </c>
      <c r="F1436" s="19" t="s">
        <v>1223</v>
      </c>
      <c r="G1436" s="19" t="s">
        <v>1034</v>
      </c>
      <c r="H1436" s="19" t="s">
        <v>1001</v>
      </c>
      <c r="I1436" s="19" t="s">
        <v>1599</v>
      </c>
      <c r="J1436" s="20">
        <v>23</v>
      </c>
      <c r="K1436" t="s">
        <v>631</v>
      </c>
      <c r="L1436" t="s">
        <v>691</v>
      </c>
      <c r="M1436" t="s">
        <v>657</v>
      </c>
      <c r="N1436" t="s">
        <v>658</v>
      </c>
      <c r="O1436" t="s">
        <v>632</v>
      </c>
    </row>
    <row r="1437" spans="1:15" x14ac:dyDescent="0.35">
      <c r="A1437" s="77">
        <v>2.956164383561644</v>
      </c>
      <c r="B1437" s="19">
        <v>82124</v>
      </c>
      <c r="C1437" s="19" t="s">
        <v>3755</v>
      </c>
      <c r="D1437" s="19" t="s">
        <v>243</v>
      </c>
      <c r="E1437" s="19" t="s">
        <v>244</v>
      </c>
      <c r="F1437" s="19" t="s">
        <v>1318</v>
      </c>
      <c r="G1437" s="19" t="s">
        <v>1028</v>
      </c>
      <c r="H1437" s="19" t="s">
        <v>1020</v>
      </c>
      <c r="I1437" s="19" t="s">
        <v>1575</v>
      </c>
      <c r="J1437" s="20">
        <v>16</v>
      </c>
      <c r="K1437" t="s">
        <v>631</v>
      </c>
      <c r="L1437" t="s">
        <v>707</v>
      </c>
      <c r="M1437" t="s">
        <v>629</v>
      </c>
      <c r="N1437" t="s">
        <v>635</v>
      </c>
      <c r="O1437" t="s">
        <v>710</v>
      </c>
    </row>
    <row r="1438" spans="1:15" x14ac:dyDescent="0.35">
      <c r="A1438" s="77">
        <v>0.94246575342465755</v>
      </c>
      <c r="B1438" s="19">
        <v>82164</v>
      </c>
      <c r="C1438" s="19" t="s">
        <v>3756</v>
      </c>
      <c r="D1438" s="19" t="s">
        <v>173</v>
      </c>
      <c r="E1438" s="19" t="s">
        <v>174</v>
      </c>
      <c r="F1438" s="19" t="s">
        <v>901</v>
      </c>
      <c r="G1438" s="19" t="s">
        <v>1028</v>
      </c>
      <c r="H1438" s="19" t="s">
        <v>1020</v>
      </c>
      <c r="I1438" s="19" t="s">
        <v>1575</v>
      </c>
      <c r="J1438" s="20">
        <v>21</v>
      </c>
      <c r="K1438" t="s">
        <v>668</v>
      </c>
      <c r="L1438" t="s">
        <v>656</v>
      </c>
      <c r="M1438" t="s">
        <v>657</v>
      </c>
      <c r="N1438" t="s">
        <v>658</v>
      </c>
      <c r="O1438" t="s">
        <v>632</v>
      </c>
    </row>
    <row r="1439" spans="1:15" x14ac:dyDescent="0.35">
      <c r="A1439" s="77">
        <v>1.8246575342465754</v>
      </c>
      <c r="B1439" s="19">
        <v>82174</v>
      </c>
      <c r="C1439" s="19" t="s">
        <v>3757</v>
      </c>
      <c r="D1439" s="19" t="s">
        <v>349</v>
      </c>
      <c r="E1439" s="19" t="s">
        <v>350</v>
      </c>
      <c r="F1439" s="19" t="s">
        <v>912</v>
      </c>
      <c r="G1439" s="19" t="s">
        <v>1019</v>
      </c>
      <c r="H1439" s="19" t="s">
        <v>1020</v>
      </c>
      <c r="I1439" s="19" t="s">
        <v>1575</v>
      </c>
      <c r="J1439" s="20">
        <v>22</v>
      </c>
      <c r="K1439" t="s">
        <v>625</v>
      </c>
      <c r="L1439" t="s">
        <v>648</v>
      </c>
      <c r="M1439" t="s">
        <v>623</v>
      </c>
      <c r="N1439" t="s">
        <v>624</v>
      </c>
      <c r="O1439" t="s">
        <v>649</v>
      </c>
    </row>
    <row r="1440" spans="1:15" x14ac:dyDescent="0.35">
      <c r="A1440" s="77">
        <v>2.9452054794520546</v>
      </c>
      <c r="B1440" s="19">
        <v>82189</v>
      </c>
      <c r="C1440" s="19" t="s">
        <v>2460</v>
      </c>
      <c r="D1440" s="19" t="s">
        <v>102</v>
      </c>
      <c r="E1440" s="19" t="s">
        <v>103</v>
      </c>
      <c r="F1440" s="19" t="s">
        <v>1306</v>
      </c>
      <c r="G1440" s="19" t="s">
        <v>1019</v>
      </c>
      <c r="H1440" s="19" t="s">
        <v>1020</v>
      </c>
      <c r="I1440" s="19" t="s">
        <v>1575</v>
      </c>
      <c r="J1440" s="20">
        <v>33</v>
      </c>
      <c r="K1440" t="s">
        <v>654</v>
      </c>
      <c r="L1440" t="s">
        <v>707</v>
      </c>
      <c r="M1440" t="s">
        <v>629</v>
      </c>
      <c r="N1440" t="s">
        <v>635</v>
      </c>
      <c r="O1440" t="s">
        <v>708</v>
      </c>
    </row>
    <row r="1441" spans="1:15" x14ac:dyDescent="0.35">
      <c r="A1441" s="77">
        <v>0.29041095890410956</v>
      </c>
      <c r="B1441" s="19">
        <v>82231</v>
      </c>
      <c r="C1441" s="19" t="s">
        <v>3758</v>
      </c>
      <c r="D1441" s="19" t="s">
        <v>27</v>
      </c>
      <c r="E1441" s="19" t="s">
        <v>27</v>
      </c>
      <c r="F1441" s="19" t="s">
        <v>1250</v>
      </c>
      <c r="G1441" s="19" t="s">
        <v>1028</v>
      </c>
      <c r="H1441" s="19" t="s">
        <v>1020</v>
      </c>
      <c r="I1441" s="19" t="s">
        <v>1575</v>
      </c>
      <c r="J1441" s="20">
        <v>22</v>
      </c>
      <c r="K1441" t="s">
        <v>668</v>
      </c>
      <c r="L1441" t="s">
        <v>645</v>
      </c>
      <c r="M1441" t="s">
        <v>629</v>
      </c>
      <c r="N1441" t="s">
        <v>646</v>
      </c>
      <c r="O1441" t="s">
        <v>632</v>
      </c>
    </row>
    <row r="1442" spans="1:15" x14ac:dyDescent="0.35">
      <c r="A1442" s="77">
        <v>2.9424657534246577</v>
      </c>
      <c r="B1442" s="19">
        <v>82236</v>
      </c>
      <c r="C1442" s="19" t="s">
        <v>3759</v>
      </c>
      <c r="D1442" s="19" t="s">
        <v>347</v>
      </c>
      <c r="E1442" s="19" t="s">
        <v>348</v>
      </c>
      <c r="F1442" s="19" t="s">
        <v>910</v>
      </c>
      <c r="G1442" s="19" t="s">
        <v>1000</v>
      </c>
      <c r="H1442" s="19" t="s">
        <v>1001</v>
      </c>
      <c r="I1442" s="19" t="s">
        <v>1575</v>
      </c>
      <c r="J1442" s="20">
        <v>44</v>
      </c>
      <c r="K1442" t="s">
        <v>654</v>
      </c>
      <c r="L1442" t="s">
        <v>707</v>
      </c>
      <c r="M1442" t="s">
        <v>629</v>
      </c>
      <c r="N1442" t="s">
        <v>635</v>
      </c>
      <c r="O1442" t="s">
        <v>710</v>
      </c>
    </row>
    <row r="1443" spans="1:15" x14ac:dyDescent="0.35">
      <c r="A1443" s="77">
        <v>2.9397260273972603</v>
      </c>
      <c r="B1443" s="19">
        <v>82239</v>
      </c>
      <c r="C1443" s="19" t="s">
        <v>3760</v>
      </c>
      <c r="D1443" s="19" t="s">
        <v>601</v>
      </c>
      <c r="E1443" s="19" t="e">
        <v>#N/A</v>
      </c>
      <c r="F1443" s="19" t="s">
        <v>1136</v>
      </c>
      <c r="G1443" s="19" t="s">
        <v>1008</v>
      </c>
      <c r="H1443" s="19" t="s">
        <v>1001</v>
      </c>
      <c r="I1443" s="19" t="s">
        <v>1575</v>
      </c>
      <c r="J1443" s="20">
        <v>24</v>
      </c>
      <c r="K1443" t="s">
        <v>654</v>
      </c>
      <c r="L1443" t="s">
        <v>651</v>
      </c>
      <c r="M1443" t="s">
        <v>629</v>
      </c>
      <c r="N1443" t="s">
        <v>630</v>
      </c>
      <c r="O1443" t="s">
        <v>715</v>
      </c>
    </row>
    <row r="1444" spans="1:15" x14ac:dyDescent="0.35">
      <c r="A1444" s="77">
        <v>2.9397260273972603</v>
      </c>
      <c r="B1444" s="19">
        <v>82299</v>
      </c>
      <c r="C1444" s="19" t="s">
        <v>3761</v>
      </c>
      <c r="D1444" s="19" t="s">
        <v>68</v>
      </c>
      <c r="E1444" s="19" t="s">
        <v>69</v>
      </c>
      <c r="F1444" s="19" t="s">
        <v>1078</v>
      </c>
      <c r="G1444" s="19" t="s">
        <v>1034</v>
      </c>
      <c r="H1444" s="19" t="s">
        <v>1001</v>
      </c>
      <c r="I1444" s="19" t="s">
        <v>1575</v>
      </c>
      <c r="J1444" s="20">
        <v>29</v>
      </c>
      <c r="K1444" t="s">
        <v>636</v>
      </c>
      <c r="L1444" t="s">
        <v>670</v>
      </c>
      <c r="M1444" t="s">
        <v>657</v>
      </c>
      <c r="N1444" t="s">
        <v>641</v>
      </c>
      <c r="O1444" t="s">
        <v>671</v>
      </c>
    </row>
    <row r="1445" spans="1:15" x14ac:dyDescent="0.35">
      <c r="A1445" s="77">
        <v>2.9397260273972603</v>
      </c>
      <c r="B1445" s="19">
        <v>82305</v>
      </c>
      <c r="C1445" s="19" t="s">
        <v>3762</v>
      </c>
      <c r="D1445" s="19" t="s">
        <v>43</v>
      </c>
      <c r="E1445" s="19" t="s">
        <v>44</v>
      </c>
      <c r="F1445" s="19" t="s">
        <v>2355</v>
      </c>
      <c r="G1445" s="19" t="s">
        <v>1084</v>
      </c>
      <c r="H1445" s="19" t="s">
        <v>1001</v>
      </c>
      <c r="I1445" s="19" t="s">
        <v>1599</v>
      </c>
      <c r="J1445" s="20">
        <v>28</v>
      </c>
      <c r="K1445" t="s">
        <v>654</v>
      </c>
      <c r="L1445" t="s">
        <v>634</v>
      </c>
      <c r="M1445" t="s">
        <v>629</v>
      </c>
      <c r="N1445" t="s">
        <v>635</v>
      </c>
      <c r="O1445" t="s">
        <v>637</v>
      </c>
    </row>
    <row r="1446" spans="1:15" x14ac:dyDescent="0.35">
      <c r="A1446" s="77">
        <v>2.9397260273972603</v>
      </c>
      <c r="B1446" s="19">
        <v>82312</v>
      </c>
      <c r="C1446" s="19" t="s">
        <v>3763</v>
      </c>
      <c r="D1446" s="19" t="s">
        <v>324</v>
      </c>
      <c r="E1446" s="19" t="s">
        <v>325</v>
      </c>
      <c r="F1446" s="19" t="s">
        <v>1284</v>
      </c>
      <c r="G1446" s="19" t="s">
        <v>1008</v>
      </c>
      <c r="H1446" s="19" t="s">
        <v>1001</v>
      </c>
      <c r="I1446" s="19" t="s">
        <v>1575</v>
      </c>
      <c r="J1446" s="20">
        <v>21</v>
      </c>
      <c r="K1446" t="s">
        <v>631</v>
      </c>
      <c r="L1446" t="s">
        <v>663</v>
      </c>
      <c r="M1446" t="s">
        <v>629</v>
      </c>
      <c r="N1446" t="s">
        <v>646</v>
      </c>
      <c r="O1446" t="s">
        <v>639</v>
      </c>
    </row>
    <row r="1447" spans="1:15" x14ac:dyDescent="0.35">
      <c r="A1447" s="77">
        <v>2.9397260273972603</v>
      </c>
      <c r="B1447" s="19">
        <v>82317</v>
      </c>
      <c r="C1447" s="19" t="s">
        <v>3764</v>
      </c>
      <c r="D1447" s="19" t="s">
        <v>30</v>
      </c>
      <c r="E1447" s="19" t="s">
        <v>30</v>
      </c>
      <c r="F1447" s="19" t="s">
        <v>672</v>
      </c>
      <c r="G1447" s="19" t="s">
        <v>1045</v>
      </c>
      <c r="H1447" s="19" t="s">
        <v>1001</v>
      </c>
      <c r="I1447" s="19" t="s">
        <v>1599</v>
      </c>
      <c r="J1447" s="20">
        <v>29</v>
      </c>
      <c r="K1447" t="s">
        <v>636</v>
      </c>
      <c r="L1447" t="s">
        <v>673</v>
      </c>
      <c r="M1447" t="s">
        <v>623</v>
      </c>
      <c r="N1447" t="s">
        <v>641</v>
      </c>
      <c r="O1447" t="s">
        <v>674</v>
      </c>
    </row>
    <row r="1448" spans="1:15" x14ac:dyDescent="0.35">
      <c r="A1448" s="77">
        <v>2.9479452054794519</v>
      </c>
      <c r="B1448" s="19">
        <v>82328</v>
      </c>
      <c r="C1448" s="19" t="s">
        <v>3765</v>
      </c>
      <c r="D1448" s="19" t="s">
        <v>429</v>
      </c>
      <c r="E1448" s="19" t="s">
        <v>429</v>
      </c>
      <c r="F1448" s="19" t="s">
        <v>1240</v>
      </c>
      <c r="G1448" s="19" t="s">
        <v>1008</v>
      </c>
      <c r="H1448" s="19" t="s">
        <v>1001</v>
      </c>
      <c r="I1448" s="19" t="s">
        <v>1575</v>
      </c>
      <c r="J1448" s="20">
        <v>42</v>
      </c>
      <c r="K1448" t="s">
        <v>654</v>
      </c>
      <c r="L1448" t="s">
        <v>678</v>
      </c>
      <c r="M1448" t="s">
        <v>623</v>
      </c>
      <c r="N1448" t="s">
        <v>624</v>
      </c>
      <c r="O1448" t="s">
        <v>679</v>
      </c>
    </row>
    <row r="1449" spans="1:15" x14ac:dyDescent="0.35">
      <c r="A1449" s="77">
        <v>0.43013698630136987</v>
      </c>
      <c r="B1449" s="19">
        <v>82335</v>
      </c>
      <c r="C1449" s="19" t="s">
        <v>3766</v>
      </c>
      <c r="D1449" s="19" t="s">
        <v>258</v>
      </c>
      <c r="E1449" s="19" t="s">
        <v>259</v>
      </c>
      <c r="F1449" s="19" t="s">
        <v>1349</v>
      </c>
      <c r="G1449" s="19" t="s">
        <v>1084</v>
      </c>
      <c r="H1449" s="19" t="s">
        <v>1001</v>
      </c>
      <c r="I1449" s="19" t="s">
        <v>1599</v>
      </c>
      <c r="J1449" s="20">
        <v>21</v>
      </c>
      <c r="K1449" t="s">
        <v>668</v>
      </c>
      <c r="L1449" t="s">
        <v>691</v>
      </c>
      <c r="M1449" t="s">
        <v>657</v>
      </c>
      <c r="N1449" t="s">
        <v>658</v>
      </c>
      <c r="O1449" t="s">
        <v>632</v>
      </c>
    </row>
    <row r="1450" spans="1:15" x14ac:dyDescent="0.35">
      <c r="A1450" s="77">
        <v>2.9178082191780823</v>
      </c>
      <c r="B1450" s="19">
        <v>82421</v>
      </c>
      <c r="C1450" s="19" t="s">
        <v>3767</v>
      </c>
      <c r="D1450" s="19" t="s">
        <v>369</v>
      </c>
      <c r="E1450" s="19" t="s">
        <v>370</v>
      </c>
      <c r="F1450" s="19" t="s">
        <v>856</v>
      </c>
      <c r="G1450" s="19" t="s">
        <v>1000</v>
      </c>
      <c r="H1450" s="19" t="s">
        <v>1001</v>
      </c>
      <c r="I1450" s="19" t="s">
        <v>1599</v>
      </c>
      <c r="J1450" s="20">
        <v>34</v>
      </c>
      <c r="K1450" t="s">
        <v>654</v>
      </c>
      <c r="L1450" t="s">
        <v>684</v>
      </c>
      <c r="M1450" t="s">
        <v>623</v>
      </c>
      <c r="N1450" t="s">
        <v>662</v>
      </c>
      <c r="O1450" t="s">
        <v>857</v>
      </c>
    </row>
    <row r="1451" spans="1:15" x14ac:dyDescent="0.35">
      <c r="A1451" s="77">
        <v>0.21643835616438356</v>
      </c>
      <c r="B1451" s="19">
        <v>82431</v>
      </c>
      <c r="C1451" s="19" t="s">
        <v>3768</v>
      </c>
      <c r="D1451" s="19" t="s">
        <v>19</v>
      </c>
      <c r="E1451" s="19" t="s">
        <v>19</v>
      </c>
      <c r="F1451" s="19" t="s">
        <v>1255</v>
      </c>
      <c r="G1451" s="19" t="s">
        <v>1028</v>
      </c>
      <c r="H1451" s="19" t="s">
        <v>1020</v>
      </c>
      <c r="I1451" s="19" t="s">
        <v>1575</v>
      </c>
      <c r="J1451" s="20">
        <v>22</v>
      </c>
      <c r="K1451" t="s">
        <v>654</v>
      </c>
      <c r="L1451" t="s">
        <v>645</v>
      </c>
      <c r="M1451" t="s">
        <v>629</v>
      </c>
      <c r="N1451" t="s">
        <v>646</v>
      </c>
      <c r="O1451" t="s">
        <v>632</v>
      </c>
    </row>
    <row r="1452" spans="1:15" x14ac:dyDescent="0.35">
      <c r="A1452" s="77">
        <v>2.9068493150684933</v>
      </c>
      <c r="B1452" s="19">
        <v>82440</v>
      </c>
      <c r="C1452" s="19" t="s">
        <v>3769</v>
      </c>
      <c r="D1452" s="19" t="s">
        <v>120</v>
      </c>
      <c r="E1452" s="19" t="s">
        <v>121</v>
      </c>
      <c r="F1452" s="19" t="s">
        <v>1236</v>
      </c>
      <c r="G1452" s="19" t="s">
        <v>1028</v>
      </c>
      <c r="H1452" s="19" t="s">
        <v>1020</v>
      </c>
      <c r="I1452" s="19" t="s">
        <v>1575</v>
      </c>
      <c r="J1452" s="20">
        <v>34</v>
      </c>
      <c r="K1452" t="s">
        <v>636</v>
      </c>
      <c r="L1452" t="s">
        <v>673</v>
      </c>
      <c r="M1452" t="s">
        <v>623</v>
      </c>
      <c r="N1452" t="s">
        <v>641</v>
      </c>
      <c r="O1452" t="s">
        <v>748</v>
      </c>
    </row>
    <row r="1453" spans="1:15" x14ac:dyDescent="0.35">
      <c r="A1453" s="77">
        <v>2.9123287671232876</v>
      </c>
      <c r="B1453" s="19">
        <v>82446</v>
      </c>
      <c r="C1453" s="19" t="s">
        <v>3770</v>
      </c>
      <c r="D1453" s="19" t="s">
        <v>260</v>
      </c>
      <c r="E1453" s="19" t="s">
        <v>261</v>
      </c>
      <c r="F1453" s="19" t="s">
        <v>1109</v>
      </c>
      <c r="G1453" s="19" t="s">
        <v>1000</v>
      </c>
      <c r="H1453" s="19" t="s">
        <v>1001</v>
      </c>
      <c r="I1453" s="19" t="s">
        <v>1575</v>
      </c>
      <c r="J1453" s="20">
        <v>49</v>
      </c>
      <c r="K1453" t="s">
        <v>636</v>
      </c>
      <c r="L1453" t="s">
        <v>656</v>
      </c>
      <c r="M1453" t="s">
        <v>657</v>
      </c>
      <c r="N1453" t="s">
        <v>658</v>
      </c>
      <c r="O1453" t="s">
        <v>808</v>
      </c>
    </row>
    <row r="1454" spans="1:15" x14ac:dyDescent="0.35">
      <c r="A1454" s="77">
        <v>0.21369863013698631</v>
      </c>
      <c r="B1454" s="19">
        <v>82452</v>
      </c>
      <c r="C1454" s="19" t="s">
        <v>3771</v>
      </c>
      <c r="D1454" s="19" t="s">
        <v>13</v>
      </c>
      <c r="E1454" s="19" t="s">
        <v>13</v>
      </c>
      <c r="F1454" s="19" t="s">
        <v>1467</v>
      </c>
      <c r="G1454" s="19" t="s">
        <v>1008</v>
      </c>
      <c r="H1454" s="19" t="s">
        <v>1001</v>
      </c>
      <c r="I1454" s="19" t="s">
        <v>1575</v>
      </c>
      <c r="J1454" s="20">
        <v>19</v>
      </c>
      <c r="K1454" t="s">
        <v>631</v>
      </c>
      <c r="L1454" t="s">
        <v>628</v>
      </c>
      <c r="M1454" t="s">
        <v>629</v>
      </c>
      <c r="N1454" t="s">
        <v>630</v>
      </c>
      <c r="O1454" t="s">
        <v>639</v>
      </c>
    </row>
    <row r="1455" spans="1:15" x14ac:dyDescent="0.35">
      <c r="A1455" s="77">
        <v>2.9068493150684933</v>
      </c>
      <c r="B1455" s="19">
        <v>82493</v>
      </c>
      <c r="C1455" s="19" t="s">
        <v>3772</v>
      </c>
      <c r="D1455" s="19" t="s">
        <v>315</v>
      </c>
      <c r="E1455" s="19" t="s">
        <v>316</v>
      </c>
      <c r="F1455" s="19" t="s">
        <v>1322</v>
      </c>
      <c r="G1455" s="19" t="s">
        <v>1008</v>
      </c>
      <c r="H1455" s="19" t="s">
        <v>1001</v>
      </c>
      <c r="I1455" s="19" t="s">
        <v>1599</v>
      </c>
      <c r="J1455" s="20">
        <v>32</v>
      </c>
      <c r="K1455" t="s">
        <v>654</v>
      </c>
      <c r="L1455" t="s">
        <v>684</v>
      </c>
      <c r="M1455" t="s">
        <v>623</v>
      </c>
      <c r="N1455" t="s">
        <v>662</v>
      </c>
      <c r="O1455" t="s">
        <v>831</v>
      </c>
    </row>
    <row r="1456" spans="1:15" x14ac:dyDescent="0.35">
      <c r="A1456" s="77">
        <v>2.9178082191780823</v>
      </c>
      <c r="B1456" s="19">
        <v>82504</v>
      </c>
      <c r="C1456" s="19" t="s">
        <v>3773</v>
      </c>
      <c r="D1456" s="19" t="s">
        <v>82</v>
      </c>
      <c r="E1456" s="19" t="s">
        <v>83</v>
      </c>
      <c r="F1456" s="19" t="s">
        <v>1103</v>
      </c>
      <c r="G1456" s="19" t="s">
        <v>1034</v>
      </c>
      <c r="H1456" s="19" t="s">
        <v>1001</v>
      </c>
      <c r="I1456" s="19" t="s">
        <v>1599</v>
      </c>
      <c r="J1456" s="20">
        <v>22</v>
      </c>
      <c r="K1456" t="s">
        <v>642</v>
      </c>
      <c r="L1456" t="s">
        <v>661</v>
      </c>
      <c r="M1456" t="s">
        <v>657</v>
      </c>
      <c r="N1456" t="s">
        <v>662</v>
      </c>
      <c r="O1456" t="s">
        <v>632</v>
      </c>
    </row>
    <row r="1457" spans="1:15" x14ac:dyDescent="0.35">
      <c r="A1457" s="77">
        <v>1.4301369863013698</v>
      </c>
      <c r="B1457" s="19">
        <v>82573</v>
      </c>
      <c r="C1457" s="19" t="s">
        <v>3774</v>
      </c>
      <c r="D1457" s="19" t="s">
        <v>17</v>
      </c>
      <c r="E1457" s="19" t="s">
        <v>17</v>
      </c>
      <c r="F1457" s="19" t="s">
        <v>906</v>
      </c>
      <c r="G1457" s="19" t="s">
        <v>1028</v>
      </c>
      <c r="H1457" s="19" t="s">
        <v>1020</v>
      </c>
      <c r="I1457" s="19" t="s">
        <v>1575</v>
      </c>
      <c r="J1457" s="20">
        <v>23</v>
      </c>
      <c r="K1457" t="s">
        <v>636</v>
      </c>
      <c r="L1457" t="s">
        <v>648</v>
      </c>
      <c r="M1457" t="s">
        <v>623</v>
      </c>
      <c r="N1457" t="s">
        <v>624</v>
      </c>
      <c r="O1457" t="s">
        <v>649</v>
      </c>
    </row>
    <row r="1458" spans="1:15" x14ac:dyDescent="0.35">
      <c r="A1458" s="77">
        <v>2.871232876712329</v>
      </c>
      <c r="B1458" s="19">
        <v>82584</v>
      </c>
      <c r="C1458" s="19" t="s">
        <v>3107</v>
      </c>
      <c r="D1458" s="19" t="s">
        <v>293</v>
      </c>
      <c r="E1458" s="19" t="s">
        <v>294</v>
      </c>
      <c r="F1458" s="19" t="s">
        <v>1794</v>
      </c>
      <c r="G1458" s="19" t="s">
        <v>1008</v>
      </c>
      <c r="H1458" s="19" t="s">
        <v>1001</v>
      </c>
      <c r="I1458" s="19" t="s">
        <v>1575</v>
      </c>
      <c r="J1458" s="20">
        <v>33</v>
      </c>
      <c r="K1458" t="s">
        <v>654</v>
      </c>
      <c r="L1458" t="s">
        <v>634</v>
      </c>
      <c r="M1458" t="s">
        <v>629</v>
      </c>
      <c r="N1458" t="s">
        <v>635</v>
      </c>
      <c r="O1458" t="s">
        <v>637</v>
      </c>
    </row>
    <row r="1459" spans="1:15" x14ac:dyDescent="0.35">
      <c r="A1459" s="77">
        <v>2.1917808219178082E-2</v>
      </c>
      <c r="B1459" s="19">
        <v>82594</v>
      </c>
      <c r="C1459" s="19" t="s">
        <v>3775</v>
      </c>
      <c r="D1459" s="19" t="s">
        <v>333</v>
      </c>
      <c r="E1459" s="19" t="s">
        <v>334</v>
      </c>
      <c r="F1459" s="19" t="s">
        <v>1333</v>
      </c>
      <c r="G1459" s="19" t="s">
        <v>1008</v>
      </c>
      <c r="H1459" s="19" t="s">
        <v>1001</v>
      </c>
      <c r="I1459" s="19" t="s">
        <v>1575</v>
      </c>
      <c r="J1459" s="20">
        <v>21</v>
      </c>
      <c r="K1459" t="s">
        <v>636</v>
      </c>
      <c r="L1459" t="s">
        <v>666</v>
      </c>
      <c r="M1459" t="s">
        <v>629</v>
      </c>
      <c r="N1459" t="s">
        <v>630</v>
      </c>
      <c r="O1459" t="s">
        <v>652</v>
      </c>
    </row>
    <row r="1460" spans="1:15" x14ac:dyDescent="0.35">
      <c r="A1460" s="77">
        <v>2.1917808219178082E-2</v>
      </c>
      <c r="B1460" s="19">
        <v>82613</v>
      </c>
      <c r="C1460" s="19" t="s">
        <v>3776</v>
      </c>
      <c r="D1460" s="19" t="s">
        <v>335</v>
      </c>
      <c r="E1460" s="19" t="s">
        <v>336</v>
      </c>
      <c r="F1460" s="19" t="s">
        <v>841</v>
      </c>
      <c r="G1460" s="19" t="s">
        <v>1008</v>
      </c>
      <c r="H1460" s="19" t="s">
        <v>1001</v>
      </c>
      <c r="I1460" s="19" t="s">
        <v>1599</v>
      </c>
      <c r="J1460" s="20">
        <v>22</v>
      </c>
      <c r="K1460" t="s">
        <v>636</v>
      </c>
      <c r="L1460" t="s">
        <v>622</v>
      </c>
      <c r="M1460" t="s">
        <v>623</v>
      </c>
      <c r="N1460" t="s">
        <v>624</v>
      </c>
      <c r="O1460" t="s">
        <v>649</v>
      </c>
    </row>
    <row r="1461" spans="1:15" x14ac:dyDescent="0.35">
      <c r="A1461" s="77">
        <v>1.2602739726027397</v>
      </c>
      <c r="B1461" s="19">
        <v>82687</v>
      </c>
      <c r="C1461" s="19" t="s">
        <v>3777</v>
      </c>
      <c r="D1461" s="19" t="s">
        <v>413</v>
      </c>
      <c r="E1461" s="19" t="s">
        <v>414</v>
      </c>
      <c r="F1461" s="19" t="s">
        <v>1699</v>
      </c>
      <c r="G1461" s="19" t="s">
        <v>1046</v>
      </c>
      <c r="H1461" s="19" t="s">
        <v>1001</v>
      </c>
      <c r="I1461" s="19" t="s">
        <v>1575</v>
      </c>
      <c r="J1461" s="20">
        <v>21</v>
      </c>
      <c r="K1461" t="s">
        <v>668</v>
      </c>
      <c r="L1461" t="s">
        <v>691</v>
      </c>
      <c r="M1461" t="s">
        <v>657</v>
      </c>
      <c r="N1461" t="s">
        <v>658</v>
      </c>
      <c r="O1461" t="s">
        <v>632</v>
      </c>
    </row>
    <row r="1462" spans="1:15" x14ac:dyDescent="0.35">
      <c r="A1462" s="77">
        <v>1.9232876712328768</v>
      </c>
      <c r="B1462" s="19">
        <v>82743</v>
      </c>
      <c r="C1462" s="19" t="s">
        <v>3778</v>
      </c>
      <c r="D1462" s="19" t="s">
        <v>258</v>
      </c>
      <c r="E1462" s="19" t="s">
        <v>259</v>
      </c>
      <c r="F1462" s="19" t="s">
        <v>1349</v>
      </c>
      <c r="G1462" s="19" t="s">
        <v>1028</v>
      </c>
      <c r="H1462" s="19" t="s">
        <v>1020</v>
      </c>
      <c r="I1462" s="19" t="s">
        <v>1599</v>
      </c>
      <c r="J1462" s="20">
        <v>23</v>
      </c>
      <c r="K1462" t="s">
        <v>668</v>
      </c>
      <c r="L1462" t="s">
        <v>691</v>
      </c>
      <c r="M1462" t="s">
        <v>657</v>
      </c>
      <c r="N1462" t="s">
        <v>658</v>
      </c>
      <c r="O1462" t="s">
        <v>632</v>
      </c>
    </row>
    <row r="1463" spans="1:15" x14ac:dyDescent="0.35">
      <c r="A1463" s="77">
        <v>0.9342465753424658</v>
      </c>
      <c r="B1463" s="19">
        <v>82825</v>
      </c>
      <c r="C1463" s="19" t="s">
        <v>3779</v>
      </c>
      <c r="D1463" s="19" t="s">
        <v>215</v>
      </c>
      <c r="E1463" s="19" t="s">
        <v>216</v>
      </c>
      <c r="F1463" s="19" t="s">
        <v>1081</v>
      </c>
      <c r="G1463" s="19" t="s">
        <v>1008</v>
      </c>
      <c r="H1463" s="19" t="s">
        <v>1001</v>
      </c>
      <c r="I1463" s="19" t="s">
        <v>1599</v>
      </c>
      <c r="J1463" s="20">
        <v>23</v>
      </c>
      <c r="K1463" t="s">
        <v>654</v>
      </c>
      <c r="L1463" t="s">
        <v>640</v>
      </c>
      <c r="M1463" t="s">
        <v>623</v>
      </c>
      <c r="N1463" t="s">
        <v>624</v>
      </c>
      <c r="O1463" t="s">
        <v>789</v>
      </c>
    </row>
    <row r="1464" spans="1:15" x14ac:dyDescent="0.35">
      <c r="A1464" s="77">
        <v>1.2712328767123289</v>
      </c>
      <c r="B1464" s="19">
        <v>82838</v>
      </c>
      <c r="C1464" s="19" t="s">
        <v>3780</v>
      </c>
      <c r="D1464" s="19" t="s">
        <v>89</v>
      </c>
      <c r="E1464" s="19" t="s">
        <v>90</v>
      </c>
      <c r="F1464" s="19" t="s">
        <v>1217</v>
      </c>
      <c r="G1464" s="19" t="s">
        <v>1008</v>
      </c>
      <c r="H1464" s="19" t="s">
        <v>1001</v>
      </c>
      <c r="I1464" s="19" t="s">
        <v>1599</v>
      </c>
      <c r="J1464" s="20">
        <v>21</v>
      </c>
      <c r="K1464" t="s">
        <v>636</v>
      </c>
      <c r="L1464" t="s">
        <v>666</v>
      </c>
      <c r="M1464" t="s">
        <v>629</v>
      </c>
      <c r="N1464" t="s">
        <v>635</v>
      </c>
      <c r="O1464" t="s">
        <v>637</v>
      </c>
    </row>
    <row r="1465" spans="1:15" x14ac:dyDescent="0.35">
      <c r="A1465" s="77">
        <v>2.9397260273972603</v>
      </c>
      <c r="B1465" s="19">
        <v>82932</v>
      </c>
      <c r="C1465" s="19" t="s">
        <v>3781</v>
      </c>
      <c r="D1465" s="19" t="s">
        <v>173</v>
      </c>
      <c r="E1465" s="19" t="s">
        <v>174</v>
      </c>
      <c r="F1465" s="19" t="s">
        <v>901</v>
      </c>
      <c r="G1465" s="19" t="s">
        <v>1028</v>
      </c>
      <c r="H1465" s="19" t="s">
        <v>1020</v>
      </c>
      <c r="I1465" s="19" t="s">
        <v>1575</v>
      </c>
      <c r="J1465" s="20">
        <v>21</v>
      </c>
      <c r="K1465" t="s">
        <v>668</v>
      </c>
      <c r="L1465" t="s">
        <v>656</v>
      </c>
      <c r="M1465" t="s">
        <v>657</v>
      </c>
      <c r="N1465" t="s">
        <v>658</v>
      </c>
      <c r="O1465" t="s">
        <v>632</v>
      </c>
    </row>
    <row r="1466" spans="1:15" x14ac:dyDescent="0.35">
      <c r="A1466" s="77">
        <v>2.1917808219178082E-2</v>
      </c>
      <c r="B1466" s="19">
        <v>82938</v>
      </c>
      <c r="C1466" s="19" t="s">
        <v>3782</v>
      </c>
      <c r="D1466" s="19" t="s">
        <v>73</v>
      </c>
      <c r="E1466" s="19" t="s">
        <v>74</v>
      </c>
      <c r="F1466" s="19" t="s">
        <v>1178</v>
      </c>
      <c r="G1466" s="19" t="s">
        <v>1008</v>
      </c>
      <c r="H1466" s="19" t="s">
        <v>1001</v>
      </c>
      <c r="I1466" s="19" t="s">
        <v>1575</v>
      </c>
      <c r="J1466" s="20">
        <v>21</v>
      </c>
      <c r="K1466" t="s">
        <v>654</v>
      </c>
      <c r="L1466" t="s">
        <v>648</v>
      </c>
      <c r="M1466" t="s">
        <v>623</v>
      </c>
      <c r="N1466" t="s">
        <v>624</v>
      </c>
      <c r="O1466" t="s">
        <v>725</v>
      </c>
    </row>
    <row r="1467" spans="1:15" x14ac:dyDescent="0.35">
      <c r="A1467" s="77">
        <v>2.9397260273972603</v>
      </c>
      <c r="B1467" s="19">
        <v>82951</v>
      </c>
      <c r="C1467" s="19" t="s">
        <v>3783</v>
      </c>
      <c r="D1467" s="19" t="s">
        <v>215</v>
      </c>
      <c r="E1467" s="19" t="s">
        <v>216</v>
      </c>
      <c r="F1467" s="19" t="s">
        <v>1081</v>
      </c>
      <c r="G1467" s="19" t="s">
        <v>1008</v>
      </c>
      <c r="H1467" s="19" t="s">
        <v>1001</v>
      </c>
      <c r="I1467" s="19" t="s">
        <v>1575</v>
      </c>
      <c r="J1467" s="20">
        <v>20</v>
      </c>
      <c r="K1467" t="s">
        <v>654</v>
      </c>
      <c r="L1467" t="s">
        <v>640</v>
      </c>
      <c r="M1467" t="s">
        <v>623</v>
      </c>
      <c r="N1467" t="s">
        <v>624</v>
      </c>
      <c r="O1467" t="s">
        <v>789</v>
      </c>
    </row>
    <row r="1468" spans="1:15" x14ac:dyDescent="0.35">
      <c r="A1468" s="77">
        <v>2.9369863013698629</v>
      </c>
      <c r="B1468" s="19">
        <v>82959</v>
      </c>
      <c r="C1468" s="19" t="s">
        <v>3784</v>
      </c>
      <c r="D1468" s="19" t="s">
        <v>264</v>
      </c>
      <c r="E1468" s="19" t="s">
        <v>265</v>
      </c>
      <c r="F1468" s="19" t="s">
        <v>2526</v>
      </c>
      <c r="G1468" s="19" t="s">
        <v>1008</v>
      </c>
      <c r="H1468" s="19" t="s">
        <v>1001</v>
      </c>
      <c r="I1468" s="19" t="s">
        <v>1575</v>
      </c>
      <c r="J1468" s="20">
        <v>25</v>
      </c>
      <c r="K1468" t="s">
        <v>654</v>
      </c>
      <c r="L1468" t="s">
        <v>678</v>
      </c>
      <c r="M1468" t="s">
        <v>623</v>
      </c>
      <c r="N1468" t="s">
        <v>624</v>
      </c>
      <c r="O1468" t="s">
        <v>689</v>
      </c>
    </row>
    <row r="1469" spans="1:15" x14ac:dyDescent="0.35">
      <c r="A1469" s="77">
        <v>9.0410958904109592E-2</v>
      </c>
      <c r="B1469" s="19">
        <v>83059</v>
      </c>
      <c r="C1469" s="19" t="s">
        <v>3785</v>
      </c>
      <c r="D1469" s="19" t="s">
        <v>16</v>
      </c>
      <c r="E1469" s="19" t="s">
        <v>16</v>
      </c>
      <c r="F1469" s="19" t="s">
        <v>1211</v>
      </c>
      <c r="G1469" s="19" t="s">
        <v>1084</v>
      </c>
      <c r="H1469" s="19" t="s">
        <v>1020</v>
      </c>
      <c r="I1469" s="19" t="s">
        <v>1575</v>
      </c>
      <c r="J1469" s="20">
        <v>23</v>
      </c>
      <c r="K1469" t="s">
        <v>631</v>
      </c>
      <c r="L1469" t="s">
        <v>645</v>
      </c>
      <c r="M1469" t="s">
        <v>629</v>
      </c>
      <c r="N1469" t="s">
        <v>646</v>
      </c>
      <c r="O1469" t="s">
        <v>632</v>
      </c>
    </row>
    <row r="1470" spans="1:15" x14ac:dyDescent="0.35">
      <c r="A1470" s="77">
        <v>2.8849315068493149</v>
      </c>
      <c r="B1470" s="19">
        <v>83074</v>
      </c>
      <c r="C1470" s="19" t="s">
        <v>3786</v>
      </c>
      <c r="D1470" s="19" t="s">
        <v>42</v>
      </c>
      <c r="E1470" s="19" t="s">
        <v>42</v>
      </c>
      <c r="F1470" s="19" t="s">
        <v>1262</v>
      </c>
      <c r="G1470" s="19" t="s">
        <v>1028</v>
      </c>
      <c r="H1470" s="19" t="s">
        <v>1020</v>
      </c>
      <c r="I1470" s="19" t="s">
        <v>1575</v>
      </c>
      <c r="J1470" s="20">
        <v>52</v>
      </c>
      <c r="K1470" t="s">
        <v>625</v>
      </c>
      <c r="L1470" t="s">
        <v>628</v>
      </c>
      <c r="M1470" t="s">
        <v>629</v>
      </c>
      <c r="N1470" t="s">
        <v>630</v>
      </c>
      <c r="O1470" t="s">
        <v>632</v>
      </c>
    </row>
    <row r="1471" spans="1:15" x14ac:dyDescent="0.35">
      <c r="A1471" s="77">
        <v>2.8904109589041096</v>
      </c>
      <c r="B1471" s="19">
        <v>83103</v>
      </c>
      <c r="C1471" s="19" t="s">
        <v>3787</v>
      </c>
      <c r="D1471" s="19" t="s">
        <v>39</v>
      </c>
      <c r="E1471" s="19" t="s">
        <v>39</v>
      </c>
      <c r="F1471" s="19" t="s">
        <v>1168</v>
      </c>
      <c r="G1471" s="19" t="s">
        <v>1019</v>
      </c>
      <c r="H1471" s="19" t="s">
        <v>1020</v>
      </c>
      <c r="I1471" s="19" t="s">
        <v>1575</v>
      </c>
      <c r="J1471" s="20">
        <v>22</v>
      </c>
      <c r="K1471" t="s">
        <v>636</v>
      </c>
      <c r="L1471" t="s">
        <v>661</v>
      </c>
      <c r="M1471" t="s">
        <v>657</v>
      </c>
      <c r="N1471" t="s">
        <v>662</v>
      </c>
      <c r="O1471" t="s">
        <v>632</v>
      </c>
    </row>
    <row r="1472" spans="1:15" x14ac:dyDescent="0.35">
      <c r="A1472" s="77">
        <v>2.8876712328767122</v>
      </c>
      <c r="B1472" s="19">
        <v>83120</v>
      </c>
      <c r="C1472" s="19" t="s">
        <v>3788</v>
      </c>
      <c r="D1472" s="19" t="s">
        <v>420</v>
      </c>
      <c r="E1472" s="19" t="s">
        <v>420</v>
      </c>
      <c r="F1472" s="19" t="s">
        <v>686</v>
      </c>
      <c r="G1472" s="19" t="s">
        <v>1008</v>
      </c>
      <c r="H1472" s="19" t="s">
        <v>1001</v>
      </c>
      <c r="I1472" s="19" t="s">
        <v>1575</v>
      </c>
      <c r="J1472" s="20">
        <v>23</v>
      </c>
      <c r="K1472" t="s">
        <v>631</v>
      </c>
      <c r="L1472" t="s">
        <v>634</v>
      </c>
      <c r="M1472" t="s">
        <v>629</v>
      </c>
      <c r="N1472" t="s">
        <v>635</v>
      </c>
      <c r="O1472" t="s">
        <v>637</v>
      </c>
    </row>
    <row r="1473" spans="1:15" x14ac:dyDescent="0.35">
      <c r="A1473" s="77">
        <v>2.8794520547945206</v>
      </c>
      <c r="B1473" s="19">
        <v>83188</v>
      </c>
      <c r="C1473" s="19" t="s">
        <v>3789</v>
      </c>
      <c r="D1473" s="19" t="s">
        <v>120</v>
      </c>
      <c r="E1473" s="19" t="s">
        <v>121</v>
      </c>
      <c r="F1473" s="19" t="s">
        <v>1236</v>
      </c>
      <c r="G1473" s="19" t="s">
        <v>1008</v>
      </c>
      <c r="H1473" s="19" t="s">
        <v>1001</v>
      </c>
      <c r="I1473" s="19" t="s">
        <v>1599</v>
      </c>
      <c r="J1473" s="20">
        <v>21</v>
      </c>
      <c r="K1473" t="s">
        <v>636</v>
      </c>
      <c r="L1473" t="s">
        <v>673</v>
      </c>
      <c r="M1473" t="s">
        <v>623</v>
      </c>
      <c r="N1473" t="s">
        <v>641</v>
      </c>
      <c r="O1473" t="s">
        <v>748</v>
      </c>
    </row>
    <row r="1474" spans="1:15" x14ac:dyDescent="0.35">
      <c r="A1474" s="77">
        <v>2.4657534246575342E-2</v>
      </c>
      <c r="B1474" s="19">
        <v>83193</v>
      </c>
      <c r="C1474" s="19" t="s">
        <v>3790</v>
      </c>
      <c r="D1474" s="19" t="s">
        <v>107</v>
      </c>
      <c r="E1474" s="19" t="s">
        <v>108</v>
      </c>
      <c r="F1474" s="19" t="s">
        <v>2702</v>
      </c>
      <c r="G1474" s="19" t="s">
        <v>1008</v>
      </c>
      <c r="H1474" s="19" t="s">
        <v>1001</v>
      </c>
      <c r="I1474" s="19" t="s">
        <v>1575</v>
      </c>
      <c r="J1474" s="20">
        <v>20</v>
      </c>
      <c r="K1474" t="s">
        <v>668</v>
      </c>
      <c r="L1474" t="s">
        <v>691</v>
      </c>
      <c r="M1474" t="s">
        <v>657</v>
      </c>
      <c r="N1474" t="s">
        <v>658</v>
      </c>
      <c r="O1474" t="s">
        <v>632</v>
      </c>
    </row>
    <row r="1475" spans="1:15" x14ac:dyDescent="0.35">
      <c r="A1475" s="77">
        <v>2.871232876712329</v>
      </c>
      <c r="B1475" s="19">
        <v>83215</v>
      </c>
      <c r="C1475" s="19" t="s">
        <v>3791</v>
      </c>
      <c r="D1475" s="19" t="s">
        <v>284</v>
      </c>
      <c r="E1475" s="19" t="s">
        <v>285</v>
      </c>
      <c r="F1475" s="19" t="s">
        <v>1150</v>
      </c>
      <c r="G1475" s="19" t="s">
        <v>1046</v>
      </c>
      <c r="H1475" s="19" t="s">
        <v>1001</v>
      </c>
      <c r="I1475" s="19" t="s">
        <v>1575</v>
      </c>
      <c r="J1475" s="20">
        <v>23</v>
      </c>
      <c r="K1475" t="s">
        <v>625</v>
      </c>
      <c r="L1475" t="s">
        <v>661</v>
      </c>
      <c r="M1475" t="s">
        <v>657</v>
      </c>
      <c r="N1475" t="s">
        <v>662</v>
      </c>
      <c r="O1475" t="s">
        <v>632</v>
      </c>
    </row>
    <row r="1476" spans="1:15" x14ac:dyDescent="0.35">
      <c r="A1476" s="77">
        <v>2.871232876712329</v>
      </c>
      <c r="B1476" s="19">
        <v>83240</v>
      </c>
      <c r="C1476" s="19" t="s">
        <v>3792</v>
      </c>
      <c r="D1476" s="19" t="s">
        <v>66</v>
      </c>
      <c r="E1476" s="19" t="s">
        <v>67</v>
      </c>
      <c r="F1476" s="19" t="s">
        <v>1708</v>
      </c>
      <c r="G1476" s="19" t="s">
        <v>1008</v>
      </c>
      <c r="H1476" s="19" t="s">
        <v>1001</v>
      </c>
      <c r="I1476" s="19" t="s">
        <v>1575</v>
      </c>
      <c r="J1476" s="20">
        <v>20</v>
      </c>
      <c r="K1476" t="s">
        <v>654</v>
      </c>
      <c r="L1476" t="s">
        <v>645</v>
      </c>
      <c r="M1476" t="s">
        <v>629</v>
      </c>
      <c r="N1476" t="s">
        <v>646</v>
      </c>
      <c r="O1476" t="s">
        <v>632</v>
      </c>
    </row>
    <row r="1477" spans="1:15" x14ac:dyDescent="0.35">
      <c r="A1477" s="77">
        <v>2.8602739726027395</v>
      </c>
      <c r="B1477" s="19">
        <v>83296</v>
      </c>
      <c r="C1477" s="19" t="s">
        <v>3793</v>
      </c>
      <c r="D1477" s="19" t="s">
        <v>397</v>
      </c>
      <c r="E1477" s="19" t="s">
        <v>398</v>
      </c>
      <c r="F1477" s="19" t="s">
        <v>867</v>
      </c>
      <c r="G1477" s="19" t="s">
        <v>1046</v>
      </c>
      <c r="H1477" s="19" t="s">
        <v>1001</v>
      </c>
      <c r="I1477" s="19" t="s">
        <v>1575</v>
      </c>
      <c r="J1477" s="20">
        <v>21</v>
      </c>
      <c r="K1477" t="s">
        <v>625</v>
      </c>
      <c r="L1477" t="s">
        <v>634</v>
      </c>
      <c r="M1477" t="s">
        <v>629</v>
      </c>
      <c r="N1477" t="s">
        <v>635</v>
      </c>
      <c r="O1477" t="s">
        <v>637</v>
      </c>
    </row>
    <row r="1478" spans="1:15" x14ac:dyDescent="0.35">
      <c r="A1478" s="77">
        <v>2.8493150684931505</v>
      </c>
      <c r="B1478" s="19">
        <v>83354</v>
      </c>
      <c r="C1478" s="19" t="s">
        <v>3794</v>
      </c>
      <c r="D1478" s="19" t="s">
        <v>243</v>
      </c>
      <c r="E1478" s="19" t="s">
        <v>244</v>
      </c>
      <c r="F1478" s="19" t="s">
        <v>1318</v>
      </c>
      <c r="G1478" s="19" t="s">
        <v>1034</v>
      </c>
      <c r="H1478" s="19" t="s">
        <v>1001</v>
      </c>
      <c r="I1478" s="19" t="s">
        <v>1599</v>
      </c>
      <c r="J1478" s="20">
        <v>29</v>
      </c>
      <c r="K1478" t="s">
        <v>631</v>
      </c>
      <c r="L1478" t="s">
        <v>707</v>
      </c>
      <c r="M1478" t="s">
        <v>629</v>
      </c>
      <c r="N1478" t="s">
        <v>635</v>
      </c>
      <c r="O1478" t="s">
        <v>710</v>
      </c>
    </row>
    <row r="1479" spans="1:15" x14ac:dyDescent="0.35">
      <c r="A1479" s="77">
        <v>6.8493150684931503E-2</v>
      </c>
      <c r="B1479" s="19">
        <v>83357</v>
      </c>
      <c r="C1479" s="19" t="s">
        <v>3795</v>
      </c>
      <c r="D1479" s="19" t="s">
        <v>145</v>
      </c>
      <c r="E1479" s="19" t="s">
        <v>146</v>
      </c>
      <c r="F1479" s="19" t="s">
        <v>1015</v>
      </c>
      <c r="G1479" s="19" t="s">
        <v>1028</v>
      </c>
      <c r="H1479" s="19" t="s">
        <v>1020</v>
      </c>
      <c r="I1479" s="19" t="s">
        <v>1575</v>
      </c>
      <c r="J1479" s="20">
        <v>23</v>
      </c>
      <c r="K1479" t="s">
        <v>636</v>
      </c>
      <c r="L1479" t="s">
        <v>737</v>
      </c>
      <c r="M1479" t="s">
        <v>657</v>
      </c>
      <c r="N1479" t="s">
        <v>641</v>
      </c>
      <c r="O1479" t="s">
        <v>757</v>
      </c>
    </row>
    <row r="1480" spans="1:15" x14ac:dyDescent="0.35">
      <c r="A1480" s="77">
        <v>2.8438356164383563</v>
      </c>
      <c r="B1480" s="19">
        <v>83367</v>
      </c>
      <c r="C1480" s="19" t="s">
        <v>3796</v>
      </c>
      <c r="D1480" s="19" t="s">
        <v>115</v>
      </c>
      <c r="E1480" s="19" t="s">
        <v>116</v>
      </c>
      <c r="F1480" s="19" t="s">
        <v>1383</v>
      </c>
      <c r="G1480" s="19" t="s">
        <v>1038</v>
      </c>
      <c r="H1480" s="19" t="s">
        <v>1020</v>
      </c>
      <c r="I1480" s="19" t="s">
        <v>1575</v>
      </c>
      <c r="J1480" s="20">
        <v>35</v>
      </c>
      <c r="K1480" t="s">
        <v>631</v>
      </c>
      <c r="L1480" t="s">
        <v>670</v>
      </c>
      <c r="M1480" t="s">
        <v>657</v>
      </c>
      <c r="N1480" t="s">
        <v>641</v>
      </c>
      <c r="O1480" t="s">
        <v>671</v>
      </c>
    </row>
    <row r="1481" spans="1:15" x14ac:dyDescent="0.35">
      <c r="A1481" s="77">
        <v>2.8328767123287673</v>
      </c>
      <c r="B1481" s="19">
        <v>83422</v>
      </c>
      <c r="C1481" s="19" t="s">
        <v>3797</v>
      </c>
      <c r="D1481" s="19" t="s">
        <v>31</v>
      </c>
      <c r="E1481" s="19" t="s">
        <v>31</v>
      </c>
      <c r="F1481" s="19" t="s">
        <v>675</v>
      </c>
      <c r="G1481" s="19" t="s">
        <v>1057</v>
      </c>
      <c r="H1481" s="19" t="s">
        <v>1001</v>
      </c>
      <c r="I1481" s="19" t="s">
        <v>1599</v>
      </c>
      <c r="J1481" s="20">
        <v>24</v>
      </c>
      <c r="K1481" t="s">
        <v>654</v>
      </c>
      <c r="L1481" t="s">
        <v>670</v>
      </c>
      <c r="M1481" t="s">
        <v>657</v>
      </c>
      <c r="N1481" t="s">
        <v>641</v>
      </c>
      <c r="O1481" t="s">
        <v>676</v>
      </c>
    </row>
    <row r="1482" spans="1:15" x14ac:dyDescent="0.35">
      <c r="A1482" s="77">
        <v>0.45479452054794522</v>
      </c>
      <c r="B1482" s="19">
        <v>83458</v>
      </c>
      <c r="C1482" s="19" t="s">
        <v>3798</v>
      </c>
      <c r="D1482" s="19" t="s">
        <v>284</v>
      </c>
      <c r="E1482" s="19" t="s">
        <v>285</v>
      </c>
      <c r="F1482" s="19" t="s">
        <v>1150</v>
      </c>
      <c r="G1482" s="19" t="s">
        <v>1019</v>
      </c>
      <c r="H1482" s="19" t="s">
        <v>1020</v>
      </c>
      <c r="I1482" s="19" t="s">
        <v>1575</v>
      </c>
      <c r="J1482" s="20">
        <v>22</v>
      </c>
      <c r="K1482" t="s">
        <v>625</v>
      </c>
      <c r="L1482" t="s">
        <v>661</v>
      </c>
      <c r="M1482" t="s">
        <v>657</v>
      </c>
      <c r="N1482" t="s">
        <v>662</v>
      </c>
      <c r="O1482" t="s">
        <v>632</v>
      </c>
    </row>
    <row r="1483" spans="1:15" x14ac:dyDescent="0.35">
      <c r="A1483" s="77">
        <v>2.8301369863013699</v>
      </c>
      <c r="B1483" s="19">
        <v>83463</v>
      </c>
      <c r="C1483" s="19" t="s">
        <v>3799</v>
      </c>
      <c r="D1483" s="19" t="s">
        <v>411</v>
      </c>
      <c r="E1483" s="19" t="s">
        <v>412</v>
      </c>
      <c r="F1483" s="19" t="s">
        <v>1225</v>
      </c>
      <c r="G1483" s="19" t="s">
        <v>1057</v>
      </c>
      <c r="H1483" s="19" t="s">
        <v>1001</v>
      </c>
      <c r="I1483" s="19" t="s">
        <v>1575</v>
      </c>
      <c r="J1483" s="20">
        <v>22</v>
      </c>
      <c r="K1483" t="s">
        <v>636</v>
      </c>
      <c r="L1483" t="s">
        <v>691</v>
      </c>
      <c r="M1483" t="s">
        <v>657</v>
      </c>
      <c r="N1483" t="s">
        <v>658</v>
      </c>
      <c r="O1483" t="s">
        <v>632</v>
      </c>
    </row>
    <row r="1484" spans="1:15" x14ac:dyDescent="0.35">
      <c r="A1484" s="77">
        <v>0.852054794520548</v>
      </c>
      <c r="B1484" s="19">
        <v>83485</v>
      </c>
      <c r="C1484" s="19" t="s">
        <v>3800</v>
      </c>
      <c r="D1484" s="19" t="s">
        <v>341</v>
      </c>
      <c r="E1484" s="19" t="s">
        <v>342</v>
      </c>
      <c r="F1484" s="19" t="s">
        <v>1264</v>
      </c>
      <c r="G1484" s="19" t="s">
        <v>1028</v>
      </c>
      <c r="H1484" s="19" t="s">
        <v>1020</v>
      </c>
      <c r="I1484" s="19" t="s">
        <v>1575</v>
      </c>
      <c r="J1484" s="20">
        <v>29</v>
      </c>
      <c r="K1484" t="s">
        <v>636</v>
      </c>
      <c r="L1484" t="s">
        <v>678</v>
      </c>
      <c r="M1484" t="s">
        <v>623</v>
      </c>
      <c r="N1484" t="s">
        <v>624</v>
      </c>
      <c r="O1484" t="s">
        <v>679</v>
      </c>
    </row>
    <row r="1485" spans="1:15" x14ac:dyDescent="0.35">
      <c r="A1485" s="77">
        <v>2.8164383561643835</v>
      </c>
      <c r="B1485" s="19">
        <v>83534</v>
      </c>
      <c r="C1485" s="19" t="s">
        <v>3801</v>
      </c>
      <c r="D1485" s="19" t="s">
        <v>393</v>
      </c>
      <c r="E1485" s="19" t="s">
        <v>394</v>
      </c>
      <c r="F1485" s="19" t="s">
        <v>865</v>
      </c>
      <c r="G1485" s="19" t="s">
        <v>1028</v>
      </c>
      <c r="H1485" s="19" t="s">
        <v>1020</v>
      </c>
      <c r="I1485" s="19" t="s">
        <v>1575</v>
      </c>
      <c r="J1485" s="20">
        <v>26</v>
      </c>
      <c r="K1485" t="s">
        <v>631</v>
      </c>
      <c r="L1485" t="s">
        <v>684</v>
      </c>
      <c r="M1485" t="s">
        <v>623</v>
      </c>
      <c r="N1485" t="s">
        <v>662</v>
      </c>
      <c r="O1485" t="s">
        <v>685</v>
      </c>
    </row>
    <row r="1486" spans="1:15" x14ac:dyDescent="0.35">
      <c r="A1486" s="77">
        <v>2.8219178082191783</v>
      </c>
      <c r="B1486" s="19">
        <v>83584</v>
      </c>
      <c r="C1486" s="19" t="s">
        <v>2953</v>
      </c>
      <c r="D1486" s="19" t="s">
        <v>140</v>
      </c>
      <c r="E1486" s="19" t="s">
        <v>141</v>
      </c>
      <c r="F1486" s="19" t="s">
        <v>1138</v>
      </c>
      <c r="G1486" s="19" t="s">
        <v>1008</v>
      </c>
      <c r="H1486" s="19" t="s">
        <v>1001</v>
      </c>
      <c r="I1486" s="19" t="s">
        <v>1575</v>
      </c>
      <c r="J1486" s="20">
        <v>24</v>
      </c>
      <c r="K1486" t="s">
        <v>636</v>
      </c>
      <c r="L1486" t="s">
        <v>640</v>
      </c>
      <c r="M1486" t="s">
        <v>623</v>
      </c>
      <c r="N1486" t="s">
        <v>641</v>
      </c>
      <c r="O1486" t="s">
        <v>754</v>
      </c>
    </row>
    <row r="1487" spans="1:15" x14ac:dyDescent="0.35">
      <c r="A1487" s="77">
        <v>2.8082191780821919</v>
      </c>
      <c r="B1487" s="19">
        <v>83610</v>
      </c>
      <c r="C1487" s="19" t="s">
        <v>3802</v>
      </c>
      <c r="D1487" s="19" t="s">
        <v>280</v>
      </c>
      <c r="E1487" s="19" t="s">
        <v>281</v>
      </c>
      <c r="F1487" s="19" t="s">
        <v>1223</v>
      </c>
      <c r="G1487" s="19" t="s">
        <v>1034</v>
      </c>
      <c r="H1487" s="19" t="s">
        <v>1001</v>
      </c>
      <c r="I1487" s="19" t="s">
        <v>1599</v>
      </c>
      <c r="J1487" s="20">
        <v>21</v>
      </c>
      <c r="K1487" t="s">
        <v>631</v>
      </c>
      <c r="L1487" t="s">
        <v>691</v>
      </c>
      <c r="M1487" t="s">
        <v>657</v>
      </c>
      <c r="N1487" t="s">
        <v>658</v>
      </c>
      <c r="O1487" t="s">
        <v>632</v>
      </c>
    </row>
    <row r="1488" spans="1:15" x14ac:dyDescent="0.35">
      <c r="A1488" s="77">
        <v>1.2328767123287672</v>
      </c>
      <c r="B1488" s="19">
        <v>83611</v>
      </c>
      <c r="C1488" s="19" t="s">
        <v>3803</v>
      </c>
      <c r="D1488" s="19" t="s">
        <v>36</v>
      </c>
      <c r="E1488" s="19" t="s">
        <v>36</v>
      </c>
      <c r="F1488" s="19" t="s">
        <v>1403</v>
      </c>
      <c r="G1488" s="19" t="s">
        <v>1028</v>
      </c>
      <c r="H1488" s="19" t="s">
        <v>1020</v>
      </c>
      <c r="I1488" s="19" t="s">
        <v>1575</v>
      </c>
      <c r="J1488" s="20">
        <v>21</v>
      </c>
      <c r="K1488" t="s">
        <v>668</v>
      </c>
      <c r="L1488" t="s">
        <v>691</v>
      </c>
      <c r="M1488" t="s">
        <v>657</v>
      </c>
      <c r="N1488" t="s">
        <v>658</v>
      </c>
      <c r="O1488" t="s">
        <v>632</v>
      </c>
    </row>
    <row r="1489" spans="1:15" x14ac:dyDescent="0.35">
      <c r="A1489" s="77">
        <v>2.8136986301369862</v>
      </c>
      <c r="B1489" s="19">
        <v>83613</v>
      </c>
      <c r="C1489" s="19" t="s">
        <v>3804</v>
      </c>
      <c r="D1489" s="19" t="s">
        <v>417</v>
      </c>
      <c r="E1489" s="19" t="s">
        <v>417</v>
      </c>
      <c r="F1489" s="19" t="s">
        <v>418</v>
      </c>
      <c r="G1489" s="19" t="s">
        <v>1008</v>
      </c>
      <c r="H1489" s="19" t="s">
        <v>1001</v>
      </c>
      <c r="I1489" s="19" t="s">
        <v>1575</v>
      </c>
      <c r="J1489" s="20">
        <v>23</v>
      </c>
      <c r="K1489" t="s">
        <v>654</v>
      </c>
      <c r="L1489" t="s">
        <v>684</v>
      </c>
      <c r="M1489" t="s">
        <v>623</v>
      </c>
      <c r="N1489" t="s">
        <v>662</v>
      </c>
      <c r="O1489" t="s">
        <v>687</v>
      </c>
    </row>
    <row r="1490" spans="1:15" x14ac:dyDescent="0.35">
      <c r="A1490" s="77">
        <v>2.8109589041095893</v>
      </c>
      <c r="B1490" s="19">
        <v>83618</v>
      </c>
      <c r="C1490" s="19" t="s">
        <v>3805</v>
      </c>
      <c r="D1490" s="19" t="s">
        <v>369</v>
      </c>
      <c r="E1490" s="19" t="s">
        <v>370</v>
      </c>
      <c r="F1490" s="19" t="s">
        <v>856</v>
      </c>
      <c r="G1490" s="19" t="s">
        <v>1046</v>
      </c>
      <c r="H1490" s="19" t="s">
        <v>1001</v>
      </c>
      <c r="I1490" s="19" t="s">
        <v>1575</v>
      </c>
      <c r="J1490" s="20">
        <v>31</v>
      </c>
      <c r="K1490" t="s">
        <v>654</v>
      </c>
      <c r="L1490" t="s">
        <v>684</v>
      </c>
      <c r="M1490" t="s">
        <v>623</v>
      </c>
      <c r="N1490" t="s">
        <v>662</v>
      </c>
      <c r="O1490" t="s">
        <v>857</v>
      </c>
    </row>
    <row r="1491" spans="1:15" x14ac:dyDescent="0.35">
      <c r="A1491" s="77">
        <v>2.8054794520547945</v>
      </c>
      <c r="B1491" s="19">
        <v>83647</v>
      </c>
      <c r="C1491" s="19" t="s">
        <v>3806</v>
      </c>
      <c r="D1491" s="19" t="s">
        <v>328</v>
      </c>
      <c r="E1491" s="19" t="s">
        <v>329</v>
      </c>
      <c r="F1491" s="19" t="s">
        <v>838</v>
      </c>
      <c r="G1491" s="19" t="s">
        <v>1019</v>
      </c>
      <c r="H1491" s="19" t="s">
        <v>1020</v>
      </c>
      <c r="I1491" s="19" t="s">
        <v>1575</v>
      </c>
      <c r="J1491" s="20">
        <v>22</v>
      </c>
      <c r="K1491" t="s">
        <v>631</v>
      </c>
      <c r="L1491" t="s">
        <v>645</v>
      </c>
      <c r="M1491" t="s">
        <v>629</v>
      </c>
      <c r="N1491" t="s">
        <v>646</v>
      </c>
      <c r="O1491" t="s">
        <v>632</v>
      </c>
    </row>
    <row r="1492" spans="1:15" x14ac:dyDescent="0.35">
      <c r="A1492" s="77">
        <v>1.8301369863013699</v>
      </c>
      <c r="B1492" s="19">
        <v>83678</v>
      </c>
      <c r="C1492" s="19" t="s">
        <v>3807</v>
      </c>
      <c r="D1492" s="19" t="s">
        <v>145</v>
      </c>
      <c r="E1492" s="19" t="s">
        <v>146</v>
      </c>
      <c r="F1492" s="19" t="s">
        <v>1015</v>
      </c>
      <c r="G1492" s="19" t="s">
        <v>1028</v>
      </c>
      <c r="H1492" s="19" t="s">
        <v>1020</v>
      </c>
      <c r="I1492" s="19" t="s">
        <v>1575</v>
      </c>
      <c r="J1492" s="20">
        <v>22</v>
      </c>
      <c r="K1492" t="s">
        <v>636</v>
      </c>
      <c r="L1492" t="s">
        <v>737</v>
      </c>
      <c r="M1492" t="s">
        <v>657</v>
      </c>
      <c r="N1492" t="s">
        <v>641</v>
      </c>
      <c r="O1492" t="s">
        <v>757</v>
      </c>
    </row>
    <row r="1493" spans="1:15" x14ac:dyDescent="0.35">
      <c r="A1493" s="77">
        <v>0.29315068493150687</v>
      </c>
      <c r="B1493" s="19">
        <v>83705</v>
      </c>
      <c r="C1493" s="19" t="s">
        <v>3808</v>
      </c>
      <c r="D1493" s="19" t="s">
        <v>377</v>
      </c>
      <c r="E1493" s="19" t="s">
        <v>378</v>
      </c>
      <c r="F1493" s="19" t="s">
        <v>862</v>
      </c>
      <c r="G1493" s="19" t="s">
        <v>1008</v>
      </c>
      <c r="H1493" s="19" t="s">
        <v>1001</v>
      </c>
      <c r="I1493" s="19" t="s">
        <v>1575</v>
      </c>
      <c r="J1493" s="20">
        <v>24</v>
      </c>
      <c r="K1493" t="s">
        <v>631</v>
      </c>
      <c r="L1493" t="s">
        <v>661</v>
      </c>
      <c r="M1493" t="s">
        <v>657</v>
      </c>
      <c r="N1493" t="s">
        <v>662</v>
      </c>
      <c r="O1493" t="s">
        <v>632</v>
      </c>
    </row>
    <row r="1494" spans="1:15" x14ac:dyDescent="0.35">
      <c r="A1494" s="77">
        <v>2.7890410958904108</v>
      </c>
      <c r="B1494" s="19">
        <v>83749</v>
      </c>
      <c r="C1494" s="19" t="s">
        <v>3809</v>
      </c>
      <c r="D1494" s="19" t="s">
        <v>140</v>
      </c>
      <c r="E1494" s="19" t="s">
        <v>141</v>
      </c>
      <c r="F1494" s="19" t="s">
        <v>1138</v>
      </c>
      <c r="G1494" s="19" t="s">
        <v>1084</v>
      </c>
      <c r="H1494" s="19" t="s">
        <v>1001</v>
      </c>
      <c r="I1494" s="19" t="s">
        <v>1575</v>
      </c>
      <c r="J1494" s="20">
        <v>24</v>
      </c>
      <c r="K1494" t="s">
        <v>636</v>
      </c>
      <c r="L1494" t="s">
        <v>640</v>
      </c>
      <c r="M1494" t="s">
        <v>623</v>
      </c>
      <c r="N1494" t="s">
        <v>641</v>
      </c>
      <c r="O1494" t="s">
        <v>754</v>
      </c>
    </row>
    <row r="1495" spans="1:15" x14ac:dyDescent="0.35">
      <c r="A1495" s="77">
        <v>2.8054794520547945</v>
      </c>
      <c r="B1495" s="19">
        <v>83776</v>
      </c>
      <c r="C1495" s="19" t="s">
        <v>3810</v>
      </c>
      <c r="D1495" s="19" t="s">
        <v>349</v>
      </c>
      <c r="E1495" s="19" t="s">
        <v>350</v>
      </c>
      <c r="F1495" s="19" t="s">
        <v>912</v>
      </c>
      <c r="G1495" s="19" t="s">
        <v>1028</v>
      </c>
      <c r="H1495" s="19" t="s">
        <v>1020</v>
      </c>
      <c r="I1495" s="19" t="s">
        <v>1575</v>
      </c>
      <c r="J1495" s="20">
        <v>33</v>
      </c>
      <c r="K1495" t="s">
        <v>625</v>
      </c>
      <c r="L1495" t="s">
        <v>648</v>
      </c>
      <c r="M1495" t="s">
        <v>623</v>
      </c>
      <c r="N1495" t="s">
        <v>624</v>
      </c>
      <c r="O1495" t="s">
        <v>649</v>
      </c>
    </row>
    <row r="1496" spans="1:15" x14ac:dyDescent="0.35">
      <c r="A1496" s="77">
        <v>2.8027397260273972</v>
      </c>
      <c r="B1496" s="19">
        <v>83780</v>
      </c>
      <c r="C1496" s="19" t="s">
        <v>3811</v>
      </c>
      <c r="D1496" s="19" t="s">
        <v>326</v>
      </c>
      <c r="E1496" s="19" t="s">
        <v>327</v>
      </c>
      <c r="F1496" s="19" t="s">
        <v>1051</v>
      </c>
      <c r="G1496" s="19" t="s">
        <v>1046</v>
      </c>
      <c r="H1496" s="19" t="s">
        <v>1001</v>
      </c>
      <c r="I1496" s="19" t="s">
        <v>1575</v>
      </c>
      <c r="J1496" s="20">
        <v>27</v>
      </c>
      <c r="K1496" t="s">
        <v>631</v>
      </c>
      <c r="L1496" t="s">
        <v>648</v>
      </c>
      <c r="M1496" t="s">
        <v>623</v>
      </c>
      <c r="N1496" t="s">
        <v>624</v>
      </c>
      <c r="O1496" t="s">
        <v>837</v>
      </c>
    </row>
    <row r="1497" spans="1:15" x14ac:dyDescent="0.35">
      <c r="A1497" s="77">
        <v>2.7835616438356166</v>
      </c>
      <c r="B1497" s="19">
        <v>83798</v>
      </c>
      <c r="C1497" s="19" t="s">
        <v>3812</v>
      </c>
      <c r="D1497" s="19" t="s">
        <v>18</v>
      </c>
      <c r="E1497" s="19" t="s">
        <v>18</v>
      </c>
      <c r="F1497" s="19" t="s">
        <v>650</v>
      </c>
      <c r="G1497" s="19" t="s">
        <v>1589</v>
      </c>
      <c r="H1497" s="19" t="s">
        <v>1001</v>
      </c>
      <c r="I1497" s="19" t="s">
        <v>1599</v>
      </c>
      <c r="J1497" s="20">
        <v>25</v>
      </c>
      <c r="K1497" t="s">
        <v>636</v>
      </c>
      <c r="L1497" t="s">
        <v>651</v>
      </c>
      <c r="M1497" t="s">
        <v>629</v>
      </c>
      <c r="N1497" t="s">
        <v>630</v>
      </c>
      <c r="O1497" t="s">
        <v>652</v>
      </c>
    </row>
    <row r="1498" spans="1:15" x14ac:dyDescent="0.35">
      <c r="A1498" s="77">
        <v>2.7863013698630139</v>
      </c>
      <c r="B1498" s="19">
        <v>83804</v>
      </c>
      <c r="C1498" s="19" t="s">
        <v>3813</v>
      </c>
      <c r="D1498" s="19" t="s">
        <v>201</v>
      </c>
      <c r="E1498" s="19" t="s">
        <v>202</v>
      </c>
      <c r="F1498" s="19" t="s">
        <v>1061</v>
      </c>
      <c r="G1498" s="19" t="s">
        <v>1008</v>
      </c>
      <c r="H1498" s="19" t="s">
        <v>1001</v>
      </c>
      <c r="I1498" s="19" t="s">
        <v>1575</v>
      </c>
      <c r="J1498" s="20">
        <v>21</v>
      </c>
      <c r="K1498" t="s">
        <v>631</v>
      </c>
      <c r="L1498" t="s">
        <v>628</v>
      </c>
      <c r="M1498" t="s">
        <v>629</v>
      </c>
      <c r="N1498" t="s">
        <v>630</v>
      </c>
      <c r="O1498" t="s">
        <v>784</v>
      </c>
    </row>
    <row r="1499" spans="1:15" x14ac:dyDescent="0.35">
      <c r="A1499" s="77">
        <v>2.7863013698630139</v>
      </c>
      <c r="B1499" s="19">
        <v>83816</v>
      </c>
      <c r="C1499" s="19" t="s">
        <v>3814</v>
      </c>
      <c r="D1499" s="19" t="s">
        <v>393</v>
      </c>
      <c r="E1499" s="19" t="s">
        <v>394</v>
      </c>
      <c r="F1499" s="19" t="s">
        <v>865</v>
      </c>
      <c r="G1499" s="19" t="s">
        <v>1008</v>
      </c>
      <c r="H1499" s="19" t="s">
        <v>1001</v>
      </c>
      <c r="I1499" s="19" t="s">
        <v>1575</v>
      </c>
      <c r="J1499" s="20">
        <v>22</v>
      </c>
      <c r="K1499" t="s">
        <v>631</v>
      </c>
      <c r="L1499" t="s">
        <v>684</v>
      </c>
      <c r="M1499" t="s">
        <v>623</v>
      </c>
      <c r="N1499" t="s">
        <v>662</v>
      </c>
      <c r="O1499" t="s">
        <v>685</v>
      </c>
    </row>
    <row r="1500" spans="1:15" x14ac:dyDescent="0.35">
      <c r="A1500" s="77">
        <v>2.7835616438356166</v>
      </c>
      <c r="B1500" s="19">
        <v>83830</v>
      </c>
      <c r="C1500" s="19" t="s">
        <v>3815</v>
      </c>
      <c r="D1500" s="19" t="s">
        <v>357</v>
      </c>
      <c r="E1500" s="19" t="s">
        <v>358</v>
      </c>
      <c r="F1500" s="19" t="s">
        <v>1161</v>
      </c>
      <c r="G1500" s="19" t="s">
        <v>1008</v>
      </c>
      <c r="H1500" s="19" t="s">
        <v>1001</v>
      </c>
      <c r="I1500" s="19" t="s">
        <v>1575</v>
      </c>
      <c r="J1500" s="20">
        <v>21</v>
      </c>
      <c r="K1500" t="s">
        <v>668</v>
      </c>
      <c r="L1500" t="s">
        <v>640</v>
      </c>
      <c r="M1500" t="s">
        <v>623</v>
      </c>
      <c r="N1500" t="s">
        <v>641</v>
      </c>
      <c r="O1500" t="s">
        <v>852</v>
      </c>
    </row>
    <row r="1501" spans="1:15" x14ac:dyDescent="0.35">
      <c r="A1501" s="77">
        <v>2.7835616438356166</v>
      </c>
      <c r="B1501" s="19">
        <v>83837</v>
      </c>
      <c r="C1501" s="19" t="s">
        <v>3816</v>
      </c>
      <c r="D1501" s="19" t="s">
        <v>147</v>
      </c>
      <c r="E1501" s="19" t="s">
        <v>148</v>
      </c>
      <c r="F1501" s="19" t="s">
        <v>1396</v>
      </c>
      <c r="G1501" s="19" t="s">
        <v>1034</v>
      </c>
      <c r="H1501" s="19" t="s">
        <v>1001</v>
      </c>
      <c r="I1501" s="19" t="s">
        <v>1575</v>
      </c>
      <c r="J1501" s="20">
        <v>23</v>
      </c>
      <c r="K1501" t="s">
        <v>636</v>
      </c>
      <c r="L1501" t="s">
        <v>661</v>
      </c>
      <c r="M1501" t="s">
        <v>657</v>
      </c>
      <c r="N1501" t="s">
        <v>662</v>
      </c>
      <c r="O1501" t="s">
        <v>632</v>
      </c>
    </row>
    <row r="1502" spans="1:15" x14ac:dyDescent="0.35">
      <c r="A1502" s="77">
        <v>2.7835616438356166</v>
      </c>
      <c r="B1502" s="19">
        <v>83838</v>
      </c>
      <c r="C1502" s="19" t="s">
        <v>3817</v>
      </c>
      <c r="D1502" s="19" t="s">
        <v>258</v>
      </c>
      <c r="E1502" s="19" t="s">
        <v>259</v>
      </c>
      <c r="F1502" s="19" t="s">
        <v>1349</v>
      </c>
      <c r="G1502" s="19" t="s">
        <v>1028</v>
      </c>
      <c r="H1502" s="19" t="s">
        <v>1020</v>
      </c>
      <c r="I1502" s="19" t="s">
        <v>1575</v>
      </c>
      <c r="J1502" s="20">
        <v>56</v>
      </c>
      <c r="K1502" t="s">
        <v>668</v>
      </c>
      <c r="L1502" t="s">
        <v>691</v>
      </c>
      <c r="M1502" t="s">
        <v>657</v>
      </c>
      <c r="N1502" t="s">
        <v>658</v>
      </c>
      <c r="O1502" t="s">
        <v>632</v>
      </c>
    </row>
    <row r="1503" spans="1:15" x14ac:dyDescent="0.35">
      <c r="A1503" s="77">
        <v>2.7753424657534245</v>
      </c>
      <c r="B1503" s="19">
        <v>83844</v>
      </c>
      <c r="C1503" s="19" t="s">
        <v>3818</v>
      </c>
      <c r="D1503" s="19" t="s">
        <v>55</v>
      </c>
      <c r="E1503" s="19" t="s">
        <v>56</v>
      </c>
      <c r="F1503" s="19" t="s">
        <v>1684</v>
      </c>
      <c r="G1503" s="19" t="s">
        <v>1084</v>
      </c>
      <c r="H1503" s="19" t="s">
        <v>1001</v>
      </c>
      <c r="I1503" s="19" t="s">
        <v>1599</v>
      </c>
      <c r="J1503" s="20">
        <v>25</v>
      </c>
      <c r="K1503" t="s">
        <v>668</v>
      </c>
      <c r="L1503" t="s">
        <v>707</v>
      </c>
      <c r="M1503" t="s">
        <v>629</v>
      </c>
      <c r="N1503" t="s">
        <v>635</v>
      </c>
      <c r="O1503" t="s">
        <v>708</v>
      </c>
    </row>
    <row r="1504" spans="1:15" x14ac:dyDescent="0.35">
      <c r="A1504" s="77">
        <v>2.7753424657534245</v>
      </c>
      <c r="B1504" s="19">
        <v>83846</v>
      </c>
      <c r="C1504" s="19" t="s">
        <v>3819</v>
      </c>
      <c r="D1504" s="19" t="s">
        <v>357</v>
      </c>
      <c r="E1504" s="19" t="s">
        <v>358</v>
      </c>
      <c r="F1504" s="19" t="s">
        <v>1161</v>
      </c>
      <c r="G1504" s="19" t="s">
        <v>1028</v>
      </c>
      <c r="H1504" s="19" t="s">
        <v>1020</v>
      </c>
      <c r="I1504" s="19" t="s">
        <v>1599</v>
      </c>
      <c r="J1504" s="20">
        <v>32</v>
      </c>
      <c r="K1504" t="s">
        <v>668</v>
      </c>
      <c r="L1504" t="s">
        <v>640</v>
      </c>
      <c r="M1504" t="s">
        <v>623</v>
      </c>
      <c r="N1504" t="s">
        <v>641</v>
      </c>
      <c r="O1504" t="s">
        <v>852</v>
      </c>
    </row>
    <row r="1505" spans="1:15" x14ac:dyDescent="0.35">
      <c r="A1505" s="77">
        <v>2.7726027397260276</v>
      </c>
      <c r="B1505" s="19">
        <v>83859</v>
      </c>
      <c r="C1505" s="19" t="s">
        <v>3820</v>
      </c>
      <c r="D1505" s="19" t="s">
        <v>31</v>
      </c>
      <c r="E1505" s="19" t="s">
        <v>31</v>
      </c>
      <c r="F1505" s="19" t="s">
        <v>675</v>
      </c>
      <c r="G1505" s="19" t="s">
        <v>3508</v>
      </c>
      <c r="H1505" s="19" t="s">
        <v>1020</v>
      </c>
      <c r="I1505" s="19" t="s">
        <v>1599</v>
      </c>
      <c r="J1505" s="20">
        <v>17</v>
      </c>
      <c r="K1505" t="s">
        <v>654</v>
      </c>
      <c r="L1505" t="s">
        <v>670</v>
      </c>
      <c r="M1505" t="s">
        <v>657</v>
      </c>
      <c r="N1505" t="s">
        <v>641</v>
      </c>
      <c r="O1505" t="s">
        <v>676</v>
      </c>
    </row>
    <row r="1506" spans="1:15" x14ac:dyDescent="0.35">
      <c r="A1506" s="77">
        <v>2.7835616438356166</v>
      </c>
      <c r="B1506" s="19">
        <v>83881</v>
      </c>
      <c r="C1506" s="19" t="s">
        <v>3821</v>
      </c>
      <c r="D1506" s="19" t="s">
        <v>355</v>
      </c>
      <c r="E1506" s="19" t="s">
        <v>356</v>
      </c>
      <c r="F1506" s="19" t="s">
        <v>1100</v>
      </c>
      <c r="G1506" s="19" t="s">
        <v>1028</v>
      </c>
      <c r="H1506" s="19" t="s">
        <v>1020</v>
      </c>
      <c r="I1506" s="19" t="s">
        <v>1575</v>
      </c>
      <c r="J1506" s="20">
        <v>22</v>
      </c>
      <c r="K1506" t="s">
        <v>625</v>
      </c>
      <c r="L1506" t="s">
        <v>622</v>
      </c>
      <c r="M1506" t="s">
        <v>623</v>
      </c>
      <c r="N1506" t="s">
        <v>624</v>
      </c>
      <c r="O1506" t="s">
        <v>649</v>
      </c>
    </row>
    <row r="1507" spans="1:15" x14ac:dyDescent="0.35">
      <c r="A1507" s="77">
        <v>2.7479452054794522</v>
      </c>
      <c r="B1507" s="19">
        <v>83889</v>
      </c>
      <c r="C1507" s="19" t="s">
        <v>3822</v>
      </c>
      <c r="D1507" s="19" t="s">
        <v>413</v>
      </c>
      <c r="E1507" s="19" t="s">
        <v>414</v>
      </c>
      <c r="F1507" s="19" t="s">
        <v>1699</v>
      </c>
      <c r="G1507" s="19" t="s">
        <v>1057</v>
      </c>
      <c r="H1507" s="19" t="s">
        <v>1001</v>
      </c>
      <c r="I1507" s="19" t="s">
        <v>1575</v>
      </c>
      <c r="J1507" s="20">
        <v>30</v>
      </c>
      <c r="K1507" t="s">
        <v>668</v>
      </c>
      <c r="L1507" t="s">
        <v>691</v>
      </c>
      <c r="M1507" t="s">
        <v>657</v>
      </c>
      <c r="N1507" t="s">
        <v>658</v>
      </c>
      <c r="O1507" t="s">
        <v>632</v>
      </c>
    </row>
    <row r="1508" spans="1:15" x14ac:dyDescent="0.35">
      <c r="A1508" s="77">
        <v>2.7479452054794522</v>
      </c>
      <c r="B1508" s="19">
        <v>83930</v>
      </c>
      <c r="C1508" s="19" t="s">
        <v>3823</v>
      </c>
      <c r="D1508" s="19" t="s">
        <v>318</v>
      </c>
      <c r="E1508" s="19" t="s">
        <v>319</v>
      </c>
      <c r="F1508" s="19" t="s">
        <v>1266</v>
      </c>
      <c r="G1508" s="19" t="s">
        <v>1034</v>
      </c>
      <c r="H1508" s="19" t="s">
        <v>1001</v>
      </c>
      <c r="I1508" s="19" t="s">
        <v>1575</v>
      </c>
      <c r="J1508" s="20">
        <v>27</v>
      </c>
      <c r="K1508" t="s">
        <v>625</v>
      </c>
      <c r="L1508" t="s">
        <v>678</v>
      </c>
      <c r="M1508" t="s">
        <v>623</v>
      </c>
      <c r="N1508" t="s">
        <v>624</v>
      </c>
      <c r="O1508" t="s">
        <v>679</v>
      </c>
    </row>
    <row r="1509" spans="1:15" x14ac:dyDescent="0.35">
      <c r="A1509" s="77">
        <v>0.16438356164383561</v>
      </c>
      <c r="B1509" s="19">
        <v>83945</v>
      </c>
      <c r="C1509" s="19" t="s">
        <v>3824</v>
      </c>
      <c r="D1509" s="19" t="s">
        <v>256</v>
      </c>
      <c r="E1509" s="19" t="s">
        <v>257</v>
      </c>
      <c r="F1509" s="19" t="s">
        <v>1005</v>
      </c>
      <c r="G1509" s="19" t="s">
        <v>1028</v>
      </c>
      <c r="H1509" s="19" t="s">
        <v>1020</v>
      </c>
      <c r="I1509" s="19" t="s">
        <v>1575</v>
      </c>
      <c r="J1509" s="20">
        <v>24</v>
      </c>
      <c r="K1509" t="s">
        <v>668</v>
      </c>
      <c r="L1509" t="s">
        <v>651</v>
      </c>
      <c r="M1509" t="s">
        <v>629</v>
      </c>
      <c r="N1509" t="s">
        <v>630</v>
      </c>
      <c r="O1509" t="s">
        <v>705</v>
      </c>
    </row>
    <row r="1510" spans="1:15" x14ac:dyDescent="0.35">
      <c r="A1510" s="77">
        <v>2.7452054794520548</v>
      </c>
      <c r="B1510" s="19">
        <v>83951</v>
      </c>
      <c r="C1510" s="19" t="s">
        <v>3825</v>
      </c>
      <c r="D1510" s="19" t="s">
        <v>262</v>
      </c>
      <c r="E1510" s="19" t="s">
        <v>263</v>
      </c>
      <c r="F1510" s="19" t="s">
        <v>2336</v>
      </c>
      <c r="G1510" s="19" t="s">
        <v>1057</v>
      </c>
      <c r="H1510" s="19" t="s">
        <v>1001</v>
      </c>
      <c r="I1510" s="19" t="s">
        <v>1575</v>
      </c>
      <c r="J1510" s="20">
        <v>22</v>
      </c>
      <c r="K1510" t="s">
        <v>668</v>
      </c>
      <c r="L1510" t="s">
        <v>663</v>
      </c>
      <c r="M1510" t="s">
        <v>629</v>
      </c>
      <c r="N1510" t="s">
        <v>646</v>
      </c>
      <c r="O1510" t="s">
        <v>810</v>
      </c>
    </row>
    <row r="1511" spans="1:15" x14ac:dyDescent="0.35">
      <c r="A1511" s="77">
        <v>2.7452054794520548</v>
      </c>
      <c r="B1511" s="19">
        <v>83960</v>
      </c>
      <c r="C1511" s="19" t="s">
        <v>3826</v>
      </c>
      <c r="D1511" s="19" t="s">
        <v>124</v>
      </c>
      <c r="E1511" s="19" t="s">
        <v>125</v>
      </c>
      <c r="F1511" s="19" t="s">
        <v>1398</v>
      </c>
      <c r="G1511" s="19" t="s">
        <v>1034</v>
      </c>
      <c r="H1511" s="19" t="s">
        <v>1001</v>
      </c>
      <c r="I1511" s="19" t="s">
        <v>1575</v>
      </c>
      <c r="J1511" s="20">
        <v>21</v>
      </c>
      <c r="K1511" t="s">
        <v>654</v>
      </c>
      <c r="L1511" t="s">
        <v>661</v>
      </c>
      <c r="M1511" t="s">
        <v>657</v>
      </c>
      <c r="N1511" t="s">
        <v>662</v>
      </c>
      <c r="O1511" t="s">
        <v>632</v>
      </c>
    </row>
    <row r="1512" spans="1:15" x14ac:dyDescent="0.35">
      <c r="A1512" s="77">
        <v>2.7452054794520548</v>
      </c>
      <c r="B1512" s="19">
        <v>83965</v>
      </c>
      <c r="C1512" s="19" t="s">
        <v>3827</v>
      </c>
      <c r="D1512" s="19" t="s">
        <v>135</v>
      </c>
      <c r="E1512" s="19" t="s">
        <v>136</v>
      </c>
      <c r="F1512" s="19" t="s">
        <v>2393</v>
      </c>
      <c r="G1512" s="19" t="s">
        <v>1057</v>
      </c>
      <c r="H1512" s="19" t="s">
        <v>1001</v>
      </c>
      <c r="I1512" s="19" t="s">
        <v>1575</v>
      </c>
      <c r="J1512" s="20">
        <v>31</v>
      </c>
      <c r="K1512" t="s">
        <v>668</v>
      </c>
      <c r="L1512" t="s">
        <v>651</v>
      </c>
      <c r="M1512" t="s">
        <v>629</v>
      </c>
      <c r="N1512" t="s">
        <v>630</v>
      </c>
      <c r="O1512" t="s">
        <v>652</v>
      </c>
    </row>
    <row r="1513" spans="1:15" x14ac:dyDescent="0.35">
      <c r="A1513" s="77">
        <v>2.7479452054794522</v>
      </c>
      <c r="B1513" s="19">
        <v>83968</v>
      </c>
      <c r="C1513" s="19" t="s">
        <v>3828</v>
      </c>
      <c r="D1513" s="19" t="s">
        <v>417</v>
      </c>
      <c r="E1513" s="19" t="s">
        <v>417</v>
      </c>
      <c r="F1513" s="19" t="s">
        <v>418</v>
      </c>
      <c r="G1513" s="19" t="s">
        <v>1057</v>
      </c>
      <c r="H1513" s="19" t="s">
        <v>1001</v>
      </c>
      <c r="I1513" s="19" t="s">
        <v>1575</v>
      </c>
      <c r="J1513" s="20">
        <v>22</v>
      </c>
      <c r="K1513" t="s">
        <v>654</v>
      </c>
      <c r="L1513" t="s">
        <v>684</v>
      </c>
      <c r="M1513" t="s">
        <v>623</v>
      </c>
      <c r="N1513" t="s">
        <v>662</v>
      </c>
      <c r="O1513" t="s">
        <v>687</v>
      </c>
    </row>
    <row r="1514" spans="1:15" x14ac:dyDescent="0.35">
      <c r="A1514" s="77">
        <v>1.6958904109589041</v>
      </c>
      <c r="B1514" s="19">
        <v>83974</v>
      </c>
      <c r="C1514" s="19" t="s">
        <v>3829</v>
      </c>
      <c r="D1514" s="19" t="s">
        <v>339</v>
      </c>
      <c r="E1514" s="19" t="s">
        <v>340</v>
      </c>
      <c r="F1514" s="19" t="s">
        <v>1024</v>
      </c>
      <c r="G1514" s="19" t="s">
        <v>1008</v>
      </c>
      <c r="H1514" s="19" t="s">
        <v>1001</v>
      </c>
      <c r="I1514" s="19" t="s">
        <v>1599</v>
      </c>
      <c r="J1514" s="20">
        <v>22</v>
      </c>
      <c r="K1514" t="s">
        <v>631</v>
      </c>
      <c r="L1514" t="s">
        <v>651</v>
      </c>
      <c r="M1514" t="s">
        <v>629</v>
      </c>
      <c r="N1514" t="s">
        <v>630</v>
      </c>
      <c r="O1514" t="s">
        <v>705</v>
      </c>
    </row>
    <row r="1515" spans="1:15" x14ac:dyDescent="0.35">
      <c r="A1515" s="77">
        <v>2.1643835616438358</v>
      </c>
      <c r="B1515" s="19">
        <v>84016</v>
      </c>
      <c r="C1515" s="19" t="s">
        <v>3830</v>
      </c>
      <c r="D1515" s="19" t="s">
        <v>369</v>
      </c>
      <c r="E1515" s="19" t="s">
        <v>370</v>
      </c>
      <c r="F1515" s="19" t="s">
        <v>856</v>
      </c>
      <c r="G1515" s="19" t="s">
        <v>1008</v>
      </c>
      <c r="H1515" s="19" t="s">
        <v>1001</v>
      </c>
      <c r="I1515" s="19" t="s">
        <v>1575</v>
      </c>
      <c r="J1515" s="20">
        <v>39</v>
      </c>
      <c r="K1515" t="s">
        <v>654</v>
      </c>
      <c r="L1515" t="s">
        <v>684</v>
      </c>
      <c r="M1515" t="s">
        <v>623</v>
      </c>
      <c r="N1515" t="s">
        <v>662</v>
      </c>
      <c r="O1515" t="s">
        <v>857</v>
      </c>
    </row>
    <row r="1516" spans="1:15" x14ac:dyDescent="0.35">
      <c r="A1516" s="77">
        <v>2.7342465753424658</v>
      </c>
      <c r="B1516" s="19">
        <v>84018</v>
      </c>
      <c r="C1516" s="19" t="s">
        <v>3831</v>
      </c>
      <c r="D1516" s="19" t="s">
        <v>222</v>
      </c>
      <c r="E1516" s="19" t="s">
        <v>223</v>
      </c>
      <c r="F1516" s="19" t="s">
        <v>1660</v>
      </c>
      <c r="G1516" s="19" t="s">
        <v>1008</v>
      </c>
      <c r="H1516" s="19" t="s">
        <v>1001</v>
      </c>
      <c r="I1516" s="19" t="s">
        <v>1575</v>
      </c>
      <c r="J1516" s="20">
        <v>26</v>
      </c>
      <c r="K1516" t="s">
        <v>642</v>
      </c>
      <c r="L1516" t="s">
        <v>684</v>
      </c>
      <c r="M1516" t="s">
        <v>623</v>
      </c>
      <c r="N1516" t="s">
        <v>662</v>
      </c>
      <c r="O1516" t="s">
        <v>792</v>
      </c>
    </row>
    <row r="1517" spans="1:15" x14ac:dyDescent="0.35">
      <c r="A1517" s="77">
        <v>2.7315068493150685</v>
      </c>
      <c r="B1517" s="19">
        <v>84023</v>
      </c>
      <c r="C1517" s="19" t="s">
        <v>3832</v>
      </c>
      <c r="D1517" s="19" t="s">
        <v>422</v>
      </c>
      <c r="E1517" s="19" t="s">
        <v>422</v>
      </c>
      <c r="F1517" s="19" t="s">
        <v>423</v>
      </c>
      <c r="G1517" s="19" t="s">
        <v>1034</v>
      </c>
      <c r="H1517" s="19" t="s">
        <v>1001</v>
      </c>
      <c r="I1517" s="19" t="s">
        <v>1599</v>
      </c>
      <c r="J1517" s="20">
        <v>25</v>
      </c>
      <c r="K1517" t="s">
        <v>654</v>
      </c>
      <c r="L1517" t="s">
        <v>673</v>
      </c>
      <c r="M1517" t="s">
        <v>623</v>
      </c>
      <c r="N1517" t="s">
        <v>641</v>
      </c>
      <c r="O1517" t="s">
        <v>697</v>
      </c>
    </row>
    <row r="1518" spans="1:15" x14ac:dyDescent="0.35">
      <c r="A1518" s="77">
        <v>1.4109589041095891</v>
      </c>
      <c r="B1518" s="19">
        <v>84031</v>
      </c>
      <c r="C1518" s="19" t="s">
        <v>3833</v>
      </c>
      <c r="D1518" s="19" t="s">
        <v>16</v>
      </c>
      <c r="E1518" s="19" t="s">
        <v>16</v>
      </c>
      <c r="F1518" s="19" t="s">
        <v>1211</v>
      </c>
      <c r="G1518" s="19" t="s">
        <v>1028</v>
      </c>
      <c r="H1518" s="19" t="s">
        <v>1020</v>
      </c>
      <c r="I1518" s="19" t="s">
        <v>1599</v>
      </c>
      <c r="J1518" s="20">
        <v>25</v>
      </c>
      <c r="K1518" t="s">
        <v>631</v>
      </c>
      <c r="L1518" t="s">
        <v>645</v>
      </c>
      <c r="M1518" t="s">
        <v>629</v>
      </c>
      <c r="N1518" t="s">
        <v>646</v>
      </c>
      <c r="O1518" t="s">
        <v>632</v>
      </c>
    </row>
    <row r="1519" spans="1:15" x14ac:dyDescent="0.35">
      <c r="A1519" s="77">
        <v>2.7315068493150685</v>
      </c>
      <c r="B1519" s="19">
        <v>84032</v>
      </c>
      <c r="C1519" s="19" t="s">
        <v>3834</v>
      </c>
      <c r="D1519" s="19" t="s">
        <v>19</v>
      </c>
      <c r="E1519" s="19" t="s">
        <v>19</v>
      </c>
      <c r="F1519" s="19" t="s">
        <v>1255</v>
      </c>
      <c r="G1519" s="19" t="s">
        <v>1046</v>
      </c>
      <c r="H1519" s="19" t="s">
        <v>1001</v>
      </c>
      <c r="I1519" s="19" t="s">
        <v>1575</v>
      </c>
      <c r="J1519" s="20">
        <v>39</v>
      </c>
      <c r="K1519" t="s">
        <v>654</v>
      </c>
      <c r="L1519" t="s">
        <v>645</v>
      </c>
      <c r="M1519" t="s">
        <v>629</v>
      </c>
      <c r="N1519" t="s">
        <v>646</v>
      </c>
      <c r="O1519" t="s">
        <v>632</v>
      </c>
    </row>
    <row r="1520" spans="1:15" x14ac:dyDescent="0.35">
      <c r="A1520" s="77">
        <v>2.7315068493150685</v>
      </c>
      <c r="B1520" s="19">
        <v>84037</v>
      </c>
      <c r="C1520" s="19" t="s">
        <v>3835</v>
      </c>
      <c r="D1520" s="19" t="s">
        <v>102</v>
      </c>
      <c r="E1520" s="19" t="s">
        <v>103</v>
      </c>
      <c r="F1520" s="19" t="s">
        <v>1306</v>
      </c>
      <c r="G1520" s="19" t="s">
        <v>1057</v>
      </c>
      <c r="H1520" s="19" t="s">
        <v>1001</v>
      </c>
      <c r="I1520" s="19" t="s">
        <v>1575</v>
      </c>
      <c r="J1520" s="20">
        <v>22</v>
      </c>
      <c r="K1520" t="s">
        <v>654</v>
      </c>
      <c r="L1520" t="s">
        <v>707</v>
      </c>
      <c r="M1520" t="s">
        <v>629</v>
      </c>
      <c r="N1520" t="s">
        <v>635</v>
      </c>
      <c r="O1520" t="s">
        <v>708</v>
      </c>
    </row>
    <row r="1521" spans="1:15" x14ac:dyDescent="0.35">
      <c r="A1521" s="77">
        <v>2.7287671232876711</v>
      </c>
      <c r="B1521" s="19">
        <v>84042</v>
      </c>
      <c r="C1521" s="19" t="s">
        <v>3836</v>
      </c>
      <c r="D1521" s="19" t="s">
        <v>339</v>
      </c>
      <c r="E1521" s="19" t="s">
        <v>340</v>
      </c>
      <c r="F1521" s="19" t="s">
        <v>1024</v>
      </c>
      <c r="G1521" s="19" t="s">
        <v>1028</v>
      </c>
      <c r="H1521" s="19" t="s">
        <v>1020</v>
      </c>
      <c r="I1521" s="19" t="s">
        <v>1575</v>
      </c>
      <c r="J1521" s="20">
        <v>26</v>
      </c>
      <c r="K1521" t="s">
        <v>631</v>
      </c>
      <c r="L1521" t="s">
        <v>651</v>
      </c>
      <c r="M1521" t="s">
        <v>629</v>
      </c>
      <c r="N1521" t="s">
        <v>630</v>
      </c>
      <c r="O1521" t="s">
        <v>705</v>
      </c>
    </row>
    <row r="1522" spans="1:15" x14ac:dyDescent="0.35">
      <c r="A1522" s="77">
        <v>2.1534246575342464</v>
      </c>
      <c r="B1522" s="19">
        <v>84048</v>
      </c>
      <c r="C1522" s="19" t="s">
        <v>3837</v>
      </c>
      <c r="D1522" s="19" t="s">
        <v>218</v>
      </c>
      <c r="E1522" s="19" t="s">
        <v>219</v>
      </c>
      <c r="F1522" s="19" t="s">
        <v>1372</v>
      </c>
      <c r="G1522" s="19" t="s">
        <v>1034</v>
      </c>
      <c r="H1522" s="19" t="s">
        <v>1001</v>
      </c>
      <c r="I1522" s="19" t="s">
        <v>1575</v>
      </c>
      <c r="J1522" s="20">
        <v>23</v>
      </c>
      <c r="K1522" t="s">
        <v>625</v>
      </c>
      <c r="L1522" t="s">
        <v>661</v>
      </c>
      <c r="M1522" t="s">
        <v>657</v>
      </c>
      <c r="N1522" t="s">
        <v>662</v>
      </c>
      <c r="O1522" t="s">
        <v>632</v>
      </c>
    </row>
    <row r="1523" spans="1:15" x14ac:dyDescent="0.35">
      <c r="A1523" s="77">
        <v>2.7342465753424658</v>
      </c>
      <c r="B1523" s="19">
        <v>84051</v>
      </c>
      <c r="C1523" s="19" t="s">
        <v>3838</v>
      </c>
      <c r="D1523" s="19" t="s">
        <v>367</v>
      </c>
      <c r="E1523" s="19" t="s">
        <v>368</v>
      </c>
      <c r="F1523" s="19" t="s">
        <v>1604</v>
      </c>
      <c r="G1523" s="19" t="s">
        <v>1028</v>
      </c>
      <c r="H1523" s="19" t="s">
        <v>1020</v>
      </c>
      <c r="I1523" s="19" t="s">
        <v>1599</v>
      </c>
      <c r="J1523" s="20">
        <v>29</v>
      </c>
      <c r="K1523" t="s">
        <v>636</v>
      </c>
      <c r="L1523" t="s">
        <v>737</v>
      </c>
      <c r="M1523" t="s">
        <v>657</v>
      </c>
      <c r="N1523" t="s">
        <v>641</v>
      </c>
      <c r="O1523" t="s">
        <v>738</v>
      </c>
    </row>
    <row r="1524" spans="1:15" x14ac:dyDescent="0.35">
      <c r="A1524" s="77">
        <v>1.106849315068493</v>
      </c>
      <c r="B1524" s="19">
        <v>84099</v>
      </c>
      <c r="C1524" s="19" t="s">
        <v>3839</v>
      </c>
      <c r="D1524" s="19" t="s">
        <v>87</v>
      </c>
      <c r="E1524" s="19" t="s">
        <v>88</v>
      </c>
      <c r="F1524" s="19" t="s">
        <v>1324</v>
      </c>
      <c r="G1524" s="19" t="s">
        <v>1046</v>
      </c>
      <c r="H1524" s="19" t="s">
        <v>1001</v>
      </c>
      <c r="I1524" s="19" t="s">
        <v>1575</v>
      </c>
      <c r="J1524" s="20">
        <v>21</v>
      </c>
      <c r="K1524" t="s">
        <v>642</v>
      </c>
      <c r="L1524" t="s">
        <v>661</v>
      </c>
      <c r="M1524" t="s">
        <v>657</v>
      </c>
      <c r="N1524" t="s">
        <v>662</v>
      </c>
      <c r="O1524" t="s">
        <v>632</v>
      </c>
    </row>
    <row r="1525" spans="1:15" x14ac:dyDescent="0.35">
      <c r="A1525" s="77">
        <v>2.7260273972602738</v>
      </c>
      <c r="B1525" s="19">
        <v>84101</v>
      </c>
      <c r="C1525" s="19" t="s">
        <v>3840</v>
      </c>
      <c r="D1525" s="19" t="s">
        <v>87</v>
      </c>
      <c r="E1525" s="19" t="s">
        <v>88</v>
      </c>
      <c r="F1525" s="19" t="s">
        <v>1324</v>
      </c>
      <c r="G1525" s="19" t="s">
        <v>1019</v>
      </c>
      <c r="H1525" s="19" t="s">
        <v>1020</v>
      </c>
      <c r="I1525" s="19" t="s">
        <v>1575</v>
      </c>
      <c r="J1525" s="20">
        <v>21</v>
      </c>
      <c r="K1525" t="s">
        <v>642</v>
      </c>
      <c r="L1525" t="s">
        <v>661</v>
      </c>
      <c r="M1525" t="s">
        <v>657</v>
      </c>
      <c r="N1525" t="s">
        <v>662</v>
      </c>
      <c r="O1525" t="s">
        <v>632</v>
      </c>
    </row>
    <row r="1526" spans="1:15" x14ac:dyDescent="0.35">
      <c r="A1526" s="77">
        <v>1.6794520547945206</v>
      </c>
      <c r="B1526" s="19">
        <v>84107</v>
      </c>
      <c r="C1526" s="19" t="s">
        <v>3841</v>
      </c>
      <c r="D1526" s="19" t="s">
        <v>151</v>
      </c>
      <c r="E1526" s="19" t="s">
        <v>152</v>
      </c>
      <c r="F1526" s="19" t="s">
        <v>1557</v>
      </c>
      <c r="G1526" s="19" t="s">
        <v>1028</v>
      </c>
      <c r="H1526" s="19" t="s">
        <v>1020</v>
      </c>
      <c r="I1526" s="19" t="s">
        <v>1575</v>
      </c>
      <c r="J1526" s="20">
        <v>19</v>
      </c>
      <c r="K1526" t="s">
        <v>654</v>
      </c>
      <c r="L1526" t="s">
        <v>691</v>
      </c>
      <c r="M1526" t="s">
        <v>657</v>
      </c>
      <c r="N1526" t="s">
        <v>658</v>
      </c>
      <c r="O1526" t="s">
        <v>632</v>
      </c>
    </row>
    <row r="1527" spans="1:15" x14ac:dyDescent="0.35">
      <c r="A1527" s="77">
        <v>1.1589041095890411</v>
      </c>
      <c r="B1527" s="19">
        <v>84135</v>
      </c>
      <c r="C1527" s="19" t="s">
        <v>3842</v>
      </c>
      <c r="D1527" s="19" t="s">
        <v>64</v>
      </c>
      <c r="E1527" s="19" t="s">
        <v>65</v>
      </c>
      <c r="F1527" s="19" t="s">
        <v>1197</v>
      </c>
      <c r="G1527" s="19" t="s">
        <v>1084</v>
      </c>
      <c r="H1527" s="19" t="s">
        <v>1001</v>
      </c>
      <c r="I1527" s="19" t="s">
        <v>1599</v>
      </c>
      <c r="J1527" s="20">
        <v>19</v>
      </c>
      <c r="K1527" t="s">
        <v>654</v>
      </c>
      <c r="L1527" t="s">
        <v>651</v>
      </c>
      <c r="M1527" t="s">
        <v>629</v>
      </c>
      <c r="N1527" t="s">
        <v>630</v>
      </c>
      <c r="O1527" t="s">
        <v>705</v>
      </c>
    </row>
    <row r="1528" spans="1:15" x14ac:dyDescent="0.35">
      <c r="A1528" s="77">
        <v>2.7178082191780821</v>
      </c>
      <c r="B1528" s="19">
        <v>84143</v>
      </c>
      <c r="C1528" s="19" t="s">
        <v>3843</v>
      </c>
      <c r="D1528" s="19" t="s">
        <v>30</v>
      </c>
      <c r="E1528" s="19" t="s">
        <v>30</v>
      </c>
      <c r="F1528" s="19" t="s">
        <v>672</v>
      </c>
      <c r="G1528" s="19" t="s">
        <v>1057</v>
      </c>
      <c r="H1528" s="19" t="s">
        <v>1001</v>
      </c>
      <c r="I1528" s="19" t="s">
        <v>1575</v>
      </c>
      <c r="J1528" s="20">
        <v>35</v>
      </c>
      <c r="K1528" t="s">
        <v>636</v>
      </c>
      <c r="L1528" t="s">
        <v>673</v>
      </c>
      <c r="M1528" t="s">
        <v>623</v>
      </c>
      <c r="N1528" t="s">
        <v>641</v>
      </c>
      <c r="O1528" t="s">
        <v>674</v>
      </c>
    </row>
    <row r="1529" spans="1:15" x14ac:dyDescent="0.35">
      <c r="A1529" s="77">
        <v>1.9150684931506849</v>
      </c>
      <c r="B1529" s="19">
        <v>84155</v>
      </c>
      <c r="C1529" s="19" t="s">
        <v>3844</v>
      </c>
      <c r="D1529" s="19" t="s">
        <v>385</v>
      </c>
      <c r="E1529" s="19" t="s">
        <v>386</v>
      </c>
      <c r="F1529" s="19" t="s">
        <v>1059</v>
      </c>
      <c r="G1529" s="19" t="s">
        <v>1084</v>
      </c>
      <c r="H1529" s="19" t="s">
        <v>1001</v>
      </c>
      <c r="I1529" s="19" t="s">
        <v>1599</v>
      </c>
      <c r="J1529" s="20">
        <v>19</v>
      </c>
      <c r="K1529" t="s">
        <v>631</v>
      </c>
      <c r="L1529" t="s">
        <v>663</v>
      </c>
      <c r="M1529" t="s">
        <v>629</v>
      </c>
      <c r="N1529" t="s">
        <v>646</v>
      </c>
      <c r="O1529" t="s">
        <v>810</v>
      </c>
    </row>
    <row r="1530" spans="1:15" x14ac:dyDescent="0.35">
      <c r="A1530" s="77">
        <v>1.893150684931507</v>
      </c>
      <c r="B1530" s="19">
        <v>84177</v>
      </c>
      <c r="C1530" s="19" t="s">
        <v>3845</v>
      </c>
      <c r="D1530" s="19" t="s">
        <v>115</v>
      </c>
      <c r="E1530" s="19" t="s">
        <v>116</v>
      </c>
      <c r="F1530" s="19" t="s">
        <v>1383</v>
      </c>
      <c r="G1530" s="19" t="s">
        <v>1028</v>
      </c>
      <c r="H1530" s="19" t="s">
        <v>1020</v>
      </c>
      <c r="I1530" s="19" t="s">
        <v>1599</v>
      </c>
      <c r="J1530" s="20">
        <v>19</v>
      </c>
      <c r="K1530" t="s">
        <v>631</v>
      </c>
      <c r="L1530" t="s">
        <v>670</v>
      </c>
      <c r="M1530" t="s">
        <v>657</v>
      </c>
      <c r="N1530" t="s">
        <v>641</v>
      </c>
      <c r="O1530" t="s">
        <v>671</v>
      </c>
    </row>
    <row r="1531" spans="1:15" x14ac:dyDescent="0.35">
      <c r="A1531" s="77">
        <v>1.9150684931506849</v>
      </c>
      <c r="B1531" s="19">
        <v>84194</v>
      </c>
      <c r="C1531" s="19" t="s">
        <v>3846</v>
      </c>
      <c r="D1531" s="19" t="s">
        <v>349</v>
      </c>
      <c r="E1531" s="19" t="s">
        <v>350</v>
      </c>
      <c r="F1531" s="19" t="s">
        <v>912</v>
      </c>
      <c r="G1531" s="19" t="s">
        <v>1008</v>
      </c>
      <c r="H1531" s="19" t="s">
        <v>1001</v>
      </c>
      <c r="I1531" s="19" t="s">
        <v>1599</v>
      </c>
      <c r="J1531" s="20">
        <v>19</v>
      </c>
      <c r="K1531" t="s">
        <v>625</v>
      </c>
      <c r="L1531" t="s">
        <v>648</v>
      </c>
      <c r="M1531" t="s">
        <v>623</v>
      </c>
      <c r="N1531" t="s">
        <v>624</v>
      </c>
      <c r="O1531" t="s">
        <v>649</v>
      </c>
    </row>
    <row r="1532" spans="1:15" x14ac:dyDescent="0.35">
      <c r="A1532" s="77">
        <v>2.7150684931506848</v>
      </c>
      <c r="B1532" s="19">
        <v>84195</v>
      </c>
      <c r="C1532" s="19" t="s">
        <v>3847</v>
      </c>
      <c r="D1532" s="19" t="s">
        <v>195</v>
      </c>
      <c r="E1532" s="19" t="s">
        <v>196</v>
      </c>
      <c r="F1532" s="19" t="s">
        <v>908</v>
      </c>
      <c r="G1532" s="19" t="s">
        <v>3508</v>
      </c>
      <c r="H1532" s="19" t="s">
        <v>1020</v>
      </c>
      <c r="I1532" s="19" t="s">
        <v>1599</v>
      </c>
      <c r="J1532" s="20">
        <v>17</v>
      </c>
      <c r="K1532" t="s">
        <v>636</v>
      </c>
      <c r="L1532" t="s">
        <v>670</v>
      </c>
      <c r="M1532" t="s">
        <v>657</v>
      </c>
      <c r="N1532" t="s">
        <v>641</v>
      </c>
      <c r="O1532" t="s">
        <v>676</v>
      </c>
    </row>
    <row r="1533" spans="1:15" x14ac:dyDescent="0.35">
      <c r="A1533" s="77">
        <v>0.47397260273972602</v>
      </c>
      <c r="B1533" s="19">
        <v>84197</v>
      </c>
      <c r="C1533" s="19" t="s">
        <v>3848</v>
      </c>
      <c r="D1533" s="19" t="s">
        <v>183</v>
      </c>
      <c r="E1533" s="19" t="s">
        <v>184</v>
      </c>
      <c r="F1533" s="19" t="s">
        <v>1532</v>
      </c>
      <c r="G1533" s="19" t="s">
        <v>1028</v>
      </c>
      <c r="H1533" s="19" t="s">
        <v>1020</v>
      </c>
      <c r="I1533" s="19" t="s">
        <v>1575</v>
      </c>
      <c r="J1533" s="20">
        <v>19</v>
      </c>
      <c r="K1533" t="s">
        <v>654</v>
      </c>
      <c r="L1533" t="s">
        <v>648</v>
      </c>
      <c r="M1533" t="s">
        <v>623</v>
      </c>
      <c r="N1533" t="s">
        <v>624</v>
      </c>
      <c r="O1533" t="s">
        <v>725</v>
      </c>
    </row>
    <row r="1534" spans="1:15" x14ac:dyDescent="0.35">
      <c r="A1534" s="77">
        <v>1.2876712328767124</v>
      </c>
      <c r="B1534" s="19">
        <v>84228</v>
      </c>
      <c r="C1534" s="19" t="s">
        <v>3849</v>
      </c>
      <c r="D1534" s="19" t="s">
        <v>137</v>
      </c>
      <c r="E1534" s="19" t="s">
        <v>138</v>
      </c>
      <c r="F1534" s="19" t="s">
        <v>1115</v>
      </c>
      <c r="G1534" s="19" t="s">
        <v>1008</v>
      </c>
      <c r="H1534" s="19" t="s">
        <v>1001</v>
      </c>
      <c r="I1534" s="19" t="s">
        <v>1575</v>
      </c>
      <c r="J1534" s="20">
        <v>19</v>
      </c>
      <c r="K1534" t="s">
        <v>636</v>
      </c>
      <c r="L1534" t="s">
        <v>684</v>
      </c>
      <c r="M1534" t="s">
        <v>623</v>
      </c>
      <c r="N1534" t="s">
        <v>662</v>
      </c>
      <c r="O1534" t="s">
        <v>685</v>
      </c>
    </row>
    <row r="1535" spans="1:15" x14ac:dyDescent="0.35">
      <c r="A1535" s="77">
        <v>0.94794520547945205</v>
      </c>
      <c r="B1535" s="19">
        <v>84241</v>
      </c>
      <c r="C1535" s="19" t="s">
        <v>3850</v>
      </c>
      <c r="D1535" s="19" t="s">
        <v>199</v>
      </c>
      <c r="E1535" s="19" t="s">
        <v>200</v>
      </c>
      <c r="F1535" s="19" t="s">
        <v>1496</v>
      </c>
      <c r="G1535" s="19" t="s">
        <v>1008</v>
      </c>
      <c r="H1535" s="19" t="s">
        <v>1001</v>
      </c>
      <c r="I1535" s="19" t="s">
        <v>1575</v>
      </c>
      <c r="J1535" s="20">
        <v>19</v>
      </c>
      <c r="K1535" t="s">
        <v>654</v>
      </c>
      <c r="L1535" t="s">
        <v>737</v>
      </c>
      <c r="M1535" t="s">
        <v>657</v>
      </c>
      <c r="N1535" t="s">
        <v>641</v>
      </c>
      <c r="O1535" t="s">
        <v>738</v>
      </c>
    </row>
    <row r="1536" spans="1:15" x14ac:dyDescent="0.35">
      <c r="A1536" s="77">
        <v>2.7095890410958905</v>
      </c>
      <c r="B1536" s="19">
        <v>84332</v>
      </c>
      <c r="C1536" s="19" t="s">
        <v>3851</v>
      </c>
      <c r="D1536" s="19" t="s">
        <v>417</v>
      </c>
      <c r="E1536" s="19" t="s">
        <v>417</v>
      </c>
      <c r="F1536" s="19" t="s">
        <v>418</v>
      </c>
      <c r="G1536" s="19" t="s">
        <v>1038</v>
      </c>
      <c r="H1536" s="19" t="s">
        <v>1020</v>
      </c>
      <c r="I1536" s="19" t="s">
        <v>1575</v>
      </c>
      <c r="J1536" s="20">
        <v>28</v>
      </c>
      <c r="K1536" t="s">
        <v>654</v>
      </c>
      <c r="L1536" t="s">
        <v>684</v>
      </c>
      <c r="M1536" t="s">
        <v>623</v>
      </c>
      <c r="N1536" t="s">
        <v>662</v>
      </c>
      <c r="O1536" t="s">
        <v>687</v>
      </c>
    </row>
    <row r="1537" spans="1:15" x14ac:dyDescent="0.35">
      <c r="A1537" s="77">
        <v>2.7095890410958905</v>
      </c>
      <c r="B1537" s="19">
        <v>84358</v>
      </c>
      <c r="C1537" s="19" t="s">
        <v>3852</v>
      </c>
      <c r="D1537" s="19" t="s">
        <v>427</v>
      </c>
      <c r="E1537" s="19" t="s">
        <v>427</v>
      </c>
      <c r="F1537" s="19" t="s">
        <v>1290</v>
      </c>
      <c r="G1537" s="19" t="s">
        <v>1028</v>
      </c>
      <c r="H1537" s="19" t="s">
        <v>1020</v>
      </c>
      <c r="I1537" s="19" t="s">
        <v>1575</v>
      </c>
      <c r="J1537" s="20">
        <v>28</v>
      </c>
      <c r="K1537" t="s">
        <v>654</v>
      </c>
      <c r="L1537" t="s">
        <v>651</v>
      </c>
      <c r="M1537" t="s">
        <v>629</v>
      </c>
      <c r="N1537" t="s">
        <v>630</v>
      </c>
      <c r="O1537" t="s">
        <v>652</v>
      </c>
    </row>
    <row r="1538" spans="1:15" x14ac:dyDescent="0.35">
      <c r="A1538" s="77">
        <v>2.7095890410958905</v>
      </c>
      <c r="B1538" s="19">
        <v>84363</v>
      </c>
      <c r="C1538" s="19" t="s">
        <v>3853</v>
      </c>
      <c r="D1538" s="19" t="s">
        <v>420</v>
      </c>
      <c r="E1538" s="19" t="s">
        <v>420</v>
      </c>
      <c r="F1538" s="19" t="s">
        <v>686</v>
      </c>
      <c r="G1538" s="19" t="s">
        <v>1008</v>
      </c>
      <c r="H1538" s="19" t="s">
        <v>1001</v>
      </c>
      <c r="I1538" s="19" t="s">
        <v>1575</v>
      </c>
      <c r="J1538" s="20">
        <v>25</v>
      </c>
      <c r="K1538" t="s">
        <v>631</v>
      </c>
      <c r="L1538" t="s">
        <v>634</v>
      </c>
      <c r="M1538" t="s">
        <v>629</v>
      </c>
      <c r="N1538" t="s">
        <v>635</v>
      </c>
      <c r="O1538" t="s">
        <v>637</v>
      </c>
    </row>
    <row r="1539" spans="1:15" x14ac:dyDescent="0.35">
      <c r="A1539" s="77">
        <v>0.50684931506849318</v>
      </c>
      <c r="B1539" s="19">
        <v>84366</v>
      </c>
      <c r="C1539" s="19" t="s">
        <v>3854</v>
      </c>
      <c r="D1539" s="19" t="s">
        <v>173</v>
      </c>
      <c r="E1539" s="19" t="s">
        <v>174</v>
      </c>
      <c r="F1539" s="19" t="s">
        <v>901</v>
      </c>
      <c r="G1539" s="19" t="s">
        <v>1028</v>
      </c>
      <c r="H1539" s="19" t="s">
        <v>1020</v>
      </c>
      <c r="I1539" s="19" t="s">
        <v>1599</v>
      </c>
      <c r="J1539" s="20">
        <v>19</v>
      </c>
      <c r="K1539" t="s">
        <v>668</v>
      </c>
      <c r="L1539" t="s">
        <v>656</v>
      </c>
      <c r="M1539" t="s">
        <v>657</v>
      </c>
      <c r="N1539" t="s">
        <v>658</v>
      </c>
      <c r="O1539" t="s">
        <v>632</v>
      </c>
    </row>
    <row r="1540" spans="1:15" x14ac:dyDescent="0.35">
      <c r="A1540" s="77">
        <v>8.2191780821917804E-2</v>
      </c>
      <c r="B1540" s="19">
        <v>84401</v>
      </c>
      <c r="C1540" s="19" t="s">
        <v>3855</v>
      </c>
      <c r="D1540" s="19" t="s">
        <v>64</v>
      </c>
      <c r="E1540" s="19" t="s">
        <v>65</v>
      </c>
      <c r="F1540" s="19" t="s">
        <v>1197</v>
      </c>
      <c r="G1540" s="19" t="s">
        <v>1028</v>
      </c>
      <c r="H1540" s="19" t="s">
        <v>1020</v>
      </c>
      <c r="I1540" s="19" t="s">
        <v>1575</v>
      </c>
      <c r="J1540" s="20">
        <v>26</v>
      </c>
      <c r="K1540" t="s">
        <v>654</v>
      </c>
      <c r="L1540" t="s">
        <v>651</v>
      </c>
      <c r="M1540" t="s">
        <v>629</v>
      </c>
      <c r="N1540" t="s">
        <v>630</v>
      </c>
      <c r="O1540" t="s">
        <v>705</v>
      </c>
    </row>
    <row r="1541" spans="1:15" x14ac:dyDescent="0.35">
      <c r="A1541" s="77">
        <v>0.92876712328767119</v>
      </c>
      <c r="B1541" s="19">
        <v>84414</v>
      </c>
      <c r="C1541" s="19" t="s">
        <v>3856</v>
      </c>
      <c r="D1541" s="19" t="s">
        <v>195</v>
      </c>
      <c r="E1541" s="19" t="s">
        <v>196</v>
      </c>
      <c r="F1541" s="19" t="s">
        <v>908</v>
      </c>
      <c r="G1541" s="19" t="s">
        <v>1008</v>
      </c>
      <c r="H1541" s="19" t="s">
        <v>1001</v>
      </c>
      <c r="I1541" s="19" t="s">
        <v>1575</v>
      </c>
      <c r="J1541" s="20">
        <v>20</v>
      </c>
      <c r="K1541" t="s">
        <v>636</v>
      </c>
      <c r="L1541" t="s">
        <v>670</v>
      </c>
      <c r="M1541" t="s">
        <v>657</v>
      </c>
      <c r="N1541" t="s">
        <v>641</v>
      </c>
      <c r="O1541" t="s">
        <v>676</v>
      </c>
    </row>
    <row r="1542" spans="1:15" x14ac:dyDescent="0.35">
      <c r="A1542" s="77">
        <v>2.6986301369863015</v>
      </c>
      <c r="B1542" s="19">
        <v>84454</v>
      </c>
      <c r="C1542" s="19" t="s">
        <v>3857</v>
      </c>
      <c r="D1542" s="19" t="s">
        <v>183</v>
      </c>
      <c r="E1542" s="19" t="s">
        <v>184</v>
      </c>
      <c r="F1542" s="19" t="s">
        <v>1532</v>
      </c>
      <c r="G1542" s="19" t="s">
        <v>1046</v>
      </c>
      <c r="H1542" s="19" t="s">
        <v>1001</v>
      </c>
      <c r="I1542" s="19" t="s">
        <v>1575</v>
      </c>
      <c r="J1542" s="20">
        <v>22</v>
      </c>
      <c r="K1542" t="s">
        <v>654</v>
      </c>
      <c r="L1542" t="s">
        <v>648</v>
      </c>
      <c r="M1542" t="s">
        <v>623</v>
      </c>
      <c r="N1542" t="s">
        <v>624</v>
      </c>
      <c r="O1542" t="s">
        <v>725</v>
      </c>
    </row>
    <row r="1543" spans="1:15" x14ac:dyDescent="0.35">
      <c r="A1543" s="77">
        <v>1.9123287671232876</v>
      </c>
      <c r="B1543" s="19">
        <v>84456</v>
      </c>
      <c r="C1543" s="19" t="s">
        <v>3858</v>
      </c>
      <c r="D1543" s="19" t="s">
        <v>41</v>
      </c>
      <c r="E1543" s="19" t="s">
        <v>41</v>
      </c>
      <c r="F1543" s="19" t="s">
        <v>1157</v>
      </c>
      <c r="G1543" s="19" t="s">
        <v>1008</v>
      </c>
      <c r="H1543" s="19" t="s">
        <v>1001</v>
      </c>
      <c r="I1543" s="19" t="s">
        <v>1575</v>
      </c>
      <c r="J1543" s="20">
        <v>20</v>
      </c>
      <c r="K1543" t="s">
        <v>625</v>
      </c>
      <c r="L1543" t="s">
        <v>691</v>
      </c>
      <c r="M1543" t="s">
        <v>657</v>
      </c>
      <c r="N1543" t="s">
        <v>658</v>
      </c>
      <c r="O1543" t="s">
        <v>632</v>
      </c>
    </row>
    <row r="1544" spans="1:15" x14ac:dyDescent="0.35">
      <c r="A1544" s="77">
        <v>2.7068493150684931</v>
      </c>
      <c r="B1544" s="19">
        <v>84487</v>
      </c>
      <c r="C1544" s="19" t="s">
        <v>3859</v>
      </c>
      <c r="D1544" s="19" t="s">
        <v>284</v>
      </c>
      <c r="E1544" s="19" t="s">
        <v>285</v>
      </c>
      <c r="F1544" s="19" t="s">
        <v>1150</v>
      </c>
      <c r="G1544" s="19" t="s">
        <v>1084</v>
      </c>
      <c r="H1544" s="19" t="s">
        <v>1020</v>
      </c>
      <c r="I1544" s="19" t="s">
        <v>1575</v>
      </c>
      <c r="J1544" s="20">
        <v>48</v>
      </c>
      <c r="K1544" t="s">
        <v>625</v>
      </c>
      <c r="L1544" t="s">
        <v>661</v>
      </c>
      <c r="M1544" t="s">
        <v>657</v>
      </c>
      <c r="N1544" t="s">
        <v>662</v>
      </c>
      <c r="O1544" t="s">
        <v>632</v>
      </c>
    </row>
    <row r="1545" spans="1:15" x14ac:dyDescent="0.35">
      <c r="A1545" s="77">
        <v>2.7013698630136984</v>
      </c>
      <c r="B1545" s="19">
        <v>84496</v>
      </c>
      <c r="C1545" s="19" t="s">
        <v>3860</v>
      </c>
      <c r="D1545" s="19" t="s">
        <v>420</v>
      </c>
      <c r="E1545" s="19" t="s">
        <v>420</v>
      </c>
      <c r="F1545" s="19" t="s">
        <v>686</v>
      </c>
      <c r="G1545" s="19" t="s">
        <v>3508</v>
      </c>
      <c r="H1545" s="19" t="s">
        <v>1020</v>
      </c>
      <c r="I1545" s="19" t="s">
        <v>1575</v>
      </c>
      <c r="J1545" s="20">
        <v>16</v>
      </c>
      <c r="K1545" t="s">
        <v>631</v>
      </c>
      <c r="L1545" t="s">
        <v>634</v>
      </c>
      <c r="M1545" t="s">
        <v>629</v>
      </c>
      <c r="N1545" t="s">
        <v>635</v>
      </c>
      <c r="O1545" t="s">
        <v>637</v>
      </c>
    </row>
    <row r="1546" spans="1:15" x14ac:dyDescent="0.35">
      <c r="A1546" s="77">
        <v>1.1835616438356165</v>
      </c>
      <c r="B1546" s="19">
        <v>84499</v>
      </c>
      <c r="C1546" s="19" t="s">
        <v>3861</v>
      </c>
      <c r="D1546" s="19" t="s">
        <v>420</v>
      </c>
      <c r="E1546" s="19" t="s">
        <v>420</v>
      </c>
      <c r="F1546" s="19" t="s">
        <v>686</v>
      </c>
      <c r="G1546" s="19" t="s">
        <v>1028</v>
      </c>
      <c r="H1546" s="19" t="s">
        <v>1020</v>
      </c>
      <c r="I1546" s="19" t="s">
        <v>1575</v>
      </c>
      <c r="J1546" s="20">
        <v>21</v>
      </c>
      <c r="K1546" t="s">
        <v>631</v>
      </c>
      <c r="L1546" t="s">
        <v>634</v>
      </c>
      <c r="M1546" t="s">
        <v>629</v>
      </c>
      <c r="N1546" t="s">
        <v>635</v>
      </c>
      <c r="O1546" t="s">
        <v>637</v>
      </c>
    </row>
    <row r="1547" spans="1:15" x14ac:dyDescent="0.35">
      <c r="A1547" s="77">
        <v>1.893150684931507</v>
      </c>
      <c r="B1547" s="19">
        <v>84510</v>
      </c>
      <c r="C1547" s="19" t="s">
        <v>3862</v>
      </c>
      <c r="D1547" s="19" t="s">
        <v>115</v>
      </c>
      <c r="E1547" s="19" t="s">
        <v>116</v>
      </c>
      <c r="F1547" s="19" t="s">
        <v>1383</v>
      </c>
      <c r="G1547" s="19" t="s">
        <v>1084</v>
      </c>
      <c r="H1547" s="19" t="s">
        <v>1001</v>
      </c>
      <c r="I1547" s="19" t="s">
        <v>1599</v>
      </c>
      <c r="J1547" s="20">
        <v>21</v>
      </c>
      <c r="K1547" t="s">
        <v>631</v>
      </c>
      <c r="L1547" t="s">
        <v>670</v>
      </c>
      <c r="M1547" t="s">
        <v>657</v>
      </c>
      <c r="N1547" t="s">
        <v>641</v>
      </c>
      <c r="O1547" t="s">
        <v>671</v>
      </c>
    </row>
    <row r="1548" spans="1:15" x14ac:dyDescent="0.35">
      <c r="A1548" s="77">
        <v>2.6958904109589041</v>
      </c>
      <c r="B1548" s="19">
        <v>84529</v>
      </c>
      <c r="C1548" s="19" t="s">
        <v>3863</v>
      </c>
      <c r="D1548" s="19" t="s">
        <v>397</v>
      </c>
      <c r="E1548" s="19" t="s">
        <v>398</v>
      </c>
      <c r="F1548" s="19" t="s">
        <v>867</v>
      </c>
      <c r="G1548" s="19" t="s">
        <v>1028</v>
      </c>
      <c r="H1548" s="19" t="s">
        <v>1020</v>
      </c>
      <c r="I1548" s="19" t="s">
        <v>1575</v>
      </c>
      <c r="J1548" s="20">
        <v>21</v>
      </c>
      <c r="K1548" t="s">
        <v>625</v>
      </c>
      <c r="L1548" t="s">
        <v>634</v>
      </c>
      <c r="M1548" t="s">
        <v>629</v>
      </c>
      <c r="N1548" t="s">
        <v>635</v>
      </c>
      <c r="O1548" t="s">
        <v>637</v>
      </c>
    </row>
    <row r="1549" spans="1:15" x14ac:dyDescent="0.35">
      <c r="A1549" s="77">
        <v>2.6958904109589041</v>
      </c>
      <c r="B1549" s="19">
        <v>84530</v>
      </c>
      <c r="C1549" s="19" t="s">
        <v>3864</v>
      </c>
      <c r="D1549" s="19" t="s">
        <v>397</v>
      </c>
      <c r="E1549" s="19" t="s">
        <v>398</v>
      </c>
      <c r="F1549" s="19" t="s">
        <v>867</v>
      </c>
      <c r="G1549" s="19" t="s">
        <v>1084</v>
      </c>
      <c r="H1549" s="19" t="s">
        <v>1001</v>
      </c>
      <c r="I1549" s="19" t="s">
        <v>1575</v>
      </c>
      <c r="J1549" s="20">
        <v>20</v>
      </c>
      <c r="K1549" t="s">
        <v>625</v>
      </c>
      <c r="L1549" t="s">
        <v>634</v>
      </c>
      <c r="M1549" t="s">
        <v>629</v>
      </c>
      <c r="N1549" t="s">
        <v>635</v>
      </c>
      <c r="O1549" t="s">
        <v>637</v>
      </c>
    </row>
    <row r="1550" spans="1:15" x14ac:dyDescent="0.35">
      <c r="A1550" s="77">
        <v>2.6904109589041094</v>
      </c>
      <c r="B1550" s="19">
        <v>84563</v>
      </c>
      <c r="C1550" s="19" t="s">
        <v>3865</v>
      </c>
      <c r="D1550" s="19" t="s">
        <v>31</v>
      </c>
      <c r="E1550" s="19" t="s">
        <v>31</v>
      </c>
      <c r="F1550" s="19" t="s">
        <v>675</v>
      </c>
      <c r="G1550" s="19" t="s">
        <v>3508</v>
      </c>
      <c r="H1550" s="19" t="s">
        <v>1020</v>
      </c>
      <c r="I1550" s="19" t="s">
        <v>1599</v>
      </c>
      <c r="J1550" s="20">
        <v>18</v>
      </c>
      <c r="K1550" t="s">
        <v>654</v>
      </c>
      <c r="L1550" t="s">
        <v>670</v>
      </c>
      <c r="M1550" t="s">
        <v>657</v>
      </c>
      <c r="N1550" t="s">
        <v>641</v>
      </c>
      <c r="O1550" t="s">
        <v>676</v>
      </c>
    </row>
    <row r="1551" spans="1:15" x14ac:dyDescent="0.35">
      <c r="A1551" s="77">
        <v>0.9068493150684932</v>
      </c>
      <c r="B1551" s="19">
        <v>84570</v>
      </c>
      <c r="C1551" s="19" t="s">
        <v>3866</v>
      </c>
      <c r="D1551" s="19" t="s">
        <v>373</v>
      </c>
      <c r="E1551" s="19" t="s">
        <v>374</v>
      </c>
      <c r="F1551" s="19" t="s">
        <v>1033</v>
      </c>
      <c r="G1551" s="19" t="s">
        <v>1019</v>
      </c>
      <c r="H1551" s="19" t="s">
        <v>1020</v>
      </c>
      <c r="I1551" s="19" t="s">
        <v>1575</v>
      </c>
      <c r="J1551" s="20">
        <v>21</v>
      </c>
      <c r="K1551" t="s">
        <v>654</v>
      </c>
      <c r="L1551" t="s">
        <v>634</v>
      </c>
      <c r="M1551" t="s">
        <v>629</v>
      </c>
      <c r="N1551" t="s">
        <v>635</v>
      </c>
      <c r="O1551" t="s">
        <v>637</v>
      </c>
    </row>
    <row r="1552" spans="1:15" x14ac:dyDescent="0.35">
      <c r="A1552" s="77">
        <v>2.6876712328767125</v>
      </c>
      <c r="B1552" s="19">
        <v>84576</v>
      </c>
      <c r="C1552" s="19" t="s">
        <v>3867</v>
      </c>
      <c r="D1552" s="19" t="s">
        <v>41</v>
      </c>
      <c r="E1552" s="19" t="s">
        <v>41</v>
      </c>
      <c r="F1552" s="19" t="s">
        <v>1157</v>
      </c>
      <c r="G1552" s="19" t="s">
        <v>1084</v>
      </c>
      <c r="H1552" s="19" t="s">
        <v>1020</v>
      </c>
      <c r="I1552" s="19" t="s">
        <v>1575</v>
      </c>
      <c r="J1552" s="20">
        <v>56</v>
      </c>
      <c r="K1552" t="s">
        <v>625</v>
      </c>
      <c r="L1552" t="s">
        <v>691</v>
      </c>
      <c r="M1552" t="s">
        <v>657</v>
      </c>
      <c r="N1552" t="s">
        <v>658</v>
      </c>
      <c r="O1552" t="s">
        <v>632</v>
      </c>
    </row>
    <row r="1553" spans="1:15" x14ac:dyDescent="0.35">
      <c r="A1553" s="77">
        <v>1.9150684931506849</v>
      </c>
      <c r="B1553" s="19">
        <v>84592</v>
      </c>
      <c r="C1553" s="19" t="s">
        <v>3868</v>
      </c>
      <c r="D1553" s="19" t="s">
        <v>173</v>
      </c>
      <c r="E1553" s="19" t="s">
        <v>174</v>
      </c>
      <c r="F1553" s="19" t="s">
        <v>901</v>
      </c>
      <c r="G1553" s="19" t="s">
        <v>1046</v>
      </c>
      <c r="H1553" s="19" t="s">
        <v>1001</v>
      </c>
      <c r="I1553" s="19" t="s">
        <v>1599</v>
      </c>
      <c r="J1553" s="20">
        <v>19</v>
      </c>
      <c r="K1553" t="s">
        <v>668</v>
      </c>
      <c r="L1553" t="s">
        <v>656</v>
      </c>
      <c r="M1553" t="s">
        <v>657</v>
      </c>
      <c r="N1553" t="s">
        <v>658</v>
      </c>
      <c r="O1553" t="s">
        <v>632</v>
      </c>
    </row>
    <row r="1554" spans="1:15" x14ac:dyDescent="0.35">
      <c r="A1554" s="77">
        <v>6.8493150684931503E-2</v>
      </c>
      <c r="B1554" s="19">
        <v>84615</v>
      </c>
      <c r="C1554" s="19" t="s">
        <v>3869</v>
      </c>
      <c r="D1554" s="19" t="s">
        <v>120</v>
      </c>
      <c r="E1554" s="19" t="s">
        <v>121</v>
      </c>
      <c r="F1554" s="19" t="s">
        <v>1236</v>
      </c>
      <c r="G1554" s="19" t="s">
        <v>3508</v>
      </c>
      <c r="H1554" s="19" t="s">
        <v>1020</v>
      </c>
      <c r="I1554" s="19" t="s">
        <v>1575</v>
      </c>
      <c r="J1554" s="20">
        <v>17</v>
      </c>
      <c r="K1554" t="s">
        <v>636</v>
      </c>
      <c r="L1554" t="s">
        <v>673</v>
      </c>
      <c r="M1554" t="s">
        <v>623</v>
      </c>
      <c r="N1554" t="s">
        <v>641</v>
      </c>
      <c r="O1554" t="s">
        <v>748</v>
      </c>
    </row>
    <row r="1555" spans="1:15" x14ac:dyDescent="0.35">
      <c r="A1555" s="77">
        <v>2.7205479452054795</v>
      </c>
      <c r="B1555" s="19">
        <v>84618</v>
      </c>
      <c r="C1555" s="19" t="s">
        <v>3870</v>
      </c>
      <c r="D1555" s="19" t="s">
        <v>245</v>
      </c>
      <c r="E1555" s="19" t="s">
        <v>246</v>
      </c>
      <c r="F1555" s="19" t="s">
        <v>1365</v>
      </c>
      <c r="G1555" s="19" t="s">
        <v>3508</v>
      </c>
      <c r="H1555" s="19" t="s">
        <v>1020</v>
      </c>
      <c r="I1555" s="19" t="s">
        <v>1575</v>
      </c>
      <c r="J1555" s="20">
        <v>20</v>
      </c>
      <c r="K1555" t="s">
        <v>654</v>
      </c>
      <c r="L1555" t="s">
        <v>678</v>
      </c>
      <c r="M1555" t="s">
        <v>623</v>
      </c>
      <c r="N1555" t="s">
        <v>624</v>
      </c>
      <c r="O1555" t="s">
        <v>679</v>
      </c>
    </row>
    <row r="1556" spans="1:15" x14ac:dyDescent="0.35">
      <c r="A1556" s="77">
        <v>2.7205479452054795</v>
      </c>
      <c r="B1556" s="19">
        <v>84619</v>
      </c>
      <c r="C1556" s="19" t="s">
        <v>3871</v>
      </c>
      <c r="D1556" s="19" t="s">
        <v>264</v>
      </c>
      <c r="E1556" s="19" t="s">
        <v>265</v>
      </c>
      <c r="F1556" s="19" t="s">
        <v>2526</v>
      </c>
      <c r="G1556" s="19" t="s">
        <v>3508</v>
      </c>
      <c r="H1556" s="19" t="s">
        <v>1020</v>
      </c>
      <c r="I1556" s="19" t="s">
        <v>1575</v>
      </c>
      <c r="J1556" s="20">
        <v>17</v>
      </c>
      <c r="K1556" t="s">
        <v>654</v>
      </c>
      <c r="L1556" t="s">
        <v>678</v>
      </c>
      <c r="M1556" t="s">
        <v>623</v>
      </c>
      <c r="N1556" t="s">
        <v>624</v>
      </c>
      <c r="O1556" t="s">
        <v>689</v>
      </c>
    </row>
    <row r="1557" spans="1:15" x14ac:dyDescent="0.35">
      <c r="A1557" s="77">
        <v>0.39178082191780822</v>
      </c>
      <c r="B1557" s="19">
        <v>84719</v>
      </c>
      <c r="C1557" s="19" t="s">
        <v>3872</v>
      </c>
      <c r="D1557" s="19" t="s">
        <v>385</v>
      </c>
      <c r="E1557" s="19" t="s">
        <v>386</v>
      </c>
      <c r="F1557" s="19" t="s">
        <v>1059</v>
      </c>
      <c r="G1557" s="19" t="s">
        <v>1008</v>
      </c>
      <c r="H1557" s="19" t="s">
        <v>1001</v>
      </c>
      <c r="I1557" s="19" t="s">
        <v>1575</v>
      </c>
      <c r="J1557" s="20">
        <v>26</v>
      </c>
      <c r="K1557" t="s">
        <v>631</v>
      </c>
      <c r="L1557" t="s">
        <v>663</v>
      </c>
      <c r="M1557" t="s">
        <v>629</v>
      </c>
      <c r="N1557" t="s">
        <v>646</v>
      </c>
      <c r="O1557" t="s">
        <v>810</v>
      </c>
    </row>
    <row r="1558" spans="1:15" x14ac:dyDescent="0.35">
      <c r="A1558" s="77">
        <v>2.6657534246575341</v>
      </c>
      <c r="B1558" s="19">
        <v>84735</v>
      </c>
      <c r="C1558" s="19" t="s">
        <v>3873</v>
      </c>
      <c r="D1558" s="19" t="s">
        <v>313</v>
      </c>
      <c r="E1558" s="19" t="s">
        <v>314</v>
      </c>
      <c r="F1558" s="19" t="s">
        <v>1401</v>
      </c>
      <c r="G1558" s="19" t="s">
        <v>1008</v>
      </c>
      <c r="H1558" s="19" t="s">
        <v>1001</v>
      </c>
      <c r="I1558" s="19" t="s">
        <v>1575</v>
      </c>
      <c r="J1558" s="20">
        <v>23</v>
      </c>
      <c r="K1558" t="s">
        <v>654</v>
      </c>
      <c r="L1558" t="s">
        <v>666</v>
      </c>
      <c r="M1558" t="s">
        <v>629</v>
      </c>
      <c r="N1558" t="s">
        <v>635</v>
      </c>
      <c r="O1558" t="s">
        <v>637</v>
      </c>
    </row>
    <row r="1559" spans="1:15" x14ac:dyDescent="0.35">
      <c r="A1559" s="77">
        <v>2.6602739726027398</v>
      </c>
      <c r="B1559" s="19">
        <v>84759</v>
      </c>
      <c r="C1559" s="19" t="s">
        <v>3874</v>
      </c>
      <c r="D1559" s="19" t="s">
        <v>309</v>
      </c>
      <c r="E1559" s="19" t="s">
        <v>310</v>
      </c>
      <c r="F1559" s="19" t="s">
        <v>1234</v>
      </c>
      <c r="G1559" s="19" t="s">
        <v>1008</v>
      </c>
      <c r="H1559" s="19" t="s">
        <v>1001</v>
      </c>
      <c r="I1559" s="19" t="s">
        <v>1575</v>
      </c>
      <c r="J1559" s="20">
        <v>23</v>
      </c>
      <c r="K1559" t="s">
        <v>668</v>
      </c>
      <c r="L1559" t="s">
        <v>666</v>
      </c>
      <c r="M1559" t="s">
        <v>629</v>
      </c>
      <c r="N1559" t="s">
        <v>635</v>
      </c>
      <c r="O1559" t="s">
        <v>637</v>
      </c>
    </row>
    <row r="1560" spans="1:15" x14ac:dyDescent="0.35">
      <c r="A1560" s="77">
        <v>2.6602739726027398</v>
      </c>
      <c r="B1560" s="19">
        <v>84767</v>
      </c>
      <c r="C1560" s="19" t="s">
        <v>3875</v>
      </c>
      <c r="D1560" s="19" t="s">
        <v>78</v>
      </c>
      <c r="E1560" s="19" t="s">
        <v>79</v>
      </c>
      <c r="F1560" s="19" t="s">
        <v>1107</v>
      </c>
      <c r="G1560" s="19" t="s">
        <v>1008</v>
      </c>
      <c r="H1560" s="19" t="s">
        <v>1001</v>
      </c>
      <c r="I1560" s="19" t="s">
        <v>1575</v>
      </c>
      <c r="J1560" s="20">
        <v>20</v>
      </c>
      <c r="K1560" t="s">
        <v>654</v>
      </c>
      <c r="L1560" t="s">
        <v>661</v>
      </c>
      <c r="M1560" t="s">
        <v>657</v>
      </c>
      <c r="N1560" t="s">
        <v>658</v>
      </c>
      <c r="O1560" t="s">
        <v>632</v>
      </c>
    </row>
    <row r="1561" spans="1:15" x14ac:dyDescent="0.35">
      <c r="A1561" s="77">
        <v>0.68493150684931503</v>
      </c>
      <c r="B1561" s="19">
        <v>84782</v>
      </c>
      <c r="C1561" s="19" t="s">
        <v>3876</v>
      </c>
      <c r="D1561" s="19" t="s">
        <v>302</v>
      </c>
      <c r="E1561" s="19" t="s">
        <v>303</v>
      </c>
      <c r="F1561" s="19" t="s">
        <v>1053</v>
      </c>
      <c r="G1561" s="19" t="s">
        <v>1057</v>
      </c>
      <c r="H1561" s="19" t="s">
        <v>1001</v>
      </c>
      <c r="I1561" s="19" t="s">
        <v>1575</v>
      </c>
      <c r="J1561" s="20">
        <v>22</v>
      </c>
      <c r="K1561" t="s">
        <v>668</v>
      </c>
      <c r="L1561" t="s">
        <v>737</v>
      </c>
      <c r="M1561" t="s">
        <v>657</v>
      </c>
      <c r="N1561" t="s">
        <v>641</v>
      </c>
      <c r="O1561" t="s">
        <v>738</v>
      </c>
    </row>
    <row r="1562" spans="1:15" x14ac:dyDescent="0.35">
      <c r="A1562" s="77">
        <v>2.6657534246575341</v>
      </c>
      <c r="B1562" s="19">
        <v>84797</v>
      </c>
      <c r="C1562" s="19" t="s">
        <v>3877</v>
      </c>
      <c r="D1562" s="19" t="s">
        <v>409</v>
      </c>
      <c r="E1562" s="19" t="s">
        <v>410</v>
      </c>
      <c r="F1562" s="19" t="s">
        <v>874</v>
      </c>
      <c r="G1562" s="19" t="s">
        <v>1028</v>
      </c>
      <c r="H1562" s="19" t="s">
        <v>1020</v>
      </c>
      <c r="I1562" s="19" t="s">
        <v>1575</v>
      </c>
      <c r="J1562" s="20">
        <v>43</v>
      </c>
      <c r="K1562" t="s">
        <v>631</v>
      </c>
      <c r="L1562" t="s">
        <v>666</v>
      </c>
      <c r="M1562" t="s">
        <v>629</v>
      </c>
      <c r="N1562" t="s">
        <v>635</v>
      </c>
      <c r="O1562" t="s">
        <v>637</v>
      </c>
    </row>
    <row r="1563" spans="1:15" x14ac:dyDescent="0.35">
      <c r="A1563" s="77">
        <v>0.74246575342465748</v>
      </c>
      <c r="B1563" s="19">
        <v>84858</v>
      </c>
      <c r="C1563" s="19" t="s">
        <v>3878</v>
      </c>
      <c r="D1563" s="19" t="s">
        <v>403</v>
      </c>
      <c r="E1563" s="19" t="s">
        <v>404</v>
      </c>
      <c r="F1563" s="19" t="s">
        <v>870</v>
      </c>
      <c r="G1563" s="19" t="s">
        <v>1019</v>
      </c>
      <c r="H1563" s="19" t="s">
        <v>1020</v>
      </c>
      <c r="I1563" s="19" t="s">
        <v>1575</v>
      </c>
      <c r="J1563" s="20">
        <v>22</v>
      </c>
      <c r="K1563" t="s">
        <v>631</v>
      </c>
      <c r="L1563" t="s">
        <v>691</v>
      </c>
      <c r="M1563" t="s">
        <v>657</v>
      </c>
      <c r="N1563" t="s">
        <v>658</v>
      </c>
      <c r="O1563" t="s">
        <v>632</v>
      </c>
    </row>
    <row r="1564" spans="1:15" x14ac:dyDescent="0.35">
      <c r="A1564" s="77">
        <v>2.6657534246575341</v>
      </c>
      <c r="B1564" s="19">
        <v>84870</v>
      </c>
      <c r="C1564" s="19" t="s">
        <v>3879</v>
      </c>
      <c r="D1564" s="19" t="s">
        <v>120</v>
      </c>
      <c r="E1564" s="19" t="s">
        <v>121</v>
      </c>
      <c r="F1564" s="19" t="s">
        <v>1236</v>
      </c>
      <c r="G1564" s="19" t="s">
        <v>1019</v>
      </c>
      <c r="H1564" s="19" t="s">
        <v>1020</v>
      </c>
      <c r="I1564" s="19" t="s">
        <v>1575</v>
      </c>
      <c r="J1564" s="20">
        <v>24</v>
      </c>
      <c r="K1564" t="s">
        <v>636</v>
      </c>
      <c r="L1564" t="s">
        <v>673</v>
      </c>
      <c r="M1564" t="s">
        <v>623</v>
      </c>
      <c r="N1564" t="s">
        <v>641</v>
      </c>
      <c r="O1564" t="s">
        <v>748</v>
      </c>
    </row>
    <row r="1565" spans="1:15" x14ac:dyDescent="0.35">
      <c r="A1565" s="77">
        <v>2.6657534246575341</v>
      </c>
      <c r="B1565" s="19">
        <v>84871</v>
      </c>
      <c r="C1565" s="19" t="s">
        <v>3880</v>
      </c>
      <c r="D1565" s="19" t="s">
        <v>120</v>
      </c>
      <c r="E1565" s="19" t="s">
        <v>121</v>
      </c>
      <c r="F1565" s="19" t="s">
        <v>1236</v>
      </c>
      <c r="G1565" s="19" t="s">
        <v>1046</v>
      </c>
      <c r="H1565" s="19" t="s">
        <v>1001</v>
      </c>
      <c r="I1565" s="19" t="s">
        <v>1575</v>
      </c>
      <c r="J1565" s="20">
        <v>24</v>
      </c>
      <c r="K1565" t="s">
        <v>636</v>
      </c>
      <c r="L1565" t="s">
        <v>673</v>
      </c>
      <c r="M1565" t="s">
        <v>623</v>
      </c>
      <c r="N1565" t="s">
        <v>641</v>
      </c>
      <c r="O1565" t="s">
        <v>748</v>
      </c>
    </row>
    <row r="1566" spans="1:15" x14ac:dyDescent="0.35">
      <c r="A1566" s="77">
        <v>2.6520547945205482</v>
      </c>
      <c r="B1566" s="19">
        <v>84897</v>
      </c>
      <c r="C1566" s="19" t="s">
        <v>3881</v>
      </c>
      <c r="D1566" s="19" t="s">
        <v>37</v>
      </c>
      <c r="E1566" s="19" t="s">
        <v>37</v>
      </c>
      <c r="F1566" s="19" t="s">
        <v>1480</v>
      </c>
      <c r="G1566" s="19" t="s">
        <v>1045</v>
      </c>
      <c r="H1566" s="19" t="s">
        <v>1001</v>
      </c>
      <c r="I1566" s="19" t="s">
        <v>1575</v>
      </c>
      <c r="J1566" s="20">
        <v>26</v>
      </c>
      <c r="K1566" t="s">
        <v>654</v>
      </c>
      <c r="L1566" t="s">
        <v>648</v>
      </c>
      <c r="M1566" t="s">
        <v>623</v>
      </c>
      <c r="N1566" t="s">
        <v>624</v>
      </c>
      <c r="O1566" t="s">
        <v>649</v>
      </c>
    </row>
    <row r="1567" spans="1:15" x14ac:dyDescent="0.35">
      <c r="A1567" s="77">
        <v>2.6383561643835618</v>
      </c>
      <c r="B1567" s="19">
        <v>84915</v>
      </c>
      <c r="C1567" s="19" t="s">
        <v>3882</v>
      </c>
      <c r="D1567" s="19" t="s">
        <v>328</v>
      </c>
      <c r="E1567" s="19" t="s">
        <v>329</v>
      </c>
      <c r="F1567" s="19" t="s">
        <v>838</v>
      </c>
      <c r="G1567" s="19" t="s">
        <v>1008</v>
      </c>
      <c r="H1567" s="19" t="s">
        <v>1001</v>
      </c>
      <c r="I1567" s="19" t="s">
        <v>1575</v>
      </c>
      <c r="J1567" s="20">
        <v>22</v>
      </c>
      <c r="K1567" t="s">
        <v>631</v>
      </c>
      <c r="L1567" t="s">
        <v>645</v>
      </c>
      <c r="M1567" t="s">
        <v>629</v>
      </c>
      <c r="N1567" t="s">
        <v>646</v>
      </c>
      <c r="O1567" t="s">
        <v>632</v>
      </c>
    </row>
    <row r="1568" spans="1:15" x14ac:dyDescent="0.35">
      <c r="A1568" s="77">
        <v>2.6383561643835618</v>
      </c>
      <c r="B1568" s="19">
        <v>84931</v>
      </c>
      <c r="C1568" s="19" t="s">
        <v>3883</v>
      </c>
      <c r="D1568" s="19" t="s">
        <v>36</v>
      </c>
      <c r="E1568" s="19" t="s">
        <v>36</v>
      </c>
      <c r="F1568" s="19" t="s">
        <v>1403</v>
      </c>
      <c r="G1568" s="19" t="s">
        <v>1057</v>
      </c>
      <c r="H1568" s="19" t="s">
        <v>1001</v>
      </c>
      <c r="I1568" s="19" t="s">
        <v>1575</v>
      </c>
      <c r="J1568" s="20">
        <v>21</v>
      </c>
      <c r="K1568" t="s">
        <v>668</v>
      </c>
      <c r="L1568" t="s">
        <v>691</v>
      </c>
      <c r="M1568" t="s">
        <v>657</v>
      </c>
      <c r="N1568" t="s">
        <v>658</v>
      </c>
      <c r="O1568" t="s">
        <v>632</v>
      </c>
    </row>
    <row r="1569" spans="1:15" x14ac:dyDescent="0.35">
      <c r="A1569" s="77">
        <v>0.14794520547945206</v>
      </c>
      <c r="B1569" s="19">
        <v>84956</v>
      </c>
      <c r="C1569" s="19" t="s">
        <v>3884</v>
      </c>
      <c r="D1569" s="19" t="s">
        <v>34</v>
      </c>
      <c r="E1569" s="19" t="s">
        <v>34</v>
      </c>
      <c r="F1569" s="19" t="s">
        <v>1066</v>
      </c>
      <c r="G1569" s="19" t="s">
        <v>1057</v>
      </c>
      <c r="H1569" s="19" t="s">
        <v>1001</v>
      </c>
      <c r="I1569" s="19" t="s">
        <v>1575</v>
      </c>
      <c r="J1569" s="20">
        <v>25</v>
      </c>
      <c r="K1569" t="s">
        <v>654</v>
      </c>
      <c r="L1569" t="s">
        <v>656</v>
      </c>
      <c r="M1569" t="s">
        <v>657</v>
      </c>
      <c r="N1569" t="s">
        <v>658</v>
      </c>
      <c r="O1569" t="s">
        <v>632</v>
      </c>
    </row>
    <row r="1570" spans="1:15" x14ac:dyDescent="0.35">
      <c r="A1570" s="77">
        <v>2.6356164383561644</v>
      </c>
      <c r="B1570" s="19">
        <v>85009</v>
      </c>
      <c r="C1570" s="19" t="s">
        <v>3885</v>
      </c>
      <c r="D1570" s="19" t="s">
        <v>120</v>
      </c>
      <c r="E1570" s="19" t="s">
        <v>121</v>
      </c>
      <c r="F1570" s="19" t="s">
        <v>1236</v>
      </c>
      <c r="G1570" s="19" t="s">
        <v>1008</v>
      </c>
      <c r="H1570" s="19" t="s">
        <v>1001</v>
      </c>
      <c r="I1570" s="19" t="s">
        <v>1575</v>
      </c>
      <c r="J1570" s="20">
        <v>45</v>
      </c>
      <c r="K1570" t="s">
        <v>636</v>
      </c>
      <c r="L1570" t="s">
        <v>673</v>
      </c>
      <c r="M1570" t="s">
        <v>623</v>
      </c>
      <c r="N1570" t="s">
        <v>641</v>
      </c>
      <c r="O1570" t="s">
        <v>748</v>
      </c>
    </row>
    <row r="1571" spans="1:15" x14ac:dyDescent="0.35">
      <c r="A1571" s="77">
        <v>0.45479452054794522</v>
      </c>
      <c r="B1571" s="19">
        <v>85015</v>
      </c>
      <c r="C1571" s="19" t="s">
        <v>3886</v>
      </c>
      <c r="D1571" s="19" t="s">
        <v>13</v>
      </c>
      <c r="E1571" s="19" t="s">
        <v>13</v>
      </c>
      <c r="F1571" s="19" t="s">
        <v>1467</v>
      </c>
      <c r="G1571" s="19" t="s">
        <v>1008</v>
      </c>
      <c r="H1571" s="19" t="s">
        <v>1001</v>
      </c>
      <c r="I1571" s="19" t="s">
        <v>1575</v>
      </c>
      <c r="J1571" s="20">
        <v>20</v>
      </c>
      <c r="K1571" t="s">
        <v>631</v>
      </c>
      <c r="L1571" t="s">
        <v>628</v>
      </c>
      <c r="M1571" t="s">
        <v>629</v>
      </c>
      <c r="N1571" t="s">
        <v>630</v>
      </c>
      <c r="O1571" t="s">
        <v>639</v>
      </c>
    </row>
    <row r="1572" spans="1:15" x14ac:dyDescent="0.35">
      <c r="A1572" s="77">
        <v>2.6219178082191781</v>
      </c>
      <c r="B1572" s="19">
        <v>85063</v>
      </c>
      <c r="C1572" s="19" t="s">
        <v>3887</v>
      </c>
      <c r="D1572" s="19" t="s">
        <v>379</v>
      </c>
      <c r="E1572" s="19" t="s">
        <v>380</v>
      </c>
      <c r="F1572" s="19" t="s">
        <v>381</v>
      </c>
      <c r="G1572" s="19" t="s">
        <v>1046</v>
      </c>
      <c r="H1572" s="19" t="s">
        <v>1001</v>
      </c>
      <c r="I1572" s="19" t="s">
        <v>1575</v>
      </c>
      <c r="J1572" s="20">
        <v>22</v>
      </c>
      <c r="K1572" t="s">
        <v>636</v>
      </c>
      <c r="L1572" t="s">
        <v>628</v>
      </c>
      <c r="M1572" t="s">
        <v>629</v>
      </c>
      <c r="N1572" t="s">
        <v>630</v>
      </c>
      <c r="O1572" t="s">
        <v>632</v>
      </c>
    </row>
    <row r="1573" spans="1:15" x14ac:dyDescent="0.35">
      <c r="A1573" s="77">
        <v>2.6191780821917807</v>
      </c>
      <c r="B1573" s="19">
        <v>85066</v>
      </c>
      <c r="C1573" s="19" t="s">
        <v>3888</v>
      </c>
      <c r="D1573" s="19" t="s">
        <v>118</v>
      </c>
      <c r="E1573" s="19" t="s">
        <v>119</v>
      </c>
      <c r="F1573" s="19" t="s">
        <v>1360</v>
      </c>
      <c r="G1573" s="19" t="s">
        <v>1084</v>
      </c>
      <c r="H1573" s="19" t="s">
        <v>1020</v>
      </c>
      <c r="I1573" s="19" t="s">
        <v>1599</v>
      </c>
      <c r="J1573" s="20">
        <v>35</v>
      </c>
      <c r="K1573" t="s">
        <v>625</v>
      </c>
      <c r="L1573" t="s">
        <v>656</v>
      </c>
      <c r="M1573" t="s">
        <v>657</v>
      </c>
      <c r="N1573" t="s">
        <v>658</v>
      </c>
      <c r="O1573" t="s">
        <v>632</v>
      </c>
    </row>
    <row r="1574" spans="1:15" x14ac:dyDescent="0.35">
      <c r="A1574" s="77">
        <v>2.6136986301369864</v>
      </c>
      <c r="B1574" s="19">
        <v>85112</v>
      </c>
      <c r="C1574" s="19" t="s">
        <v>3889</v>
      </c>
      <c r="D1574" s="19" t="s">
        <v>419</v>
      </c>
      <c r="E1574" s="19" t="s">
        <v>419</v>
      </c>
      <c r="F1574" s="19" t="s">
        <v>695</v>
      </c>
      <c r="G1574" s="19" t="s">
        <v>1008</v>
      </c>
      <c r="H1574" s="19" t="s">
        <v>1001</v>
      </c>
      <c r="I1574" s="19" t="s">
        <v>1575</v>
      </c>
      <c r="J1574" s="20">
        <v>24</v>
      </c>
      <c r="K1574" t="s">
        <v>654</v>
      </c>
      <c r="L1574" t="s">
        <v>628</v>
      </c>
      <c r="M1574" t="s">
        <v>629</v>
      </c>
      <c r="N1574" t="s">
        <v>630</v>
      </c>
      <c r="O1574" t="s">
        <v>632</v>
      </c>
    </row>
    <row r="1575" spans="1:15" x14ac:dyDescent="0.35">
      <c r="A1575" s="77">
        <v>2.1917808219178082E-2</v>
      </c>
      <c r="B1575" s="19">
        <v>85122</v>
      </c>
      <c r="C1575" s="19" t="s">
        <v>3890</v>
      </c>
      <c r="D1575" s="19" t="s">
        <v>62</v>
      </c>
      <c r="E1575" s="19" t="s">
        <v>63</v>
      </c>
      <c r="F1575" s="19" t="s">
        <v>1228</v>
      </c>
      <c r="G1575" s="19" t="s">
        <v>1028</v>
      </c>
      <c r="H1575" s="19" t="s">
        <v>1020</v>
      </c>
      <c r="I1575" s="19" t="s">
        <v>1575</v>
      </c>
      <c r="J1575" s="20">
        <v>20</v>
      </c>
      <c r="K1575" t="s">
        <v>636</v>
      </c>
      <c r="L1575" t="s">
        <v>645</v>
      </c>
      <c r="M1575" t="s">
        <v>629</v>
      </c>
      <c r="N1575" t="s">
        <v>646</v>
      </c>
      <c r="O1575" t="s">
        <v>632</v>
      </c>
    </row>
    <row r="1576" spans="1:15" x14ac:dyDescent="0.35">
      <c r="A1576" s="77">
        <v>2.6136986301369864</v>
      </c>
      <c r="B1576" s="19">
        <v>85138</v>
      </c>
      <c r="C1576" s="19" t="s">
        <v>3891</v>
      </c>
      <c r="D1576" s="19" t="s">
        <v>23</v>
      </c>
      <c r="E1576" s="19" t="s">
        <v>23</v>
      </c>
      <c r="F1576" s="19" t="s">
        <v>660</v>
      </c>
      <c r="G1576" s="19" t="s">
        <v>1046</v>
      </c>
      <c r="H1576" s="19" t="s">
        <v>1001</v>
      </c>
      <c r="I1576" s="19" t="s">
        <v>1575</v>
      </c>
      <c r="J1576" s="20">
        <v>26</v>
      </c>
      <c r="K1576" t="s">
        <v>631</v>
      </c>
      <c r="L1576" t="s">
        <v>661</v>
      </c>
      <c r="M1576" t="s">
        <v>657</v>
      </c>
      <c r="N1576" t="s">
        <v>662</v>
      </c>
      <c r="O1576" t="s">
        <v>632</v>
      </c>
    </row>
    <row r="1577" spans="1:15" x14ac:dyDescent="0.35">
      <c r="A1577" s="77">
        <v>2.6136986301369864</v>
      </c>
      <c r="B1577" s="19">
        <v>85147</v>
      </c>
      <c r="C1577" s="19" t="s">
        <v>3892</v>
      </c>
      <c r="D1577" s="19" t="s">
        <v>429</v>
      </c>
      <c r="E1577" s="19" t="s">
        <v>429</v>
      </c>
      <c r="F1577" s="19" t="s">
        <v>1240</v>
      </c>
      <c r="G1577" s="19" t="s">
        <v>1034</v>
      </c>
      <c r="H1577" s="19" t="s">
        <v>1001</v>
      </c>
      <c r="I1577" s="19" t="s">
        <v>1575</v>
      </c>
      <c r="J1577" s="20">
        <v>27</v>
      </c>
      <c r="K1577" t="s">
        <v>654</v>
      </c>
      <c r="L1577" t="s">
        <v>678</v>
      </c>
      <c r="M1577" t="s">
        <v>623</v>
      </c>
      <c r="N1577" t="s">
        <v>624</v>
      </c>
      <c r="O1577" t="s">
        <v>679</v>
      </c>
    </row>
    <row r="1578" spans="1:15" x14ac:dyDescent="0.35">
      <c r="A1578" s="77">
        <v>2.6136986301369864</v>
      </c>
      <c r="B1578" s="19">
        <v>85152</v>
      </c>
      <c r="C1578" s="19" t="s">
        <v>3893</v>
      </c>
      <c r="D1578" s="19" t="s">
        <v>235</v>
      </c>
      <c r="E1578" s="19" t="s">
        <v>236</v>
      </c>
      <c r="F1578" s="19" t="s">
        <v>1457</v>
      </c>
      <c r="G1578" s="19" t="s">
        <v>1008</v>
      </c>
      <c r="H1578" s="19" t="s">
        <v>1001</v>
      </c>
      <c r="I1578" s="19" t="s">
        <v>1599</v>
      </c>
      <c r="J1578" s="20">
        <v>24</v>
      </c>
      <c r="K1578" t="s">
        <v>654</v>
      </c>
      <c r="L1578" t="s">
        <v>707</v>
      </c>
      <c r="M1578" t="s">
        <v>629</v>
      </c>
      <c r="N1578" t="s">
        <v>635</v>
      </c>
      <c r="O1578" t="s">
        <v>710</v>
      </c>
    </row>
    <row r="1579" spans="1:15" x14ac:dyDescent="0.35">
      <c r="A1579" s="77">
        <v>2.6219178082191781</v>
      </c>
      <c r="B1579" s="19">
        <v>85173</v>
      </c>
      <c r="C1579" s="19" t="s">
        <v>3894</v>
      </c>
      <c r="D1579" s="19" t="s">
        <v>422</v>
      </c>
      <c r="E1579" s="19" t="s">
        <v>422</v>
      </c>
      <c r="F1579" s="19" t="s">
        <v>423</v>
      </c>
      <c r="G1579" s="19" t="s">
        <v>1028</v>
      </c>
      <c r="H1579" s="19" t="s">
        <v>1020</v>
      </c>
      <c r="I1579" s="19" t="s">
        <v>1575</v>
      </c>
      <c r="J1579" s="20">
        <v>46</v>
      </c>
      <c r="K1579" t="s">
        <v>654</v>
      </c>
      <c r="L1579" t="s">
        <v>673</v>
      </c>
      <c r="M1579" t="s">
        <v>623</v>
      </c>
      <c r="N1579" t="s">
        <v>641</v>
      </c>
      <c r="O1579" t="s">
        <v>697</v>
      </c>
    </row>
    <row r="1580" spans="1:15" x14ac:dyDescent="0.35">
      <c r="A1580" s="77">
        <v>2.6</v>
      </c>
      <c r="B1580" s="19">
        <v>85203</v>
      </c>
      <c r="C1580" s="19" t="s">
        <v>3895</v>
      </c>
      <c r="D1580" s="19" t="s">
        <v>124</v>
      </c>
      <c r="E1580" s="19" t="s">
        <v>125</v>
      </c>
      <c r="F1580" s="19" t="s">
        <v>1398</v>
      </c>
      <c r="G1580" s="19" t="s">
        <v>1008</v>
      </c>
      <c r="H1580" s="19" t="s">
        <v>1001</v>
      </c>
      <c r="I1580" s="19" t="s">
        <v>1575</v>
      </c>
      <c r="J1580" s="20">
        <v>28</v>
      </c>
      <c r="K1580" t="s">
        <v>654</v>
      </c>
      <c r="L1580" t="s">
        <v>661</v>
      </c>
      <c r="M1580" t="s">
        <v>657</v>
      </c>
      <c r="N1580" t="s">
        <v>662</v>
      </c>
      <c r="O1580" t="s">
        <v>632</v>
      </c>
    </row>
    <row r="1581" spans="1:15" x14ac:dyDescent="0.35">
      <c r="A1581" s="77">
        <v>2.6109589041095891</v>
      </c>
      <c r="B1581" s="19">
        <v>85212</v>
      </c>
      <c r="C1581" s="19" t="s">
        <v>3896</v>
      </c>
      <c r="D1581" s="19" t="s">
        <v>326</v>
      </c>
      <c r="E1581" s="19" t="s">
        <v>327</v>
      </c>
      <c r="F1581" s="19" t="s">
        <v>1051</v>
      </c>
      <c r="G1581" s="19" t="s">
        <v>1028</v>
      </c>
      <c r="H1581" s="19" t="s">
        <v>1020</v>
      </c>
      <c r="I1581" s="19" t="s">
        <v>1575</v>
      </c>
      <c r="J1581" s="20">
        <v>27</v>
      </c>
      <c r="K1581" t="s">
        <v>631</v>
      </c>
      <c r="L1581" t="s">
        <v>648</v>
      </c>
      <c r="M1581" t="s">
        <v>623</v>
      </c>
      <c r="N1581" t="s">
        <v>624</v>
      </c>
      <c r="O1581" t="s">
        <v>837</v>
      </c>
    </row>
    <row r="1582" spans="1:15" x14ac:dyDescent="0.35">
      <c r="A1582" s="77">
        <v>2.5972602739726027</v>
      </c>
      <c r="B1582" s="19">
        <v>85223</v>
      </c>
      <c r="C1582" s="19" t="s">
        <v>3897</v>
      </c>
      <c r="D1582" s="19" t="s">
        <v>147</v>
      </c>
      <c r="E1582" s="19" t="s">
        <v>148</v>
      </c>
      <c r="F1582" s="19" t="s">
        <v>1396</v>
      </c>
      <c r="G1582" s="19" t="s">
        <v>1046</v>
      </c>
      <c r="H1582" s="19" t="s">
        <v>1001</v>
      </c>
      <c r="I1582" s="19" t="s">
        <v>1575</v>
      </c>
      <c r="J1582" s="20">
        <v>26</v>
      </c>
      <c r="K1582" t="s">
        <v>636</v>
      </c>
      <c r="L1582" t="s">
        <v>661</v>
      </c>
      <c r="M1582" t="s">
        <v>657</v>
      </c>
      <c r="N1582" t="s">
        <v>662</v>
      </c>
      <c r="O1582" t="s">
        <v>632</v>
      </c>
    </row>
    <row r="1583" spans="1:15" x14ac:dyDescent="0.35">
      <c r="A1583" s="77">
        <v>1.0054794520547945</v>
      </c>
      <c r="B1583" s="19">
        <v>85228</v>
      </c>
      <c r="C1583" s="19" t="s">
        <v>3898</v>
      </c>
      <c r="D1583" s="19" t="s">
        <v>45</v>
      </c>
      <c r="E1583" s="19" t="s">
        <v>46</v>
      </c>
      <c r="F1583" s="19" t="s">
        <v>1122</v>
      </c>
      <c r="G1583" s="19" t="s">
        <v>1019</v>
      </c>
      <c r="H1583" s="19" t="s">
        <v>1020</v>
      </c>
      <c r="I1583" s="19" t="s">
        <v>1599</v>
      </c>
      <c r="J1583" s="20">
        <v>24</v>
      </c>
      <c r="K1583" t="s">
        <v>631</v>
      </c>
      <c r="L1583" t="s">
        <v>651</v>
      </c>
      <c r="M1583" t="s">
        <v>629</v>
      </c>
      <c r="N1583" t="s">
        <v>630</v>
      </c>
      <c r="O1583" t="s">
        <v>705</v>
      </c>
    </row>
    <row r="1584" spans="1:15" x14ac:dyDescent="0.35">
      <c r="A1584" s="77">
        <v>2.5972602739726027</v>
      </c>
      <c r="B1584" s="19">
        <v>85248</v>
      </c>
      <c r="C1584" s="19" t="s">
        <v>3899</v>
      </c>
      <c r="D1584" s="19" t="s">
        <v>397</v>
      </c>
      <c r="E1584" s="19" t="s">
        <v>398</v>
      </c>
      <c r="F1584" s="19" t="s">
        <v>867</v>
      </c>
      <c r="G1584" s="19" t="s">
        <v>1008</v>
      </c>
      <c r="H1584" s="19" t="s">
        <v>1001</v>
      </c>
      <c r="I1584" s="19" t="s">
        <v>1575</v>
      </c>
      <c r="J1584" s="20">
        <v>26</v>
      </c>
      <c r="K1584" t="s">
        <v>625</v>
      </c>
      <c r="L1584" t="s">
        <v>634</v>
      </c>
      <c r="M1584" t="s">
        <v>629</v>
      </c>
      <c r="N1584" t="s">
        <v>635</v>
      </c>
      <c r="O1584" t="s">
        <v>637</v>
      </c>
    </row>
    <row r="1585" spans="1:15" x14ac:dyDescent="0.35">
      <c r="A1585" s="77">
        <v>2.5945205479452054</v>
      </c>
      <c r="B1585" s="19">
        <v>85271</v>
      </c>
      <c r="C1585" s="19" t="s">
        <v>3900</v>
      </c>
      <c r="D1585" s="19" t="s">
        <v>326</v>
      </c>
      <c r="E1585" s="19" t="s">
        <v>327</v>
      </c>
      <c r="F1585" s="19" t="s">
        <v>1051</v>
      </c>
      <c r="G1585" s="19" t="s">
        <v>1028</v>
      </c>
      <c r="H1585" s="19" t="s">
        <v>1020</v>
      </c>
      <c r="I1585" s="19" t="s">
        <v>1575</v>
      </c>
      <c r="J1585" s="20">
        <v>22</v>
      </c>
      <c r="K1585" t="s">
        <v>631</v>
      </c>
      <c r="L1585" t="s">
        <v>648</v>
      </c>
      <c r="M1585" t="s">
        <v>623</v>
      </c>
      <c r="N1585" t="s">
        <v>624</v>
      </c>
      <c r="O1585" t="s">
        <v>837</v>
      </c>
    </row>
    <row r="1586" spans="1:15" x14ac:dyDescent="0.35">
      <c r="A1586" s="77">
        <v>2.5780821917808221</v>
      </c>
      <c r="B1586" s="19">
        <v>85319</v>
      </c>
      <c r="C1586" s="19" t="s">
        <v>3901</v>
      </c>
      <c r="D1586" s="19" t="s">
        <v>126</v>
      </c>
      <c r="E1586" s="19" t="s">
        <v>127</v>
      </c>
      <c r="F1586" s="19" t="s">
        <v>1152</v>
      </c>
      <c r="G1586" s="19" t="s">
        <v>1028</v>
      </c>
      <c r="H1586" s="19" t="s">
        <v>1020</v>
      </c>
      <c r="I1586" s="19" t="s">
        <v>1575</v>
      </c>
      <c r="J1586" s="20">
        <v>22</v>
      </c>
      <c r="K1586" t="s">
        <v>654</v>
      </c>
      <c r="L1586" t="s">
        <v>628</v>
      </c>
      <c r="M1586" t="s">
        <v>629</v>
      </c>
      <c r="N1586" t="s">
        <v>630</v>
      </c>
      <c r="O1586" t="s">
        <v>632</v>
      </c>
    </row>
    <row r="1587" spans="1:15" x14ac:dyDescent="0.35">
      <c r="A1587" s="77">
        <v>2.5780821917808221</v>
      </c>
      <c r="B1587" s="19">
        <v>85327</v>
      </c>
      <c r="C1587" s="19" t="s">
        <v>3902</v>
      </c>
      <c r="D1587" s="19" t="s">
        <v>167</v>
      </c>
      <c r="E1587" s="19" t="s">
        <v>168</v>
      </c>
      <c r="F1587" s="19" t="s">
        <v>2009</v>
      </c>
      <c r="G1587" s="19" t="s">
        <v>1008</v>
      </c>
      <c r="H1587" s="19" t="s">
        <v>1001</v>
      </c>
      <c r="I1587" s="19" t="s">
        <v>1575</v>
      </c>
      <c r="J1587" s="20">
        <v>27</v>
      </c>
      <c r="K1587" t="s">
        <v>636</v>
      </c>
      <c r="L1587" t="s">
        <v>640</v>
      </c>
      <c r="M1587" t="s">
        <v>623</v>
      </c>
      <c r="N1587" t="s">
        <v>641</v>
      </c>
      <c r="O1587" t="s">
        <v>754</v>
      </c>
    </row>
    <row r="1588" spans="1:15" x14ac:dyDescent="0.35">
      <c r="A1588" s="77">
        <v>2.580821917808219</v>
      </c>
      <c r="B1588" s="19">
        <v>85344</v>
      </c>
      <c r="C1588" s="19" t="s">
        <v>3903</v>
      </c>
      <c r="D1588" s="19" t="s">
        <v>373</v>
      </c>
      <c r="E1588" s="19" t="s">
        <v>374</v>
      </c>
      <c r="F1588" s="19" t="s">
        <v>1033</v>
      </c>
      <c r="G1588" s="19" t="s">
        <v>1008</v>
      </c>
      <c r="H1588" s="19" t="s">
        <v>1001</v>
      </c>
      <c r="I1588" s="19" t="s">
        <v>1575</v>
      </c>
      <c r="J1588" s="20">
        <v>26</v>
      </c>
      <c r="K1588" t="s">
        <v>654</v>
      </c>
      <c r="L1588" t="s">
        <v>634</v>
      </c>
      <c r="M1588" t="s">
        <v>629</v>
      </c>
      <c r="N1588" t="s">
        <v>635</v>
      </c>
      <c r="O1588" t="s">
        <v>637</v>
      </c>
    </row>
    <row r="1589" spans="1:15" x14ac:dyDescent="0.35">
      <c r="A1589" s="77">
        <v>2.580821917808219</v>
      </c>
      <c r="B1589" s="19">
        <v>85363</v>
      </c>
      <c r="C1589" s="19" t="s">
        <v>3904</v>
      </c>
      <c r="D1589" s="19" t="s">
        <v>407</v>
      </c>
      <c r="E1589" s="19" t="s">
        <v>408</v>
      </c>
      <c r="F1589" s="19" t="s">
        <v>1230</v>
      </c>
      <c r="G1589" s="19" t="s">
        <v>1028</v>
      </c>
      <c r="H1589" s="19" t="s">
        <v>1020</v>
      </c>
      <c r="I1589" s="19" t="s">
        <v>1575</v>
      </c>
      <c r="J1589" s="20">
        <v>25</v>
      </c>
      <c r="K1589" t="s">
        <v>636</v>
      </c>
      <c r="L1589" t="s">
        <v>622</v>
      </c>
      <c r="M1589" t="s">
        <v>623</v>
      </c>
      <c r="N1589" t="s">
        <v>624</v>
      </c>
      <c r="O1589" t="s">
        <v>730</v>
      </c>
    </row>
    <row r="1590" spans="1:15" x14ac:dyDescent="0.35">
      <c r="A1590" s="77">
        <v>2.580821917808219</v>
      </c>
      <c r="B1590" s="19">
        <v>85387</v>
      </c>
      <c r="C1590" s="19" t="s">
        <v>3905</v>
      </c>
      <c r="D1590" s="19" t="s">
        <v>420</v>
      </c>
      <c r="E1590" s="19" t="s">
        <v>420</v>
      </c>
      <c r="F1590" s="19" t="s">
        <v>686</v>
      </c>
      <c r="G1590" s="19" t="s">
        <v>1046</v>
      </c>
      <c r="H1590" s="19" t="s">
        <v>1001</v>
      </c>
      <c r="I1590" s="19" t="s">
        <v>1575</v>
      </c>
      <c r="J1590" s="20">
        <v>23</v>
      </c>
      <c r="K1590" t="s">
        <v>631</v>
      </c>
      <c r="L1590" t="s">
        <v>634</v>
      </c>
      <c r="M1590" t="s">
        <v>629</v>
      </c>
      <c r="N1590" t="s">
        <v>635</v>
      </c>
      <c r="O1590" t="s">
        <v>637</v>
      </c>
    </row>
    <row r="1591" spans="1:15" x14ac:dyDescent="0.35">
      <c r="A1591" s="77">
        <v>2.5780821917808221</v>
      </c>
      <c r="B1591" s="19">
        <v>85391</v>
      </c>
      <c r="C1591" s="19" t="s">
        <v>3906</v>
      </c>
      <c r="D1591" s="19" t="s">
        <v>266</v>
      </c>
      <c r="E1591" s="19" t="s">
        <v>267</v>
      </c>
      <c r="F1591" s="19" t="s">
        <v>2070</v>
      </c>
      <c r="G1591" s="19" t="s">
        <v>1046</v>
      </c>
      <c r="H1591" s="19" t="s">
        <v>1001</v>
      </c>
      <c r="I1591" s="19" t="s">
        <v>1575</v>
      </c>
      <c r="J1591" s="20">
        <v>20</v>
      </c>
      <c r="K1591" t="s">
        <v>636</v>
      </c>
      <c r="L1591" t="s">
        <v>634</v>
      </c>
      <c r="M1591" t="s">
        <v>629</v>
      </c>
      <c r="N1591" t="s">
        <v>635</v>
      </c>
      <c r="O1591" t="s">
        <v>637</v>
      </c>
    </row>
    <row r="1592" spans="1:15" x14ac:dyDescent="0.35">
      <c r="A1592" s="77">
        <v>1.178082191780822</v>
      </c>
      <c r="B1592" s="19">
        <v>85398</v>
      </c>
      <c r="C1592" s="19" t="s">
        <v>3907</v>
      </c>
      <c r="D1592" s="19" t="s">
        <v>163</v>
      </c>
      <c r="E1592" s="19" t="s">
        <v>164</v>
      </c>
      <c r="F1592" s="19" t="s">
        <v>1174</v>
      </c>
      <c r="G1592" s="19" t="s">
        <v>1028</v>
      </c>
      <c r="H1592" s="19" t="s">
        <v>1020</v>
      </c>
      <c r="I1592" s="19" t="s">
        <v>1575</v>
      </c>
      <c r="J1592" s="20">
        <v>42</v>
      </c>
      <c r="K1592" t="s">
        <v>654</v>
      </c>
      <c r="L1592" t="s">
        <v>634</v>
      </c>
      <c r="M1592" t="s">
        <v>629</v>
      </c>
      <c r="N1592" t="s">
        <v>635</v>
      </c>
      <c r="O1592" t="s">
        <v>637</v>
      </c>
    </row>
    <row r="1593" spans="1:15" x14ac:dyDescent="0.35">
      <c r="A1593" s="77">
        <v>2.5726027397260274</v>
      </c>
      <c r="B1593" s="19">
        <v>85403</v>
      </c>
      <c r="C1593" s="19" t="s">
        <v>3908</v>
      </c>
      <c r="D1593" s="19" t="s">
        <v>302</v>
      </c>
      <c r="E1593" s="19" t="s">
        <v>303</v>
      </c>
      <c r="F1593" s="19" t="s">
        <v>1053</v>
      </c>
      <c r="G1593" s="19" t="s">
        <v>1008</v>
      </c>
      <c r="H1593" s="19" t="s">
        <v>1001</v>
      </c>
      <c r="I1593" s="19" t="s">
        <v>1599</v>
      </c>
      <c r="J1593" s="20">
        <v>28</v>
      </c>
      <c r="K1593" t="s">
        <v>668</v>
      </c>
      <c r="L1593" t="s">
        <v>737</v>
      </c>
      <c r="M1593" t="s">
        <v>657</v>
      </c>
      <c r="N1593" t="s">
        <v>641</v>
      </c>
      <c r="O1593" t="s">
        <v>738</v>
      </c>
    </row>
    <row r="1594" spans="1:15" x14ac:dyDescent="0.35">
      <c r="A1594" s="77">
        <v>2.580821917808219</v>
      </c>
      <c r="B1594" s="19">
        <v>85423</v>
      </c>
      <c r="C1594" s="19" t="s">
        <v>3909</v>
      </c>
      <c r="D1594" s="19" t="s">
        <v>422</v>
      </c>
      <c r="E1594" s="19" t="s">
        <v>422</v>
      </c>
      <c r="F1594" s="19" t="s">
        <v>423</v>
      </c>
      <c r="G1594" s="19" t="s">
        <v>1028</v>
      </c>
      <c r="H1594" s="19" t="s">
        <v>1020</v>
      </c>
      <c r="I1594" s="19" t="s">
        <v>1575</v>
      </c>
      <c r="J1594" s="20">
        <v>62</v>
      </c>
      <c r="K1594" t="s">
        <v>654</v>
      </c>
      <c r="L1594" t="s">
        <v>673</v>
      </c>
      <c r="M1594" t="s">
        <v>623</v>
      </c>
      <c r="N1594" t="s">
        <v>641</v>
      </c>
      <c r="O1594" t="s">
        <v>697</v>
      </c>
    </row>
    <row r="1595" spans="1:15" x14ac:dyDescent="0.35">
      <c r="A1595" s="77">
        <v>2.5643835616438357</v>
      </c>
      <c r="B1595" s="19">
        <v>85459</v>
      </c>
      <c r="C1595" s="19" t="s">
        <v>3910</v>
      </c>
      <c r="D1595" s="19" t="s">
        <v>12</v>
      </c>
      <c r="E1595" s="19" t="s">
        <v>12</v>
      </c>
      <c r="F1595" s="19" t="s">
        <v>1145</v>
      </c>
      <c r="G1595" s="19" t="s">
        <v>1008</v>
      </c>
      <c r="H1595" s="19" t="s">
        <v>1001</v>
      </c>
      <c r="I1595" s="19" t="s">
        <v>1599</v>
      </c>
      <c r="J1595" s="20">
        <v>21</v>
      </c>
      <c r="K1595" t="s">
        <v>636</v>
      </c>
      <c r="L1595" t="s">
        <v>634</v>
      </c>
      <c r="M1595" t="s">
        <v>629</v>
      </c>
      <c r="N1595" t="s">
        <v>635</v>
      </c>
      <c r="O1595" t="s">
        <v>637</v>
      </c>
    </row>
    <row r="1596" spans="1:15" x14ac:dyDescent="0.35">
      <c r="A1596" s="77">
        <v>2.5643835616438357</v>
      </c>
      <c r="B1596" s="19">
        <v>85460</v>
      </c>
      <c r="C1596" s="19" t="s">
        <v>3911</v>
      </c>
      <c r="D1596" s="19" t="s">
        <v>266</v>
      </c>
      <c r="E1596" s="19" t="s">
        <v>267</v>
      </c>
      <c r="F1596" s="19" t="s">
        <v>2070</v>
      </c>
      <c r="G1596" s="19" t="s">
        <v>1008</v>
      </c>
      <c r="H1596" s="19" t="s">
        <v>1001</v>
      </c>
      <c r="I1596" s="19" t="s">
        <v>1575</v>
      </c>
      <c r="J1596" s="20">
        <v>29</v>
      </c>
      <c r="K1596" t="s">
        <v>636</v>
      </c>
      <c r="L1596" t="s">
        <v>634</v>
      </c>
      <c r="M1596" t="s">
        <v>629</v>
      </c>
      <c r="N1596" t="s">
        <v>635</v>
      </c>
      <c r="O1596" t="s">
        <v>637</v>
      </c>
    </row>
    <row r="1597" spans="1:15" x14ac:dyDescent="0.35">
      <c r="A1597" s="77">
        <v>2.5643835616438357</v>
      </c>
      <c r="B1597" s="19">
        <v>85463</v>
      </c>
      <c r="C1597" s="19" t="s">
        <v>3912</v>
      </c>
      <c r="D1597" s="19" t="s">
        <v>328</v>
      </c>
      <c r="E1597" s="19" t="s">
        <v>329</v>
      </c>
      <c r="F1597" s="19" t="s">
        <v>838</v>
      </c>
      <c r="G1597" s="19" t="s">
        <v>1028</v>
      </c>
      <c r="H1597" s="19" t="s">
        <v>1020</v>
      </c>
      <c r="I1597" s="19" t="s">
        <v>1575</v>
      </c>
      <c r="J1597" s="20">
        <v>23</v>
      </c>
      <c r="K1597" t="s">
        <v>631</v>
      </c>
      <c r="L1597" t="s">
        <v>645</v>
      </c>
      <c r="M1597" t="s">
        <v>629</v>
      </c>
      <c r="N1597" t="s">
        <v>646</v>
      </c>
      <c r="O1597" t="s">
        <v>632</v>
      </c>
    </row>
    <row r="1598" spans="1:15" x14ac:dyDescent="0.35">
      <c r="A1598" s="77">
        <v>2.5643835616438357</v>
      </c>
      <c r="B1598" s="19">
        <v>85464</v>
      </c>
      <c r="C1598" s="19" t="s">
        <v>3913</v>
      </c>
      <c r="D1598" s="19" t="s">
        <v>237</v>
      </c>
      <c r="E1598" s="19" t="s">
        <v>238</v>
      </c>
      <c r="F1598" s="19" t="s">
        <v>1070</v>
      </c>
      <c r="G1598" s="19" t="s">
        <v>1084</v>
      </c>
      <c r="H1598" s="19" t="s">
        <v>1020</v>
      </c>
      <c r="I1598" s="19" t="s">
        <v>1575</v>
      </c>
      <c r="J1598" s="20">
        <v>36</v>
      </c>
      <c r="K1598" t="s">
        <v>631</v>
      </c>
      <c r="L1598" t="s">
        <v>661</v>
      </c>
      <c r="M1598" t="s">
        <v>657</v>
      </c>
      <c r="N1598" t="s">
        <v>662</v>
      </c>
      <c r="O1598" t="s">
        <v>632</v>
      </c>
    </row>
    <row r="1599" spans="1:15" x14ac:dyDescent="0.35">
      <c r="A1599" s="77">
        <v>2.5643835616438357</v>
      </c>
      <c r="B1599" s="19">
        <v>85467</v>
      </c>
      <c r="C1599" s="19" t="s">
        <v>3914</v>
      </c>
      <c r="D1599" s="19" t="s">
        <v>143</v>
      </c>
      <c r="E1599" s="19" t="s">
        <v>144</v>
      </c>
      <c r="F1599" s="19" t="s">
        <v>2391</v>
      </c>
      <c r="G1599" s="19" t="s">
        <v>1008</v>
      </c>
      <c r="H1599" s="19" t="s">
        <v>1001</v>
      </c>
      <c r="I1599" s="19" t="s">
        <v>1575</v>
      </c>
      <c r="J1599" s="20">
        <v>26</v>
      </c>
      <c r="K1599" t="s">
        <v>654</v>
      </c>
      <c r="L1599" t="s">
        <v>640</v>
      </c>
      <c r="M1599" t="s">
        <v>623</v>
      </c>
      <c r="N1599" t="s">
        <v>641</v>
      </c>
      <c r="O1599" t="s">
        <v>754</v>
      </c>
    </row>
    <row r="1600" spans="1:15" x14ac:dyDescent="0.35">
      <c r="A1600" s="77">
        <v>1.2328767123287672</v>
      </c>
      <c r="B1600" s="19">
        <v>85501</v>
      </c>
      <c r="C1600" s="19" t="s">
        <v>3915</v>
      </c>
      <c r="D1600" s="19" t="s">
        <v>8</v>
      </c>
      <c r="E1600" s="19" t="s">
        <v>8</v>
      </c>
      <c r="F1600" s="19" t="s">
        <v>1176</v>
      </c>
      <c r="G1600" s="19" t="s">
        <v>1008</v>
      </c>
      <c r="H1600" s="19" t="s">
        <v>1001</v>
      </c>
      <c r="I1600" s="19" t="s">
        <v>1575</v>
      </c>
      <c r="J1600" s="20">
        <v>22</v>
      </c>
      <c r="K1600" t="s">
        <v>625</v>
      </c>
      <c r="L1600" t="s">
        <v>622</v>
      </c>
      <c r="M1600" t="s">
        <v>623</v>
      </c>
      <c r="N1600" t="s">
        <v>624</v>
      </c>
      <c r="O1600" t="s">
        <v>626</v>
      </c>
    </row>
    <row r="1601" spans="1:15" x14ac:dyDescent="0.35">
      <c r="A1601" s="77">
        <v>2.5643835616438357</v>
      </c>
      <c r="B1601" s="19">
        <v>85505</v>
      </c>
      <c r="C1601" s="19" t="s">
        <v>3916</v>
      </c>
      <c r="D1601" s="19" t="s">
        <v>241</v>
      </c>
      <c r="E1601" s="19" t="s">
        <v>242</v>
      </c>
      <c r="F1601" s="19" t="s">
        <v>1030</v>
      </c>
      <c r="G1601" s="19" t="s">
        <v>1028</v>
      </c>
      <c r="H1601" s="19" t="s">
        <v>1020</v>
      </c>
      <c r="I1601" s="19" t="s">
        <v>1575</v>
      </c>
      <c r="J1601" s="20">
        <v>28</v>
      </c>
      <c r="K1601" t="s">
        <v>668</v>
      </c>
      <c r="L1601" t="s">
        <v>622</v>
      </c>
      <c r="M1601" t="s">
        <v>623</v>
      </c>
      <c r="N1601" t="s">
        <v>624</v>
      </c>
      <c r="O1601" t="s">
        <v>800</v>
      </c>
    </row>
    <row r="1602" spans="1:15" x14ac:dyDescent="0.35">
      <c r="A1602" s="77">
        <v>0.65753424657534243</v>
      </c>
      <c r="B1602" s="19">
        <v>85579</v>
      </c>
      <c r="C1602" s="19" t="s">
        <v>3917</v>
      </c>
      <c r="D1602" s="19" t="s">
        <v>401</v>
      </c>
      <c r="E1602" s="19" t="s">
        <v>402</v>
      </c>
      <c r="F1602" s="19" t="s">
        <v>1314</v>
      </c>
      <c r="G1602" s="19" t="s">
        <v>1028</v>
      </c>
      <c r="H1602" s="19" t="s">
        <v>1020</v>
      </c>
      <c r="I1602" s="19" t="s">
        <v>1575</v>
      </c>
      <c r="J1602" s="20">
        <v>23</v>
      </c>
      <c r="K1602" t="s">
        <v>668</v>
      </c>
      <c r="L1602" t="s">
        <v>691</v>
      </c>
      <c r="M1602" t="s">
        <v>657</v>
      </c>
      <c r="N1602" t="s">
        <v>658</v>
      </c>
      <c r="O1602" t="s">
        <v>632</v>
      </c>
    </row>
    <row r="1603" spans="1:15" x14ac:dyDescent="0.35">
      <c r="A1603" s="77">
        <v>2.580821917808219</v>
      </c>
      <c r="B1603" s="19">
        <v>85629</v>
      </c>
      <c r="C1603" s="19" t="s">
        <v>3918</v>
      </c>
      <c r="D1603" s="19" t="s">
        <v>191</v>
      </c>
      <c r="E1603" s="19" t="s">
        <v>192</v>
      </c>
      <c r="F1603" s="19" t="s">
        <v>1626</v>
      </c>
      <c r="G1603" s="19" t="s">
        <v>1028</v>
      </c>
      <c r="H1603" s="19" t="s">
        <v>1020</v>
      </c>
      <c r="I1603" s="19" t="s">
        <v>1575</v>
      </c>
      <c r="J1603" s="20">
        <v>39</v>
      </c>
      <c r="K1603" t="s">
        <v>654</v>
      </c>
      <c r="L1603" t="s">
        <v>673</v>
      </c>
      <c r="M1603" t="s">
        <v>623</v>
      </c>
      <c r="N1603" t="s">
        <v>641</v>
      </c>
      <c r="O1603" t="s">
        <v>779</v>
      </c>
    </row>
    <row r="1604" spans="1:15" x14ac:dyDescent="0.35">
      <c r="A1604" s="77">
        <v>0.57808219178082187</v>
      </c>
      <c r="B1604" s="19">
        <v>85652</v>
      </c>
      <c r="C1604" s="19" t="s">
        <v>3919</v>
      </c>
      <c r="D1604" s="19" t="s">
        <v>258</v>
      </c>
      <c r="E1604" s="19" t="s">
        <v>259</v>
      </c>
      <c r="F1604" s="19" t="s">
        <v>1349</v>
      </c>
      <c r="G1604" s="19" t="s">
        <v>1057</v>
      </c>
      <c r="H1604" s="19" t="s">
        <v>1001</v>
      </c>
      <c r="I1604" s="19" t="s">
        <v>1575</v>
      </c>
      <c r="J1604" s="20">
        <v>24</v>
      </c>
      <c r="K1604" t="s">
        <v>668</v>
      </c>
      <c r="L1604" t="s">
        <v>691</v>
      </c>
      <c r="M1604" t="s">
        <v>657</v>
      </c>
      <c r="N1604" t="s">
        <v>658</v>
      </c>
      <c r="O1604" t="s">
        <v>632</v>
      </c>
    </row>
    <row r="1605" spans="1:15" x14ac:dyDescent="0.35">
      <c r="A1605" s="77">
        <v>1.8821917808219177</v>
      </c>
      <c r="B1605" s="19">
        <v>85657</v>
      </c>
      <c r="C1605" s="19" t="s">
        <v>3920</v>
      </c>
      <c r="D1605" s="19" t="s">
        <v>62</v>
      </c>
      <c r="E1605" s="19" t="s">
        <v>63</v>
      </c>
      <c r="F1605" s="19" t="s">
        <v>1228</v>
      </c>
      <c r="G1605" s="19" t="s">
        <v>1028</v>
      </c>
      <c r="H1605" s="19" t="s">
        <v>1020</v>
      </c>
      <c r="I1605" s="19" t="s">
        <v>1575</v>
      </c>
      <c r="J1605" s="20">
        <v>21</v>
      </c>
      <c r="K1605" t="s">
        <v>636</v>
      </c>
      <c r="L1605" t="s">
        <v>645</v>
      </c>
      <c r="M1605" t="s">
        <v>629</v>
      </c>
      <c r="N1605" t="s">
        <v>646</v>
      </c>
      <c r="O1605" t="s">
        <v>632</v>
      </c>
    </row>
    <row r="1606" spans="1:15" x14ac:dyDescent="0.35">
      <c r="A1606" s="77">
        <v>0.51232876712328768</v>
      </c>
      <c r="B1606" s="19">
        <v>85659</v>
      </c>
      <c r="C1606" s="19" t="s">
        <v>3921</v>
      </c>
      <c r="D1606" s="19" t="s">
        <v>27</v>
      </c>
      <c r="E1606" s="19" t="s">
        <v>27</v>
      </c>
      <c r="F1606" s="19" t="s">
        <v>1250</v>
      </c>
      <c r="G1606" s="19" t="s">
        <v>1028</v>
      </c>
      <c r="H1606" s="19" t="s">
        <v>1020</v>
      </c>
      <c r="I1606" s="19" t="s">
        <v>1575</v>
      </c>
      <c r="J1606" s="20">
        <v>23</v>
      </c>
      <c r="K1606" t="s">
        <v>668</v>
      </c>
      <c r="L1606" t="s">
        <v>645</v>
      </c>
      <c r="M1606" t="s">
        <v>629</v>
      </c>
      <c r="N1606" t="s">
        <v>646</v>
      </c>
      <c r="O1606" t="s">
        <v>632</v>
      </c>
    </row>
    <row r="1607" spans="1:15" x14ac:dyDescent="0.35">
      <c r="A1607" s="77">
        <v>2.5534246575342467</v>
      </c>
      <c r="B1607" s="19">
        <v>85666</v>
      </c>
      <c r="C1607" s="19" t="s">
        <v>3922</v>
      </c>
      <c r="D1607" s="19" t="s">
        <v>239</v>
      </c>
      <c r="E1607" s="19" t="s">
        <v>240</v>
      </c>
      <c r="F1607" s="19" t="s">
        <v>798</v>
      </c>
      <c r="G1607" s="19" t="s">
        <v>1057</v>
      </c>
      <c r="H1607" s="19" t="s">
        <v>1001</v>
      </c>
      <c r="I1607" s="19" t="s">
        <v>1575</v>
      </c>
      <c r="J1607" s="20">
        <v>31</v>
      </c>
      <c r="K1607" t="s">
        <v>636</v>
      </c>
      <c r="L1607" t="s">
        <v>628</v>
      </c>
      <c r="M1607" t="s">
        <v>629</v>
      </c>
      <c r="N1607" t="s">
        <v>646</v>
      </c>
      <c r="O1607" t="s">
        <v>632</v>
      </c>
    </row>
    <row r="1608" spans="1:15" x14ac:dyDescent="0.35">
      <c r="A1608" s="77">
        <v>2.5342465753424657</v>
      </c>
      <c r="B1608" s="19">
        <v>85674</v>
      </c>
      <c r="C1608" s="19" t="s">
        <v>3923</v>
      </c>
      <c r="D1608" s="19" t="s">
        <v>91</v>
      </c>
      <c r="E1608" s="19" t="s">
        <v>92</v>
      </c>
      <c r="F1608" s="19" t="s">
        <v>1113</v>
      </c>
      <c r="G1608" s="19" t="s">
        <v>1046</v>
      </c>
      <c r="H1608" s="19" t="s">
        <v>1001</v>
      </c>
      <c r="I1608" s="19" t="s">
        <v>1575</v>
      </c>
      <c r="J1608" s="20">
        <v>30</v>
      </c>
      <c r="K1608" t="s">
        <v>636</v>
      </c>
      <c r="L1608" t="s">
        <v>634</v>
      </c>
      <c r="M1608" t="s">
        <v>629</v>
      </c>
      <c r="N1608" t="s">
        <v>630</v>
      </c>
      <c r="O1608" t="s">
        <v>734</v>
      </c>
    </row>
    <row r="1609" spans="1:15" x14ac:dyDescent="0.35">
      <c r="A1609" s="77">
        <v>2.526027397260274</v>
      </c>
      <c r="B1609" s="19">
        <v>85725</v>
      </c>
      <c r="C1609" s="19" t="s">
        <v>3924</v>
      </c>
      <c r="D1609" s="19" t="s">
        <v>271</v>
      </c>
      <c r="E1609" s="19" t="s">
        <v>272</v>
      </c>
      <c r="F1609" s="19" t="s">
        <v>2611</v>
      </c>
      <c r="G1609" s="19" t="s">
        <v>1008</v>
      </c>
      <c r="H1609" s="19" t="s">
        <v>1001</v>
      </c>
      <c r="I1609" s="19" t="s">
        <v>1575</v>
      </c>
      <c r="J1609" s="20">
        <v>22</v>
      </c>
      <c r="K1609" t="s">
        <v>654</v>
      </c>
      <c r="L1609" t="s">
        <v>666</v>
      </c>
      <c r="M1609" t="s">
        <v>629</v>
      </c>
      <c r="N1609" t="s">
        <v>635</v>
      </c>
      <c r="O1609" t="s">
        <v>739</v>
      </c>
    </row>
    <row r="1610" spans="1:15" x14ac:dyDescent="0.35">
      <c r="A1610" s="77">
        <v>2.5205479452054793</v>
      </c>
      <c r="B1610" s="19">
        <v>85749</v>
      </c>
      <c r="C1610" s="19" t="s">
        <v>3925</v>
      </c>
      <c r="D1610" s="19" t="s">
        <v>53</v>
      </c>
      <c r="E1610" s="19" t="s">
        <v>54</v>
      </c>
      <c r="F1610" s="19" t="s">
        <v>1308</v>
      </c>
      <c r="G1610" s="19" t="s">
        <v>1034</v>
      </c>
      <c r="H1610" s="19" t="s">
        <v>1001</v>
      </c>
      <c r="I1610" s="19" t="s">
        <v>1575</v>
      </c>
      <c r="J1610" s="20">
        <v>25</v>
      </c>
      <c r="K1610" t="s">
        <v>668</v>
      </c>
      <c r="L1610" t="s">
        <v>691</v>
      </c>
      <c r="M1610" t="s">
        <v>657</v>
      </c>
      <c r="N1610" t="s">
        <v>658</v>
      </c>
      <c r="O1610" t="s">
        <v>632</v>
      </c>
    </row>
    <row r="1611" spans="1:15" x14ac:dyDescent="0.35">
      <c r="A1611" s="77">
        <v>2.5205479452054793</v>
      </c>
      <c r="B1611" s="19">
        <v>85751</v>
      </c>
      <c r="C1611" s="19" t="s">
        <v>3926</v>
      </c>
      <c r="D1611" s="19" t="s">
        <v>278</v>
      </c>
      <c r="E1611" s="19" t="s">
        <v>279</v>
      </c>
      <c r="F1611" s="19" t="s">
        <v>1131</v>
      </c>
      <c r="G1611" s="19" t="s">
        <v>1084</v>
      </c>
      <c r="H1611" s="19" t="s">
        <v>1020</v>
      </c>
      <c r="I1611" s="19" t="s">
        <v>1575</v>
      </c>
      <c r="J1611" s="20">
        <v>51</v>
      </c>
      <c r="K1611" t="s">
        <v>625</v>
      </c>
      <c r="L1611" t="s">
        <v>661</v>
      </c>
      <c r="M1611" t="s">
        <v>657</v>
      </c>
      <c r="N1611" t="s">
        <v>662</v>
      </c>
      <c r="O1611" t="s">
        <v>632</v>
      </c>
    </row>
    <row r="1612" spans="1:15" x14ac:dyDescent="0.35">
      <c r="A1612" s="77">
        <v>0.56164383561643838</v>
      </c>
      <c r="B1612" s="19">
        <v>85758</v>
      </c>
      <c r="C1612" s="19" t="s">
        <v>3927</v>
      </c>
      <c r="D1612" s="19" t="s">
        <v>155</v>
      </c>
      <c r="E1612" s="19" t="s">
        <v>156</v>
      </c>
      <c r="F1612" s="19" t="s">
        <v>896</v>
      </c>
      <c r="G1612" s="19" t="s">
        <v>1008</v>
      </c>
      <c r="H1612" s="19" t="s">
        <v>1001</v>
      </c>
      <c r="I1612" s="19" t="s">
        <v>1575</v>
      </c>
      <c r="J1612" s="20">
        <v>24</v>
      </c>
      <c r="K1612" t="s">
        <v>636</v>
      </c>
      <c r="L1612" t="s">
        <v>663</v>
      </c>
      <c r="M1612" t="s">
        <v>629</v>
      </c>
      <c r="N1612" t="s">
        <v>646</v>
      </c>
      <c r="O1612" t="s">
        <v>639</v>
      </c>
    </row>
    <row r="1613" spans="1:15" x14ac:dyDescent="0.35">
      <c r="A1613" s="77">
        <v>2.5205479452054793</v>
      </c>
      <c r="B1613" s="19">
        <v>85771</v>
      </c>
      <c r="C1613" s="19" t="s">
        <v>3928</v>
      </c>
      <c r="D1613" s="19" t="s">
        <v>171</v>
      </c>
      <c r="E1613" s="19" t="s">
        <v>172</v>
      </c>
      <c r="F1613" s="19" t="s">
        <v>2239</v>
      </c>
      <c r="G1613" s="19" t="s">
        <v>1008</v>
      </c>
      <c r="H1613" s="19" t="s">
        <v>1001</v>
      </c>
      <c r="I1613" s="19" t="s">
        <v>1575</v>
      </c>
      <c r="J1613" s="20">
        <v>23</v>
      </c>
      <c r="K1613" t="s">
        <v>654</v>
      </c>
      <c r="L1613" t="s">
        <v>661</v>
      </c>
      <c r="M1613" t="s">
        <v>657</v>
      </c>
      <c r="N1613" t="s">
        <v>662</v>
      </c>
      <c r="O1613" t="s">
        <v>632</v>
      </c>
    </row>
    <row r="1614" spans="1:15" x14ac:dyDescent="0.35">
      <c r="A1614" s="77">
        <v>2.5178082191780824</v>
      </c>
      <c r="B1614" s="19">
        <v>85778</v>
      </c>
      <c r="C1614" s="19" t="s">
        <v>3929</v>
      </c>
      <c r="D1614" s="19" t="s">
        <v>330</v>
      </c>
      <c r="E1614" s="19" t="s">
        <v>331</v>
      </c>
      <c r="F1614" s="19" t="s">
        <v>332</v>
      </c>
      <c r="G1614" s="19" t="s">
        <v>1008</v>
      </c>
      <c r="H1614" s="19" t="s">
        <v>1001</v>
      </c>
      <c r="I1614" s="19" t="s">
        <v>1599</v>
      </c>
      <c r="J1614" s="20">
        <v>20</v>
      </c>
      <c r="K1614" t="s">
        <v>636</v>
      </c>
      <c r="L1614" t="s">
        <v>762</v>
      </c>
      <c r="M1614" t="s">
        <v>629</v>
      </c>
      <c r="N1614" t="s">
        <v>646</v>
      </c>
      <c r="O1614" t="s">
        <v>839</v>
      </c>
    </row>
    <row r="1615" spans="1:15" x14ac:dyDescent="0.35">
      <c r="A1615" s="77">
        <v>0.61643835616438358</v>
      </c>
      <c r="B1615" s="19">
        <v>85788</v>
      </c>
      <c r="C1615" s="19" t="s">
        <v>3930</v>
      </c>
      <c r="D1615" s="19" t="s">
        <v>145</v>
      </c>
      <c r="E1615" s="19" t="s">
        <v>146</v>
      </c>
      <c r="F1615" s="19" t="s">
        <v>1015</v>
      </c>
      <c r="G1615" s="19" t="s">
        <v>1008</v>
      </c>
      <c r="H1615" s="19" t="s">
        <v>1001</v>
      </c>
      <c r="I1615" s="19" t="s">
        <v>1575</v>
      </c>
      <c r="J1615" s="20">
        <v>22</v>
      </c>
      <c r="K1615" t="s">
        <v>636</v>
      </c>
      <c r="L1615" t="s">
        <v>737</v>
      </c>
      <c r="M1615" t="s">
        <v>657</v>
      </c>
      <c r="N1615" t="s">
        <v>641</v>
      </c>
      <c r="O1615" t="s">
        <v>757</v>
      </c>
    </row>
    <row r="1616" spans="1:15" x14ac:dyDescent="0.35">
      <c r="A1616" s="77">
        <v>0.31780821917808222</v>
      </c>
      <c r="B1616" s="19">
        <v>85804</v>
      </c>
      <c r="C1616" s="19" t="s">
        <v>3931</v>
      </c>
      <c r="D1616" s="19" t="s">
        <v>49</v>
      </c>
      <c r="E1616" s="19" t="s">
        <v>50</v>
      </c>
      <c r="F1616" s="19" t="s">
        <v>1213</v>
      </c>
      <c r="G1616" s="19" t="s">
        <v>1008</v>
      </c>
      <c r="H1616" s="19" t="s">
        <v>1001</v>
      </c>
      <c r="I1616" s="19" t="s">
        <v>1599</v>
      </c>
      <c r="J1616" s="20">
        <v>25</v>
      </c>
      <c r="K1616" t="s">
        <v>625</v>
      </c>
      <c r="L1616" t="s">
        <v>648</v>
      </c>
      <c r="M1616" t="s">
        <v>623</v>
      </c>
      <c r="N1616" t="s">
        <v>624</v>
      </c>
      <c r="O1616" t="s">
        <v>649</v>
      </c>
    </row>
    <row r="1617" spans="1:15" x14ac:dyDescent="0.35">
      <c r="A1617" s="77">
        <v>0.89589041095890409</v>
      </c>
      <c r="B1617" s="19">
        <v>85809</v>
      </c>
      <c r="C1617" s="19" t="s">
        <v>3932</v>
      </c>
      <c r="D1617" s="19" t="s">
        <v>335</v>
      </c>
      <c r="E1617" s="19" t="s">
        <v>336</v>
      </c>
      <c r="F1617" s="19" t="s">
        <v>841</v>
      </c>
      <c r="G1617" s="19" t="s">
        <v>1034</v>
      </c>
      <c r="H1617" s="19" t="s">
        <v>1001</v>
      </c>
      <c r="I1617" s="19" t="s">
        <v>1599</v>
      </c>
      <c r="J1617" s="20">
        <v>29</v>
      </c>
      <c r="K1617" t="s">
        <v>636</v>
      </c>
      <c r="L1617" t="s">
        <v>622</v>
      </c>
      <c r="M1617" t="s">
        <v>623</v>
      </c>
      <c r="N1617" t="s">
        <v>624</v>
      </c>
      <c r="O1617" t="s">
        <v>649</v>
      </c>
    </row>
    <row r="1618" spans="1:15" x14ac:dyDescent="0.35">
      <c r="A1618" s="77">
        <v>2.515068493150685</v>
      </c>
      <c r="B1618" s="19">
        <v>85814</v>
      </c>
      <c r="C1618" s="19" t="s">
        <v>3933</v>
      </c>
      <c r="D1618" s="19" t="s">
        <v>159</v>
      </c>
      <c r="E1618" s="19" t="s">
        <v>160</v>
      </c>
      <c r="F1618" s="19" t="s">
        <v>1488</v>
      </c>
      <c r="G1618" s="19" t="s">
        <v>1046</v>
      </c>
      <c r="H1618" s="19" t="s">
        <v>1001</v>
      </c>
      <c r="I1618" s="19" t="s">
        <v>1575</v>
      </c>
      <c r="J1618" s="20">
        <v>34</v>
      </c>
      <c r="K1618" t="s">
        <v>654</v>
      </c>
      <c r="L1618" t="s">
        <v>678</v>
      </c>
      <c r="M1618" t="s">
        <v>623</v>
      </c>
      <c r="N1618" t="s">
        <v>624</v>
      </c>
      <c r="O1618" t="s">
        <v>679</v>
      </c>
    </row>
    <row r="1619" spans="1:15" x14ac:dyDescent="0.35">
      <c r="A1619" s="77">
        <v>2.536986301369863</v>
      </c>
      <c r="B1619" s="19">
        <v>85820</v>
      </c>
      <c r="C1619" s="19" t="s">
        <v>3934</v>
      </c>
      <c r="D1619" s="19" t="s">
        <v>93</v>
      </c>
      <c r="E1619" s="19" t="s">
        <v>94</v>
      </c>
      <c r="F1619" s="19" t="s">
        <v>919</v>
      </c>
      <c r="G1619" s="19" t="s">
        <v>1046</v>
      </c>
      <c r="H1619" s="19" t="s">
        <v>1001</v>
      </c>
      <c r="I1619" s="19" t="s">
        <v>1575</v>
      </c>
      <c r="J1619" s="20">
        <v>25</v>
      </c>
      <c r="K1619" t="s">
        <v>654</v>
      </c>
      <c r="L1619" t="s">
        <v>691</v>
      </c>
      <c r="M1619" t="s">
        <v>657</v>
      </c>
      <c r="N1619" t="s">
        <v>658</v>
      </c>
      <c r="O1619" t="s">
        <v>632</v>
      </c>
    </row>
    <row r="1620" spans="1:15" x14ac:dyDescent="0.35">
      <c r="A1620" s="77">
        <v>2.4986301369863013</v>
      </c>
      <c r="B1620" s="19">
        <v>85834</v>
      </c>
      <c r="C1620" s="19" t="s">
        <v>3935</v>
      </c>
      <c r="D1620" s="19" t="s">
        <v>45</v>
      </c>
      <c r="E1620" s="19" t="s">
        <v>46</v>
      </c>
      <c r="F1620" s="19" t="s">
        <v>1122</v>
      </c>
      <c r="G1620" s="19" t="s">
        <v>1034</v>
      </c>
      <c r="H1620" s="19" t="s">
        <v>1001</v>
      </c>
      <c r="I1620" s="19" t="s">
        <v>1575</v>
      </c>
      <c r="J1620" s="20">
        <v>28</v>
      </c>
      <c r="K1620" t="s">
        <v>631</v>
      </c>
      <c r="L1620" t="s">
        <v>651</v>
      </c>
      <c r="M1620" t="s">
        <v>629</v>
      </c>
      <c r="N1620" t="s">
        <v>630</v>
      </c>
      <c r="O1620" t="s">
        <v>705</v>
      </c>
    </row>
    <row r="1621" spans="1:15" x14ac:dyDescent="0.35">
      <c r="A1621" s="77">
        <v>2.4986301369863013</v>
      </c>
      <c r="B1621" s="19">
        <v>85845</v>
      </c>
      <c r="C1621" s="19" t="s">
        <v>3936</v>
      </c>
      <c r="D1621" s="19" t="s">
        <v>186</v>
      </c>
      <c r="E1621" s="19" t="s">
        <v>187</v>
      </c>
      <c r="F1621" s="19" t="s">
        <v>1164</v>
      </c>
      <c r="G1621" s="19" t="s">
        <v>1008</v>
      </c>
      <c r="H1621" s="19" t="s">
        <v>1001</v>
      </c>
      <c r="I1621" s="19" t="s">
        <v>1599</v>
      </c>
      <c r="J1621" s="20">
        <v>25</v>
      </c>
      <c r="K1621" t="s">
        <v>642</v>
      </c>
      <c r="L1621" t="s">
        <v>648</v>
      </c>
      <c r="M1621" t="s">
        <v>623</v>
      </c>
      <c r="N1621" t="s">
        <v>624</v>
      </c>
      <c r="O1621" t="s">
        <v>649</v>
      </c>
    </row>
    <row r="1622" spans="1:15" x14ac:dyDescent="0.35">
      <c r="A1622" s="77">
        <v>2.4986301369863013</v>
      </c>
      <c r="B1622" s="19">
        <v>85849</v>
      </c>
      <c r="C1622" s="19" t="s">
        <v>3937</v>
      </c>
      <c r="D1622" s="19" t="s">
        <v>318</v>
      </c>
      <c r="E1622" s="19" t="s">
        <v>319</v>
      </c>
      <c r="F1622" s="19" t="s">
        <v>1266</v>
      </c>
      <c r="G1622" s="19" t="s">
        <v>1046</v>
      </c>
      <c r="H1622" s="19" t="s">
        <v>1001</v>
      </c>
      <c r="I1622" s="19" t="s">
        <v>1575</v>
      </c>
      <c r="J1622" s="20">
        <v>27</v>
      </c>
      <c r="K1622" t="s">
        <v>625</v>
      </c>
      <c r="L1622" t="s">
        <v>678</v>
      </c>
      <c r="M1622" t="s">
        <v>623</v>
      </c>
      <c r="N1622" t="s">
        <v>624</v>
      </c>
      <c r="O1622" t="s">
        <v>679</v>
      </c>
    </row>
    <row r="1623" spans="1:15" x14ac:dyDescent="0.35">
      <c r="A1623" s="77">
        <v>2.4986301369863013</v>
      </c>
      <c r="B1623" s="19">
        <v>85852</v>
      </c>
      <c r="C1623" s="19" t="s">
        <v>3938</v>
      </c>
      <c r="D1623" s="19" t="s">
        <v>375</v>
      </c>
      <c r="E1623" s="19" t="s">
        <v>376</v>
      </c>
      <c r="F1623" s="19" t="s">
        <v>1270</v>
      </c>
      <c r="G1623" s="19" t="s">
        <v>1046</v>
      </c>
      <c r="H1623" s="19" t="s">
        <v>1001</v>
      </c>
      <c r="I1623" s="19" t="s">
        <v>1575</v>
      </c>
      <c r="J1623" s="20">
        <v>27</v>
      </c>
      <c r="K1623" t="s">
        <v>636</v>
      </c>
      <c r="L1623" t="s">
        <v>678</v>
      </c>
      <c r="M1623" t="s">
        <v>623</v>
      </c>
      <c r="N1623" t="s">
        <v>624</v>
      </c>
      <c r="O1623" t="s">
        <v>679</v>
      </c>
    </row>
    <row r="1624" spans="1:15" x14ac:dyDescent="0.35">
      <c r="A1624" s="77">
        <v>0.69863013698630139</v>
      </c>
      <c r="B1624" s="19">
        <v>85858</v>
      </c>
      <c r="C1624" s="19" t="s">
        <v>3939</v>
      </c>
      <c r="D1624" s="19" t="s">
        <v>264</v>
      </c>
      <c r="E1624" s="19" t="s">
        <v>265</v>
      </c>
      <c r="F1624" s="19" t="s">
        <v>2526</v>
      </c>
      <c r="G1624" s="19" t="s">
        <v>3508</v>
      </c>
      <c r="H1624" s="19" t="s">
        <v>1020</v>
      </c>
      <c r="I1624" s="19" t="s">
        <v>1575</v>
      </c>
      <c r="J1624" s="20">
        <v>16</v>
      </c>
      <c r="K1624" t="s">
        <v>654</v>
      </c>
      <c r="L1624" t="s">
        <v>678</v>
      </c>
      <c r="M1624" t="s">
        <v>623</v>
      </c>
      <c r="N1624" t="s">
        <v>624</v>
      </c>
      <c r="O1624" t="s">
        <v>689</v>
      </c>
    </row>
    <row r="1625" spans="1:15" x14ac:dyDescent="0.35">
      <c r="A1625" s="77">
        <v>2.1917808219178082E-2</v>
      </c>
      <c r="B1625" s="19">
        <v>85866</v>
      </c>
      <c r="C1625" s="19" t="s">
        <v>3940</v>
      </c>
      <c r="D1625" s="19" t="s">
        <v>37</v>
      </c>
      <c r="E1625" s="19" t="s">
        <v>37</v>
      </c>
      <c r="F1625" s="19" t="s">
        <v>1480</v>
      </c>
      <c r="G1625" s="19" t="s">
        <v>1008</v>
      </c>
      <c r="H1625" s="19" t="s">
        <v>1001</v>
      </c>
      <c r="I1625" s="19" t="s">
        <v>1575</v>
      </c>
      <c r="J1625" s="20">
        <v>22</v>
      </c>
      <c r="K1625" t="s">
        <v>654</v>
      </c>
      <c r="L1625" t="s">
        <v>648</v>
      </c>
      <c r="M1625" t="s">
        <v>623</v>
      </c>
      <c r="N1625" t="s">
        <v>624</v>
      </c>
      <c r="O1625" t="s">
        <v>649</v>
      </c>
    </row>
    <row r="1626" spans="1:15" x14ac:dyDescent="0.35">
      <c r="A1626" s="77">
        <v>2.4986301369863013</v>
      </c>
      <c r="B1626" s="19">
        <v>85882</v>
      </c>
      <c r="C1626" s="19" t="s">
        <v>3941</v>
      </c>
      <c r="D1626" s="19" t="s">
        <v>126</v>
      </c>
      <c r="E1626" s="19" t="s">
        <v>127</v>
      </c>
      <c r="F1626" s="19" t="s">
        <v>1152</v>
      </c>
      <c r="G1626" s="19" t="s">
        <v>1000</v>
      </c>
      <c r="H1626" s="19" t="s">
        <v>1001</v>
      </c>
      <c r="I1626" s="19" t="s">
        <v>1599</v>
      </c>
      <c r="J1626" s="20">
        <v>33</v>
      </c>
      <c r="K1626" t="s">
        <v>654</v>
      </c>
      <c r="L1626" t="s">
        <v>628</v>
      </c>
      <c r="M1626" t="s">
        <v>629</v>
      </c>
      <c r="N1626" t="s">
        <v>630</v>
      </c>
      <c r="O1626" t="s">
        <v>632</v>
      </c>
    </row>
    <row r="1627" spans="1:15" x14ac:dyDescent="0.35">
      <c r="A1627" s="77">
        <v>2.4986301369863013</v>
      </c>
      <c r="B1627" s="19">
        <v>85889</v>
      </c>
      <c r="C1627" s="19" t="s">
        <v>3942</v>
      </c>
      <c r="D1627" s="19" t="s">
        <v>89</v>
      </c>
      <c r="E1627" s="19" t="s">
        <v>90</v>
      </c>
      <c r="F1627" s="19" t="s">
        <v>1217</v>
      </c>
      <c r="G1627" s="19" t="s">
        <v>1057</v>
      </c>
      <c r="H1627" s="19" t="s">
        <v>1001</v>
      </c>
      <c r="I1627" s="19" t="s">
        <v>1575</v>
      </c>
      <c r="J1627" s="20">
        <v>31</v>
      </c>
      <c r="K1627" t="s">
        <v>636</v>
      </c>
      <c r="L1627" t="s">
        <v>666</v>
      </c>
      <c r="M1627" t="s">
        <v>629</v>
      </c>
      <c r="N1627" t="s">
        <v>635</v>
      </c>
      <c r="O1627" t="s">
        <v>637</v>
      </c>
    </row>
    <row r="1628" spans="1:15" x14ac:dyDescent="0.35">
      <c r="A1628" s="77">
        <v>2.4904109589041097</v>
      </c>
      <c r="B1628" s="19">
        <v>85916</v>
      </c>
      <c r="C1628" s="19" t="s">
        <v>3943</v>
      </c>
      <c r="D1628" s="19" t="s">
        <v>260</v>
      </c>
      <c r="E1628" s="19" t="s">
        <v>261</v>
      </c>
      <c r="F1628" s="19" t="s">
        <v>1109</v>
      </c>
      <c r="G1628" s="19" t="s">
        <v>1084</v>
      </c>
      <c r="H1628" s="19" t="s">
        <v>1020</v>
      </c>
      <c r="I1628" s="19" t="s">
        <v>1575</v>
      </c>
      <c r="J1628" s="20">
        <v>40</v>
      </c>
      <c r="K1628" t="s">
        <v>636</v>
      </c>
      <c r="L1628" t="s">
        <v>656</v>
      </c>
      <c r="M1628" t="s">
        <v>657</v>
      </c>
      <c r="N1628" t="s">
        <v>658</v>
      </c>
      <c r="O1628" t="s">
        <v>808</v>
      </c>
    </row>
    <row r="1629" spans="1:15" x14ac:dyDescent="0.35">
      <c r="A1629" s="77">
        <v>2.495890410958904</v>
      </c>
      <c r="B1629" s="19">
        <v>85920</v>
      </c>
      <c r="C1629" s="19" t="s">
        <v>3944</v>
      </c>
      <c r="D1629" s="19" t="s">
        <v>278</v>
      </c>
      <c r="E1629" s="19" t="s">
        <v>279</v>
      </c>
      <c r="F1629" s="19" t="s">
        <v>1131</v>
      </c>
      <c r="G1629" s="19" t="s">
        <v>1008</v>
      </c>
      <c r="H1629" s="19" t="s">
        <v>1001</v>
      </c>
      <c r="I1629" s="19" t="s">
        <v>1575</v>
      </c>
      <c r="J1629" s="20">
        <v>22</v>
      </c>
      <c r="K1629" t="s">
        <v>625</v>
      </c>
      <c r="L1629" t="s">
        <v>661</v>
      </c>
      <c r="M1629" t="s">
        <v>657</v>
      </c>
      <c r="N1629" t="s">
        <v>662</v>
      </c>
      <c r="O1629" t="s">
        <v>632</v>
      </c>
    </row>
    <row r="1630" spans="1:15" x14ac:dyDescent="0.35">
      <c r="A1630" s="77">
        <v>2.493150684931507</v>
      </c>
      <c r="B1630" s="19">
        <v>85943</v>
      </c>
      <c r="C1630" s="19" t="s">
        <v>3945</v>
      </c>
      <c r="D1630" s="19" t="s">
        <v>68</v>
      </c>
      <c r="E1630" s="19" t="s">
        <v>69</v>
      </c>
      <c r="F1630" s="19" t="s">
        <v>1078</v>
      </c>
      <c r="G1630" s="19" t="s">
        <v>1034</v>
      </c>
      <c r="H1630" s="19" t="s">
        <v>1001</v>
      </c>
      <c r="I1630" s="19" t="s">
        <v>1575</v>
      </c>
      <c r="J1630" s="20">
        <v>36</v>
      </c>
      <c r="K1630" t="s">
        <v>636</v>
      </c>
      <c r="L1630" t="s">
        <v>670</v>
      </c>
      <c r="M1630" t="s">
        <v>657</v>
      </c>
      <c r="N1630" t="s">
        <v>641</v>
      </c>
      <c r="O1630" t="s">
        <v>671</v>
      </c>
    </row>
    <row r="1631" spans="1:15" x14ac:dyDescent="0.35">
      <c r="A1631" s="77">
        <v>2.4876712328767123</v>
      </c>
      <c r="B1631" s="19">
        <v>85944</v>
      </c>
      <c r="C1631" s="19" t="s">
        <v>3946</v>
      </c>
      <c r="D1631" s="19" t="s">
        <v>115</v>
      </c>
      <c r="E1631" s="19" t="s">
        <v>116</v>
      </c>
      <c r="F1631" s="19" t="s">
        <v>1383</v>
      </c>
      <c r="G1631" s="19" t="s">
        <v>1008</v>
      </c>
      <c r="H1631" s="19" t="s">
        <v>1001</v>
      </c>
      <c r="I1631" s="19" t="s">
        <v>1575</v>
      </c>
      <c r="J1631" s="20">
        <v>29</v>
      </c>
      <c r="K1631" t="s">
        <v>631</v>
      </c>
      <c r="L1631" t="s">
        <v>670</v>
      </c>
      <c r="M1631" t="s">
        <v>657</v>
      </c>
      <c r="N1631" t="s">
        <v>641</v>
      </c>
      <c r="O1631" t="s">
        <v>671</v>
      </c>
    </row>
    <row r="1632" spans="1:15" x14ac:dyDescent="0.35">
      <c r="A1632" s="77">
        <v>2.4767123287671233</v>
      </c>
      <c r="B1632" s="19">
        <v>85972</v>
      </c>
      <c r="C1632" s="19" t="s">
        <v>3947</v>
      </c>
      <c r="D1632" s="19" t="s">
        <v>271</v>
      </c>
      <c r="E1632" s="19" t="s">
        <v>272</v>
      </c>
      <c r="F1632" s="19" t="s">
        <v>2611</v>
      </c>
      <c r="G1632" s="19" t="s">
        <v>1008</v>
      </c>
      <c r="H1632" s="19" t="s">
        <v>1001</v>
      </c>
      <c r="I1632" s="19" t="s">
        <v>1575</v>
      </c>
      <c r="J1632" s="20">
        <v>27</v>
      </c>
      <c r="K1632" t="s">
        <v>654</v>
      </c>
      <c r="L1632" t="s">
        <v>666</v>
      </c>
      <c r="M1632" t="s">
        <v>629</v>
      </c>
      <c r="N1632" t="s">
        <v>635</v>
      </c>
      <c r="O1632" t="s">
        <v>739</v>
      </c>
    </row>
    <row r="1633" spans="1:15" x14ac:dyDescent="0.35">
      <c r="A1633" s="77">
        <v>2.4821917808219176</v>
      </c>
      <c r="B1633" s="19">
        <v>85996</v>
      </c>
      <c r="C1633" s="19" t="s">
        <v>3948</v>
      </c>
      <c r="D1633" s="19" t="s">
        <v>120</v>
      </c>
      <c r="E1633" s="19" t="s">
        <v>121</v>
      </c>
      <c r="F1633" s="19" t="s">
        <v>1236</v>
      </c>
      <c r="G1633" s="19" t="s">
        <v>1028</v>
      </c>
      <c r="H1633" s="19" t="s">
        <v>1020</v>
      </c>
      <c r="I1633" s="19" t="s">
        <v>1575</v>
      </c>
      <c r="J1633" s="20">
        <v>30</v>
      </c>
      <c r="K1633" t="s">
        <v>636</v>
      </c>
      <c r="L1633" t="s">
        <v>673</v>
      </c>
      <c r="M1633" t="s">
        <v>623</v>
      </c>
      <c r="N1633" t="s">
        <v>641</v>
      </c>
      <c r="O1633" t="s">
        <v>748</v>
      </c>
    </row>
    <row r="1634" spans="1:15" x14ac:dyDescent="0.35">
      <c r="A1634" s="77">
        <v>2.4767123287671233</v>
      </c>
      <c r="B1634" s="19">
        <v>85997</v>
      </c>
      <c r="C1634" s="19" t="s">
        <v>3949</v>
      </c>
      <c r="D1634" s="19" t="s">
        <v>30</v>
      </c>
      <c r="E1634" s="19" t="s">
        <v>30</v>
      </c>
      <c r="F1634" s="19" t="s">
        <v>672</v>
      </c>
      <c r="G1634" s="19" t="s">
        <v>1008</v>
      </c>
      <c r="H1634" s="19" t="s">
        <v>1001</v>
      </c>
      <c r="I1634" s="19" t="s">
        <v>1575</v>
      </c>
      <c r="J1634" s="20">
        <v>27</v>
      </c>
      <c r="K1634" t="s">
        <v>636</v>
      </c>
      <c r="L1634" t="s">
        <v>673</v>
      </c>
      <c r="M1634" t="s">
        <v>623</v>
      </c>
      <c r="N1634" t="s">
        <v>641</v>
      </c>
      <c r="O1634" t="s">
        <v>674</v>
      </c>
    </row>
    <row r="1635" spans="1:15" x14ac:dyDescent="0.35">
      <c r="A1635" s="77">
        <v>2.4767123287671233</v>
      </c>
      <c r="B1635" s="19">
        <v>85999</v>
      </c>
      <c r="C1635" s="19" t="s">
        <v>3950</v>
      </c>
      <c r="D1635" s="19" t="s">
        <v>197</v>
      </c>
      <c r="E1635" s="19" t="s">
        <v>198</v>
      </c>
      <c r="F1635" s="19" t="s">
        <v>1297</v>
      </c>
      <c r="G1635" s="19" t="s">
        <v>1034</v>
      </c>
      <c r="H1635" s="19" t="s">
        <v>1001</v>
      </c>
      <c r="I1635" s="19" t="s">
        <v>1575</v>
      </c>
      <c r="J1635" s="20">
        <v>22</v>
      </c>
      <c r="K1635" t="s">
        <v>654</v>
      </c>
      <c r="L1635" t="s">
        <v>645</v>
      </c>
      <c r="M1635" t="s">
        <v>629</v>
      </c>
      <c r="N1635" t="s">
        <v>646</v>
      </c>
      <c r="O1635" t="s">
        <v>632</v>
      </c>
    </row>
    <row r="1636" spans="1:15" x14ac:dyDescent="0.35">
      <c r="A1636" s="77">
        <v>1.3260273972602741</v>
      </c>
      <c r="B1636" s="19">
        <v>86017</v>
      </c>
      <c r="C1636" s="19" t="s">
        <v>3951</v>
      </c>
      <c r="D1636" s="19" t="s">
        <v>87</v>
      </c>
      <c r="E1636" s="19" t="s">
        <v>88</v>
      </c>
      <c r="F1636" s="19" t="s">
        <v>1324</v>
      </c>
      <c r="G1636" s="19" t="s">
        <v>1034</v>
      </c>
      <c r="H1636" s="19" t="s">
        <v>1001</v>
      </c>
      <c r="I1636" s="19" t="s">
        <v>1575</v>
      </c>
      <c r="J1636" s="20">
        <v>23</v>
      </c>
      <c r="K1636" t="s">
        <v>642</v>
      </c>
      <c r="L1636" t="s">
        <v>661</v>
      </c>
      <c r="M1636" t="s">
        <v>657</v>
      </c>
      <c r="N1636" t="s">
        <v>662</v>
      </c>
      <c r="O1636" t="s">
        <v>632</v>
      </c>
    </row>
    <row r="1637" spans="1:15" x14ac:dyDescent="0.35">
      <c r="A1637" s="77">
        <v>0.78904109589041094</v>
      </c>
      <c r="B1637" s="19">
        <v>86024</v>
      </c>
      <c r="C1637" s="19" t="s">
        <v>3952</v>
      </c>
      <c r="D1637" s="19" t="s">
        <v>126</v>
      </c>
      <c r="E1637" s="19" t="s">
        <v>127</v>
      </c>
      <c r="F1637" s="19" t="s">
        <v>1152</v>
      </c>
      <c r="G1637" s="19" t="s">
        <v>1019</v>
      </c>
      <c r="H1637" s="19" t="s">
        <v>1020</v>
      </c>
      <c r="I1637" s="19" t="s">
        <v>1575</v>
      </c>
      <c r="J1637" s="20">
        <v>22</v>
      </c>
      <c r="K1637" t="s">
        <v>654</v>
      </c>
      <c r="L1637" t="s">
        <v>628</v>
      </c>
      <c r="M1637" t="s">
        <v>629</v>
      </c>
      <c r="N1637" t="s">
        <v>630</v>
      </c>
      <c r="O1637" t="s">
        <v>632</v>
      </c>
    </row>
    <row r="1638" spans="1:15" x14ac:dyDescent="0.35">
      <c r="A1638" s="77">
        <v>2.4657534246575343</v>
      </c>
      <c r="B1638" s="19">
        <v>86039</v>
      </c>
      <c r="C1638" s="19" t="s">
        <v>3953</v>
      </c>
      <c r="D1638" s="19" t="s">
        <v>375</v>
      </c>
      <c r="E1638" s="19" t="s">
        <v>376</v>
      </c>
      <c r="F1638" s="19" t="s">
        <v>1270</v>
      </c>
      <c r="G1638" s="19" t="s">
        <v>1057</v>
      </c>
      <c r="H1638" s="19" t="s">
        <v>1001</v>
      </c>
      <c r="I1638" s="19" t="s">
        <v>1575</v>
      </c>
      <c r="J1638" s="20">
        <v>20</v>
      </c>
      <c r="K1638" t="s">
        <v>636</v>
      </c>
      <c r="L1638" t="s">
        <v>678</v>
      </c>
      <c r="M1638" t="s">
        <v>623</v>
      </c>
      <c r="N1638" t="s">
        <v>624</v>
      </c>
      <c r="O1638" t="s">
        <v>679</v>
      </c>
    </row>
    <row r="1639" spans="1:15" x14ac:dyDescent="0.35">
      <c r="A1639" s="77">
        <v>0.91506849315068495</v>
      </c>
      <c r="B1639" s="19">
        <v>86055</v>
      </c>
      <c r="C1639" s="19" t="s">
        <v>3954</v>
      </c>
      <c r="D1639" s="19" t="s">
        <v>324</v>
      </c>
      <c r="E1639" s="19" t="s">
        <v>325</v>
      </c>
      <c r="F1639" s="19" t="s">
        <v>1284</v>
      </c>
      <c r="G1639" s="19" t="s">
        <v>1034</v>
      </c>
      <c r="H1639" s="19" t="s">
        <v>1001</v>
      </c>
      <c r="I1639" s="19" t="s">
        <v>1575</v>
      </c>
      <c r="J1639" s="20">
        <v>21</v>
      </c>
      <c r="K1639" t="s">
        <v>631</v>
      </c>
      <c r="L1639" t="s">
        <v>663</v>
      </c>
      <c r="M1639" t="s">
        <v>629</v>
      </c>
      <c r="N1639" t="s">
        <v>646</v>
      </c>
      <c r="O1639" t="s">
        <v>639</v>
      </c>
    </row>
    <row r="1640" spans="1:15" x14ac:dyDescent="0.35">
      <c r="A1640" s="77">
        <v>0.31232876712328766</v>
      </c>
      <c r="B1640" s="19">
        <v>86068</v>
      </c>
      <c r="C1640" s="19" t="s">
        <v>3955</v>
      </c>
      <c r="D1640" s="19" t="s">
        <v>173</v>
      </c>
      <c r="E1640" s="19" t="s">
        <v>174</v>
      </c>
      <c r="F1640" s="19" t="s">
        <v>901</v>
      </c>
      <c r="G1640" s="19" t="s">
        <v>1028</v>
      </c>
      <c r="H1640" s="19" t="s">
        <v>1020</v>
      </c>
      <c r="I1640" s="19" t="s">
        <v>1599</v>
      </c>
      <c r="J1640" s="20">
        <v>23</v>
      </c>
      <c r="K1640" t="s">
        <v>668</v>
      </c>
      <c r="L1640" t="s">
        <v>656</v>
      </c>
      <c r="M1640" t="s">
        <v>657</v>
      </c>
      <c r="N1640" t="s">
        <v>658</v>
      </c>
      <c r="O1640" t="s">
        <v>632</v>
      </c>
    </row>
    <row r="1641" spans="1:15" x14ac:dyDescent="0.35">
      <c r="A1641" s="77">
        <v>1.0821917808219179</v>
      </c>
      <c r="B1641" s="19">
        <v>86094</v>
      </c>
      <c r="C1641" s="19" t="s">
        <v>3956</v>
      </c>
      <c r="D1641" s="19" t="s">
        <v>155</v>
      </c>
      <c r="E1641" s="19" t="s">
        <v>156</v>
      </c>
      <c r="F1641" s="19" t="s">
        <v>896</v>
      </c>
      <c r="G1641" s="19" t="s">
        <v>1034</v>
      </c>
      <c r="H1641" s="19" t="s">
        <v>1001</v>
      </c>
      <c r="I1641" s="19" t="s">
        <v>1599</v>
      </c>
      <c r="J1641" s="20">
        <v>21</v>
      </c>
      <c r="K1641" t="s">
        <v>636</v>
      </c>
      <c r="L1641" t="s">
        <v>663</v>
      </c>
      <c r="M1641" t="s">
        <v>629</v>
      </c>
      <c r="N1641" t="s">
        <v>646</v>
      </c>
      <c r="O1641" t="s">
        <v>639</v>
      </c>
    </row>
    <row r="1642" spans="1:15" x14ac:dyDescent="0.35">
      <c r="A1642" s="77">
        <v>2.4575342465753423</v>
      </c>
      <c r="B1642" s="19">
        <v>86153</v>
      </c>
      <c r="C1642" s="19" t="s">
        <v>3957</v>
      </c>
      <c r="D1642" s="19" t="s">
        <v>351</v>
      </c>
      <c r="E1642" s="19" t="s">
        <v>352</v>
      </c>
      <c r="F1642" s="19" t="s">
        <v>1507</v>
      </c>
      <c r="G1642" s="19" t="s">
        <v>1046</v>
      </c>
      <c r="H1642" s="19" t="s">
        <v>1001</v>
      </c>
      <c r="I1642" s="19" t="s">
        <v>1575</v>
      </c>
      <c r="J1642" s="20">
        <v>33</v>
      </c>
      <c r="K1642" t="s">
        <v>636</v>
      </c>
      <c r="L1642" t="s">
        <v>661</v>
      </c>
      <c r="M1642" t="s">
        <v>657</v>
      </c>
      <c r="N1642" t="s">
        <v>662</v>
      </c>
      <c r="O1642" t="s">
        <v>632</v>
      </c>
    </row>
    <row r="1643" spans="1:15" x14ac:dyDescent="0.35">
      <c r="A1643" s="77">
        <v>2.4493150684931506</v>
      </c>
      <c r="B1643" s="19">
        <v>86157</v>
      </c>
      <c r="C1643" s="19" t="s">
        <v>3958</v>
      </c>
      <c r="D1643" s="19" t="s">
        <v>377</v>
      </c>
      <c r="E1643" s="19" t="s">
        <v>378</v>
      </c>
      <c r="F1643" s="19" t="s">
        <v>862</v>
      </c>
      <c r="G1643" s="19" t="s">
        <v>1008</v>
      </c>
      <c r="H1643" s="19" t="s">
        <v>1001</v>
      </c>
      <c r="I1643" s="19" t="s">
        <v>1575</v>
      </c>
      <c r="J1643" s="20">
        <v>30</v>
      </c>
      <c r="K1643" t="s">
        <v>631</v>
      </c>
      <c r="L1643" t="s">
        <v>661</v>
      </c>
      <c r="M1643" t="s">
        <v>657</v>
      </c>
      <c r="N1643" t="s">
        <v>662</v>
      </c>
      <c r="O1643" t="s">
        <v>632</v>
      </c>
    </row>
    <row r="1644" spans="1:15" x14ac:dyDescent="0.35">
      <c r="A1644" s="77">
        <v>2.4383561643835616</v>
      </c>
      <c r="B1644" s="19">
        <v>86235</v>
      </c>
      <c r="C1644" s="19" t="s">
        <v>3959</v>
      </c>
      <c r="D1644" s="19" t="s">
        <v>250</v>
      </c>
      <c r="E1644" s="19" t="s">
        <v>251</v>
      </c>
      <c r="F1644" s="19" t="s">
        <v>1126</v>
      </c>
      <c r="G1644" s="19" t="s">
        <v>1000</v>
      </c>
      <c r="H1644" s="19" t="s">
        <v>1001</v>
      </c>
      <c r="I1644" s="19" t="s">
        <v>1599</v>
      </c>
      <c r="J1644" s="20">
        <v>33</v>
      </c>
      <c r="K1644" t="s">
        <v>668</v>
      </c>
      <c r="L1644" t="s">
        <v>634</v>
      </c>
      <c r="M1644" t="s">
        <v>629</v>
      </c>
      <c r="N1644" t="s">
        <v>635</v>
      </c>
      <c r="O1644" t="s">
        <v>637</v>
      </c>
    </row>
    <row r="1645" spans="1:15" x14ac:dyDescent="0.35">
      <c r="A1645" s="77">
        <v>2.43013698630137</v>
      </c>
      <c r="B1645" s="19">
        <v>86252</v>
      </c>
      <c r="C1645" s="19" t="s">
        <v>3960</v>
      </c>
      <c r="D1645" s="19" t="s">
        <v>100</v>
      </c>
      <c r="E1645" s="19" t="s">
        <v>101</v>
      </c>
      <c r="F1645" s="19" t="s">
        <v>2786</v>
      </c>
      <c r="G1645" s="19" t="s">
        <v>1057</v>
      </c>
      <c r="H1645" s="19" t="s">
        <v>1001</v>
      </c>
      <c r="I1645" s="19" t="s">
        <v>1575</v>
      </c>
      <c r="J1645" s="20">
        <v>22</v>
      </c>
      <c r="K1645" t="s">
        <v>654</v>
      </c>
      <c r="L1645" t="s">
        <v>651</v>
      </c>
      <c r="M1645" t="s">
        <v>629</v>
      </c>
      <c r="N1645" t="s">
        <v>630</v>
      </c>
      <c r="O1645" t="s">
        <v>705</v>
      </c>
    </row>
    <row r="1646" spans="1:15" x14ac:dyDescent="0.35">
      <c r="A1646" s="77">
        <v>2.43013698630137</v>
      </c>
      <c r="B1646" s="19">
        <v>86269</v>
      </c>
      <c r="C1646" s="19" t="s">
        <v>3961</v>
      </c>
      <c r="D1646" s="19" t="s">
        <v>47</v>
      </c>
      <c r="E1646" s="19" t="s">
        <v>48</v>
      </c>
      <c r="F1646" s="19" t="s">
        <v>1232</v>
      </c>
      <c r="G1646" s="19" t="s">
        <v>1046</v>
      </c>
      <c r="H1646" s="19" t="s">
        <v>1001</v>
      </c>
      <c r="I1646" s="19" t="s">
        <v>1575</v>
      </c>
      <c r="J1646" s="20">
        <v>28</v>
      </c>
      <c r="K1646" t="s">
        <v>636</v>
      </c>
      <c r="L1646" t="s">
        <v>622</v>
      </c>
      <c r="M1646" t="s">
        <v>623</v>
      </c>
      <c r="N1646" t="s">
        <v>624</v>
      </c>
      <c r="O1646" t="s">
        <v>649</v>
      </c>
    </row>
    <row r="1647" spans="1:15" x14ac:dyDescent="0.35">
      <c r="A1647" s="77">
        <v>2.408219178082192</v>
      </c>
      <c r="B1647" s="19">
        <v>86322</v>
      </c>
      <c r="C1647" s="19" t="s">
        <v>3962</v>
      </c>
      <c r="D1647" s="19" t="s">
        <v>280</v>
      </c>
      <c r="E1647" s="19" t="s">
        <v>281</v>
      </c>
      <c r="F1647" s="19" t="s">
        <v>1223</v>
      </c>
      <c r="G1647" s="19" t="s">
        <v>1028</v>
      </c>
      <c r="H1647" s="19" t="s">
        <v>1020</v>
      </c>
      <c r="I1647" s="19" t="s">
        <v>1575</v>
      </c>
      <c r="J1647" s="20">
        <v>22</v>
      </c>
      <c r="K1647" t="s">
        <v>631</v>
      </c>
      <c r="L1647" t="s">
        <v>691</v>
      </c>
      <c r="M1647" t="s">
        <v>657</v>
      </c>
      <c r="N1647" t="s">
        <v>658</v>
      </c>
      <c r="O1647" t="s">
        <v>632</v>
      </c>
    </row>
    <row r="1648" spans="1:15" x14ac:dyDescent="0.35">
      <c r="A1648" s="77">
        <v>2.4136986301369863</v>
      </c>
      <c r="B1648" s="19">
        <v>86327</v>
      </c>
      <c r="C1648" s="19" t="s">
        <v>3963</v>
      </c>
      <c r="D1648" s="19" t="s">
        <v>49</v>
      </c>
      <c r="E1648" s="19" t="s">
        <v>50</v>
      </c>
      <c r="F1648" s="19" t="s">
        <v>1213</v>
      </c>
      <c r="G1648" s="19" t="s">
        <v>1084</v>
      </c>
      <c r="H1648" s="19" t="s">
        <v>1001</v>
      </c>
      <c r="I1648" s="19" t="s">
        <v>1575</v>
      </c>
      <c r="J1648" s="20">
        <v>49</v>
      </c>
      <c r="K1648" t="s">
        <v>625</v>
      </c>
      <c r="L1648" t="s">
        <v>648</v>
      </c>
      <c r="M1648" t="s">
        <v>623</v>
      </c>
      <c r="N1648" t="s">
        <v>624</v>
      </c>
      <c r="O1648" t="s">
        <v>649</v>
      </c>
    </row>
    <row r="1649" spans="1:15" x14ac:dyDescent="0.35">
      <c r="A1649" s="77">
        <v>2.408219178082192</v>
      </c>
      <c r="B1649" s="19">
        <v>86344</v>
      </c>
      <c r="C1649" s="19" t="s">
        <v>3964</v>
      </c>
      <c r="D1649" s="19" t="s">
        <v>427</v>
      </c>
      <c r="E1649" s="19" t="s">
        <v>427</v>
      </c>
      <c r="F1649" s="19" t="s">
        <v>1290</v>
      </c>
      <c r="G1649" s="19" t="s">
        <v>1008</v>
      </c>
      <c r="H1649" s="19" t="s">
        <v>1001</v>
      </c>
      <c r="I1649" s="19" t="s">
        <v>1575</v>
      </c>
      <c r="J1649" s="20">
        <v>22</v>
      </c>
      <c r="K1649" t="s">
        <v>654</v>
      </c>
      <c r="L1649" t="s">
        <v>651</v>
      </c>
      <c r="M1649" t="s">
        <v>629</v>
      </c>
      <c r="N1649" t="s">
        <v>630</v>
      </c>
      <c r="O1649" t="s">
        <v>652</v>
      </c>
    </row>
    <row r="1650" spans="1:15" x14ac:dyDescent="0.35">
      <c r="A1650" s="77">
        <v>2.4657534246575342E-2</v>
      </c>
      <c r="B1650" s="19">
        <v>86357</v>
      </c>
      <c r="C1650" s="19" t="s">
        <v>3965</v>
      </c>
      <c r="D1650" s="19" t="s">
        <v>100</v>
      </c>
      <c r="E1650" s="19" t="s">
        <v>101</v>
      </c>
      <c r="F1650" s="19" t="s">
        <v>2786</v>
      </c>
      <c r="G1650" s="19" t="s">
        <v>1008</v>
      </c>
      <c r="H1650" s="19" t="s">
        <v>1001</v>
      </c>
      <c r="I1650" s="19" t="s">
        <v>1575</v>
      </c>
      <c r="J1650" s="20">
        <v>26</v>
      </c>
      <c r="K1650" t="s">
        <v>654</v>
      </c>
      <c r="L1650" t="s">
        <v>651</v>
      </c>
      <c r="M1650" t="s">
        <v>629</v>
      </c>
      <c r="N1650" t="s">
        <v>630</v>
      </c>
      <c r="O1650" t="s">
        <v>705</v>
      </c>
    </row>
    <row r="1651" spans="1:15" x14ac:dyDescent="0.35">
      <c r="A1651" s="77">
        <v>2.4</v>
      </c>
      <c r="B1651" s="19">
        <v>86396</v>
      </c>
      <c r="C1651" s="19" t="s">
        <v>3966</v>
      </c>
      <c r="D1651" s="19" t="s">
        <v>339</v>
      </c>
      <c r="E1651" s="19" t="s">
        <v>340</v>
      </c>
      <c r="F1651" s="19" t="s">
        <v>1024</v>
      </c>
      <c r="G1651" s="19" t="s">
        <v>1019</v>
      </c>
      <c r="H1651" s="19" t="s">
        <v>1020</v>
      </c>
      <c r="I1651" s="19" t="s">
        <v>1575</v>
      </c>
      <c r="J1651" s="20">
        <v>23</v>
      </c>
      <c r="K1651" t="s">
        <v>631</v>
      </c>
      <c r="L1651" t="s">
        <v>651</v>
      </c>
      <c r="M1651" t="s">
        <v>629</v>
      </c>
      <c r="N1651" t="s">
        <v>630</v>
      </c>
      <c r="O1651" t="s">
        <v>705</v>
      </c>
    </row>
    <row r="1652" spans="1:15" x14ac:dyDescent="0.35">
      <c r="A1652" s="77">
        <v>2.4027397260273973</v>
      </c>
      <c r="B1652" s="19">
        <v>86408</v>
      </c>
      <c r="C1652" s="19" t="s">
        <v>3967</v>
      </c>
      <c r="D1652" s="19" t="s">
        <v>197</v>
      </c>
      <c r="E1652" s="19" t="s">
        <v>198</v>
      </c>
      <c r="F1652" s="19" t="s">
        <v>1297</v>
      </c>
      <c r="G1652" s="19" t="s">
        <v>1028</v>
      </c>
      <c r="H1652" s="19" t="s">
        <v>1020</v>
      </c>
      <c r="I1652" s="19" t="s">
        <v>1575</v>
      </c>
      <c r="J1652" s="20">
        <v>26</v>
      </c>
      <c r="K1652" t="s">
        <v>654</v>
      </c>
      <c r="L1652" t="s">
        <v>645</v>
      </c>
      <c r="M1652" t="s">
        <v>629</v>
      </c>
      <c r="N1652" t="s">
        <v>646</v>
      </c>
      <c r="O1652" t="s">
        <v>632</v>
      </c>
    </row>
    <row r="1653" spans="1:15" x14ac:dyDescent="0.35">
      <c r="A1653" s="77">
        <v>2.4</v>
      </c>
      <c r="B1653" s="19">
        <v>86418</v>
      </c>
      <c r="C1653" s="19" t="s">
        <v>3968</v>
      </c>
      <c r="D1653" s="19" t="s">
        <v>178</v>
      </c>
      <c r="E1653" s="19" t="s">
        <v>179</v>
      </c>
      <c r="F1653" s="19" t="s">
        <v>2407</v>
      </c>
      <c r="G1653" s="19" t="s">
        <v>1046</v>
      </c>
      <c r="H1653" s="19" t="s">
        <v>1001</v>
      </c>
      <c r="I1653" s="19" t="s">
        <v>1575</v>
      </c>
      <c r="J1653" s="20">
        <v>22</v>
      </c>
      <c r="K1653" t="s">
        <v>636</v>
      </c>
      <c r="L1653" t="s">
        <v>684</v>
      </c>
      <c r="M1653" t="s">
        <v>623</v>
      </c>
      <c r="N1653" t="s">
        <v>662</v>
      </c>
      <c r="O1653" t="s">
        <v>775</v>
      </c>
    </row>
    <row r="1654" spans="1:15" x14ac:dyDescent="0.35">
      <c r="A1654" s="77">
        <v>2.3917808219178083</v>
      </c>
      <c r="B1654" s="19">
        <v>86429</v>
      </c>
      <c r="C1654" s="19" t="s">
        <v>3969</v>
      </c>
      <c r="D1654" s="19" t="s">
        <v>339</v>
      </c>
      <c r="E1654" s="19" t="s">
        <v>340</v>
      </c>
      <c r="F1654" s="19" t="s">
        <v>1024</v>
      </c>
      <c r="G1654" s="19" t="s">
        <v>1034</v>
      </c>
      <c r="H1654" s="19" t="s">
        <v>1001</v>
      </c>
      <c r="I1654" s="19" t="s">
        <v>1575</v>
      </c>
      <c r="J1654" s="20">
        <v>25</v>
      </c>
      <c r="K1654" t="s">
        <v>631</v>
      </c>
      <c r="L1654" t="s">
        <v>651</v>
      </c>
      <c r="M1654" t="s">
        <v>629</v>
      </c>
      <c r="N1654" t="s">
        <v>630</v>
      </c>
      <c r="O1654" t="s">
        <v>705</v>
      </c>
    </row>
    <row r="1655" spans="1:15" x14ac:dyDescent="0.35">
      <c r="A1655" s="77">
        <v>2.3890410958904109</v>
      </c>
      <c r="B1655" s="19">
        <v>86432</v>
      </c>
      <c r="C1655" s="19" t="s">
        <v>3970</v>
      </c>
      <c r="D1655" s="19" t="s">
        <v>147</v>
      </c>
      <c r="E1655" s="19" t="s">
        <v>148</v>
      </c>
      <c r="F1655" s="19" t="s">
        <v>1396</v>
      </c>
      <c r="G1655" s="19" t="s">
        <v>1046</v>
      </c>
      <c r="H1655" s="19" t="s">
        <v>1001</v>
      </c>
      <c r="I1655" s="19" t="s">
        <v>1599</v>
      </c>
      <c r="J1655" s="20">
        <v>25</v>
      </c>
      <c r="K1655" t="s">
        <v>636</v>
      </c>
      <c r="L1655" t="s">
        <v>661</v>
      </c>
      <c r="M1655" t="s">
        <v>657</v>
      </c>
      <c r="N1655" t="s">
        <v>662</v>
      </c>
      <c r="O1655" t="s">
        <v>632</v>
      </c>
    </row>
    <row r="1656" spans="1:15" x14ac:dyDescent="0.35">
      <c r="A1656" s="77">
        <v>2.4027397260273973</v>
      </c>
      <c r="B1656" s="19">
        <v>86442</v>
      </c>
      <c r="C1656" s="19" t="s">
        <v>3971</v>
      </c>
      <c r="D1656" s="19" t="s">
        <v>49</v>
      </c>
      <c r="E1656" s="19" t="s">
        <v>50</v>
      </c>
      <c r="F1656" s="19" t="s">
        <v>1213</v>
      </c>
      <c r="G1656" s="19" t="s">
        <v>1008</v>
      </c>
      <c r="H1656" s="19" t="s">
        <v>1001</v>
      </c>
      <c r="I1656" s="19" t="s">
        <v>1575</v>
      </c>
      <c r="J1656" s="20">
        <v>31</v>
      </c>
      <c r="K1656" t="s">
        <v>625</v>
      </c>
      <c r="L1656" t="s">
        <v>648</v>
      </c>
      <c r="M1656" t="s">
        <v>623</v>
      </c>
      <c r="N1656" t="s">
        <v>624</v>
      </c>
      <c r="O1656" t="s">
        <v>649</v>
      </c>
    </row>
    <row r="1657" spans="1:15" x14ac:dyDescent="0.35">
      <c r="A1657" s="77">
        <v>0.69863013698630139</v>
      </c>
      <c r="B1657" s="19">
        <v>86471</v>
      </c>
      <c r="C1657" s="19" t="s">
        <v>3972</v>
      </c>
      <c r="D1657" s="19" t="s">
        <v>197</v>
      </c>
      <c r="E1657" s="19" t="s">
        <v>198</v>
      </c>
      <c r="F1657" s="19" t="s">
        <v>1297</v>
      </c>
      <c r="G1657" s="19" t="s">
        <v>1008</v>
      </c>
      <c r="H1657" s="19" t="s">
        <v>1001</v>
      </c>
      <c r="I1657" s="19" t="s">
        <v>1575</v>
      </c>
      <c r="J1657" s="20">
        <v>21</v>
      </c>
      <c r="K1657" t="s">
        <v>654</v>
      </c>
      <c r="L1657" t="s">
        <v>645</v>
      </c>
      <c r="M1657" t="s">
        <v>629</v>
      </c>
      <c r="N1657" t="s">
        <v>646</v>
      </c>
      <c r="O1657" t="s">
        <v>632</v>
      </c>
    </row>
    <row r="1658" spans="1:15" x14ac:dyDescent="0.35">
      <c r="A1658" s="77">
        <v>2.3808219178082193</v>
      </c>
      <c r="B1658" s="19">
        <v>86498</v>
      </c>
      <c r="C1658" s="19" t="s">
        <v>3973</v>
      </c>
      <c r="D1658" s="19" t="s">
        <v>211</v>
      </c>
      <c r="E1658" s="19" t="s">
        <v>212</v>
      </c>
      <c r="F1658" s="19" t="s">
        <v>1049</v>
      </c>
      <c r="G1658" s="19" t="s">
        <v>1046</v>
      </c>
      <c r="H1658" s="19" t="s">
        <v>1001</v>
      </c>
      <c r="I1658" s="19" t="s">
        <v>1575</v>
      </c>
      <c r="J1658" s="20">
        <v>33</v>
      </c>
      <c r="K1658" t="s">
        <v>654</v>
      </c>
      <c r="L1658" t="s">
        <v>691</v>
      </c>
      <c r="M1658" t="s">
        <v>657</v>
      </c>
      <c r="N1658" t="s">
        <v>658</v>
      </c>
      <c r="O1658" t="s">
        <v>632</v>
      </c>
    </row>
    <row r="1659" spans="1:15" x14ac:dyDescent="0.35">
      <c r="A1659" s="77">
        <v>1.295890410958904</v>
      </c>
      <c r="B1659" s="19">
        <v>86562</v>
      </c>
      <c r="C1659" s="19" t="s">
        <v>3974</v>
      </c>
      <c r="D1659" s="19" t="s">
        <v>273</v>
      </c>
      <c r="E1659" s="19" t="s">
        <v>274</v>
      </c>
      <c r="F1659" s="19" t="s">
        <v>1093</v>
      </c>
      <c r="G1659" s="19" t="s">
        <v>1008</v>
      </c>
      <c r="H1659" s="19" t="s">
        <v>1001</v>
      </c>
      <c r="I1659" s="19" t="s">
        <v>1575</v>
      </c>
      <c r="J1659" s="20">
        <v>22</v>
      </c>
      <c r="K1659" t="s">
        <v>636</v>
      </c>
      <c r="L1659" t="s">
        <v>663</v>
      </c>
      <c r="M1659" t="s">
        <v>629</v>
      </c>
      <c r="N1659" t="s">
        <v>646</v>
      </c>
      <c r="O1659" t="s">
        <v>639</v>
      </c>
    </row>
    <row r="1660" spans="1:15" x14ac:dyDescent="0.35">
      <c r="A1660" s="77">
        <v>2.3808219178082193</v>
      </c>
      <c r="B1660" s="19">
        <v>86567</v>
      </c>
      <c r="C1660" s="19" t="s">
        <v>3975</v>
      </c>
      <c r="D1660" s="19" t="s">
        <v>26</v>
      </c>
      <c r="E1660" s="19" t="s">
        <v>26</v>
      </c>
      <c r="F1660" s="19" t="s">
        <v>1124</v>
      </c>
      <c r="G1660" s="19" t="s">
        <v>1008</v>
      </c>
      <c r="H1660" s="19" t="s">
        <v>1001</v>
      </c>
      <c r="I1660" s="19" t="s">
        <v>1599</v>
      </c>
      <c r="J1660" s="20">
        <v>24</v>
      </c>
      <c r="K1660" t="s">
        <v>636</v>
      </c>
      <c r="L1660" t="s">
        <v>666</v>
      </c>
      <c r="M1660" t="s">
        <v>629</v>
      </c>
      <c r="N1660" t="s">
        <v>635</v>
      </c>
      <c r="O1660" t="s">
        <v>637</v>
      </c>
    </row>
    <row r="1661" spans="1:15" x14ac:dyDescent="0.35">
      <c r="A1661" s="77">
        <v>1.3534246575342466</v>
      </c>
      <c r="B1661" s="19">
        <v>86569</v>
      </c>
      <c r="C1661" s="19" t="s">
        <v>3976</v>
      </c>
      <c r="D1661" s="19" t="s">
        <v>258</v>
      </c>
      <c r="E1661" s="19" t="s">
        <v>259</v>
      </c>
      <c r="F1661" s="19" t="s">
        <v>1349</v>
      </c>
      <c r="G1661" s="19" t="s">
        <v>1019</v>
      </c>
      <c r="H1661" s="19" t="s">
        <v>1020</v>
      </c>
      <c r="I1661" s="19" t="s">
        <v>1575</v>
      </c>
      <c r="J1661" s="20">
        <v>22</v>
      </c>
      <c r="K1661" t="s">
        <v>668</v>
      </c>
      <c r="L1661" t="s">
        <v>691</v>
      </c>
      <c r="M1661" t="s">
        <v>657</v>
      </c>
      <c r="N1661" t="s">
        <v>658</v>
      </c>
      <c r="O1661" t="s">
        <v>632</v>
      </c>
    </row>
    <row r="1662" spans="1:15" x14ac:dyDescent="0.35">
      <c r="A1662" s="77">
        <v>0.74246575342465748</v>
      </c>
      <c r="B1662" s="19">
        <v>86571</v>
      </c>
      <c r="C1662" s="19" t="s">
        <v>3977</v>
      </c>
      <c r="D1662" s="19" t="s">
        <v>60</v>
      </c>
      <c r="E1662" s="19" t="s">
        <v>61</v>
      </c>
      <c r="F1662" s="19" t="s">
        <v>1119</v>
      </c>
      <c r="G1662" s="19" t="s">
        <v>1057</v>
      </c>
      <c r="H1662" s="19" t="s">
        <v>1001</v>
      </c>
      <c r="I1662" s="19" t="s">
        <v>1575</v>
      </c>
      <c r="J1662" s="20">
        <v>24</v>
      </c>
      <c r="K1662" t="s">
        <v>654</v>
      </c>
      <c r="L1662" t="s">
        <v>651</v>
      </c>
      <c r="M1662" t="s">
        <v>629</v>
      </c>
      <c r="N1662" t="s">
        <v>630</v>
      </c>
      <c r="O1662" t="s">
        <v>705</v>
      </c>
    </row>
    <row r="1663" spans="1:15" x14ac:dyDescent="0.35">
      <c r="A1663" s="77">
        <v>2.3671232876712329</v>
      </c>
      <c r="B1663" s="19">
        <v>86580</v>
      </c>
      <c r="C1663" s="19" t="s">
        <v>3978</v>
      </c>
      <c r="D1663" s="19" t="s">
        <v>19</v>
      </c>
      <c r="E1663" s="19" t="s">
        <v>19</v>
      </c>
      <c r="F1663" s="19" t="s">
        <v>1255</v>
      </c>
      <c r="G1663" s="19" t="s">
        <v>1008</v>
      </c>
      <c r="H1663" s="19" t="s">
        <v>1001</v>
      </c>
      <c r="I1663" s="19" t="s">
        <v>1599</v>
      </c>
      <c r="J1663" s="20">
        <v>23</v>
      </c>
      <c r="K1663" t="s">
        <v>654</v>
      </c>
      <c r="L1663" t="s">
        <v>645</v>
      </c>
      <c r="M1663" t="s">
        <v>629</v>
      </c>
      <c r="N1663" t="s">
        <v>646</v>
      </c>
      <c r="O1663" t="s">
        <v>632</v>
      </c>
    </row>
    <row r="1664" spans="1:15" x14ac:dyDescent="0.35">
      <c r="A1664" s="77">
        <v>0.91506849315068495</v>
      </c>
      <c r="B1664" s="19">
        <v>86582</v>
      </c>
      <c r="C1664" s="19" t="s">
        <v>3979</v>
      </c>
      <c r="D1664" s="19" t="s">
        <v>113</v>
      </c>
      <c r="E1664" s="19" t="s">
        <v>114</v>
      </c>
      <c r="F1664" s="19" t="s">
        <v>1871</v>
      </c>
      <c r="G1664" s="19" t="s">
        <v>1028</v>
      </c>
      <c r="H1664" s="19" t="s">
        <v>1020</v>
      </c>
      <c r="I1664" s="19" t="s">
        <v>1575</v>
      </c>
      <c r="J1664" s="20">
        <v>22</v>
      </c>
      <c r="K1664" t="s">
        <v>654</v>
      </c>
      <c r="L1664" t="s">
        <v>661</v>
      </c>
      <c r="M1664" t="s">
        <v>657</v>
      </c>
      <c r="N1664" t="s">
        <v>662</v>
      </c>
      <c r="O1664" t="s">
        <v>632</v>
      </c>
    </row>
    <row r="1665" spans="1:15" x14ac:dyDescent="0.35">
      <c r="A1665" s="77">
        <v>1.6739726027397259</v>
      </c>
      <c r="B1665" s="19">
        <v>86600</v>
      </c>
      <c r="C1665" s="19" t="s">
        <v>3980</v>
      </c>
      <c r="D1665" s="19" t="s">
        <v>411</v>
      </c>
      <c r="E1665" s="19" t="s">
        <v>412</v>
      </c>
      <c r="F1665" s="19" t="s">
        <v>1225</v>
      </c>
      <c r="G1665" s="19" t="s">
        <v>1028</v>
      </c>
      <c r="H1665" s="19" t="s">
        <v>1020</v>
      </c>
      <c r="I1665" s="19" t="s">
        <v>1575</v>
      </c>
      <c r="J1665" s="20">
        <v>59</v>
      </c>
      <c r="K1665" t="s">
        <v>636</v>
      </c>
      <c r="L1665" t="s">
        <v>691</v>
      </c>
      <c r="M1665" t="s">
        <v>657</v>
      </c>
      <c r="N1665" t="s">
        <v>658</v>
      </c>
      <c r="O1665" t="s">
        <v>632</v>
      </c>
    </row>
    <row r="1666" spans="1:15" x14ac:dyDescent="0.35">
      <c r="A1666" s="77">
        <v>2.3698630136986303</v>
      </c>
      <c r="B1666" s="19">
        <v>86610</v>
      </c>
      <c r="C1666" s="19" t="s">
        <v>3981</v>
      </c>
      <c r="D1666" s="19" t="s">
        <v>155</v>
      </c>
      <c r="E1666" s="19" t="s">
        <v>156</v>
      </c>
      <c r="F1666" s="19" t="s">
        <v>896</v>
      </c>
      <c r="G1666" s="19" t="s">
        <v>1028</v>
      </c>
      <c r="H1666" s="19" t="s">
        <v>1020</v>
      </c>
      <c r="I1666" s="19" t="s">
        <v>1575</v>
      </c>
      <c r="J1666" s="20">
        <v>20</v>
      </c>
      <c r="K1666" t="s">
        <v>636</v>
      </c>
      <c r="L1666" t="s">
        <v>663</v>
      </c>
      <c r="M1666" t="s">
        <v>629</v>
      </c>
      <c r="N1666" t="s">
        <v>646</v>
      </c>
      <c r="O1666" t="s">
        <v>639</v>
      </c>
    </row>
    <row r="1667" spans="1:15" x14ac:dyDescent="0.35">
      <c r="A1667" s="77">
        <v>2.3534246575342466</v>
      </c>
      <c r="B1667" s="19">
        <v>86635</v>
      </c>
      <c r="C1667" s="19" t="s">
        <v>3982</v>
      </c>
      <c r="D1667" s="19" t="s">
        <v>252</v>
      </c>
      <c r="E1667" s="19" t="s">
        <v>253</v>
      </c>
      <c r="F1667" s="19" t="s">
        <v>914</v>
      </c>
      <c r="G1667" s="19" t="s">
        <v>1028</v>
      </c>
      <c r="H1667" s="19" t="s">
        <v>1020</v>
      </c>
      <c r="I1667" s="19" t="s">
        <v>1575</v>
      </c>
      <c r="J1667" s="20">
        <v>44</v>
      </c>
      <c r="K1667" t="s">
        <v>636</v>
      </c>
      <c r="L1667" t="s">
        <v>656</v>
      </c>
      <c r="M1667" t="s">
        <v>657</v>
      </c>
      <c r="N1667" t="s">
        <v>658</v>
      </c>
      <c r="O1667" t="s">
        <v>718</v>
      </c>
    </row>
    <row r="1668" spans="1:15" x14ac:dyDescent="0.35">
      <c r="A1668" s="77">
        <v>2.3534246575342466</v>
      </c>
      <c r="B1668" s="19">
        <v>86637</v>
      </c>
      <c r="C1668" s="19" t="s">
        <v>3983</v>
      </c>
      <c r="D1668" s="19" t="s">
        <v>258</v>
      </c>
      <c r="E1668" s="19" t="s">
        <v>259</v>
      </c>
      <c r="F1668" s="19" t="s">
        <v>1349</v>
      </c>
      <c r="G1668" s="19" t="s">
        <v>1008</v>
      </c>
      <c r="H1668" s="19" t="s">
        <v>1001</v>
      </c>
      <c r="I1668" s="19" t="s">
        <v>1599</v>
      </c>
      <c r="J1668" s="20">
        <v>26</v>
      </c>
      <c r="K1668" t="s">
        <v>668</v>
      </c>
      <c r="L1668" t="s">
        <v>691</v>
      </c>
      <c r="M1668" t="s">
        <v>657</v>
      </c>
      <c r="N1668" t="s">
        <v>658</v>
      </c>
      <c r="O1668" t="s">
        <v>632</v>
      </c>
    </row>
    <row r="1669" spans="1:15" x14ac:dyDescent="0.35">
      <c r="A1669" s="77">
        <v>2.3616438356164382</v>
      </c>
      <c r="B1669" s="19">
        <v>86643</v>
      </c>
      <c r="C1669" s="19" t="s">
        <v>3984</v>
      </c>
      <c r="D1669" s="19" t="s">
        <v>195</v>
      </c>
      <c r="E1669" s="19" t="s">
        <v>196</v>
      </c>
      <c r="F1669" s="19" t="s">
        <v>908</v>
      </c>
      <c r="G1669" s="19" t="s">
        <v>1084</v>
      </c>
      <c r="H1669" s="19" t="s">
        <v>1001</v>
      </c>
      <c r="I1669" s="19" t="s">
        <v>1599</v>
      </c>
      <c r="J1669" s="20">
        <v>20</v>
      </c>
      <c r="K1669" t="s">
        <v>636</v>
      </c>
      <c r="L1669" t="s">
        <v>670</v>
      </c>
      <c r="M1669" t="s">
        <v>657</v>
      </c>
      <c r="N1669" t="s">
        <v>641</v>
      </c>
      <c r="O1669" t="s">
        <v>676</v>
      </c>
    </row>
    <row r="1670" spans="1:15" x14ac:dyDescent="0.35">
      <c r="A1670" s="77">
        <v>6.3013698630136991E-2</v>
      </c>
      <c r="B1670" s="19">
        <v>86644</v>
      </c>
      <c r="C1670" s="19" t="s">
        <v>3985</v>
      </c>
      <c r="D1670" s="19" t="s">
        <v>428</v>
      </c>
      <c r="E1670" s="19" t="s">
        <v>428</v>
      </c>
      <c r="F1670" s="19" t="s">
        <v>1063</v>
      </c>
      <c r="G1670" s="19" t="s">
        <v>1028</v>
      </c>
      <c r="H1670" s="19" t="s">
        <v>1020</v>
      </c>
      <c r="I1670" s="19" t="s">
        <v>1575</v>
      </c>
      <c r="J1670" s="20">
        <v>24</v>
      </c>
      <c r="K1670" t="s">
        <v>668</v>
      </c>
      <c r="L1670" t="s">
        <v>656</v>
      </c>
      <c r="M1670" t="s">
        <v>657</v>
      </c>
      <c r="N1670" t="s">
        <v>658</v>
      </c>
      <c r="O1670" t="s">
        <v>632</v>
      </c>
    </row>
    <row r="1671" spans="1:15" x14ac:dyDescent="0.35">
      <c r="A1671" s="77">
        <v>2.3424657534246576</v>
      </c>
      <c r="B1671" s="19">
        <v>86683</v>
      </c>
      <c r="C1671" s="19" t="s">
        <v>3986</v>
      </c>
      <c r="D1671" s="19" t="s">
        <v>18</v>
      </c>
      <c r="E1671" s="19" t="s">
        <v>18</v>
      </c>
      <c r="F1671" s="19" t="s">
        <v>650</v>
      </c>
      <c r="G1671" s="19" t="s">
        <v>1084</v>
      </c>
      <c r="H1671" s="19" t="s">
        <v>1001</v>
      </c>
      <c r="I1671" s="19" t="s">
        <v>1599</v>
      </c>
      <c r="J1671" s="20">
        <v>21</v>
      </c>
      <c r="K1671" t="s">
        <v>636</v>
      </c>
      <c r="L1671" t="s">
        <v>651</v>
      </c>
      <c r="M1671" t="s">
        <v>629</v>
      </c>
      <c r="N1671" t="s">
        <v>630</v>
      </c>
      <c r="O1671" t="s">
        <v>652</v>
      </c>
    </row>
    <row r="1672" spans="1:15" x14ac:dyDescent="0.35">
      <c r="A1672" s="77">
        <v>2.3479452054794518</v>
      </c>
      <c r="B1672" s="19">
        <v>86706</v>
      </c>
      <c r="C1672" s="19" t="s">
        <v>3987</v>
      </c>
      <c r="D1672" s="19" t="s">
        <v>264</v>
      </c>
      <c r="E1672" s="19" t="s">
        <v>265</v>
      </c>
      <c r="F1672" s="19" t="s">
        <v>2526</v>
      </c>
      <c r="G1672" s="19" t="s">
        <v>1028</v>
      </c>
      <c r="H1672" s="19" t="s">
        <v>1020</v>
      </c>
      <c r="I1672" s="19" t="s">
        <v>1575</v>
      </c>
      <c r="J1672" s="20">
        <v>27</v>
      </c>
      <c r="K1672" t="s">
        <v>654</v>
      </c>
      <c r="L1672" t="s">
        <v>678</v>
      </c>
      <c r="M1672" t="s">
        <v>623</v>
      </c>
      <c r="N1672" t="s">
        <v>624</v>
      </c>
      <c r="O1672" t="s">
        <v>689</v>
      </c>
    </row>
    <row r="1673" spans="1:15" x14ac:dyDescent="0.35">
      <c r="A1673" s="77">
        <v>2.4657534246575342E-2</v>
      </c>
      <c r="B1673" s="19">
        <v>86729</v>
      </c>
      <c r="C1673" s="19" t="s">
        <v>3988</v>
      </c>
      <c r="D1673" s="19" t="s">
        <v>100</v>
      </c>
      <c r="E1673" s="19" t="s">
        <v>101</v>
      </c>
      <c r="F1673" s="19" t="s">
        <v>2786</v>
      </c>
      <c r="G1673" s="19" t="s">
        <v>1008</v>
      </c>
      <c r="H1673" s="19" t="s">
        <v>1001</v>
      </c>
      <c r="I1673" s="19" t="s">
        <v>1575</v>
      </c>
      <c r="J1673" s="20">
        <v>25</v>
      </c>
      <c r="K1673" t="s">
        <v>654</v>
      </c>
      <c r="L1673" t="s">
        <v>651</v>
      </c>
      <c r="M1673" t="s">
        <v>629</v>
      </c>
      <c r="N1673" t="s">
        <v>630</v>
      </c>
      <c r="O1673" t="s">
        <v>705</v>
      </c>
    </row>
    <row r="1674" spans="1:15" x14ac:dyDescent="0.35">
      <c r="A1674" s="77">
        <v>1.0630136986301371</v>
      </c>
      <c r="B1674" s="19">
        <v>86737</v>
      </c>
      <c r="C1674" s="19" t="s">
        <v>3989</v>
      </c>
      <c r="D1674" s="19" t="s">
        <v>100</v>
      </c>
      <c r="E1674" s="19" t="s">
        <v>101</v>
      </c>
      <c r="F1674" s="19" t="s">
        <v>2786</v>
      </c>
      <c r="G1674" s="19" t="s">
        <v>1028</v>
      </c>
      <c r="H1674" s="19" t="s">
        <v>1020</v>
      </c>
      <c r="I1674" s="19" t="s">
        <v>1575</v>
      </c>
      <c r="J1674" s="20">
        <v>42</v>
      </c>
      <c r="K1674" t="s">
        <v>654</v>
      </c>
      <c r="L1674" t="s">
        <v>651</v>
      </c>
      <c r="M1674" t="s">
        <v>629</v>
      </c>
      <c r="N1674" t="s">
        <v>630</v>
      </c>
      <c r="O1674" t="s">
        <v>705</v>
      </c>
    </row>
    <row r="1675" spans="1:15" x14ac:dyDescent="0.35">
      <c r="A1675" s="77">
        <v>2.3287671232876712</v>
      </c>
      <c r="B1675" s="19">
        <v>86740</v>
      </c>
      <c r="C1675" s="19" t="s">
        <v>3990</v>
      </c>
      <c r="D1675" s="19" t="s">
        <v>252</v>
      </c>
      <c r="E1675" s="19" t="s">
        <v>253</v>
      </c>
      <c r="F1675" s="19" t="s">
        <v>914</v>
      </c>
      <c r="G1675" s="19" t="s">
        <v>1034</v>
      </c>
      <c r="H1675" s="19" t="s">
        <v>1001</v>
      </c>
      <c r="I1675" s="19" t="s">
        <v>1599</v>
      </c>
      <c r="J1675" s="20">
        <v>28</v>
      </c>
      <c r="K1675" t="s">
        <v>636</v>
      </c>
      <c r="L1675" t="s">
        <v>656</v>
      </c>
      <c r="M1675" t="s">
        <v>657</v>
      </c>
      <c r="N1675" t="s">
        <v>658</v>
      </c>
      <c r="O1675" t="s">
        <v>718</v>
      </c>
    </row>
    <row r="1676" spans="1:15" x14ac:dyDescent="0.35">
      <c r="A1676" s="77">
        <v>2.3287671232876712</v>
      </c>
      <c r="B1676" s="19">
        <v>86765</v>
      </c>
      <c r="C1676" s="19" t="s">
        <v>3991</v>
      </c>
      <c r="D1676" s="19" t="s">
        <v>111</v>
      </c>
      <c r="E1676" s="19" t="s">
        <v>112</v>
      </c>
      <c r="F1676" s="19" t="s">
        <v>1083</v>
      </c>
      <c r="G1676" s="19" t="s">
        <v>1034</v>
      </c>
      <c r="H1676" s="19" t="s">
        <v>1001</v>
      </c>
      <c r="I1676" s="19" t="s">
        <v>1575</v>
      </c>
      <c r="J1676" s="20">
        <v>25</v>
      </c>
      <c r="K1676" t="s">
        <v>654</v>
      </c>
      <c r="L1676" t="s">
        <v>651</v>
      </c>
      <c r="M1676" t="s">
        <v>629</v>
      </c>
      <c r="N1676" t="s">
        <v>630</v>
      </c>
      <c r="O1676" t="s">
        <v>652</v>
      </c>
    </row>
    <row r="1677" spans="1:15" x14ac:dyDescent="0.35">
      <c r="A1677" s="77">
        <v>2.3150684931506849</v>
      </c>
      <c r="B1677" s="19">
        <v>86788</v>
      </c>
      <c r="C1677" s="19" t="s">
        <v>3992</v>
      </c>
      <c r="D1677" s="19" t="s">
        <v>186</v>
      </c>
      <c r="E1677" s="19" t="s">
        <v>187</v>
      </c>
      <c r="F1677" s="19" t="s">
        <v>1164</v>
      </c>
      <c r="G1677" s="19" t="s">
        <v>1045</v>
      </c>
      <c r="H1677" s="19" t="s">
        <v>1001</v>
      </c>
      <c r="I1677" s="19" t="s">
        <v>1599</v>
      </c>
      <c r="J1677" s="20">
        <v>33</v>
      </c>
      <c r="K1677" t="s">
        <v>642</v>
      </c>
      <c r="L1677" t="s">
        <v>648</v>
      </c>
      <c r="M1677" t="s">
        <v>623</v>
      </c>
      <c r="N1677" t="s">
        <v>624</v>
      </c>
      <c r="O1677" t="s">
        <v>649</v>
      </c>
    </row>
    <row r="1678" spans="1:15" x14ac:dyDescent="0.35">
      <c r="A1678" s="77">
        <v>2.3287671232876712</v>
      </c>
      <c r="B1678" s="19">
        <v>86792</v>
      </c>
      <c r="C1678" s="19" t="s">
        <v>3993</v>
      </c>
      <c r="D1678" s="19" t="s">
        <v>349</v>
      </c>
      <c r="E1678" s="19" t="s">
        <v>350</v>
      </c>
      <c r="F1678" s="19" t="s">
        <v>912</v>
      </c>
      <c r="G1678" s="19" t="s">
        <v>1008</v>
      </c>
      <c r="H1678" s="19" t="s">
        <v>1001</v>
      </c>
      <c r="I1678" s="19" t="s">
        <v>1575</v>
      </c>
      <c r="J1678" s="20">
        <v>25</v>
      </c>
      <c r="K1678" t="s">
        <v>625</v>
      </c>
      <c r="L1678" t="s">
        <v>648</v>
      </c>
      <c r="M1678" t="s">
        <v>623</v>
      </c>
      <c r="N1678" t="s">
        <v>624</v>
      </c>
      <c r="O1678" t="s">
        <v>649</v>
      </c>
    </row>
    <row r="1679" spans="1:15" x14ac:dyDescent="0.35">
      <c r="A1679" s="77">
        <v>2.7397260273972601E-2</v>
      </c>
      <c r="B1679" s="19">
        <v>86793</v>
      </c>
      <c r="C1679" s="19" t="s">
        <v>1712</v>
      </c>
      <c r="D1679" s="19" t="s">
        <v>208</v>
      </c>
      <c r="E1679" s="19" t="s">
        <v>209</v>
      </c>
      <c r="F1679" s="19" t="s">
        <v>1444</v>
      </c>
      <c r="G1679" s="19" t="s">
        <v>1008</v>
      </c>
      <c r="H1679" s="19" t="s">
        <v>1001</v>
      </c>
      <c r="I1679" s="19" t="s">
        <v>1575</v>
      </c>
      <c r="J1679" s="20">
        <v>32</v>
      </c>
      <c r="K1679" t="s">
        <v>636</v>
      </c>
      <c r="L1679" t="s">
        <v>640</v>
      </c>
      <c r="M1679" t="s">
        <v>623</v>
      </c>
      <c r="N1679" t="s">
        <v>624</v>
      </c>
      <c r="O1679" t="s">
        <v>787</v>
      </c>
    </row>
    <row r="1680" spans="1:15" x14ac:dyDescent="0.35">
      <c r="A1680" s="77">
        <v>2.3095890410958906</v>
      </c>
      <c r="B1680" s="19">
        <v>86828</v>
      </c>
      <c r="C1680" s="19" t="s">
        <v>3994</v>
      </c>
      <c r="D1680" s="19" t="s">
        <v>256</v>
      </c>
      <c r="E1680" s="19" t="s">
        <v>257</v>
      </c>
      <c r="F1680" s="19" t="s">
        <v>1005</v>
      </c>
      <c r="G1680" s="19" t="s">
        <v>1057</v>
      </c>
      <c r="H1680" s="19" t="s">
        <v>1001</v>
      </c>
      <c r="I1680" s="19" t="s">
        <v>1575</v>
      </c>
      <c r="J1680" s="20">
        <v>29</v>
      </c>
      <c r="K1680" t="s">
        <v>668</v>
      </c>
      <c r="L1680" t="s">
        <v>651</v>
      </c>
      <c r="M1680" t="s">
        <v>629</v>
      </c>
      <c r="N1680" t="s">
        <v>630</v>
      </c>
      <c r="O1680" t="s">
        <v>705</v>
      </c>
    </row>
    <row r="1681" spans="1:15" x14ac:dyDescent="0.35">
      <c r="A1681" s="77">
        <v>1.2301369863013698</v>
      </c>
      <c r="B1681" s="19">
        <v>86862</v>
      </c>
      <c r="C1681" s="19" t="s">
        <v>3995</v>
      </c>
      <c r="D1681" s="19" t="s">
        <v>387</v>
      </c>
      <c r="E1681" s="19" t="s">
        <v>388</v>
      </c>
      <c r="F1681" s="19" t="s">
        <v>1142</v>
      </c>
      <c r="G1681" s="19" t="s">
        <v>1028</v>
      </c>
      <c r="H1681" s="19" t="s">
        <v>1020</v>
      </c>
      <c r="I1681" s="19" t="s">
        <v>1575</v>
      </c>
      <c r="J1681" s="20">
        <v>26</v>
      </c>
      <c r="K1681" t="s">
        <v>642</v>
      </c>
      <c r="L1681" t="s">
        <v>634</v>
      </c>
      <c r="M1681" t="s">
        <v>629</v>
      </c>
      <c r="N1681" t="s">
        <v>630</v>
      </c>
      <c r="O1681" t="s">
        <v>734</v>
      </c>
    </row>
    <row r="1682" spans="1:15" x14ac:dyDescent="0.35">
      <c r="A1682" s="77">
        <v>2.2986301369863016</v>
      </c>
      <c r="B1682" s="19">
        <v>86871</v>
      </c>
      <c r="C1682" s="19" t="s">
        <v>3996</v>
      </c>
      <c r="D1682" s="19" t="s">
        <v>91</v>
      </c>
      <c r="E1682" s="19" t="s">
        <v>92</v>
      </c>
      <c r="F1682" s="19" t="s">
        <v>1113</v>
      </c>
      <c r="G1682" s="19" t="s">
        <v>1057</v>
      </c>
      <c r="H1682" s="19" t="s">
        <v>1001</v>
      </c>
      <c r="I1682" s="19" t="s">
        <v>1575</v>
      </c>
      <c r="J1682" s="20">
        <v>29</v>
      </c>
      <c r="K1682" t="s">
        <v>636</v>
      </c>
      <c r="L1682" t="s">
        <v>634</v>
      </c>
      <c r="M1682" t="s">
        <v>629</v>
      </c>
      <c r="N1682" t="s">
        <v>630</v>
      </c>
      <c r="O1682" t="s">
        <v>734</v>
      </c>
    </row>
    <row r="1683" spans="1:15" x14ac:dyDescent="0.35">
      <c r="A1683" s="77">
        <v>2.2986301369863016</v>
      </c>
      <c r="B1683" s="19">
        <v>86873</v>
      </c>
      <c r="C1683" s="19" t="s">
        <v>3997</v>
      </c>
      <c r="D1683" s="19" t="s">
        <v>313</v>
      </c>
      <c r="E1683" s="19" t="s">
        <v>314</v>
      </c>
      <c r="F1683" s="19" t="s">
        <v>1401</v>
      </c>
      <c r="G1683" s="19" t="s">
        <v>1000</v>
      </c>
      <c r="H1683" s="19" t="s">
        <v>1001</v>
      </c>
      <c r="I1683" s="19" t="s">
        <v>1599</v>
      </c>
      <c r="J1683" s="20">
        <v>37</v>
      </c>
      <c r="K1683" t="s">
        <v>654</v>
      </c>
      <c r="L1683" t="s">
        <v>666</v>
      </c>
      <c r="M1683" t="s">
        <v>629</v>
      </c>
      <c r="N1683" t="s">
        <v>635</v>
      </c>
      <c r="O1683" t="s">
        <v>637</v>
      </c>
    </row>
    <row r="1684" spans="1:15" x14ac:dyDescent="0.35">
      <c r="A1684" s="77">
        <v>2.3260273972602739</v>
      </c>
      <c r="B1684" s="19">
        <v>86881</v>
      </c>
      <c r="C1684" s="19" t="s">
        <v>3998</v>
      </c>
      <c r="D1684" s="19" t="s">
        <v>28</v>
      </c>
      <c r="E1684" s="19" t="s">
        <v>28</v>
      </c>
      <c r="F1684" s="19" t="s">
        <v>916</v>
      </c>
      <c r="G1684" s="19" t="s">
        <v>1028</v>
      </c>
      <c r="H1684" s="19" t="s">
        <v>1020</v>
      </c>
      <c r="I1684" s="19" t="s">
        <v>1575</v>
      </c>
      <c r="J1684" s="20">
        <v>46</v>
      </c>
      <c r="K1684" t="s">
        <v>654</v>
      </c>
      <c r="L1684" t="s">
        <v>670</v>
      </c>
      <c r="M1684" t="s">
        <v>657</v>
      </c>
      <c r="N1684" t="s">
        <v>641</v>
      </c>
      <c r="O1684" t="s">
        <v>671</v>
      </c>
    </row>
    <row r="1685" spans="1:15" x14ac:dyDescent="0.35">
      <c r="A1685" s="77">
        <v>0.48219178082191783</v>
      </c>
      <c r="B1685" s="19">
        <v>86899</v>
      </c>
      <c r="C1685" s="19" t="s">
        <v>3999</v>
      </c>
      <c r="D1685" s="19" t="s">
        <v>239</v>
      </c>
      <c r="E1685" s="19" t="s">
        <v>240</v>
      </c>
      <c r="F1685" s="19" t="s">
        <v>798</v>
      </c>
      <c r="G1685" s="19" t="s">
        <v>1084</v>
      </c>
      <c r="H1685" s="19" t="s">
        <v>1020</v>
      </c>
      <c r="I1685" s="19" t="s">
        <v>1575</v>
      </c>
      <c r="J1685" s="20">
        <v>23</v>
      </c>
      <c r="K1685" t="s">
        <v>636</v>
      </c>
      <c r="L1685" t="s">
        <v>628</v>
      </c>
      <c r="M1685" t="s">
        <v>629</v>
      </c>
      <c r="N1685" t="s">
        <v>646</v>
      </c>
      <c r="O1685" t="s">
        <v>632</v>
      </c>
    </row>
    <row r="1686" spans="1:15" x14ac:dyDescent="0.35">
      <c r="A1686" s="77">
        <v>2.3178082191780822</v>
      </c>
      <c r="B1686" s="19">
        <v>86914</v>
      </c>
      <c r="C1686" s="19" t="s">
        <v>4000</v>
      </c>
      <c r="D1686" s="19" t="s">
        <v>126</v>
      </c>
      <c r="E1686" s="19" t="s">
        <v>127</v>
      </c>
      <c r="F1686" s="19" t="s">
        <v>1152</v>
      </c>
      <c r="G1686" s="19" t="s">
        <v>1019</v>
      </c>
      <c r="H1686" s="19" t="s">
        <v>1020</v>
      </c>
      <c r="I1686" s="19" t="s">
        <v>1575</v>
      </c>
      <c r="J1686" s="20">
        <v>21</v>
      </c>
      <c r="K1686" t="s">
        <v>654</v>
      </c>
      <c r="L1686" t="s">
        <v>628</v>
      </c>
      <c r="M1686" t="s">
        <v>629</v>
      </c>
      <c r="N1686" t="s">
        <v>630</v>
      </c>
      <c r="O1686" t="s">
        <v>632</v>
      </c>
    </row>
    <row r="1687" spans="1:15" x14ac:dyDescent="0.35">
      <c r="A1687" s="77">
        <v>2.2958904109589042</v>
      </c>
      <c r="B1687" s="19">
        <v>86918</v>
      </c>
      <c r="C1687" s="19" t="s">
        <v>4001</v>
      </c>
      <c r="D1687" s="19" t="s">
        <v>235</v>
      </c>
      <c r="E1687" s="19" t="s">
        <v>236</v>
      </c>
      <c r="F1687" s="19" t="s">
        <v>1457</v>
      </c>
      <c r="G1687" s="19" t="s">
        <v>1034</v>
      </c>
      <c r="H1687" s="19" t="s">
        <v>1001</v>
      </c>
      <c r="I1687" s="19" t="s">
        <v>1575</v>
      </c>
      <c r="J1687" s="20">
        <v>22</v>
      </c>
      <c r="K1687" t="s">
        <v>654</v>
      </c>
      <c r="L1687" t="s">
        <v>707</v>
      </c>
      <c r="M1687" t="s">
        <v>629</v>
      </c>
      <c r="N1687" t="s">
        <v>635</v>
      </c>
      <c r="O1687" t="s">
        <v>710</v>
      </c>
    </row>
    <row r="1688" spans="1:15" x14ac:dyDescent="0.35">
      <c r="A1688" s="77">
        <v>2.2958904109589042</v>
      </c>
      <c r="B1688" s="19">
        <v>86919</v>
      </c>
      <c r="C1688" s="19" t="s">
        <v>4002</v>
      </c>
      <c r="D1688" s="19" t="s">
        <v>235</v>
      </c>
      <c r="E1688" s="19" t="s">
        <v>236</v>
      </c>
      <c r="F1688" s="19" t="s">
        <v>1457</v>
      </c>
      <c r="G1688" s="19" t="s">
        <v>1008</v>
      </c>
      <c r="H1688" s="19" t="s">
        <v>1001</v>
      </c>
      <c r="I1688" s="19" t="s">
        <v>1575</v>
      </c>
      <c r="J1688" s="20">
        <v>22</v>
      </c>
      <c r="K1688" t="s">
        <v>654</v>
      </c>
      <c r="L1688" t="s">
        <v>707</v>
      </c>
      <c r="M1688" t="s">
        <v>629</v>
      </c>
      <c r="N1688" t="s">
        <v>635</v>
      </c>
      <c r="O1688" t="s">
        <v>710</v>
      </c>
    </row>
    <row r="1689" spans="1:15" x14ac:dyDescent="0.35">
      <c r="A1689" s="77">
        <v>2.2931506849315069</v>
      </c>
      <c r="B1689" s="19">
        <v>86923</v>
      </c>
      <c r="C1689" s="19" t="s">
        <v>4003</v>
      </c>
      <c r="D1689" s="19" t="s">
        <v>130</v>
      </c>
      <c r="E1689" s="19" t="s">
        <v>131</v>
      </c>
      <c r="F1689" s="19" t="s">
        <v>1693</v>
      </c>
      <c r="G1689" s="19" t="s">
        <v>1008</v>
      </c>
      <c r="H1689" s="19" t="s">
        <v>1001</v>
      </c>
      <c r="I1689" s="19" t="s">
        <v>1575</v>
      </c>
      <c r="J1689" s="20">
        <v>28</v>
      </c>
      <c r="K1689" t="s">
        <v>654</v>
      </c>
      <c r="L1689" t="s">
        <v>670</v>
      </c>
      <c r="M1689" t="s">
        <v>657</v>
      </c>
      <c r="N1689" t="s">
        <v>641</v>
      </c>
      <c r="O1689" t="s">
        <v>752</v>
      </c>
    </row>
    <row r="1690" spans="1:15" x14ac:dyDescent="0.35">
      <c r="A1690" s="77">
        <v>2.1917808219178082E-2</v>
      </c>
      <c r="B1690" s="19">
        <v>86925</v>
      </c>
      <c r="C1690" s="19" t="s">
        <v>4004</v>
      </c>
      <c r="D1690" s="19" t="s">
        <v>415</v>
      </c>
      <c r="E1690" s="19" t="s">
        <v>416</v>
      </c>
      <c r="F1690" s="19" t="s">
        <v>1199</v>
      </c>
      <c r="G1690" s="19" t="s">
        <v>1028</v>
      </c>
      <c r="H1690" s="19" t="s">
        <v>1020</v>
      </c>
      <c r="I1690" s="19" t="s">
        <v>1575</v>
      </c>
      <c r="J1690" s="20">
        <v>35</v>
      </c>
      <c r="K1690" t="s">
        <v>668</v>
      </c>
      <c r="L1690" t="s">
        <v>666</v>
      </c>
      <c r="M1690" t="s">
        <v>629</v>
      </c>
      <c r="N1690" t="s">
        <v>635</v>
      </c>
      <c r="O1690" t="s">
        <v>637</v>
      </c>
    </row>
    <row r="1691" spans="1:15" x14ac:dyDescent="0.35">
      <c r="A1691" s="77">
        <v>2.3041095890410959</v>
      </c>
      <c r="B1691" s="19">
        <v>86956</v>
      </c>
      <c r="C1691" s="19" t="s">
        <v>4005</v>
      </c>
      <c r="D1691" s="19" t="s">
        <v>26</v>
      </c>
      <c r="E1691" s="19" t="s">
        <v>26</v>
      </c>
      <c r="F1691" s="19" t="s">
        <v>1124</v>
      </c>
      <c r="G1691" s="19" t="s">
        <v>1008</v>
      </c>
      <c r="H1691" s="19" t="s">
        <v>1001</v>
      </c>
      <c r="I1691" s="19" t="s">
        <v>1575</v>
      </c>
      <c r="J1691" s="20">
        <v>23</v>
      </c>
      <c r="K1691" t="s">
        <v>636</v>
      </c>
      <c r="L1691" t="s">
        <v>666</v>
      </c>
      <c r="M1691" t="s">
        <v>629</v>
      </c>
      <c r="N1691" t="s">
        <v>635</v>
      </c>
      <c r="O1691" t="s">
        <v>637</v>
      </c>
    </row>
    <row r="1692" spans="1:15" x14ac:dyDescent="0.35">
      <c r="A1692" s="77">
        <v>1.7397260273972603</v>
      </c>
      <c r="B1692" s="19">
        <v>87011</v>
      </c>
      <c r="C1692" s="19" t="s">
        <v>4006</v>
      </c>
      <c r="D1692" s="19" t="s">
        <v>107</v>
      </c>
      <c r="E1692" s="19" t="s">
        <v>108</v>
      </c>
      <c r="F1692" s="19" t="s">
        <v>2702</v>
      </c>
      <c r="G1692" s="19" t="s">
        <v>1084</v>
      </c>
      <c r="H1692" s="19" t="s">
        <v>1001</v>
      </c>
      <c r="I1692" s="19" t="s">
        <v>1575</v>
      </c>
      <c r="J1692" s="20">
        <v>38</v>
      </c>
      <c r="K1692" t="s">
        <v>668</v>
      </c>
      <c r="L1692" t="s">
        <v>691</v>
      </c>
      <c r="M1692" t="s">
        <v>657</v>
      </c>
      <c r="N1692" t="s">
        <v>658</v>
      </c>
      <c r="O1692" t="s">
        <v>632</v>
      </c>
    </row>
    <row r="1693" spans="1:15" x14ac:dyDescent="0.35">
      <c r="A1693" s="77">
        <v>2.2767123287671232</v>
      </c>
      <c r="B1693" s="19">
        <v>87020</v>
      </c>
      <c r="C1693" s="19" t="s">
        <v>4007</v>
      </c>
      <c r="D1693" s="19" t="s">
        <v>193</v>
      </c>
      <c r="E1693" s="19" t="s">
        <v>194</v>
      </c>
      <c r="F1693" s="19" t="s">
        <v>2422</v>
      </c>
      <c r="G1693" s="19" t="s">
        <v>1008</v>
      </c>
      <c r="H1693" s="19" t="s">
        <v>1001</v>
      </c>
      <c r="I1693" s="19" t="s">
        <v>1575</v>
      </c>
      <c r="J1693" s="20">
        <v>23</v>
      </c>
      <c r="K1693" t="s">
        <v>654</v>
      </c>
      <c r="L1693" t="s">
        <v>670</v>
      </c>
      <c r="M1693" t="s">
        <v>657</v>
      </c>
      <c r="N1693" t="s">
        <v>641</v>
      </c>
      <c r="O1693" t="s">
        <v>676</v>
      </c>
    </row>
    <row r="1694" spans="1:15" x14ac:dyDescent="0.35">
      <c r="A1694" s="77">
        <v>1.8438356164383563</v>
      </c>
      <c r="B1694" s="19">
        <v>87024</v>
      </c>
      <c r="C1694" s="19" t="s">
        <v>4008</v>
      </c>
      <c r="D1694" s="19" t="s">
        <v>271</v>
      </c>
      <c r="E1694" s="19" t="s">
        <v>272</v>
      </c>
      <c r="F1694" s="19" t="s">
        <v>2611</v>
      </c>
      <c r="G1694" s="19" t="s">
        <v>1028</v>
      </c>
      <c r="H1694" s="19" t="s">
        <v>1020</v>
      </c>
      <c r="I1694" s="19" t="s">
        <v>1575</v>
      </c>
      <c r="J1694" s="20">
        <v>36</v>
      </c>
      <c r="K1694" t="s">
        <v>654</v>
      </c>
      <c r="L1694" t="s">
        <v>666</v>
      </c>
      <c r="M1694" t="s">
        <v>629</v>
      </c>
      <c r="N1694" t="s">
        <v>635</v>
      </c>
      <c r="O1694" t="s">
        <v>739</v>
      </c>
    </row>
    <row r="1695" spans="1:15" x14ac:dyDescent="0.35">
      <c r="A1695" s="77">
        <v>0.14794520547945206</v>
      </c>
      <c r="B1695" s="19">
        <v>87035</v>
      </c>
      <c r="C1695" s="19" t="s">
        <v>4009</v>
      </c>
      <c r="D1695" s="19" t="s">
        <v>355</v>
      </c>
      <c r="E1695" s="19" t="s">
        <v>356</v>
      </c>
      <c r="F1695" s="19" t="s">
        <v>1100</v>
      </c>
      <c r="G1695" s="19" t="s">
        <v>1057</v>
      </c>
      <c r="H1695" s="19" t="s">
        <v>1001</v>
      </c>
      <c r="I1695" s="19" t="s">
        <v>1575</v>
      </c>
      <c r="J1695" s="20">
        <v>31</v>
      </c>
      <c r="K1695" t="s">
        <v>625</v>
      </c>
      <c r="L1695" t="s">
        <v>622</v>
      </c>
      <c r="M1695" t="s">
        <v>623</v>
      </c>
      <c r="N1695" t="s">
        <v>624</v>
      </c>
      <c r="O1695" t="s">
        <v>649</v>
      </c>
    </row>
    <row r="1696" spans="1:15" x14ac:dyDescent="0.35">
      <c r="A1696" s="77">
        <v>2.2931506849315069</v>
      </c>
      <c r="B1696" s="19">
        <v>87039</v>
      </c>
      <c r="C1696" s="19" t="s">
        <v>4010</v>
      </c>
      <c r="D1696" s="19" t="s">
        <v>49</v>
      </c>
      <c r="E1696" s="19" t="s">
        <v>50</v>
      </c>
      <c r="F1696" s="19" t="s">
        <v>1213</v>
      </c>
      <c r="G1696" s="19" t="s">
        <v>1034</v>
      </c>
      <c r="H1696" s="19" t="s">
        <v>1001</v>
      </c>
      <c r="I1696" s="19" t="s">
        <v>1599</v>
      </c>
      <c r="J1696" s="20">
        <v>29</v>
      </c>
      <c r="K1696" t="s">
        <v>625</v>
      </c>
      <c r="L1696" t="s">
        <v>648</v>
      </c>
      <c r="M1696" t="s">
        <v>623</v>
      </c>
      <c r="N1696" t="s">
        <v>624</v>
      </c>
      <c r="O1696" t="s">
        <v>649</v>
      </c>
    </row>
    <row r="1697" spans="1:15" x14ac:dyDescent="0.35">
      <c r="A1697" s="77">
        <v>0.39726027397260272</v>
      </c>
      <c r="B1697" s="19">
        <v>87044</v>
      </c>
      <c r="C1697" s="19" t="s">
        <v>4011</v>
      </c>
      <c r="D1697" s="19" t="s">
        <v>426</v>
      </c>
      <c r="E1697" s="19" t="s">
        <v>426</v>
      </c>
      <c r="F1697" s="19" t="s">
        <v>1220</v>
      </c>
      <c r="G1697" s="19" t="s">
        <v>1046</v>
      </c>
      <c r="H1697" s="19" t="s">
        <v>1001</v>
      </c>
      <c r="I1697" s="19" t="s">
        <v>1575</v>
      </c>
      <c r="J1697" s="20">
        <v>31</v>
      </c>
      <c r="K1697" t="s">
        <v>654</v>
      </c>
      <c r="L1697" t="s">
        <v>622</v>
      </c>
      <c r="M1697" t="s">
        <v>623</v>
      </c>
      <c r="N1697" t="s">
        <v>624</v>
      </c>
      <c r="O1697" t="s">
        <v>649</v>
      </c>
    </row>
    <row r="1698" spans="1:15" x14ac:dyDescent="0.35">
      <c r="A1698" s="77">
        <v>2.2712328767123289</v>
      </c>
      <c r="B1698" s="19">
        <v>87071</v>
      </c>
      <c r="C1698" s="19" t="s">
        <v>4012</v>
      </c>
      <c r="D1698" s="19" t="s">
        <v>218</v>
      </c>
      <c r="E1698" s="19" t="s">
        <v>219</v>
      </c>
      <c r="F1698" s="19" t="s">
        <v>1372</v>
      </c>
      <c r="G1698" s="19" t="s">
        <v>1034</v>
      </c>
      <c r="H1698" s="19" t="s">
        <v>1001</v>
      </c>
      <c r="I1698" s="19" t="s">
        <v>1599</v>
      </c>
      <c r="J1698" s="20">
        <v>25</v>
      </c>
      <c r="K1698" t="s">
        <v>625</v>
      </c>
      <c r="L1698" t="s">
        <v>661</v>
      </c>
      <c r="M1698" t="s">
        <v>657</v>
      </c>
      <c r="N1698" t="s">
        <v>662</v>
      </c>
      <c r="O1698" t="s">
        <v>632</v>
      </c>
    </row>
    <row r="1699" spans="1:15" x14ac:dyDescent="0.35">
      <c r="A1699" s="77">
        <v>2.2739726027397262</v>
      </c>
      <c r="B1699" s="19">
        <v>87077</v>
      </c>
      <c r="C1699" s="19" t="s">
        <v>4013</v>
      </c>
      <c r="D1699" s="19" t="s">
        <v>42</v>
      </c>
      <c r="E1699" s="19" t="s">
        <v>42</v>
      </c>
      <c r="F1699" s="19" t="s">
        <v>1262</v>
      </c>
      <c r="G1699" s="19" t="s">
        <v>1046</v>
      </c>
      <c r="H1699" s="19" t="s">
        <v>1001</v>
      </c>
      <c r="I1699" s="19" t="s">
        <v>1575</v>
      </c>
      <c r="J1699" s="20">
        <v>27</v>
      </c>
      <c r="K1699" t="s">
        <v>625</v>
      </c>
      <c r="L1699" t="s">
        <v>628</v>
      </c>
      <c r="M1699" t="s">
        <v>629</v>
      </c>
      <c r="N1699" t="s">
        <v>630</v>
      </c>
      <c r="O1699" t="s">
        <v>632</v>
      </c>
    </row>
    <row r="1700" spans="1:15" x14ac:dyDescent="0.35">
      <c r="A1700" s="77">
        <v>2.2684931506849315</v>
      </c>
      <c r="B1700" s="19">
        <v>87080</v>
      </c>
      <c r="C1700" s="19" t="s">
        <v>4014</v>
      </c>
      <c r="D1700" s="19" t="s">
        <v>42</v>
      </c>
      <c r="E1700" s="19" t="s">
        <v>42</v>
      </c>
      <c r="F1700" s="19" t="s">
        <v>1262</v>
      </c>
      <c r="G1700" s="19" t="s">
        <v>1046</v>
      </c>
      <c r="H1700" s="19" t="s">
        <v>1001</v>
      </c>
      <c r="I1700" s="19" t="s">
        <v>1575</v>
      </c>
      <c r="J1700" s="20">
        <v>22</v>
      </c>
      <c r="K1700" t="s">
        <v>625</v>
      </c>
      <c r="L1700" t="s">
        <v>628</v>
      </c>
      <c r="M1700" t="s">
        <v>629</v>
      </c>
      <c r="N1700" t="s">
        <v>630</v>
      </c>
      <c r="O1700" t="s">
        <v>632</v>
      </c>
    </row>
    <row r="1701" spans="1:15" x14ac:dyDescent="0.35">
      <c r="A1701" s="77">
        <v>0.14794520547945206</v>
      </c>
      <c r="B1701" s="19">
        <v>87152</v>
      </c>
      <c r="C1701" s="19" t="s">
        <v>4015</v>
      </c>
      <c r="D1701" s="19" t="s">
        <v>343</v>
      </c>
      <c r="E1701" s="19" t="s">
        <v>344</v>
      </c>
      <c r="F1701" s="19" t="s">
        <v>846</v>
      </c>
      <c r="G1701" s="19" t="s">
        <v>1034</v>
      </c>
      <c r="H1701" s="19" t="s">
        <v>1001</v>
      </c>
      <c r="I1701" s="19" t="s">
        <v>1599</v>
      </c>
      <c r="J1701" s="20">
        <v>22</v>
      </c>
      <c r="K1701" t="s">
        <v>642</v>
      </c>
      <c r="L1701" t="s">
        <v>645</v>
      </c>
      <c r="M1701" t="s">
        <v>629</v>
      </c>
      <c r="N1701" t="s">
        <v>646</v>
      </c>
      <c r="O1701" t="s">
        <v>632</v>
      </c>
    </row>
    <row r="1702" spans="1:15" x14ac:dyDescent="0.35">
      <c r="A1702" s="77">
        <v>2.2493150684931509</v>
      </c>
      <c r="B1702" s="19">
        <v>87182</v>
      </c>
      <c r="C1702" s="19" t="s">
        <v>4016</v>
      </c>
      <c r="D1702" s="19" t="s">
        <v>147</v>
      </c>
      <c r="E1702" s="19" t="s">
        <v>148</v>
      </c>
      <c r="F1702" s="19" t="s">
        <v>1396</v>
      </c>
      <c r="G1702" s="19" t="s">
        <v>1057</v>
      </c>
      <c r="H1702" s="19" t="s">
        <v>1001</v>
      </c>
      <c r="I1702" s="19" t="s">
        <v>1575</v>
      </c>
      <c r="J1702" s="20">
        <v>29</v>
      </c>
      <c r="K1702" t="s">
        <v>636</v>
      </c>
      <c r="L1702" t="s">
        <v>661</v>
      </c>
      <c r="M1702" t="s">
        <v>657</v>
      </c>
      <c r="N1702" t="s">
        <v>662</v>
      </c>
      <c r="O1702" t="s">
        <v>632</v>
      </c>
    </row>
    <row r="1703" spans="1:15" x14ac:dyDescent="0.35">
      <c r="A1703" s="77">
        <v>2.2493150684931509</v>
      </c>
      <c r="B1703" s="19">
        <v>87197</v>
      </c>
      <c r="C1703" s="19" t="s">
        <v>4017</v>
      </c>
      <c r="D1703" s="19" t="s">
        <v>230</v>
      </c>
      <c r="E1703" s="19" t="s">
        <v>231</v>
      </c>
      <c r="F1703" s="19" t="s">
        <v>2112</v>
      </c>
      <c r="G1703" s="19" t="s">
        <v>1028</v>
      </c>
      <c r="H1703" s="19" t="s">
        <v>1020</v>
      </c>
      <c r="I1703" s="19" t="s">
        <v>1575</v>
      </c>
      <c r="J1703" s="20">
        <v>25</v>
      </c>
      <c r="K1703" t="s">
        <v>668</v>
      </c>
      <c r="L1703" t="s">
        <v>684</v>
      </c>
      <c r="M1703" t="s">
        <v>623</v>
      </c>
      <c r="N1703" t="s">
        <v>662</v>
      </c>
      <c r="O1703" t="s">
        <v>795</v>
      </c>
    </row>
    <row r="1704" spans="1:15" x14ac:dyDescent="0.35">
      <c r="A1704" s="77">
        <v>2.2383561643835614</v>
      </c>
      <c r="B1704" s="19">
        <v>87239</v>
      </c>
      <c r="C1704" s="19" t="s">
        <v>4018</v>
      </c>
      <c r="D1704" s="19" t="s">
        <v>393</v>
      </c>
      <c r="E1704" s="19" t="s">
        <v>394</v>
      </c>
      <c r="F1704" s="19" t="s">
        <v>865</v>
      </c>
      <c r="G1704" s="19" t="s">
        <v>1028</v>
      </c>
      <c r="H1704" s="19" t="s">
        <v>1020</v>
      </c>
      <c r="I1704" s="19" t="s">
        <v>1575</v>
      </c>
      <c r="J1704" s="20">
        <v>23</v>
      </c>
      <c r="K1704" t="s">
        <v>631</v>
      </c>
      <c r="L1704" t="s">
        <v>684</v>
      </c>
      <c r="M1704" t="s">
        <v>623</v>
      </c>
      <c r="N1704" t="s">
        <v>662</v>
      </c>
      <c r="O1704" t="s">
        <v>685</v>
      </c>
    </row>
    <row r="1705" spans="1:15" x14ac:dyDescent="0.35">
      <c r="A1705" s="77">
        <v>2.2328767123287672</v>
      </c>
      <c r="B1705" s="19">
        <v>87264</v>
      </c>
      <c r="C1705" s="19" t="s">
        <v>4019</v>
      </c>
      <c r="D1705" s="19" t="s">
        <v>328</v>
      </c>
      <c r="E1705" s="19" t="s">
        <v>329</v>
      </c>
      <c r="F1705" s="19" t="s">
        <v>838</v>
      </c>
      <c r="G1705" s="19" t="s">
        <v>1046</v>
      </c>
      <c r="H1705" s="19" t="s">
        <v>1001</v>
      </c>
      <c r="I1705" s="19" t="s">
        <v>1599</v>
      </c>
      <c r="J1705" s="20">
        <v>24</v>
      </c>
      <c r="K1705" t="s">
        <v>631</v>
      </c>
      <c r="L1705" t="s">
        <v>645</v>
      </c>
      <c r="M1705" t="s">
        <v>629</v>
      </c>
      <c r="N1705" t="s">
        <v>646</v>
      </c>
      <c r="O1705" t="s">
        <v>632</v>
      </c>
    </row>
    <row r="1706" spans="1:15" x14ac:dyDescent="0.35">
      <c r="A1706" s="77">
        <v>2.2356164383561645</v>
      </c>
      <c r="B1706" s="19">
        <v>87265</v>
      </c>
      <c r="C1706" s="19" t="s">
        <v>4020</v>
      </c>
      <c r="D1706" s="19" t="s">
        <v>89</v>
      </c>
      <c r="E1706" s="19" t="s">
        <v>90</v>
      </c>
      <c r="F1706" s="19" t="s">
        <v>1217</v>
      </c>
      <c r="G1706" s="19" t="s">
        <v>1008</v>
      </c>
      <c r="H1706" s="19" t="s">
        <v>1001</v>
      </c>
      <c r="I1706" s="19" t="s">
        <v>1575</v>
      </c>
      <c r="J1706" s="20">
        <v>21</v>
      </c>
      <c r="K1706" t="s">
        <v>636</v>
      </c>
      <c r="L1706" t="s">
        <v>666</v>
      </c>
      <c r="M1706" t="s">
        <v>629</v>
      </c>
      <c r="N1706" t="s">
        <v>635</v>
      </c>
      <c r="O1706" t="s">
        <v>637</v>
      </c>
    </row>
    <row r="1707" spans="1:15" x14ac:dyDescent="0.35">
      <c r="A1707" s="77">
        <v>2.2301369863013698</v>
      </c>
      <c r="B1707" s="19">
        <v>87280</v>
      </c>
      <c r="C1707" s="19" t="s">
        <v>4021</v>
      </c>
      <c r="D1707" s="19" t="s">
        <v>8</v>
      </c>
      <c r="E1707" s="19" t="s">
        <v>8</v>
      </c>
      <c r="F1707" s="19" t="s">
        <v>1176</v>
      </c>
      <c r="G1707" s="19" t="s">
        <v>1008</v>
      </c>
      <c r="H1707" s="19" t="s">
        <v>1001</v>
      </c>
      <c r="I1707" s="19" t="s">
        <v>1575</v>
      </c>
      <c r="J1707" s="20">
        <v>30</v>
      </c>
      <c r="K1707" t="s">
        <v>625</v>
      </c>
      <c r="L1707" t="s">
        <v>622</v>
      </c>
      <c r="M1707" t="s">
        <v>623</v>
      </c>
      <c r="N1707" t="s">
        <v>624</v>
      </c>
      <c r="O1707" t="s">
        <v>626</v>
      </c>
    </row>
    <row r="1708" spans="1:15" x14ac:dyDescent="0.35">
      <c r="A1708" s="77">
        <v>2.2301369863013698</v>
      </c>
      <c r="B1708" s="19">
        <v>87281</v>
      </c>
      <c r="C1708" s="19" t="s">
        <v>4022</v>
      </c>
      <c r="D1708" s="19" t="s">
        <v>47</v>
      </c>
      <c r="E1708" s="19" t="s">
        <v>48</v>
      </c>
      <c r="F1708" s="19" t="s">
        <v>1232</v>
      </c>
      <c r="G1708" s="19" t="s">
        <v>1045</v>
      </c>
      <c r="H1708" s="19" t="s">
        <v>1001</v>
      </c>
      <c r="I1708" s="19" t="s">
        <v>1599</v>
      </c>
      <c r="J1708" s="20">
        <v>36</v>
      </c>
      <c r="K1708" t="s">
        <v>636</v>
      </c>
      <c r="L1708" t="s">
        <v>622</v>
      </c>
      <c r="M1708" t="s">
        <v>623</v>
      </c>
      <c r="N1708" t="s">
        <v>624</v>
      </c>
      <c r="O1708" t="s">
        <v>649</v>
      </c>
    </row>
    <row r="1709" spans="1:15" x14ac:dyDescent="0.35">
      <c r="A1709" s="77">
        <v>2.2301369863013698</v>
      </c>
      <c r="B1709" s="19">
        <v>87295</v>
      </c>
      <c r="C1709" s="19" t="s">
        <v>4023</v>
      </c>
      <c r="D1709" s="19" t="s">
        <v>41</v>
      </c>
      <c r="E1709" s="19" t="s">
        <v>41</v>
      </c>
      <c r="F1709" s="19" t="s">
        <v>1157</v>
      </c>
      <c r="G1709" s="19" t="s">
        <v>1008</v>
      </c>
      <c r="H1709" s="19" t="s">
        <v>1001</v>
      </c>
      <c r="I1709" s="19" t="s">
        <v>1575</v>
      </c>
      <c r="J1709" s="20">
        <v>30</v>
      </c>
      <c r="K1709" t="s">
        <v>625</v>
      </c>
      <c r="L1709" t="s">
        <v>691</v>
      </c>
      <c r="M1709" t="s">
        <v>657</v>
      </c>
      <c r="N1709" t="s">
        <v>658</v>
      </c>
      <c r="O1709" t="s">
        <v>632</v>
      </c>
    </row>
    <row r="1710" spans="1:15" x14ac:dyDescent="0.35">
      <c r="A1710" s="77">
        <v>2.2383561643835614</v>
      </c>
      <c r="B1710" s="19">
        <v>87299</v>
      </c>
      <c r="C1710" s="19" t="s">
        <v>4024</v>
      </c>
      <c r="D1710" s="19" t="s">
        <v>64</v>
      </c>
      <c r="E1710" s="19" t="s">
        <v>65</v>
      </c>
      <c r="F1710" s="19" t="s">
        <v>1197</v>
      </c>
      <c r="G1710" s="19" t="s">
        <v>1028</v>
      </c>
      <c r="H1710" s="19" t="s">
        <v>1020</v>
      </c>
      <c r="I1710" s="19" t="s">
        <v>1575</v>
      </c>
      <c r="J1710" s="20">
        <v>21</v>
      </c>
      <c r="K1710" t="s">
        <v>654</v>
      </c>
      <c r="L1710" t="s">
        <v>651</v>
      </c>
      <c r="M1710" t="s">
        <v>629</v>
      </c>
      <c r="N1710" t="s">
        <v>630</v>
      </c>
      <c r="O1710" t="s">
        <v>705</v>
      </c>
    </row>
    <row r="1711" spans="1:15" x14ac:dyDescent="0.35">
      <c r="A1711" s="77">
        <v>2.2328767123287672</v>
      </c>
      <c r="B1711" s="19">
        <v>87302</v>
      </c>
      <c r="C1711" s="19" t="s">
        <v>4025</v>
      </c>
      <c r="D1711" s="19" t="s">
        <v>415</v>
      </c>
      <c r="E1711" s="19" t="s">
        <v>416</v>
      </c>
      <c r="F1711" s="19" t="s">
        <v>1199</v>
      </c>
      <c r="G1711" s="19" t="s">
        <v>1008</v>
      </c>
      <c r="H1711" s="19" t="s">
        <v>1001</v>
      </c>
      <c r="I1711" s="19" t="s">
        <v>1575</v>
      </c>
      <c r="J1711" s="20">
        <v>33</v>
      </c>
      <c r="K1711" t="s">
        <v>668</v>
      </c>
      <c r="L1711" t="s">
        <v>666</v>
      </c>
      <c r="M1711" t="s">
        <v>629</v>
      </c>
      <c r="N1711" t="s">
        <v>635</v>
      </c>
      <c r="O1711" t="s">
        <v>637</v>
      </c>
    </row>
    <row r="1712" spans="1:15" x14ac:dyDescent="0.35">
      <c r="A1712" s="77">
        <v>2.2301369863013698</v>
      </c>
      <c r="B1712" s="19">
        <v>87327</v>
      </c>
      <c r="C1712" s="19" t="s">
        <v>4026</v>
      </c>
      <c r="D1712" s="19" t="s">
        <v>232</v>
      </c>
      <c r="E1712" s="19" t="s">
        <v>233</v>
      </c>
      <c r="F1712" s="19" t="s">
        <v>1040</v>
      </c>
      <c r="G1712" s="19" t="s">
        <v>1028</v>
      </c>
      <c r="H1712" s="19" t="s">
        <v>1020</v>
      </c>
      <c r="I1712" s="19" t="s">
        <v>1575</v>
      </c>
      <c r="J1712" s="20">
        <v>22</v>
      </c>
      <c r="K1712" t="s">
        <v>654</v>
      </c>
      <c r="L1712" t="s">
        <v>684</v>
      </c>
      <c r="M1712" t="s">
        <v>623</v>
      </c>
      <c r="N1712" t="s">
        <v>662</v>
      </c>
      <c r="O1712" t="s">
        <v>795</v>
      </c>
    </row>
    <row r="1713" spans="1:15" x14ac:dyDescent="0.35">
      <c r="A1713" s="77">
        <v>2.2164383561643834</v>
      </c>
      <c r="B1713" s="19">
        <v>87371</v>
      </c>
      <c r="C1713" s="19" t="s">
        <v>4027</v>
      </c>
      <c r="D1713" s="19" t="s">
        <v>93</v>
      </c>
      <c r="E1713" s="19" t="s">
        <v>94</v>
      </c>
      <c r="F1713" s="19" t="s">
        <v>919</v>
      </c>
      <c r="G1713" s="19" t="s">
        <v>1034</v>
      </c>
      <c r="H1713" s="19" t="s">
        <v>1001</v>
      </c>
      <c r="I1713" s="19" t="s">
        <v>1575</v>
      </c>
      <c r="J1713" s="20">
        <v>27</v>
      </c>
      <c r="K1713" t="s">
        <v>654</v>
      </c>
      <c r="L1713" t="s">
        <v>691</v>
      </c>
      <c r="M1713" t="s">
        <v>657</v>
      </c>
      <c r="N1713" t="s">
        <v>658</v>
      </c>
      <c r="O1713" t="s">
        <v>632</v>
      </c>
    </row>
    <row r="1714" spans="1:15" x14ac:dyDescent="0.35">
      <c r="A1714" s="77">
        <v>9.8630136986301367E-2</v>
      </c>
      <c r="B1714" s="19">
        <v>87383</v>
      </c>
      <c r="C1714" s="19" t="s">
        <v>4028</v>
      </c>
      <c r="D1714" s="19" t="s">
        <v>27</v>
      </c>
      <c r="E1714" s="19" t="s">
        <v>27</v>
      </c>
      <c r="F1714" s="19" t="s">
        <v>1250</v>
      </c>
      <c r="G1714" s="19" t="s">
        <v>1028</v>
      </c>
      <c r="H1714" s="19" t="s">
        <v>1020</v>
      </c>
      <c r="I1714" s="19" t="s">
        <v>1575</v>
      </c>
      <c r="J1714" s="20">
        <v>24</v>
      </c>
      <c r="K1714" t="s">
        <v>668</v>
      </c>
      <c r="L1714" t="s">
        <v>645</v>
      </c>
      <c r="M1714" t="s">
        <v>629</v>
      </c>
      <c r="N1714" t="s">
        <v>646</v>
      </c>
      <c r="O1714" t="s">
        <v>632</v>
      </c>
    </row>
    <row r="1715" spans="1:15" x14ac:dyDescent="0.35">
      <c r="A1715" s="77">
        <v>2.2136986301369861</v>
      </c>
      <c r="B1715" s="19">
        <v>87389</v>
      </c>
      <c r="C1715" s="19" t="s">
        <v>4029</v>
      </c>
      <c r="D1715" s="19" t="s">
        <v>143</v>
      </c>
      <c r="E1715" s="19" t="s">
        <v>144</v>
      </c>
      <c r="F1715" s="19" t="s">
        <v>2391</v>
      </c>
      <c r="G1715" s="19" t="s">
        <v>1057</v>
      </c>
      <c r="H1715" s="19" t="s">
        <v>1001</v>
      </c>
      <c r="I1715" s="19" t="s">
        <v>1575</v>
      </c>
      <c r="J1715" s="20">
        <v>22</v>
      </c>
      <c r="K1715" t="s">
        <v>654</v>
      </c>
      <c r="L1715" t="s">
        <v>640</v>
      </c>
      <c r="M1715" t="s">
        <v>623</v>
      </c>
      <c r="N1715" t="s">
        <v>641</v>
      </c>
      <c r="O1715" t="s">
        <v>754</v>
      </c>
    </row>
    <row r="1716" spans="1:15" x14ac:dyDescent="0.35">
      <c r="A1716" s="77">
        <v>2.2082191780821918</v>
      </c>
      <c r="B1716" s="19">
        <v>87402</v>
      </c>
      <c r="C1716" s="19" t="s">
        <v>4030</v>
      </c>
      <c r="D1716" s="19" t="s">
        <v>13</v>
      </c>
      <c r="E1716" s="19" t="s">
        <v>13</v>
      </c>
      <c r="F1716" s="19" t="s">
        <v>1467</v>
      </c>
      <c r="G1716" s="19" t="s">
        <v>1057</v>
      </c>
      <c r="H1716" s="19" t="s">
        <v>1001</v>
      </c>
      <c r="I1716" s="19" t="s">
        <v>1575</v>
      </c>
      <c r="J1716" s="20">
        <v>21</v>
      </c>
      <c r="K1716" t="s">
        <v>631</v>
      </c>
      <c r="L1716" t="s">
        <v>628</v>
      </c>
      <c r="M1716" t="s">
        <v>629</v>
      </c>
      <c r="N1716" t="s">
        <v>630</v>
      </c>
      <c r="O1716" t="s">
        <v>639</v>
      </c>
    </row>
    <row r="1717" spans="1:15" x14ac:dyDescent="0.35">
      <c r="A1717" s="77">
        <v>0.83013698630136989</v>
      </c>
      <c r="B1717" s="19">
        <v>87406</v>
      </c>
      <c r="C1717" s="19" t="s">
        <v>4031</v>
      </c>
      <c r="D1717" s="19" t="s">
        <v>195</v>
      </c>
      <c r="E1717" s="19" t="s">
        <v>196</v>
      </c>
      <c r="F1717" s="19" t="s">
        <v>908</v>
      </c>
      <c r="G1717" s="19" t="s">
        <v>1034</v>
      </c>
      <c r="H1717" s="19" t="s">
        <v>1001</v>
      </c>
      <c r="I1717" s="19" t="s">
        <v>1599</v>
      </c>
      <c r="J1717" s="20">
        <v>26</v>
      </c>
      <c r="K1717" t="s">
        <v>636</v>
      </c>
      <c r="L1717" t="s">
        <v>670</v>
      </c>
      <c r="M1717" t="s">
        <v>657</v>
      </c>
      <c r="N1717" t="s">
        <v>641</v>
      </c>
      <c r="O1717" t="s">
        <v>676</v>
      </c>
    </row>
    <row r="1718" spans="1:15" x14ac:dyDescent="0.35">
      <c r="A1718" s="77">
        <v>2.2000000000000002</v>
      </c>
      <c r="B1718" s="19">
        <v>87435</v>
      </c>
      <c r="C1718" s="19" t="s">
        <v>4032</v>
      </c>
      <c r="D1718" s="19" t="s">
        <v>18</v>
      </c>
      <c r="E1718" s="19" t="s">
        <v>18</v>
      </c>
      <c r="F1718" s="19" t="s">
        <v>650</v>
      </c>
      <c r="G1718" s="19" t="s">
        <v>1057</v>
      </c>
      <c r="H1718" s="19" t="s">
        <v>1001</v>
      </c>
      <c r="I1718" s="19" t="s">
        <v>1575</v>
      </c>
      <c r="J1718" s="20">
        <v>22</v>
      </c>
      <c r="K1718" t="s">
        <v>636</v>
      </c>
      <c r="L1718" t="s">
        <v>651</v>
      </c>
      <c r="M1718" t="s">
        <v>629</v>
      </c>
      <c r="N1718" t="s">
        <v>630</v>
      </c>
      <c r="O1718" t="s">
        <v>652</v>
      </c>
    </row>
    <row r="1719" spans="1:15" x14ac:dyDescent="0.35">
      <c r="A1719" s="77">
        <v>2.1972602739726028</v>
      </c>
      <c r="B1719" s="19">
        <v>87472</v>
      </c>
      <c r="C1719" s="19" t="s">
        <v>4033</v>
      </c>
      <c r="D1719" s="19" t="s">
        <v>204</v>
      </c>
      <c r="E1719" s="19" t="s">
        <v>205</v>
      </c>
      <c r="F1719" s="19" t="s">
        <v>1090</v>
      </c>
      <c r="G1719" s="19" t="s">
        <v>1008</v>
      </c>
      <c r="H1719" s="19" t="s">
        <v>1001</v>
      </c>
      <c r="I1719" s="19" t="s">
        <v>1575</v>
      </c>
      <c r="J1719" s="20">
        <v>25</v>
      </c>
      <c r="K1719" t="s">
        <v>668</v>
      </c>
      <c r="L1719" t="s">
        <v>634</v>
      </c>
      <c r="M1719" t="s">
        <v>629</v>
      </c>
      <c r="N1719" t="s">
        <v>635</v>
      </c>
      <c r="O1719" t="s">
        <v>637</v>
      </c>
    </row>
    <row r="1720" spans="1:15" x14ac:dyDescent="0.35">
      <c r="A1720" s="77">
        <v>2.1972602739726028</v>
      </c>
      <c r="B1720" s="19">
        <v>87477</v>
      </c>
      <c r="C1720" s="19" t="s">
        <v>4034</v>
      </c>
      <c r="D1720" s="19" t="s">
        <v>243</v>
      </c>
      <c r="E1720" s="19" t="s">
        <v>244</v>
      </c>
      <c r="F1720" s="19" t="s">
        <v>1318</v>
      </c>
      <c r="G1720" s="19" t="s">
        <v>1028</v>
      </c>
      <c r="H1720" s="19" t="s">
        <v>1020</v>
      </c>
      <c r="I1720" s="19" t="s">
        <v>1575</v>
      </c>
      <c r="J1720" s="20">
        <v>22</v>
      </c>
      <c r="K1720" t="s">
        <v>631</v>
      </c>
      <c r="L1720" t="s">
        <v>707</v>
      </c>
      <c r="M1720" t="s">
        <v>629</v>
      </c>
      <c r="N1720" t="s">
        <v>635</v>
      </c>
      <c r="O1720" t="s">
        <v>710</v>
      </c>
    </row>
    <row r="1721" spans="1:15" x14ac:dyDescent="0.35">
      <c r="A1721" s="77">
        <v>2.1917808219178081</v>
      </c>
      <c r="B1721" s="19">
        <v>87497</v>
      </c>
      <c r="C1721" s="19" t="s">
        <v>4035</v>
      </c>
      <c r="D1721" s="19" t="s">
        <v>239</v>
      </c>
      <c r="E1721" s="19" t="s">
        <v>240</v>
      </c>
      <c r="F1721" s="19" t="s">
        <v>798</v>
      </c>
      <c r="G1721" s="19" t="s">
        <v>1057</v>
      </c>
      <c r="H1721" s="19" t="s">
        <v>1001</v>
      </c>
      <c r="I1721" s="19" t="s">
        <v>1575</v>
      </c>
      <c r="J1721" s="20">
        <v>29</v>
      </c>
      <c r="K1721" t="s">
        <v>636</v>
      </c>
      <c r="L1721" t="s">
        <v>628</v>
      </c>
      <c r="M1721" t="s">
        <v>629</v>
      </c>
      <c r="N1721" t="s">
        <v>646</v>
      </c>
      <c r="O1721" t="s">
        <v>632</v>
      </c>
    </row>
    <row r="1722" spans="1:15" x14ac:dyDescent="0.35">
      <c r="A1722" s="77">
        <v>2.1917808219178081</v>
      </c>
      <c r="B1722" s="19">
        <v>87500</v>
      </c>
      <c r="C1722" s="19" t="s">
        <v>4036</v>
      </c>
      <c r="D1722" s="19" t="s">
        <v>276</v>
      </c>
      <c r="E1722" s="19" t="s">
        <v>277</v>
      </c>
      <c r="F1722" s="19" t="s">
        <v>893</v>
      </c>
      <c r="G1722" s="19" t="s">
        <v>1008</v>
      </c>
      <c r="H1722" s="19" t="s">
        <v>1001</v>
      </c>
      <c r="I1722" s="19" t="s">
        <v>1575</v>
      </c>
      <c r="J1722" s="20">
        <v>22</v>
      </c>
      <c r="K1722" t="s">
        <v>631</v>
      </c>
      <c r="L1722" t="s">
        <v>707</v>
      </c>
      <c r="M1722" t="s">
        <v>629</v>
      </c>
      <c r="N1722" t="s">
        <v>635</v>
      </c>
      <c r="O1722" t="s">
        <v>710</v>
      </c>
    </row>
    <row r="1723" spans="1:15" x14ac:dyDescent="0.35">
      <c r="A1723" s="77">
        <v>2.1890410958904107</v>
      </c>
      <c r="B1723" s="19">
        <v>87518</v>
      </c>
      <c r="C1723" s="19" t="s">
        <v>4037</v>
      </c>
      <c r="D1723" s="19" t="s">
        <v>276</v>
      </c>
      <c r="E1723" s="19" t="s">
        <v>277</v>
      </c>
      <c r="F1723" s="19" t="s">
        <v>893</v>
      </c>
      <c r="G1723" s="19" t="s">
        <v>1008</v>
      </c>
      <c r="H1723" s="19" t="s">
        <v>1001</v>
      </c>
      <c r="I1723" s="19" t="s">
        <v>1575</v>
      </c>
      <c r="J1723" s="20">
        <v>21</v>
      </c>
      <c r="K1723" t="s">
        <v>631</v>
      </c>
      <c r="L1723" t="s">
        <v>707</v>
      </c>
      <c r="M1723" t="s">
        <v>629</v>
      </c>
      <c r="N1723" t="s">
        <v>635</v>
      </c>
      <c r="O1723" t="s">
        <v>710</v>
      </c>
    </row>
    <row r="1724" spans="1:15" x14ac:dyDescent="0.35">
      <c r="A1724" s="77">
        <v>2.1890410958904107</v>
      </c>
      <c r="B1724" s="19">
        <v>87560</v>
      </c>
      <c r="C1724" s="19" t="s">
        <v>4038</v>
      </c>
      <c r="D1724" s="19" t="s">
        <v>403</v>
      </c>
      <c r="E1724" s="19" t="s">
        <v>404</v>
      </c>
      <c r="F1724" s="19" t="s">
        <v>870</v>
      </c>
      <c r="G1724" s="19" t="s">
        <v>1034</v>
      </c>
      <c r="H1724" s="19" t="s">
        <v>1001</v>
      </c>
      <c r="I1724" s="19" t="s">
        <v>1599</v>
      </c>
      <c r="J1724" s="20">
        <v>24</v>
      </c>
      <c r="K1724" t="s">
        <v>631</v>
      </c>
      <c r="L1724" t="s">
        <v>691</v>
      </c>
      <c r="M1724" t="s">
        <v>657</v>
      </c>
      <c r="N1724" t="s">
        <v>658</v>
      </c>
      <c r="O1724" t="s">
        <v>632</v>
      </c>
    </row>
    <row r="1725" spans="1:15" x14ac:dyDescent="0.35">
      <c r="A1725" s="77">
        <v>2.1890410958904107</v>
      </c>
      <c r="B1725" s="19">
        <v>87562</v>
      </c>
      <c r="C1725" s="19" t="s">
        <v>4039</v>
      </c>
      <c r="D1725" s="19" t="s">
        <v>118</v>
      </c>
      <c r="E1725" s="19" t="s">
        <v>119</v>
      </c>
      <c r="F1725" s="19" t="s">
        <v>1360</v>
      </c>
      <c r="G1725" s="19" t="s">
        <v>1019</v>
      </c>
      <c r="H1725" s="19" t="s">
        <v>1020</v>
      </c>
      <c r="I1725" s="19" t="s">
        <v>1575</v>
      </c>
      <c r="J1725" s="20">
        <v>22</v>
      </c>
      <c r="K1725" t="s">
        <v>625</v>
      </c>
      <c r="L1725" t="s">
        <v>656</v>
      </c>
      <c r="M1725" t="s">
        <v>657</v>
      </c>
      <c r="N1725" t="s">
        <v>658</v>
      </c>
      <c r="O1725" t="s">
        <v>632</v>
      </c>
    </row>
    <row r="1726" spans="1:15" x14ac:dyDescent="0.35">
      <c r="A1726" s="77">
        <v>2.1890410958904107</v>
      </c>
      <c r="B1726" s="19">
        <v>87566</v>
      </c>
      <c r="C1726" s="19" t="s">
        <v>4040</v>
      </c>
      <c r="D1726" s="19" t="s">
        <v>339</v>
      </c>
      <c r="E1726" s="19" t="s">
        <v>340</v>
      </c>
      <c r="F1726" s="19" t="s">
        <v>1024</v>
      </c>
      <c r="G1726" s="19" t="s">
        <v>1028</v>
      </c>
      <c r="H1726" s="19" t="s">
        <v>1020</v>
      </c>
      <c r="I1726" s="19" t="s">
        <v>1575</v>
      </c>
      <c r="J1726" s="20">
        <v>27</v>
      </c>
      <c r="K1726" t="s">
        <v>631</v>
      </c>
      <c r="L1726" t="s">
        <v>651</v>
      </c>
      <c r="M1726" t="s">
        <v>629</v>
      </c>
      <c r="N1726" t="s">
        <v>630</v>
      </c>
      <c r="O1726" t="s">
        <v>705</v>
      </c>
    </row>
    <row r="1727" spans="1:15" x14ac:dyDescent="0.35">
      <c r="A1727" s="77">
        <v>2.1917808219178082E-2</v>
      </c>
      <c r="B1727" s="19">
        <v>87573</v>
      </c>
      <c r="C1727" s="19" t="s">
        <v>4041</v>
      </c>
      <c r="D1727" s="19" t="s">
        <v>339</v>
      </c>
      <c r="E1727" s="19" t="s">
        <v>340</v>
      </c>
      <c r="F1727" s="19" t="s">
        <v>1024</v>
      </c>
      <c r="G1727" s="19" t="s">
        <v>1008</v>
      </c>
      <c r="H1727" s="19" t="s">
        <v>1001</v>
      </c>
      <c r="I1727" s="19" t="s">
        <v>1575</v>
      </c>
      <c r="J1727" s="20">
        <v>23</v>
      </c>
      <c r="K1727" t="s">
        <v>631</v>
      </c>
      <c r="L1727" t="s">
        <v>651</v>
      </c>
      <c r="M1727" t="s">
        <v>629</v>
      </c>
      <c r="N1727" t="s">
        <v>630</v>
      </c>
      <c r="O1727" t="s">
        <v>705</v>
      </c>
    </row>
    <row r="1728" spans="1:15" x14ac:dyDescent="0.35">
      <c r="A1728" s="77">
        <v>2.1917808219178082E-2</v>
      </c>
      <c r="B1728" s="19">
        <v>87583</v>
      </c>
      <c r="C1728" s="19" t="s">
        <v>4042</v>
      </c>
      <c r="D1728" s="19" t="s">
        <v>427</v>
      </c>
      <c r="E1728" s="19" t="s">
        <v>427</v>
      </c>
      <c r="F1728" s="19" t="s">
        <v>1290</v>
      </c>
      <c r="G1728" s="19" t="s">
        <v>1008</v>
      </c>
      <c r="H1728" s="19" t="s">
        <v>1001</v>
      </c>
      <c r="I1728" s="19" t="s">
        <v>1575</v>
      </c>
      <c r="J1728" s="20">
        <v>40</v>
      </c>
      <c r="K1728" t="s">
        <v>654</v>
      </c>
      <c r="L1728" t="s">
        <v>651</v>
      </c>
      <c r="M1728" t="s">
        <v>629</v>
      </c>
      <c r="N1728" t="s">
        <v>630</v>
      </c>
      <c r="O1728" t="s">
        <v>652</v>
      </c>
    </row>
    <row r="1729" spans="1:15" x14ac:dyDescent="0.35">
      <c r="A1729" s="77">
        <v>2.1561643835616437</v>
      </c>
      <c r="B1729" s="19">
        <v>87688</v>
      </c>
      <c r="C1729" s="19" t="s">
        <v>4043</v>
      </c>
      <c r="D1729" s="19" t="s">
        <v>105</v>
      </c>
      <c r="E1729" s="19" t="s">
        <v>106</v>
      </c>
      <c r="F1729" s="19" t="s">
        <v>1207</v>
      </c>
      <c r="G1729" s="19" t="s">
        <v>1084</v>
      </c>
      <c r="H1729" s="19" t="s">
        <v>1001</v>
      </c>
      <c r="I1729" s="19" t="s">
        <v>1575</v>
      </c>
      <c r="J1729" s="20">
        <v>27</v>
      </c>
      <c r="K1729" t="s">
        <v>654</v>
      </c>
      <c r="L1729" t="s">
        <v>622</v>
      </c>
      <c r="M1729" t="s">
        <v>623</v>
      </c>
      <c r="N1729" t="s">
        <v>624</v>
      </c>
      <c r="O1729" t="s">
        <v>626</v>
      </c>
    </row>
    <row r="1730" spans="1:15" x14ac:dyDescent="0.35">
      <c r="A1730" s="77">
        <v>0.21643835616438356</v>
      </c>
      <c r="B1730" s="19">
        <v>87709</v>
      </c>
      <c r="C1730" s="19" t="s">
        <v>4044</v>
      </c>
      <c r="D1730" s="19" t="s">
        <v>80</v>
      </c>
      <c r="E1730" s="19" t="s">
        <v>81</v>
      </c>
      <c r="F1730" s="19" t="s">
        <v>1022</v>
      </c>
      <c r="G1730" s="19" t="s">
        <v>1019</v>
      </c>
      <c r="H1730" s="19" t="s">
        <v>1020</v>
      </c>
      <c r="I1730" s="19" t="s">
        <v>1575</v>
      </c>
      <c r="J1730" s="20">
        <v>22</v>
      </c>
      <c r="K1730" t="s">
        <v>654</v>
      </c>
      <c r="L1730" t="s">
        <v>628</v>
      </c>
      <c r="M1730" t="s">
        <v>629</v>
      </c>
      <c r="N1730" t="s">
        <v>630</v>
      </c>
      <c r="O1730" t="s">
        <v>632</v>
      </c>
    </row>
    <row r="1731" spans="1:15" x14ac:dyDescent="0.35">
      <c r="A1731" s="77">
        <v>2.1534246575342464</v>
      </c>
      <c r="B1731" s="19">
        <v>87714</v>
      </c>
      <c r="C1731" s="19" t="s">
        <v>4045</v>
      </c>
      <c r="D1731" s="19" t="s">
        <v>393</v>
      </c>
      <c r="E1731" s="19" t="s">
        <v>394</v>
      </c>
      <c r="F1731" s="19" t="s">
        <v>865</v>
      </c>
      <c r="G1731" s="19" t="s">
        <v>1008</v>
      </c>
      <c r="H1731" s="19" t="s">
        <v>1001</v>
      </c>
      <c r="I1731" s="19" t="s">
        <v>1575</v>
      </c>
      <c r="J1731" s="20">
        <v>25</v>
      </c>
      <c r="K1731" t="s">
        <v>631</v>
      </c>
      <c r="L1731" t="s">
        <v>684</v>
      </c>
      <c r="M1731" t="s">
        <v>623</v>
      </c>
      <c r="N1731" t="s">
        <v>662</v>
      </c>
      <c r="O1731" t="s">
        <v>685</v>
      </c>
    </row>
    <row r="1732" spans="1:15" x14ac:dyDescent="0.35">
      <c r="A1732" s="77">
        <v>2.1643835616438358</v>
      </c>
      <c r="B1732" s="19">
        <v>87719</v>
      </c>
      <c r="C1732" s="19" t="s">
        <v>4046</v>
      </c>
      <c r="D1732" s="19" t="s">
        <v>23</v>
      </c>
      <c r="E1732" s="19" t="s">
        <v>23</v>
      </c>
      <c r="F1732" s="19" t="s">
        <v>660</v>
      </c>
      <c r="G1732" s="19" t="s">
        <v>1084</v>
      </c>
      <c r="H1732" s="19" t="s">
        <v>1020</v>
      </c>
      <c r="I1732" s="19" t="s">
        <v>1575</v>
      </c>
      <c r="J1732" s="20">
        <v>48</v>
      </c>
      <c r="K1732" t="s">
        <v>631</v>
      </c>
      <c r="L1732" t="s">
        <v>661</v>
      </c>
      <c r="M1732" t="s">
        <v>657</v>
      </c>
      <c r="N1732" t="s">
        <v>662</v>
      </c>
      <c r="O1732" t="s">
        <v>632</v>
      </c>
    </row>
    <row r="1733" spans="1:15" x14ac:dyDescent="0.35">
      <c r="A1733" s="77">
        <v>2.1643835616438358</v>
      </c>
      <c r="B1733" s="19">
        <v>87720</v>
      </c>
      <c r="C1733" s="19" t="s">
        <v>4047</v>
      </c>
      <c r="D1733" s="19" t="s">
        <v>411</v>
      </c>
      <c r="E1733" s="19" t="s">
        <v>412</v>
      </c>
      <c r="F1733" s="19" t="s">
        <v>1225</v>
      </c>
      <c r="G1733" s="19" t="s">
        <v>1034</v>
      </c>
      <c r="H1733" s="19" t="s">
        <v>1001</v>
      </c>
      <c r="I1733" s="19" t="s">
        <v>1575</v>
      </c>
      <c r="J1733" s="20">
        <v>23</v>
      </c>
      <c r="K1733" t="s">
        <v>636</v>
      </c>
      <c r="L1733" t="s">
        <v>691</v>
      </c>
      <c r="M1733" t="s">
        <v>657</v>
      </c>
      <c r="N1733" t="s">
        <v>658</v>
      </c>
      <c r="O1733" t="s">
        <v>632</v>
      </c>
    </row>
    <row r="1734" spans="1:15" x14ac:dyDescent="0.35">
      <c r="A1734" s="77">
        <v>1.978082191780822</v>
      </c>
      <c r="B1734" s="19">
        <v>87724</v>
      </c>
      <c r="C1734" s="19" t="s">
        <v>4048</v>
      </c>
      <c r="D1734" s="19" t="s">
        <v>601</v>
      </c>
      <c r="E1734" s="19" t="e">
        <v>#N/A</v>
      </c>
      <c r="F1734" s="19" t="s">
        <v>1136</v>
      </c>
      <c r="G1734" s="19" t="s">
        <v>1008</v>
      </c>
      <c r="H1734" s="19" t="s">
        <v>1001</v>
      </c>
      <c r="I1734" s="19" t="s">
        <v>1575</v>
      </c>
      <c r="J1734" s="20">
        <v>24</v>
      </c>
      <c r="K1734" t="s">
        <v>654</v>
      </c>
      <c r="L1734" t="s">
        <v>651</v>
      </c>
      <c r="M1734" t="s">
        <v>629</v>
      </c>
      <c r="N1734" t="s">
        <v>630</v>
      </c>
      <c r="O1734" t="s">
        <v>715</v>
      </c>
    </row>
    <row r="1735" spans="1:15" x14ac:dyDescent="0.35">
      <c r="A1735" s="77">
        <v>2.1506849315068495</v>
      </c>
      <c r="B1735" s="19">
        <v>87730</v>
      </c>
      <c r="C1735" s="19" t="s">
        <v>4049</v>
      </c>
      <c r="D1735" s="19" t="s">
        <v>178</v>
      </c>
      <c r="E1735" s="19" t="s">
        <v>179</v>
      </c>
      <c r="F1735" s="19" t="s">
        <v>2407</v>
      </c>
      <c r="G1735" s="19" t="s">
        <v>1028</v>
      </c>
      <c r="H1735" s="19" t="s">
        <v>1020</v>
      </c>
      <c r="I1735" s="19" t="s">
        <v>1575</v>
      </c>
      <c r="J1735" s="20">
        <v>46</v>
      </c>
      <c r="K1735" t="s">
        <v>636</v>
      </c>
      <c r="L1735" t="s">
        <v>684</v>
      </c>
      <c r="M1735" t="s">
        <v>623</v>
      </c>
      <c r="N1735" t="s">
        <v>662</v>
      </c>
      <c r="O1735" t="s">
        <v>775</v>
      </c>
    </row>
    <row r="1736" spans="1:15" x14ac:dyDescent="0.35">
      <c r="A1736" s="77">
        <v>2.1616438356164385</v>
      </c>
      <c r="B1736" s="19">
        <v>87743</v>
      </c>
      <c r="C1736" s="19" t="s">
        <v>4050</v>
      </c>
      <c r="D1736" s="19" t="s">
        <v>95</v>
      </c>
      <c r="E1736" s="19" t="s">
        <v>96</v>
      </c>
      <c r="F1736" s="19" t="s">
        <v>1188</v>
      </c>
      <c r="G1736" s="19" t="s">
        <v>1008</v>
      </c>
      <c r="H1736" s="19" t="s">
        <v>1001</v>
      </c>
      <c r="I1736" s="19" t="s">
        <v>1575</v>
      </c>
      <c r="J1736" s="20">
        <v>27</v>
      </c>
      <c r="K1736" t="s">
        <v>636</v>
      </c>
      <c r="L1736" t="s">
        <v>737</v>
      </c>
      <c r="M1736" t="s">
        <v>657</v>
      </c>
      <c r="N1736" t="s">
        <v>641</v>
      </c>
      <c r="O1736" t="s">
        <v>738</v>
      </c>
    </row>
    <row r="1737" spans="1:15" x14ac:dyDescent="0.35">
      <c r="A1737" s="77">
        <v>0.16164383561643836</v>
      </c>
      <c r="B1737" s="19">
        <v>87749</v>
      </c>
      <c r="C1737" s="19" t="s">
        <v>4051</v>
      </c>
      <c r="D1737" s="19" t="s">
        <v>13</v>
      </c>
      <c r="E1737" s="19" t="s">
        <v>13</v>
      </c>
      <c r="F1737" s="19" t="s">
        <v>1467</v>
      </c>
      <c r="G1737" s="19" t="s">
        <v>1057</v>
      </c>
      <c r="H1737" s="19" t="s">
        <v>1001</v>
      </c>
      <c r="I1737" s="19" t="s">
        <v>1575</v>
      </c>
      <c r="J1737" s="20">
        <v>29</v>
      </c>
      <c r="K1737" t="s">
        <v>631</v>
      </c>
      <c r="L1737" t="s">
        <v>628</v>
      </c>
      <c r="M1737" t="s">
        <v>629</v>
      </c>
      <c r="N1737" t="s">
        <v>630</v>
      </c>
      <c r="O1737" t="s">
        <v>639</v>
      </c>
    </row>
    <row r="1738" spans="1:15" x14ac:dyDescent="0.35">
      <c r="A1738" s="77">
        <v>2.1589041095890411</v>
      </c>
      <c r="B1738" s="19">
        <v>87755</v>
      </c>
      <c r="C1738" s="19" t="s">
        <v>4052</v>
      </c>
      <c r="D1738" s="19" t="s">
        <v>322</v>
      </c>
      <c r="E1738" s="19" t="s">
        <v>323</v>
      </c>
      <c r="F1738" s="19" t="s">
        <v>834</v>
      </c>
      <c r="G1738" s="19" t="s">
        <v>1057</v>
      </c>
      <c r="H1738" s="19" t="s">
        <v>1001</v>
      </c>
      <c r="I1738" s="19" t="s">
        <v>1575</v>
      </c>
      <c r="J1738" s="20">
        <v>22</v>
      </c>
      <c r="K1738" t="s">
        <v>668</v>
      </c>
      <c r="L1738" t="s">
        <v>628</v>
      </c>
      <c r="M1738" t="s">
        <v>629</v>
      </c>
      <c r="N1738" t="s">
        <v>630</v>
      </c>
      <c r="O1738" t="s">
        <v>632</v>
      </c>
    </row>
    <row r="1739" spans="1:15" x14ac:dyDescent="0.35">
      <c r="A1739" s="77">
        <v>9.8630136986301367E-2</v>
      </c>
      <c r="B1739" s="19">
        <v>87763</v>
      </c>
      <c r="C1739" s="19" t="s">
        <v>4053</v>
      </c>
      <c r="D1739" s="19" t="s">
        <v>193</v>
      </c>
      <c r="E1739" s="19" t="s">
        <v>194</v>
      </c>
      <c r="F1739" s="19" t="s">
        <v>2422</v>
      </c>
      <c r="G1739" s="19" t="s">
        <v>1019</v>
      </c>
      <c r="H1739" s="19" t="s">
        <v>1020</v>
      </c>
      <c r="I1739" s="19" t="s">
        <v>1575</v>
      </c>
      <c r="J1739" s="20">
        <v>31</v>
      </c>
      <c r="K1739" t="s">
        <v>654</v>
      </c>
      <c r="L1739" t="s">
        <v>670</v>
      </c>
      <c r="M1739" t="s">
        <v>657</v>
      </c>
      <c r="N1739" t="s">
        <v>641</v>
      </c>
      <c r="O1739" t="s">
        <v>676</v>
      </c>
    </row>
    <row r="1740" spans="1:15" x14ac:dyDescent="0.35">
      <c r="A1740" s="77">
        <v>2.1424657534246574</v>
      </c>
      <c r="B1740" s="19">
        <v>87787</v>
      </c>
      <c r="C1740" s="19" t="s">
        <v>4054</v>
      </c>
      <c r="D1740" s="19" t="s">
        <v>175</v>
      </c>
      <c r="E1740" s="19" t="s">
        <v>176</v>
      </c>
      <c r="F1740" s="19" t="s">
        <v>1538</v>
      </c>
      <c r="G1740" s="19" t="s">
        <v>1008</v>
      </c>
      <c r="H1740" s="19" t="s">
        <v>1001</v>
      </c>
      <c r="I1740" s="19" t="s">
        <v>1575</v>
      </c>
      <c r="J1740" s="20">
        <v>34</v>
      </c>
      <c r="K1740" t="s">
        <v>668</v>
      </c>
      <c r="L1740" t="s">
        <v>707</v>
      </c>
      <c r="M1740" t="s">
        <v>629</v>
      </c>
      <c r="N1740" t="s">
        <v>635</v>
      </c>
      <c r="O1740" t="s">
        <v>710</v>
      </c>
    </row>
    <row r="1741" spans="1:15" x14ac:dyDescent="0.35">
      <c r="A1741" s="77">
        <v>2.1424657534246574</v>
      </c>
      <c r="B1741" s="19">
        <v>87789</v>
      </c>
      <c r="C1741" s="19" t="s">
        <v>4055</v>
      </c>
      <c r="D1741" s="19" t="s">
        <v>276</v>
      </c>
      <c r="E1741" s="19" t="s">
        <v>277</v>
      </c>
      <c r="F1741" s="19" t="s">
        <v>893</v>
      </c>
      <c r="G1741" s="19" t="s">
        <v>1008</v>
      </c>
      <c r="H1741" s="19" t="s">
        <v>1001</v>
      </c>
      <c r="I1741" s="19" t="s">
        <v>1599</v>
      </c>
      <c r="J1741" s="20">
        <v>21</v>
      </c>
      <c r="K1741" t="s">
        <v>631</v>
      </c>
      <c r="L1741" t="s">
        <v>707</v>
      </c>
      <c r="M1741" t="s">
        <v>629</v>
      </c>
      <c r="N1741" t="s">
        <v>635</v>
      </c>
      <c r="O1741" t="s">
        <v>710</v>
      </c>
    </row>
    <row r="1742" spans="1:15" x14ac:dyDescent="0.35">
      <c r="A1742" s="77">
        <v>0.74246575342465748</v>
      </c>
      <c r="B1742" s="19">
        <v>87818</v>
      </c>
      <c r="C1742" s="19" t="s">
        <v>4056</v>
      </c>
      <c r="D1742" s="19" t="s">
        <v>53</v>
      </c>
      <c r="E1742" s="19" t="s">
        <v>54</v>
      </c>
      <c r="F1742" s="19" t="s">
        <v>1308</v>
      </c>
      <c r="G1742" s="19" t="s">
        <v>1028</v>
      </c>
      <c r="H1742" s="19" t="s">
        <v>1020</v>
      </c>
      <c r="I1742" s="19" t="s">
        <v>1575</v>
      </c>
      <c r="J1742" s="20">
        <v>25</v>
      </c>
      <c r="K1742" t="s">
        <v>668</v>
      </c>
      <c r="L1742" t="s">
        <v>691</v>
      </c>
      <c r="M1742" t="s">
        <v>657</v>
      </c>
      <c r="N1742" t="s">
        <v>658</v>
      </c>
      <c r="O1742" t="s">
        <v>632</v>
      </c>
    </row>
    <row r="1743" spans="1:15" x14ac:dyDescent="0.35">
      <c r="A1743" s="77">
        <v>2.1424657534246574</v>
      </c>
      <c r="B1743" s="19">
        <v>87822</v>
      </c>
      <c r="C1743" s="19" t="s">
        <v>4057</v>
      </c>
      <c r="D1743" s="19" t="s">
        <v>113</v>
      </c>
      <c r="E1743" s="19" t="s">
        <v>114</v>
      </c>
      <c r="F1743" s="19" t="s">
        <v>1871</v>
      </c>
      <c r="G1743" s="19" t="s">
        <v>1028</v>
      </c>
      <c r="H1743" s="19" t="s">
        <v>1020</v>
      </c>
      <c r="I1743" s="19" t="s">
        <v>1575</v>
      </c>
      <c r="J1743" s="20">
        <v>21</v>
      </c>
      <c r="K1743" t="s">
        <v>654</v>
      </c>
      <c r="L1743" t="s">
        <v>661</v>
      </c>
      <c r="M1743" t="s">
        <v>657</v>
      </c>
      <c r="N1743" t="s">
        <v>662</v>
      </c>
      <c r="O1743" t="s">
        <v>632</v>
      </c>
    </row>
    <row r="1744" spans="1:15" x14ac:dyDescent="0.35">
      <c r="A1744" s="77">
        <v>3.287671232876712E-2</v>
      </c>
      <c r="B1744" s="19">
        <v>87844</v>
      </c>
      <c r="C1744" s="19" t="s">
        <v>4058</v>
      </c>
      <c r="D1744" s="19" t="s">
        <v>322</v>
      </c>
      <c r="E1744" s="19" t="s">
        <v>323</v>
      </c>
      <c r="F1744" s="19" t="s">
        <v>834</v>
      </c>
      <c r="G1744" s="19" t="s">
        <v>1028</v>
      </c>
      <c r="H1744" s="19" t="s">
        <v>1020</v>
      </c>
      <c r="I1744" s="19" t="s">
        <v>1575</v>
      </c>
      <c r="J1744" s="20">
        <v>20</v>
      </c>
      <c r="K1744" t="s">
        <v>668</v>
      </c>
      <c r="L1744" t="s">
        <v>628</v>
      </c>
      <c r="M1744" t="s">
        <v>629</v>
      </c>
      <c r="N1744" t="s">
        <v>630</v>
      </c>
      <c r="O1744" t="s">
        <v>632</v>
      </c>
    </row>
    <row r="1745" spans="1:15" x14ac:dyDescent="0.35">
      <c r="A1745" s="77">
        <v>1.0273972602739727</v>
      </c>
      <c r="B1745" s="19">
        <v>87851</v>
      </c>
      <c r="C1745" s="19" t="s">
        <v>4059</v>
      </c>
      <c r="D1745" s="19" t="s">
        <v>330</v>
      </c>
      <c r="E1745" s="19" t="s">
        <v>331</v>
      </c>
      <c r="F1745" s="19" t="s">
        <v>332</v>
      </c>
      <c r="G1745" s="19" t="s">
        <v>1008</v>
      </c>
      <c r="H1745" s="19" t="s">
        <v>1001</v>
      </c>
      <c r="I1745" s="19" t="s">
        <v>1575</v>
      </c>
      <c r="J1745" s="20">
        <v>21</v>
      </c>
      <c r="K1745" t="s">
        <v>636</v>
      </c>
      <c r="L1745" t="s">
        <v>762</v>
      </c>
      <c r="M1745" t="s">
        <v>629</v>
      </c>
      <c r="N1745" t="s">
        <v>646</v>
      </c>
      <c r="O1745" t="s">
        <v>839</v>
      </c>
    </row>
    <row r="1746" spans="1:15" x14ac:dyDescent="0.35">
      <c r="A1746" s="77">
        <v>1.0630136986301371</v>
      </c>
      <c r="B1746" s="19">
        <v>87855</v>
      </c>
      <c r="C1746" s="19" t="s">
        <v>4060</v>
      </c>
      <c r="D1746" s="19" t="s">
        <v>284</v>
      </c>
      <c r="E1746" s="19" t="s">
        <v>285</v>
      </c>
      <c r="F1746" s="19" t="s">
        <v>1150</v>
      </c>
      <c r="G1746" s="19" t="s">
        <v>1028</v>
      </c>
      <c r="H1746" s="19" t="s">
        <v>1020</v>
      </c>
      <c r="I1746" s="19" t="s">
        <v>1575</v>
      </c>
      <c r="J1746" s="20">
        <v>19</v>
      </c>
      <c r="K1746" t="s">
        <v>625</v>
      </c>
      <c r="L1746" t="s">
        <v>661</v>
      </c>
      <c r="M1746" t="s">
        <v>657</v>
      </c>
      <c r="N1746" t="s">
        <v>662</v>
      </c>
      <c r="O1746" t="s">
        <v>632</v>
      </c>
    </row>
    <row r="1747" spans="1:15" x14ac:dyDescent="0.35">
      <c r="A1747" s="77">
        <v>1.0958904109589041E-2</v>
      </c>
      <c r="B1747" s="19">
        <v>87866</v>
      </c>
      <c r="C1747" s="19" t="s">
        <v>4061</v>
      </c>
      <c r="D1747" s="19" t="s">
        <v>12</v>
      </c>
      <c r="E1747" s="19" t="s">
        <v>12</v>
      </c>
      <c r="F1747" s="19" t="s">
        <v>1145</v>
      </c>
      <c r="G1747" s="19" t="s">
        <v>1028</v>
      </c>
      <c r="H1747" s="19" t="s">
        <v>1020</v>
      </c>
      <c r="I1747" s="19" t="s">
        <v>1575</v>
      </c>
      <c r="J1747" s="20">
        <v>23</v>
      </c>
      <c r="K1747" t="s">
        <v>636</v>
      </c>
      <c r="L1747" t="s">
        <v>634</v>
      </c>
      <c r="M1747" t="s">
        <v>629</v>
      </c>
      <c r="N1747" t="s">
        <v>635</v>
      </c>
      <c r="O1747" t="s">
        <v>637</v>
      </c>
    </row>
    <row r="1748" spans="1:15" x14ac:dyDescent="0.35">
      <c r="A1748" s="77">
        <v>1.7780821917808218</v>
      </c>
      <c r="B1748" s="19">
        <v>87871</v>
      </c>
      <c r="C1748" s="19" t="s">
        <v>4062</v>
      </c>
      <c r="D1748" s="19" t="s">
        <v>35</v>
      </c>
      <c r="E1748" s="19" t="s">
        <v>35</v>
      </c>
      <c r="F1748" s="19" t="s">
        <v>1657</v>
      </c>
      <c r="G1748" s="19" t="s">
        <v>1008</v>
      </c>
      <c r="H1748" s="19" t="s">
        <v>1001</v>
      </c>
      <c r="I1748" s="19" t="s">
        <v>1575</v>
      </c>
      <c r="J1748" s="20">
        <v>23</v>
      </c>
      <c r="K1748" t="s">
        <v>654</v>
      </c>
      <c r="L1748" t="s">
        <v>684</v>
      </c>
      <c r="M1748" t="s">
        <v>623</v>
      </c>
      <c r="N1748" t="s">
        <v>662</v>
      </c>
      <c r="O1748" t="s">
        <v>685</v>
      </c>
    </row>
    <row r="1749" spans="1:15" x14ac:dyDescent="0.35">
      <c r="A1749" s="77">
        <v>0.66301369863013704</v>
      </c>
      <c r="B1749" s="19">
        <v>87890</v>
      </c>
      <c r="C1749" s="19" t="s">
        <v>4063</v>
      </c>
      <c r="D1749" s="19" t="s">
        <v>260</v>
      </c>
      <c r="E1749" s="19" t="s">
        <v>261</v>
      </c>
      <c r="F1749" s="19" t="s">
        <v>1109</v>
      </c>
      <c r="G1749" s="19" t="s">
        <v>1028</v>
      </c>
      <c r="H1749" s="19" t="s">
        <v>1020</v>
      </c>
      <c r="I1749" s="19" t="s">
        <v>1575</v>
      </c>
      <c r="J1749" s="20">
        <v>21</v>
      </c>
      <c r="K1749" t="s">
        <v>636</v>
      </c>
      <c r="L1749" t="s">
        <v>656</v>
      </c>
      <c r="M1749" t="s">
        <v>657</v>
      </c>
      <c r="N1749" t="s">
        <v>658</v>
      </c>
      <c r="O1749" t="s">
        <v>808</v>
      </c>
    </row>
    <row r="1750" spans="1:15" x14ac:dyDescent="0.35">
      <c r="A1750" s="77">
        <v>4.1095890410958902E-2</v>
      </c>
      <c r="B1750" s="19">
        <v>87932</v>
      </c>
      <c r="C1750" s="19" t="s">
        <v>4064</v>
      </c>
      <c r="D1750" s="19" t="s">
        <v>357</v>
      </c>
      <c r="E1750" s="19" t="s">
        <v>358</v>
      </c>
      <c r="F1750" s="19" t="s">
        <v>1161</v>
      </c>
      <c r="G1750" s="19" t="s">
        <v>1028</v>
      </c>
      <c r="H1750" s="19" t="s">
        <v>1020</v>
      </c>
      <c r="I1750" s="19" t="s">
        <v>1575</v>
      </c>
      <c r="J1750" s="20">
        <v>23</v>
      </c>
      <c r="K1750" t="s">
        <v>668</v>
      </c>
      <c r="L1750" t="s">
        <v>640</v>
      </c>
      <c r="M1750" t="s">
        <v>623</v>
      </c>
      <c r="N1750" t="s">
        <v>641</v>
      </c>
      <c r="O1750" t="s">
        <v>852</v>
      </c>
    </row>
    <row r="1751" spans="1:15" x14ac:dyDescent="0.35">
      <c r="A1751" s="77">
        <v>1.0383561643835617</v>
      </c>
      <c r="B1751" s="19">
        <v>87963</v>
      </c>
      <c r="C1751" s="19" t="s">
        <v>4065</v>
      </c>
      <c r="D1751" s="19" t="s">
        <v>264</v>
      </c>
      <c r="E1751" s="19" t="s">
        <v>265</v>
      </c>
      <c r="F1751" s="19" t="s">
        <v>2526</v>
      </c>
      <c r="G1751" s="19" t="s">
        <v>1019</v>
      </c>
      <c r="H1751" s="19" t="s">
        <v>1020</v>
      </c>
      <c r="I1751" s="19" t="s">
        <v>1599</v>
      </c>
      <c r="J1751" s="20">
        <v>21</v>
      </c>
      <c r="K1751" t="s">
        <v>654</v>
      </c>
      <c r="L1751" t="s">
        <v>678</v>
      </c>
      <c r="M1751" t="s">
        <v>623</v>
      </c>
      <c r="N1751" t="s">
        <v>624</v>
      </c>
      <c r="O1751" t="s">
        <v>689</v>
      </c>
    </row>
    <row r="1752" spans="1:15" x14ac:dyDescent="0.35">
      <c r="A1752" s="77">
        <v>1.810958904109589</v>
      </c>
      <c r="B1752" s="19">
        <v>88010</v>
      </c>
      <c r="C1752" s="19" t="s">
        <v>4066</v>
      </c>
      <c r="D1752" s="19" t="s">
        <v>51</v>
      </c>
      <c r="E1752" s="19" t="s">
        <v>52</v>
      </c>
      <c r="F1752" s="19" t="s">
        <v>921</v>
      </c>
      <c r="G1752" s="19" t="s">
        <v>1008</v>
      </c>
      <c r="H1752" s="19" t="s">
        <v>1001</v>
      </c>
      <c r="I1752" s="19" t="s">
        <v>1575</v>
      </c>
      <c r="J1752" s="20">
        <v>21</v>
      </c>
      <c r="K1752" t="s">
        <v>636</v>
      </c>
      <c r="L1752" t="s">
        <v>656</v>
      </c>
      <c r="M1752" t="s">
        <v>657</v>
      </c>
      <c r="N1752" t="s">
        <v>658</v>
      </c>
      <c r="O1752" t="s">
        <v>718</v>
      </c>
    </row>
    <row r="1753" spans="1:15" x14ac:dyDescent="0.35">
      <c r="A1753" s="77">
        <v>1.3150684931506849</v>
      </c>
      <c r="B1753" s="19">
        <v>88041</v>
      </c>
      <c r="C1753" s="19" t="s">
        <v>4067</v>
      </c>
      <c r="D1753" s="19" t="s">
        <v>155</v>
      </c>
      <c r="E1753" s="19" t="s">
        <v>156</v>
      </c>
      <c r="F1753" s="19" t="s">
        <v>896</v>
      </c>
      <c r="G1753" s="19" t="s">
        <v>1057</v>
      </c>
      <c r="H1753" s="19" t="s">
        <v>1001</v>
      </c>
      <c r="I1753" s="19" t="s">
        <v>1575</v>
      </c>
      <c r="J1753" s="20">
        <v>22</v>
      </c>
      <c r="K1753" t="s">
        <v>636</v>
      </c>
      <c r="L1753" t="s">
        <v>663</v>
      </c>
      <c r="M1753" t="s">
        <v>629</v>
      </c>
      <c r="N1753" t="s">
        <v>646</v>
      </c>
      <c r="O1753" t="s">
        <v>639</v>
      </c>
    </row>
    <row r="1754" spans="1:15" x14ac:dyDescent="0.35">
      <c r="A1754" s="77">
        <v>1.8136986301369864</v>
      </c>
      <c r="B1754" s="19">
        <v>88043</v>
      </c>
      <c r="C1754" s="19" t="s">
        <v>4068</v>
      </c>
      <c r="D1754" s="19" t="s">
        <v>155</v>
      </c>
      <c r="E1754" s="19" t="s">
        <v>156</v>
      </c>
      <c r="F1754" s="19" t="s">
        <v>896</v>
      </c>
      <c r="G1754" s="19" t="s">
        <v>1057</v>
      </c>
      <c r="H1754" s="19" t="s">
        <v>1001</v>
      </c>
      <c r="I1754" s="19" t="s">
        <v>1575</v>
      </c>
      <c r="J1754" s="20">
        <v>25</v>
      </c>
      <c r="K1754" t="s">
        <v>636</v>
      </c>
      <c r="L1754" t="s">
        <v>663</v>
      </c>
      <c r="M1754" t="s">
        <v>629</v>
      </c>
      <c r="N1754" t="s">
        <v>646</v>
      </c>
      <c r="O1754" t="s">
        <v>639</v>
      </c>
    </row>
    <row r="1755" spans="1:15" x14ac:dyDescent="0.35">
      <c r="A1755" s="77">
        <v>2.1917808219178082E-2</v>
      </c>
      <c r="B1755" s="19">
        <v>88056</v>
      </c>
      <c r="C1755" s="19" t="s">
        <v>4069</v>
      </c>
      <c r="D1755" s="19" t="s">
        <v>385</v>
      </c>
      <c r="E1755" s="19" t="s">
        <v>386</v>
      </c>
      <c r="F1755" s="19" t="s">
        <v>1059</v>
      </c>
      <c r="G1755" s="19" t="s">
        <v>1008</v>
      </c>
      <c r="H1755" s="19" t="s">
        <v>1001</v>
      </c>
      <c r="I1755" s="19" t="s">
        <v>1575</v>
      </c>
      <c r="J1755" s="20">
        <v>26</v>
      </c>
      <c r="K1755" t="s">
        <v>631</v>
      </c>
      <c r="L1755" t="s">
        <v>663</v>
      </c>
      <c r="M1755" t="s">
        <v>629</v>
      </c>
      <c r="N1755" t="s">
        <v>646</v>
      </c>
      <c r="O1755" t="s">
        <v>810</v>
      </c>
    </row>
    <row r="1756" spans="1:15" x14ac:dyDescent="0.35">
      <c r="A1756" s="77">
        <v>1.9178082191780823E-2</v>
      </c>
      <c r="B1756" s="19">
        <v>88074</v>
      </c>
      <c r="C1756" s="19" t="s">
        <v>4070</v>
      </c>
      <c r="D1756" s="19" t="s">
        <v>34</v>
      </c>
      <c r="E1756" s="19" t="s">
        <v>34</v>
      </c>
      <c r="F1756" s="19" t="s">
        <v>1066</v>
      </c>
      <c r="G1756" s="19" t="s">
        <v>1008</v>
      </c>
      <c r="H1756" s="19" t="s">
        <v>1001</v>
      </c>
      <c r="I1756" s="19" t="s">
        <v>1575</v>
      </c>
      <c r="J1756" s="20">
        <v>20</v>
      </c>
      <c r="K1756" t="s">
        <v>654</v>
      </c>
      <c r="L1756" t="s">
        <v>656</v>
      </c>
      <c r="M1756" t="s">
        <v>657</v>
      </c>
      <c r="N1756" t="s">
        <v>658</v>
      </c>
      <c r="O1756" t="s">
        <v>632</v>
      </c>
    </row>
    <row r="1757" spans="1:15" x14ac:dyDescent="0.35">
      <c r="A1757" s="77">
        <v>0.9945205479452055</v>
      </c>
      <c r="B1757" s="19">
        <v>88082</v>
      </c>
      <c r="C1757" s="19" t="s">
        <v>4071</v>
      </c>
      <c r="D1757" s="19" t="s">
        <v>12</v>
      </c>
      <c r="E1757" s="19" t="s">
        <v>12</v>
      </c>
      <c r="F1757" s="19" t="s">
        <v>1145</v>
      </c>
      <c r="G1757" s="19" t="s">
        <v>1008</v>
      </c>
      <c r="H1757" s="19" t="s">
        <v>1001</v>
      </c>
      <c r="I1757" s="19" t="s">
        <v>1599</v>
      </c>
      <c r="J1757" s="20">
        <v>24</v>
      </c>
      <c r="K1757" t="s">
        <v>636</v>
      </c>
      <c r="L1757" t="s">
        <v>634</v>
      </c>
      <c r="M1757" t="s">
        <v>629</v>
      </c>
      <c r="N1757" t="s">
        <v>635</v>
      </c>
      <c r="O1757" t="s">
        <v>637</v>
      </c>
    </row>
    <row r="1758" spans="1:15" x14ac:dyDescent="0.35">
      <c r="A1758" s="77">
        <v>2.1232876712328768</v>
      </c>
      <c r="B1758" s="19">
        <v>88102</v>
      </c>
      <c r="C1758" s="19" t="s">
        <v>4072</v>
      </c>
      <c r="D1758" s="19" t="s">
        <v>278</v>
      </c>
      <c r="E1758" s="19" t="s">
        <v>279</v>
      </c>
      <c r="F1758" s="19" t="s">
        <v>1131</v>
      </c>
      <c r="G1758" s="19" t="s">
        <v>1084</v>
      </c>
      <c r="H1758" s="19" t="s">
        <v>1020</v>
      </c>
      <c r="I1758" s="19" t="s">
        <v>1575</v>
      </c>
      <c r="J1758" s="20">
        <v>36</v>
      </c>
      <c r="K1758" t="s">
        <v>625</v>
      </c>
      <c r="L1758" t="s">
        <v>661</v>
      </c>
      <c r="M1758" t="s">
        <v>657</v>
      </c>
      <c r="N1758" t="s">
        <v>662</v>
      </c>
      <c r="O1758" t="s">
        <v>632</v>
      </c>
    </row>
    <row r="1759" spans="1:15" x14ac:dyDescent="0.35">
      <c r="A1759" s="77">
        <v>2.1205479452054794</v>
      </c>
      <c r="B1759" s="19">
        <v>88113</v>
      </c>
      <c r="C1759" s="19" t="s">
        <v>4073</v>
      </c>
      <c r="D1759" s="19" t="s">
        <v>169</v>
      </c>
      <c r="E1759" s="19" t="s">
        <v>170</v>
      </c>
      <c r="F1759" s="19" t="s">
        <v>1274</v>
      </c>
      <c r="G1759" s="19" t="s">
        <v>1008</v>
      </c>
      <c r="H1759" s="19" t="s">
        <v>1001</v>
      </c>
      <c r="I1759" s="19" t="s">
        <v>1599</v>
      </c>
      <c r="J1759" s="20">
        <v>28</v>
      </c>
      <c r="K1759" t="s">
        <v>631</v>
      </c>
      <c r="L1759" t="s">
        <v>670</v>
      </c>
      <c r="M1759" t="s">
        <v>657</v>
      </c>
      <c r="N1759" t="s">
        <v>641</v>
      </c>
      <c r="O1759" t="s">
        <v>772</v>
      </c>
    </row>
    <row r="1760" spans="1:15" x14ac:dyDescent="0.35">
      <c r="A1760" s="77">
        <v>0.21369863013698631</v>
      </c>
      <c r="B1760" s="19">
        <v>88116</v>
      </c>
      <c r="C1760" s="19" t="s">
        <v>4074</v>
      </c>
      <c r="D1760" s="19" t="s">
        <v>13</v>
      </c>
      <c r="E1760" s="19" t="s">
        <v>13</v>
      </c>
      <c r="F1760" s="19" t="s">
        <v>1467</v>
      </c>
      <c r="G1760" s="19" t="s">
        <v>1008</v>
      </c>
      <c r="H1760" s="19" t="s">
        <v>1001</v>
      </c>
      <c r="I1760" s="19" t="s">
        <v>1575</v>
      </c>
      <c r="J1760" s="20">
        <v>20</v>
      </c>
      <c r="K1760" t="s">
        <v>631</v>
      </c>
      <c r="L1760" t="s">
        <v>628</v>
      </c>
      <c r="M1760" t="s">
        <v>629</v>
      </c>
      <c r="N1760" t="s">
        <v>630</v>
      </c>
      <c r="O1760" t="s">
        <v>639</v>
      </c>
    </row>
    <row r="1761" spans="1:15" x14ac:dyDescent="0.35">
      <c r="A1761" s="77">
        <v>2.1205479452054794</v>
      </c>
      <c r="B1761" s="19">
        <v>88122</v>
      </c>
      <c r="C1761" s="19" t="s">
        <v>4075</v>
      </c>
      <c r="D1761" s="19" t="s">
        <v>427</v>
      </c>
      <c r="E1761" s="19" t="s">
        <v>427</v>
      </c>
      <c r="F1761" s="19" t="s">
        <v>1290</v>
      </c>
      <c r="G1761" s="19" t="s">
        <v>1008</v>
      </c>
      <c r="H1761" s="19" t="s">
        <v>1001</v>
      </c>
      <c r="I1761" s="19" t="s">
        <v>1575</v>
      </c>
      <c r="J1761" s="20">
        <v>23</v>
      </c>
      <c r="K1761" t="s">
        <v>654</v>
      </c>
      <c r="L1761" t="s">
        <v>651</v>
      </c>
      <c r="M1761" t="s">
        <v>629</v>
      </c>
      <c r="N1761" t="s">
        <v>630</v>
      </c>
      <c r="O1761" t="s">
        <v>652</v>
      </c>
    </row>
    <row r="1762" spans="1:15" x14ac:dyDescent="0.35">
      <c r="A1762" s="77">
        <v>0.10684931506849316</v>
      </c>
      <c r="B1762" s="19">
        <v>88124</v>
      </c>
      <c r="C1762" s="19" t="s">
        <v>4076</v>
      </c>
      <c r="D1762" s="19" t="s">
        <v>126</v>
      </c>
      <c r="E1762" s="19" t="s">
        <v>127</v>
      </c>
      <c r="F1762" s="19" t="s">
        <v>1152</v>
      </c>
      <c r="G1762" s="19" t="s">
        <v>1008</v>
      </c>
      <c r="H1762" s="19" t="s">
        <v>1001</v>
      </c>
      <c r="I1762" s="19" t="s">
        <v>1575</v>
      </c>
      <c r="J1762" s="20">
        <v>36</v>
      </c>
      <c r="K1762" t="s">
        <v>654</v>
      </c>
      <c r="L1762" t="s">
        <v>628</v>
      </c>
      <c r="M1762" t="s">
        <v>629</v>
      </c>
      <c r="N1762" t="s">
        <v>630</v>
      </c>
      <c r="O1762" t="s">
        <v>632</v>
      </c>
    </row>
    <row r="1763" spans="1:15" x14ac:dyDescent="0.35">
      <c r="A1763" s="77">
        <v>2.1205479452054794</v>
      </c>
      <c r="B1763" s="19">
        <v>88127</v>
      </c>
      <c r="C1763" s="19" t="s">
        <v>4077</v>
      </c>
      <c r="D1763" s="19" t="s">
        <v>278</v>
      </c>
      <c r="E1763" s="19" t="s">
        <v>279</v>
      </c>
      <c r="F1763" s="19" t="s">
        <v>1131</v>
      </c>
      <c r="G1763" s="19" t="s">
        <v>1057</v>
      </c>
      <c r="H1763" s="19" t="s">
        <v>1001</v>
      </c>
      <c r="I1763" s="19" t="s">
        <v>1575</v>
      </c>
      <c r="J1763" s="20">
        <v>21</v>
      </c>
      <c r="K1763" t="s">
        <v>625</v>
      </c>
      <c r="L1763" t="s">
        <v>661</v>
      </c>
      <c r="M1763" t="s">
        <v>657</v>
      </c>
      <c r="N1763" t="s">
        <v>662</v>
      </c>
      <c r="O1763" t="s">
        <v>632</v>
      </c>
    </row>
    <row r="1764" spans="1:15" x14ac:dyDescent="0.35">
      <c r="A1764" s="77">
        <v>2.1150684931506851</v>
      </c>
      <c r="B1764" s="19">
        <v>88148</v>
      </c>
      <c r="C1764" s="19" t="s">
        <v>4078</v>
      </c>
      <c r="D1764" s="19" t="s">
        <v>286</v>
      </c>
      <c r="E1764" s="19" t="s">
        <v>287</v>
      </c>
      <c r="F1764" s="19" t="s">
        <v>1675</v>
      </c>
      <c r="G1764" s="19" t="s">
        <v>1008</v>
      </c>
      <c r="H1764" s="19" t="s">
        <v>1001</v>
      </c>
      <c r="I1764" s="19" t="s">
        <v>1575</v>
      </c>
      <c r="J1764" s="20">
        <v>29</v>
      </c>
      <c r="K1764" t="s">
        <v>668</v>
      </c>
      <c r="L1764" t="s">
        <v>640</v>
      </c>
      <c r="M1764" t="s">
        <v>623</v>
      </c>
      <c r="N1764" t="s">
        <v>641</v>
      </c>
      <c r="O1764" t="s">
        <v>754</v>
      </c>
    </row>
    <row r="1765" spans="1:15" x14ac:dyDescent="0.35">
      <c r="A1765" s="77">
        <v>2.0986301369863014</v>
      </c>
      <c r="B1765" s="19">
        <v>88180</v>
      </c>
      <c r="C1765" s="19" t="s">
        <v>4079</v>
      </c>
      <c r="D1765" s="19" t="s">
        <v>349</v>
      </c>
      <c r="E1765" s="19" t="s">
        <v>350</v>
      </c>
      <c r="F1765" s="19" t="s">
        <v>912</v>
      </c>
      <c r="G1765" s="19" t="s">
        <v>1084</v>
      </c>
      <c r="H1765" s="19" t="s">
        <v>1020</v>
      </c>
      <c r="I1765" s="19" t="s">
        <v>1599</v>
      </c>
      <c r="J1765" s="20">
        <v>22</v>
      </c>
      <c r="K1765" t="s">
        <v>625</v>
      </c>
      <c r="L1765" t="s">
        <v>648</v>
      </c>
      <c r="M1765" t="s">
        <v>623</v>
      </c>
      <c r="N1765" t="s">
        <v>624</v>
      </c>
      <c r="O1765" t="s">
        <v>649</v>
      </c>
    </row>
    <row r="1766" spans="1:15" x14ac:dyDescent="0.35">
      <c r="A1766" s="77">
        <v>2.0986301369863014</v>
      </c>
      <c r="B1766" s="19">
        <v>88182</v>
      </c>
      <c r="C1766" s="19" t="s">
        <v>4080</v>
      </c>
      <c r="D1766" s="19" t="s">
        <v>375</v>
      </c>
      <c r="E1766" s="19" t="s">
        <v>376</v>
      </c>
      <c r="F1766" s="19" t="s">
        <v>1270</v>
      </c>
      <c r="G1766" s="19" t="s">
        <v>1034</v>
      </c>
      <c r="H1766" s="19" t="s">
        <v>1001</v>
      </c>
      <c r="I1766" s="19" t="s">
        <v>1575</v>
      </c>
      <c r="J1766" s="20">
        <v>28</v>
      </c>
      <c r="K1766" t="s">
        <v>636</v>
      </c>
      <c r="L1766" t="s">
        <v>678</v>
      </c>
      <c r="M1766" t="s">
        <v>623</v>
      </c>
      <c r="N1766" t="s">
        <v>624</v>
      </c>
      <c r="O1766" t="s">
        <v>679</v>
      </c>
    </row>
    <row r="1767" spans="1:15" x14ac:dyDescent="0.35">
      <c r="A1767" s="77">
        <v>2.0986301369863014</v>
      </c>
      <c r="B1767" s="19">
        <v>88184</v>
      </c>
      <c r="C1767" s="19" t="s">
        <v>4081</v>
      </c>
      <c r="D1767" s="19" t="s">
        <v>47</v>
      </c>
      <c r="E1767" s="19" t="s">
        <v>48</v>
      </c>
      <c r="F1767" s="19" t="s">
        <v>1232</v>
      </c>
      <c r="G1767" s="19" t="s">
        <v>1008</v>
      </c>
      <c r="H1767" s="19" t="s">
        <v>1001</v>
      </c>
      <c r="I1767" s="19" t="s">
        <v>1575</v>
      </c>
      <c r="J1767" s="20">
        <v>21</v>
      </c>
      <c r="K1767" t="s">
        <v>636</v>
      </c>
      <c r="L1767" t="s">
        <v>622</v>
      </c>
      <c r="M1767" t="s">
        <v>623</v>
      </c>
      <c r="N1767" t="s">
        <v>624</v>
      </c>
      <c r="O1767" t="s">
        <v>649</v>
      </c>
    </row>
    <row r="1768" spans="1:15" x14ac:dyDescent="0.35">
      <c r="A1768" s="77">
        <v>2.1123287671232878</v>
      </c>
      <c r="B1768" s="19">
        <v>88185</v>
      </c>
      <c r="C1768" s="19" t="s">
        <v>4082</v>
      </c>
      <c r="D1768" s="19" t="s">
        <v>421</v>
      </c>
      <c r="E1768" s="19" t="s">
        <v>421</v>
      </c>
      <c r="F1768" s="19" t="s">
        <v>698</v>
      </c>
      <c r="G1768" s="19" t="s">
        <v>1084</v>
      </c>
      <c r="H1768" s="19" t="s">
        <v>1001</v>
      </c>
      <c r="I1768" s="19" t="s">
        <v>1575</v>
      </c>
      <c r="J1768" s="20">
        <v>49</v>
      </c>
      <c r="K1768" t="s">
        <v>636</v>
      </c>
      <c r="L1768" t="s">
        <v>678</v>
      </c>
      <c r="M1768" t="s">
        <v>623</v>
      </c>
      <c r="N1768" t="s">
        <v>624</v>
      </c>
      <c r="O1768" t="s">
        <v>679</v>
      </c>
    </row>
    <row r="1769" spans="1:15" x14ac:dyDescent="0.35">
      <c r="A1769" s="77">
        <v>2.1123287671232878</v>
      </c>
      <c r="B1769" s="19">
        <v>88190</v>
      </c>
      <c r="C1769" s="19" t="s">
        <v>4083</v>
      </c>
      <c r="D1769" s="19" t="s">
        <v>278</v>
      </c>
      <c r="E1769" s="19" t="s">
        <v>279</v>
      </c>
      <c r="F1769" s="19" t="s">
        <v>1131</v>
      </c>
      <c r="G1769" s="19" t="s">
        <v>1008</v>
      </c>
      <c r="H1769" s="19" t="s">
        <v>1001</v>
      </c>
      <c r="I1769" s="19" t="s">
        <v>1575</v>
      </c>
      <c r="J1769" s="20">
        <v>20</v>
      </c>
      <c r="K1769" t="s">
        <v>625</v>
      </c>
      <c r="L1769" t="s">
        <v>661</v>
      </c>
      <c r="M1769" t="s">
        <v>657</v>
      </c>
      <c r="N1769" t="s">
        <v>662</v>
      </c>
      <c r="O1769" t="s">
        <v>632</v>
      </c>
    </row>
    <row r="1770" spans="1:15" x14ac:dyDescent="0.35">
      <c r="A1770" s="77">
        <v>0.33972602739726027</v>
      </c>
      <c r="B1770" s="19">
        <v>88193</v>
      </c>
      <c r="C1770" s="19" t="s">
        <v>4084</v>
      </c>
      <c r="D1770" s="19" t="s">
        <v>23</v>
      </c>
      <c r="E1770" s="19" t="s">
        <v>23</v>
      </c>
      <c r="F1770" s="19" t="s">
        <v>660</v>
      </c>
      <c r="G1770" s="19" t="s">
        <v>1046</v>
      </c>
      <c r="H1770" s="19" t="s">
        <v>1001</v>
      </c>
      <c r="I1770" s="19" t="s">
        <v>1575</v>
      </c>
      <c r="J1770" s="20">
        <v>28</v>
      </c>
      <c r="K1770" t="s">
        <v>631</v>
      </c>
      <c r="L1770" t="s">
        <v>661</v>
      </c>
      <c r="M1770" t="s">
        <v>657</v>
      </c>
      <c r="N1770" t="s">
        <v>662</v>
      </c>
      <c r="O1770" t="s">
        <v>632</v>
      </c>
    </row>
    <row r="1771" spans="1:15" x14ac:dyDescent="0.35">
      <c r="A1771" s="77">
        <v>0.99726027397260275</v>
      </c>
      <c r="B1771" s="19">
        <v>88195</v>
      </c>
      <c r="C1771" s="19" t="s">
        <v>4085</v>
      </c>
      <c r="D1771" s="19" t="s">
        <v>11</v>
      </c>
      <c r="E1771" s="19" t="s">
        <v>11</v>
      </c>
      <c r="F1771" s="19" t="s">
        <v>627</v>
      </c>
      <c r="G1771" s="19" t="s">
        <v>1038</v>
      </c>
      <c r="H1771" s="19" t="s">
        <v>1020</v>
      </c>
      <c r="I1771" s="19" t="s">
        <v>1575</v>
      </c>
      <c r="J1771" s="20">
        <v>21</v>
      </c>
      <c r="K1771" t="s">
        <v>631</v>
      </c>
      <c r="L1771" t="s">
        <v>628</v>
      </c>
      <c r="M1771" t="s">
        <v>629</v>
      </c>
      <c r="N1771" t="s">
        <v>630</v>
      </c>
      <c r="O1771" t="s">
        <v>632</v>
      </c>
    </row>
    <row r="1772" spans="1:15" x14ac:dyDescent="0.35">
      <c r="A1772" s="77">
        <v>2.117808219178082</v>
      </c>
      <c r="B1772" s="19">
        <v>88208</v>
      </c>
      <c r="C1772" s="19" t="s">
        <v>4086</v>
      </c>
      <c r="D1772" s="19" t="s">
        <v>282</v>
      </c>
      <c r="E1772" s="19" t="s">
        <v>283</v>
      </c>
      <c r="F1772" s="19" t="s">
        <v>1417</v>
      </c>
      <c r="G1772" s="19" t="s">
        <v>1019</v>
      </c>
      <c r="H1772" s="19" t="s">
        <v>1020</v>
      </c>
      <c r="I1772" s="19" t="s">
        <v>1575</v>
      </c>
      <c r="J1772" s="20">
        <v>21</v>
      </c>
      <c r="K1772" t="s">
        <v>668</v>
      </c>
      <c r="L1772" t="s">
        <v>645</v>
      </c>
      <c r="M1772" t="s">
        <v>629</v>
      </c>
      <c r="N1772" t="s">
        <v>646</v>
      </c>
      <c r="O1772" t="s">
        <v>632</v>
      </c>
    </row>
    <row r="1773" spans="1:15" x14ac:dyDescent="0.35">
      <c r="A1773" s="77">
        <v>2.0986301369863014</v>
      </c>
      <c r="B1773" s="19">
        <v>88214</v>
      </c>
      <c r="C1773" s="19" t="s">
        <v>4087</v>
      </c>
      <c r="D1773" s="19" t="s">
        <v>51</v>
      </c>
      <c r="E1773" s="19" t="s">
        <v>52</v>
      </c>
      <c r="F1773" s="19" t="s">
        <v>921</v>
      </c>
      <c r="G1773" s="19" t="s">
        <v>1028</v>
      </c>
      <c r="H1773" s="19" t="s">
        <v>1020</v>
      </c>
      <c r="I1773" s="19" t="s">
        <v>1575</v>
      </c>
      <c r="J1773" s="20">
        <v>35</v>
      </c>
      <c r="K1773" t="s">
        <v>636</v>
      </c>
      <c r="L1773" t="s">
        <v>656</v>
      </c>
      <c r="M1773" t="s">
        <v>657</v>
      </c>
      <c r="N1773" t="s">
        <v>658</v>
      </c>
      <c r="O1773" t="s">
        <v>718</v>
      </c>
    </row>
    <row r="1774" spans="1:15" x14ac:dyDescent="0.35">
      <c r="A1774" s="77">
        <v>2.1041095890410957</v>
      </c>
      <c r="B1774" s="19">
        <v>88239</v>
      </c>
      <c r="C1774" s="19" t="s">
        <v>4088</v>
      </c>
      <c r="D1774" s="19" t="s">
        <v>351</v>
      </c>
      <c r="E1774" s="19" t="s">
        <v>352</v>
      </c>
      <c r="F1774" s="19" t="s">
        <v>1507</v>
      </c>
      <c r="G1774" s="19" t="s">
        <v>1057</v>
      </c>
      <c r="H1774" s="19" t="s">
        <v>1001</v>
      </c>
      <c r="I1774" s="19" t="s">
        <v>1575</v>
      </c>
      <c r="J1774" s="20">
        <v>20</v>
      </c>
      <c r="K1774" t="s">
        <v>636</v>
      </c>
      <c r="L1774" t="s">
        <v>661</v>
      </c>
      <c r="M1774" t="s">
        <v>657</v>
      </c>
      <c r="N1774" t="s">
        <v>662</v>
      </c>
      <c r="O1774" t="s">
        <v>632</v>
      </c>
    </row>
    <row r="1775" spans="1:15" x14ac:dyDescent="0.35">
      <c r="A1775" s="77">
        <v>2.1041095890410957</v>
      </c>
      <c r="B1775" s="19">
        <v>88241</v>
      </c>
      <c r="C1775" s="19" t="s">
        <v>4089</v>
      </c>
      <c r="D1775" s="19" t="s">
        <v>377</v>
      </c>
      <c r="E1775" s="19" t="s">
        <v>378</v>
      </c>
      <c r="F1775" s="19" t="s">
        <v>862</v>
      </c>
      <c r="G1775" s="19" t="s">
        <v>1028</v>
      </c>
      <c r="H1775" s="19" t="s">
        <v>1020</v>
      </c>
      <c r="I1775" s="19" t="s">
        <v>1575</v>
      </c>
      <c r="J1775" s="20">
        <v>21</v>
      </c>
      <c r="K1775" t="s">
        <v>631</v>
      </c>
      <c r="L1775" t="s">
        <v>661</v>
      </c>
      <c r="M1775" t="s">
        <v>657</v>
      </c>
      <c r="N1775" t="s">
        <v>662</v>
      </c>
      <c r="O1775" t="s">
        <v>632</v>
      </c>
    </row>
    <row r="1776" spans="1:15" x14ac:dyDescent="0.35">
      <c r="A1776" s="77">
        <v>2.1041095890410957</v>
      </c>
      <c r="B1776" s="19">
        <v>88246</v>
      </c>
      <c r="C1776" s="19" t="s">
        <v>4090</v>
      </c>
      <c r="D1776" s="19" t="s">
        <v>413</v>
      </c>
      <c r="E1776" s="19" t="s">
        <v>414</v>
      </c>
      <c r="F1776" s="19" t="s">
        <v>1699</v>
      </c>
      <c r="G1776" s="19" t="s">
        <v>1084</v>
      </c>
      <c r="H1776" s="19" t="s">
        <v>1020</v>
      </c>
      <c r="I1776" s="19" t="s">
        <v>1575</v>
      </c>
      <c r="J1776" s="20">
        <v>57</v>
      </c>
      <c r="K1776" t="s">
        <v>668</v>
      </c>
      <c r="L1776" t="s">
        <v>691</v>
      </c>
      <c r="M1776" t="s">
        <v>657</v>
      </c>
      <c r="N1776" t="s">
        <v>658</v>
      </c>
      <c r="O1776" t="s">
        <v>632</v>
      </c>
    </row>
    <row r="1777" spans="1:15" x14ac:dyDescent="0.35">
      <c r="A1777" s="77">
        <v>2.0931506849315067</v>
      </c>
      <c r="B1777" s="19">
        <v>88280</v>
      </c>
      <c r="C1777" s="19" t="s">
        <v>4091</v>
      </c>
      <c r="D1777" s="19" t="s">
        <v>76</v>
      </c>
      <c r="E1777" s="19" t="s">
        <v>77</v>
      </c>
      <c r="F1777" s="19" t="s">
        <v>899</v>
      </c>
      <c r="G1777" s="19" t="s">
        <v>1028</v>
      </c>
      <c r="H1777" s="19" t="s">
        <v>1020</v>
      </c>
      <c r="I1777" s="19" t="s">
        <v>1599</v>
      </c>
      <c r="J1777" s="20">
        <v>21</v>
      </c>
      <c r="K1777" t="s">
        <v>636</v>
      </c>
      <c r="L1777" t="s">
        <v>645</v>
      </c>
      <c r="M1777" t="s">
        <v>629</v>
      </c>
      <c r="N1777" t="s">
        <v>646</v>
      </c>
      <c r="O1777" t="s">
        <v>632</v>
      </c>
    </row>
    <row r="1778" spans="1:15" x14ac:dyDescent="0.35">
      <c r="A1778" s="77">
        <v>2.1013698630136988</v>
      </c>
      <c r="B1778" s="19">
        <v>88283</v>
      </c>
      <c r="C1778" s="19" t="s">
        <v>4092</v>
      </c>
      <c r="D1778" s="19" t="s">
        <v>420</v>
      </c>
      <c r="E1778" s="19" t="s">
        <v>420</v>
      </c>
      <c r="F1778" s="19" t="s">
        <v>686</v>
      </c>
      <c r="G1778" s="19" t="s">
        <v>1046</v>
      </c>
      <c r="H1778" s="19" t="s">
        <v>1001</v>
      </c>
      <c r="I1778" s="19" t="s">
        <v>1575</v>
      </c>
      <c r="J1778" s="20">
        <v>21</v>
      </c>
      <c r="K1778" t="s">
        <v>631</v>
      </c>
      <c r="L1778" t="s">
        <v>634</v>
      </c>
      <c r="M1778" t="s">
        <v>629</v>
      </c>
      <c r="N1778" t="s">
        <v>635</v>
      </c>
      <c r="O1778" t="s">
        <v>637</v>
      </c>
    </row>
    <row r="1779" spans="1:15" x14ac:dyDescent="0.35">
      <c r="A1779" s="77">
        <v>2.0931506849315067</v>
      </c>
      <c r="B1779" s="19">
        <v>88288</v>
      </c>
      <c r="C1779" s="19" t="s">
        <v>4093</v>
      </c>
      <c r="D1779" s="19" t="s">
        <v>328</v>
      </c>
      <c r="E1779" s="19" t="s">
        <v>329</v>
      </c>
      <c r="F1779" s="19" t="s">
        <v>838</v>
      </c>
      <c r="G1779" s="19" t="s">
        <v>1084</v>
      </c>
      <c r="H1779" s="19" t="s">
        <v>1001</v>
      </c>
      <c r="I1779" s="19" t="s">
        <v>1599</v>
      </c>
      <c r="J1779" s="20">
        <v>31</v>
      </c>
      <c r="K1779" t="s">
        <v>631</v>
      </c>
      <c r="L1779" t="s">
        <v>645</v>
      </c>
      <c r="M1779" t="s">
        <v>629</v>
      </c>
      <c r="N1779" t="s">
        <v>646</v>
      </c>
      <c r="O1779" t="s">
        <v>632</v>
      </c>
    </row>
    <row r="1780" spans="1:15" x14ac:dyDescent="0.35">
      <c r="A1780" s="77">
        <v>0.54246575342465753</v>
      </c>
      <c r="B1780" s="19">
        <v>88293</v>
      </c>
      <c r="C1780" s="19" t="s">
        <v>4094</v>
      </c>
      <c r="D1780" s="19" t="s">
        <v>157</v>
      </c>
      <c r="E1780" s="19" t="s">
        <v>158</v>
      </c>
      <c r="F1780" s="19" t="s">
        <v>1012</v>
      </c>
      <c r="G1780" s="19" t="s">
        <v>1057</v>
      </c>
      <c r="H1780" s="19" t="s">
        <v>1001</v>
      </c>
      <c r="I1780" s="19" t="s">
        <v>1575</v>
      </c>
      <c r="J1780" s="20">
        <v>28</v>
      </c>
      <c r="K1780" t="s">
        <v>668</v>
      </c>
      <c r="L1780" t="s">
        <v>670</v>
      </c>
      <c r="M1780" t="s">
        <v>657</v>
      </c>
      <c r="N1780" t="s">
        <v>641</v>
      </c>
      <c r="O1780" t="s">
        <v>671</v>
      </c>
    </row>
    <row r="1781" spans="1:15" x14ac:dyDescent="0.35">
      <c r="A1781" s="77">
        <v>1.0767123287671232</v>
      </c>
      <c r="B1781" s="19">
        <v>88294</v>
      </c>
      <c r="C1781" s="19" t="s">
        <v>4095</v>
      </c>
      <c r="D1781" s="19" t="s">
        <v>128</v>
      </c>
      <c r="E1781" s="19" t="s">
        <v>129</v>
      </c>
      <c r="F1781" s="19" t="s">
        <v>1075</v>
      </c>
      <c r="G1781" s="19" t="s">
        <v>1019</v>
      </c>
      <c r="H1781" s="19" t="s">
        <v>1020</v>
      </c>
      <c r="I1781" s="19" t="s">
        <v>1575</v>
      </c>
      <c r="J1781" s="20">
        <v>25</v>
      </c>
      <c r="K1781" t="s">
        <v>636</v>
      </c>
      <c r="L1781" t="s">
        <v>678</v>
      </c>
      <c r="M1781" t="s">
        <v>623</v>
      </c>
      <c r="N1781" t="s">
        <v>624</v>
      </c>
      <c r="O1781" t="s">
        <v>679</v>
      </c>
    </row>
    <row r="1782" spans="1:15" x14ac:dyDescent="0.35">
      <c r="A1782" s="77">
        <v>2.4657534246575342E-2</v>
      </c>
      <c r="B1782" s="19">
        <v>88301</v>
      </c>
      <c r="C1782" s="19" t="s">
        <v>4096</v>
      </c>
      <c r="D1782" s="19" t="s">
        <v>64</v>
      </c>
      <c r="E1782" s="19" t="s">
        <v>65</v>
      </c>
      <c r="F1782" s="19" t="s">
        <v>1197</v>
      </c>
      <c r="G1782" s="19" t="s">
        <v>1008</v>
      </c>
      <c r="H1782" s="19" t="s">
        <v>1001</v>
      </c>
      <c r="I1782" s="19" t="s">
        <v>1575</v>
      </c>
      <c r="J1782" s="20">
        <v>26</v>
      </c>
      <c r="K1782" t="s">
        <v>654</v>
      </c>
      <c r="L1782" t="s">
        <v>651</v>
      </c>
      <c r="M1782" t="s">
        <v>629</v>
      </c>
      <c r="N1782" t="s">
        <v>630</v>
      </c>
      <c r="O1782" t="s">
        <v>705</v>
      </c>
    </row>
    <row r="1783" spans="1:15" x14ac:dyDescent="0.35">
      <c r="A1783" s="77">
        <v>2.095890410958904</v>
      </c>
      <c r="B1783" s="19">
        <v>88315</v>
      </c>
      <c r="C1783" s="19" t="s">
        <v>4097</v>
      </c>
      <c r="D1783" s="19" t="s">
        <v>239</v>
      </c>
      <c r="E1783" s="19" t="s">
        <v>240</v>
      </c>
      <c r="F1783" s="19" t="s">
        <v>798</v>
      </c>
      <c r="G1783" s="19" t="s">
        <v>1008</v>
      </c>
      <c r="H1783" s="19" t="s">
        <v>1001</v>
      </c>
      <c r="I1783" s="19" t="s">
        <v>1575</v>
      </c>
      <c r="J1783" s="20">
        <v>21</v>
      </c>
      <c r="K1783" t="s">
        <v>636</v>
      </c>
      <c r="L1783" t="s">
        <v>628</v>
      </c>
      <c r="M1783" t="s">
        <v>629</v>
      </c>
      <c r="N1783" t="s">
        <v>646</v>
      </c>
      <c r="O1783" t="s">
        <v>632</v>
      </c>
    </row>
    <row r="1784" spans="1:15" x14ac:dyDescent="0.35">
      <c r="A1784" s="77">
        <v>2.0931506849315067</v>
      </c>
      <c r="B1784" s="19">
        <v>88319</v>
      </c>
      <c r="C1784" s="19" t="s">
        <v>4098</v>
      </c>
      <c r="D1784" s="19" t="s">
        <v>167</v>
      </c>
      <c r="E1784" s="19" t="s">
        <v>168</v>
      </c>
      <c r="F1784" s="19" t="s">
        <v>2009</v>
      </c>
      <c r="G1784" s="19" t="s">
        <v>1008</v>
      </c>
      <c r="H1784" s="19" t="s">
        <v>1001</v>
      </c>
      <c r="I1784" s="19" t="s">
        <v>1575</v>
      </c>
      <c r="J1784" s="20">
        <v>20</v>
      </c>
      <c r="K1784" t="s">
        <v>636</v>
      </c>
      <c r="L1784" t="s">
        <v>640</v>
      </c>
      <c r="M1784" t="s">
        <v>623</v>
      </c>
      <c r="N1784" t="s">
        <v>641</v>
      </c>
      <c r="O1784" t="s">
        <v>754</v>
      </c>
    </row>
    <row r="1785" spans="1:15" x14ac:dyDescent="0.35">
      <c r="A1785" s="77">
        <v>2.095890410958904</v>
      </c>
      <c r="B1785" s="19">
        <v>88326</v>
      </c>
      <c r="C1785" s="19" t="s">
        <v>4099</v>
      </c>
      <c r="D1785" s="19" t="s">
        <v>161</v>
      </c>
      <c r="E1785" s="19" t="s">
        <v>162</v>
      </c>
      <c r="F1785" s="19" t="s">
        <v>1027</v>
      </c>
      <c r="G1785" s="19" t="s">
        <v>1034</v>
      </c>
      <c r="H1785" s="19" t="s">
        <v>1001</v>
      </c>
      <c r="I1785" s="19" t="s">
        <v>1599</v>
      </c>
      <c r="J1785" s="20">
        <v>21</v>
      </c>
      <c r="K1785" t="s">
        <v>654</v>
      </c>
      <c r="L1785" t="s">
        <v>622</v>
      </c>
      <c r="M1785" t="s">
        <v>623</v>
      </c>
      <c r="N1785" t="s">
        <v>624</v>
      </c>
      <c r="O1785" t="s">
        <v>649</v>
      </c>
    </row>
    <row r="1786" spans="1:15" x14ac:dyDescent="0.35">
      <c r="A1786" s="77">
        <v>2.095890410958904</v>
      </c>
      <c r="B1786" s="19">
        <v>88328</v>
      </c>
      <c r="C1786" s="19" t="s">
        <v>4100</v>
      </c>
      <c r="D1786" s="19" t="s">
        <v>47</v>
      </c>
      <c r="E1786" s="19" t="s">
        <v>48</v>
      </c>
      <c r="F1786" s="19" t="s">
        <v>1232</v>
      </c>
      <c r="G1786" s="19" t="s">
        <v>1084</v>
      </c>
      <c r="H1786" s="19" t="s">
        <v>1020</v>
      </c>
      <c r="I1786" s="19" t="s">
        <v>1575</v>
      </c>
      <c r="J1786" s="20">
        <v>53</v>
      </c>
      <c r="K1786" t="s">
        <v>636</v>
      </c>
      <c r="L1786" t="s">
        <v>622</v>
      </c>
      <c r="M1786" t="s">
        <v>623</v>
      </c>
      <c r="N1786" t="s">
        <v>624</v>
      </c>
      <c r="O1786" t="s">
        <v>649</v>
      </c>
    </row>
    <row r="1787" spans="1:15" x14ac:dyDescent="0.35">
      <c r="A1787" s="77">
        <v>0.8</v>
      </c>
      <c r="B1787" s="19">
        <v>88346</v>
      </c>
      <c r="C1787" s="19" t="s">
        <v>4101</v>
      </c>
      <c r="D1787" s="19" t="s">
        <v>385</v>
      </c>
      <c r="E1787" s="19" t="s">
        <v>386</v>
      </c>
      <c r="F1787" s="19" t="s">
        <v>1059</v>
      </c>
      <c r="G1787" s="19" t="s">
        <v>1028</v>
      </c>
      <c r="H1787" s="19" t="s">
        <v>1020</v>
      </c>
      <c r="I1787" s="19" t="s">
        <v>1575</v>
      </c>
      <c r="J1787" s="20">
        <v>24</v>
      </c>
      <c r="K1787" t="s">
        <v>631</v>
      </c>
      <c r="L1787" t="s">
        <v>663</v>
      </c>
      <c r="M1787" t="s">
        <v>629</v>
      </c>
      <c r="N1787" t="s">
        <v>646</v>
      </c>
      <c r="O1787" t="s">
        <v>810</v>
      </c>
    </row>
    <row r="1788" spans="1:15" x14ac:dyDescent="0.35">
      <c r="A1788" s="77">
        <v>2.0821917808219177</v>
      </c>
      <c r="B1788" s="19">
        <v>88364</v>
      </c>
      <c r="C1788" s="19" t="s">
        <v>4102</v>
      </c>
      <c r="D1788" s="19" t="s">
        <v>14</v>
      </c>
      <c r="E1788" s="19" t="s">
        <v>14</v>
      </c>
      <c r="F1788" s="19" t="s">
        <v>15</v>
      </c>
      <c r="G1788" s="19" t="s">
        <v>1057</v>
      </c>
      <c r="H1788" s="19" t="s">
        <v>1001</v>
      </c>
      <c r="I1788" s="19" t="s">
        <v>1575</v>
      </c>
      <c r="J1788" s="20">
        <v>22</v>
      </c>
      <c r="K1788" t="s">
        <v>642</v>
      </c>
      <c r="L1788" t="s">
        <v>640</v>
      </c>
      <c r="M1788" t="s">
        <v>623</v>
      </c>
      <c r="N1788" t="s">
        <v>641</v>
      </c>
      <c r="O1788" t="s">
        <v>643</v>
      </c>
    </row>
    <row r="1789" spans="1:15" x14ac:dyDescent="0.35">
      <c r="A1789" s="77">
        <v>2.0821917808219177</v>
      </c>
      <c r="B1789" s="19">
        <v>88365</v>
      </c>
      <c r="C1789" s="19" t="s">
        <v>4103</v>
      </c>
      <c r="D1789" s="19" t="s">
        <v>31</v>
      </c>
      <c r="E1789" s="19" t="s">
        <v>31</v>
      </c>
      <c r="F1789" s="19" t="s">
        <v>675</v>
      </c>
      <c r="G1789" s="19" t="s">
        <v>1008</v>
      </c>
      <c r="H1789" s="19" t="s">
        <v>1001</v>
      </c>
      <c r="I1789" s="19" t="s">
        <v>1599</v>
      </c>
      <c r="J1789" s="20">
        <v>23</v>
      </c>
      <c r="K1789" t="s">
        <v>654</v>
      </c>
      <c r="L1789" t="s">
        <v>670</v>
      </c>
      <c r="M1789" t="s">
        <v>657</v>
      </c>
      <c r="N1789" t="s">
        <v>641</v>
      </c>
      <c r="O1789" t="s">
        <v>676</v>
      </c>
    </row>
    <row r="1790" spans="1:15" x14ac:dyDescent="0.35">
      <c r="A1790" s="77">
        <v>0.66027397260273968</v>
      </c>
      <c r="B1790" s="19">
        <v>88380</v>
      </c>
      <c r="C1790" s="19" t="s">
        <v>4104</v>
      </c>
      <c r="D1790" s="19" t="s">
        <v>126</v>
      </c>
      <c r="E1790" s="19" t="s">
        <v>127</v>
      </c>
      <c r="F1790" s="19" t="s">
        <v>1152</v>
      </c>
      <c r="G1790" s="19" t="s">
        <v>1028</v>
      </c>
      <c r="H1790" s="19" t="s">
        <v>1020</v>
      </c>
      <c r="I1790" s="19" t="s">
        <v>1575</v>
      </c>
      <c r="J1790" s="20">
        <v>23</v>
      </c>
      <c r="K1790" t="s">
        <v>654</v>
      </c>
      <c r="L1790" t="s">
        <v>628</v>
      </c>
      <c r="M1790" t="s">
        <v>629</v>
      </c>
      <c r="N1790" t="s">
        <v>630</v>
      </c>
      <c r="O1790" t="s">
        <v>632</v>
      </c>
    </row>
    <row r="1791" spans="1:15" x14ac:dyDescent="0.35">
      <c r="A1791" s="77">
        <v>2.0821917808219177</v>
      </c>
      <c r="B1791" s="19">
        <v>88400</v>
      </c>
      <c r="C1791" s="19" t="s">
        <v>4105</v>
      </c>
      <c r="D1791" s="19" t="s">
        <v>355</v>
      </c>
      <c r="E1791" s="19" t="s">
        <v>356</v>
      </c>
      <c r="F1791" s="19" t="s">
        <v>1100</v>
      </c>
      <c r="G1791" s="19" t="s">
        <v>1008</v>
      </c>
      <c r="H1791" s="19" t="s">
        <v>1001</v>
      </c>
      <c r="I1791" s="19" t="s">
        <v>1575</v>
      </c>
      <c r="J1791" s="20">
        <v>20</v>
      </c>
      <c r="K1791" t="s">
        <v>625</v>
      </c>
      <c r="L1791" t="s">
        <v>622</v>
      </c>
      <c r="M1791" t="s">
        <v>623</v>
      </c>
      <c r="N1791" t="s">
        <v>624</v>
      </c>
      <c r="O1791" t="s">
        <v>649</v>
      </c>
    </row>
    <row r="1792" spans="1:15" x14ac:dyDescent="0.35">
      <c r="A1792" s="77">
        <v>2.0821917808219177</v>
      </c>
      <c r="B1792" s="19">
        <v>88407</v>
      </c>
      <c r="C1792" s="19" t="s">
        <v>4106</v>
      </c>
      <c r="D1792" s="19" t="s">
        <v>47</v>
      </c>
      <c r="E1792" s="19" t="s">
        <v>48</v>
      </c>
      <c r="F1792" s="19" t="s">
        <v>1232</v>
      </c>
      <c r="G1792" s="19" t="s">
        <v>1084</v>
      </c>
      <c r="H1792" s="19" t="s">
        <v>1020</v>
      </c>
      <c r="I1792" s="19" t="s">
        <v>1575</v>
      </c>
      <c r="J1792" s="20">
        <v>58</v>
      </c>
      <c r="K1792" t="s">
        <v>636</v>
      </c>
      <c r="L1792" t="s">
        <v>622</v>
      </c>
      <c r="M1792" t="s">
        <v>623</v>
      </c>
      <c r="N1792" t="s">
        <v>624</v>
      </c>
      <c r="O1792" t="s">
        <v>649</v>
      </c>
    </row>
    <row r="1793" spans="1:15" x14ac:dyDescent="0.35">
      <c r="A1793" s="77">
        <v>2.0767123287671234</v>
      </c>
      <c r="B1793" s="19">
        <v>88410</v>
      </c>
      <c r="C1793" s="19" t="s">
        <v>4107</v>
      </c>
      <c r="D1793" s="19" t="s">
        <v>84</v>
      </c>
      <c r="E1793" s="19" t="s">
        <v>85</v>
      </c>
      <c r="F1793" s="19" t="s">
        <v>2606</v>
      </c>
      <c r="G1793" s="19" t="s">
        <v>1008</v>
      </c>
      <c r="H1793" s="19" t="s">
        <v>1001</v>
      </c>
      <c r="I1793" s="19" t="s">
        <v>1599</v>
      </c>
      <c r="J1793" s="20">
        <v>22</v>
      </c>
      <c r="K1793" t="s">
        <v>642</v>
      </c>
      <c r="L1793" t="s">
        <v>622</v>
      </c>
      <c r="M1793" t="s">
        <v>623</v>
      </c>
      <c r="N1793" t="s">
        <v>624</v>
      </c>
      <c r="O1793" t="s">
        <v>730</v>
      </c>
    </row>
    <row r="1794" spans="1:15" x14ac:dyDescent="0.35">
      <c r="A1794" s="77">
        <v>2.0821917808219177</v>
      </c>
      <c r="B1794" s="19">
        <v>88428</v>
      </c>
      <c r="C1794" s="19" t="s">
        <v>4108</v>
      </c>
      <c r="D1794" s="19" t="s">
        <v>393</v>
      </c>
      <c r="E1794" s="19" t="s">
        <v>394</v>
      </c>
      <c r="F1794" s="19" t="s">
        <v>865</v>
      </c>
      <c r="G1794" s="19" t="s">
        <v>1008</v>
      </c>
      <c r="H1794" s="19" t="s">
        <v>1001</v>
      </c>
      <c r="I1794" s="19" t="s">
        <v>1575</v>
      </c>
      <c r="J1794" s="20">
        <v>21</v>
      </c>
      <c r="K1794" t="s">
        <v>631</v>
      </c>
      <c r="L1794" t="s">
        <v>684</v>
      </c>
      <c r="M1794" t="s">
        <v>623</v>
      </c>
      <c r="N1794" t="s">
        <v>662</v>
      </c>
      <c r="O1794" t="s">
        <v>685</v>
      </c>
    </row>
    <row r="1795" spans="1:15" x14ac:dyDescent="0.35">
      <c r="A1795" s="77">
        <v>0.41095890410958902</v>
      </c>
      <c r="B1795" s="19">
        <v>88444</v>
      </c>
      <c r="C1795" s="19" t="s">
        <v>4109</v>
      </c>
      <c r="D1795" s="19" t="s">
        <v>385</v>
      </c>
      <c r="E1795" s="19" t="s">
        <v>386</v>
      </c>
      <c r="F1795" s="19" t="s">
        <v>1059</v>
      </c>
      <c r="G1795" s="19" t="s">
        <v>1008</v>
      </c>
      <c r="H1795" s="19" t="s">
        <v>1001</v>
      </c>
      <c r="I1795" s="19" t="s">
        <v>1575</v>
      </c>
      <c r="J1795" s="20">
        <v>21</v>
      </c>
      <c r="K1795" t="s">
        <v>631</v>
      </c>
      <c r="L1795" t="s">
        <v>663</v>
      </c>
      <c r="M1795" t="s">
        <v>629</v>
      </c>
      <c r="N1795" t="s">
        <v>646</v>
      </c>
      <c r="O1795" t="s">
        <v>810</v>
      </c>
    </row>
    <row r="1796" spans="1:15" x14ac:dyDescent="0.35">
      <c r="A1796" s="77">
        <v>2.0630136986301371</v>
      </c>
      <c r="B1796" s="19">
        <v>88451</v>
      </c>
      <c r="C1796" s="19" t="s">
        <v>4110</v>
      </c>
      <c r="D1796" s="19" t="s">
        <v>250</v>
      </c>
      <c r="E1796" s="19" t="s">
        <v>251</v>
      </c>
      <c r="F1796" s="19" t="s">
        <v>1126</v>
      </c>
      <c r="G1796" s="19" t="s">
        <v>1008</v>
      </c>
      <c r="H1796" s="19" t="s">
        <v>1001</v>
      </c>
      <c r="I1796" s="19" t="s">
        <v>1575</v>
      </c>
      <c r="J1796" s="20">
        <v>24</v>
      </c>
      <c r="K1796" t="s">
        <v>668</v>
      </c>
      <c r="L1796" t="s">
        <v>634</v>
      </c>
      <c r="M1796" t="s">
        <v>629</v>
      </c>
      <c r="N1796" t="s">
        <v>635</v>
      </c>
      <c r="O1796" t="s">
        <v>637</v>
      </c>
    </row>
    <row r="1797" spans="1:15" x14ac:dyDescent="0.35">
      <c r="A1797" s="77">
        <v>2.0767123287671234</v>
      </c>
      <c r="B1797" s="19">
        <v>88454</v>
      </c>
      <c r="C1797" s="19" t="s">
        <v>4111</v>
      </c>
      <c r="D1797" s="19" t="s">
        <v>401</v>
      </c>
      <c r="E1797" s="19" t="s">
        <v>402</v>
      </c>
      <c r="F1797" s="19" t="s">
        <v>1314</v>
      </c>
      <c r="G1797" s="19" t="s">
        <v>1019</v>
      </c>
      <c r="H1797" s="19" t="s">
        <v>1020</v>
      </c>
      <c r="I1797" s="19" t="s">
        <v>1575</v>
      </c>
      <c r="J1797" s="20">
        <v>21</v>
      </c>
      <c r="K1797" t="s">
        <v>668</v>
      </c>
      <c r="L1797" t="s">
        <v>691</v>
      </c>
      <c r="M1797" t="s">
        <v>657</v>
      </c>
      <c r="N1797" t="s">
        <v>658</v>
      </c>
      <c r="O1797" t="s">
        <v>632</v>
      </c>
    </row>
    <row r="1798" spans="1:15" x14ac:dyDescent="0.35">
      <c r="A1798" s="77">
        <v>2.0657534246575344</v>
      </c>
      <c r="B1798" s="19">
        <v>88464</v>
      </c>
      <c r="C1798" s="19" t="s">
        <v>4112</v>
      </c>
      <c r="D1798" s="19" t="s">
        <v>284</v>
      </c>
      <c r="E1798" s="19" t="s">
        <v>285</v>
      </c>
      <c r="F1798" s="19" t="s">
        <v>1150</v>
      </c>
      <c r="G1798" s="19" t="s">
        <v>1008</v>
      </c>
      <c r="H1798" s="19" t="s">
        <v>1001</v>
      </c>
      <c r="I1798" s="19" t="s">
        <v>1575</v>
      </c>
      <c r="J1798" s="20">
        <v>20</v>
      </c>
      <c r="K1798" t="s">
        <v>625</v>
      </c>
      <c r="L1798" t="s">
        <v>661</v>
      </c>
      <c r="M1798" t="s">
        <v>657</v>
      </c>
      <c r="N1798" t="s">
        <v>662</v>
      </c>
      <c r="O1798" t="s">
        <v>632</v>
      </c>
    </row>
    <row r="1799" spans="1:15" x14ac:dyDescent="0.35">
      <c r="A1799" s="77">
        <v>2.0630136986301371</v>
      </c>
      <c r="B1799" s="19">
        <v>88480</v>
      </c>
      <c r="C1799" s="19" t="s">
        <v>4113</v>
      </c>
      <c r="D1799" s="19" t="s">
        <v>23</v>
      </c>
      <c r="E1799" s="19" t="s">
        <v>23</v>
      </c>
      <c r="F1799" s="19" t="s">
        <v>660</v>
      </c>
      <c r="G1799" s="19" t="s">
        <v>1084</v>
      </c>
      <c r="H1799" s="19" t="s">
        <v>1020</v>
      </c>
      <c r="I1799" s="19" t="s">
        <v>1575</v>
      </c>
      <c r="J1799" s="20">
        <v>49</v>
      </c>
      <c r="K1799" t="s">
        <v>631</v>
      </c>
      <c r="L1799" t="s">
        <v>661</v>
      </c>
      <c r="M1799" t="s">
        <v>657</v>
      </c>
      <c r="N1799" t="s">
        <v>662</v>
      </c>
      <c r="O1799" t="s">
        <v>632</v>
      </c>
    </row>
    <row r="1800" spans="1:15" x14ac:dyDescent="0.35">
      <c r="A1800" s="77">
        <v>2.0630136986301371</v>
      </c>
      <c r="B1800" s="19">
        <v>88484</v>
      </c>
      <c r="C1800" s="19" t="s">
        <v>4114</v>
      </c>
      <c r="D1800" s="19" t="s">
        <v>307</v>
      </c>
      <c r="E1800" s="19" t="s">
        <v>308</v>
      </c>
      <c r="F1800" s="19" t="s">
        <v>1524</v>
      </c>
      <c r="G1800" s="19" t="s">
        <v>1057</v>
      </c>
      <c r="H1800" s="19" t="s">
        <v>1001</v>
      </c>
      <c r="I1800" s="19" t="s">
        <v>1575</v>
      </c>
      <c r="J1800" s="20">
        <v>21</v>
      </c>
      <c r="K1800" t="s">
        <v>668</v>
      </c>
      <c r="L1800" t="s">
        <v>656</v>
      </c>
      <c r="M1800" t="s">
        <v>657</v>
      </c>
      <c r="N1800" t="s">
        <v>658</v>
      </c>
      <c r="O1800" t="s">
        <v>718</v>
      </c>
    </row>
    <row r="1801" spans="1:15" x14ac:dyDescent="0.35">
      <c r="A1801" s="77">
        <v>2.0630136986301371</v>
      </c>
      <c r="B1801" s="19">
        <v>88502</v>
      </c>
      <c r="C1801" s="19" t="s">
        <v>4115</v>
      </c>
      <c r="D1801" s="19" t="s">
        <v>339</v>
      </c>
      <c r="E1801" s="19" t="s">
        <v>340</v>
      </c>
      <c r="F1801" s="19" t="s">
        <v>1024</v>
      </c>
      <c r="G1801" s="19" t="s">
        <v>1034</v>
      </c>
      <c r="H1801" s="19" t="s">
        <v>1001</v>
      </c>
      <c r="I1801" s="19" t="s">
        <v>1575</v>
      </c>
      <c r="J1801" s="20">
        <v>24</v>
      </c>
      <c r="K1801" t="s">
        <v>631</v>
      </c>
      <c r="L1801" t="s">
        <v>651</v>
      </c>
      <c r="M1801" t="s">
        <v>629</v>
      </c>
      <c r="N1801" t="s">
        <v>630</v>
      </c>
      <c r="O1801" t="s">
        <v>705</v>
      </c>
    </row>
    <row r="1802" spans="1:15" x14ac:dyDescent="0.35">
      <c r="A1802" s="77">
        <v>2.0575342465753423</v>
      </c>
      <c r="B1802" s="19">
        <v>88537</v>
      </c>
      <c r="C1802" s="19" t="s">
        <v>4116</v>
      </c>
      <c r="D1802" s="19" t="s">
        <v>140</v>
      </c>
      <c r="E1802" s="19" t="s">
        <v>141</v>
      </c>
      <c r="F1802" s="19" t="s">
        <v>1138</v>
      </c>
      <c r="G1802" s="19" t="s">
        <v>1046</v>
      </c>
      <c r="H1802" s="19" t="s">
        <v>1001</v>
      </c>
      <c r="I1802" s="19" t="s">
        <v>1575</v>
      </c>
      <c r="J1802" s="20">
        <v>30</v>
      </c>
      <c r="K1802" t="s">
        <v>636</v>
      </c>
      <c r="L1802" t="s">
        <v>640</v>
      </c>
      <c r="M1802" t="s">
        <v>623</v>
      </c>
      <c r="N1802" t="s">
        <v>641</v>
      </c>
      <c r="O1802" t="s">
        <v>754</v>
      </c>
    </row>
    <row r="1803" spans="1:15" x14ac:dyDescent="0.35">
      <c r="A1803" s="77">
        <v>2.043835616438356</v>
      </c>
      <c r="B1803" s="19">
        <v>88562</v>
      </c>
      <c r="C1803" s="19" t="s">
        <v>4117</v>
      </c>
      <c r="D1803" s="19" t="s">
        <v>369</v>
      </c>
      <c r="E1803" s="19" t="s">
        <v>370</v>
      </c>
      <c r="F1803" s="19" t="s">
        <v>856</v>
      </c>
      <c r="G1803" s="19" t="s">
        <v>1008</v>
      </c>
      <c r="H1803" s="19" t="s">
        <v>1001</v>
      </c>
      <c r="I1803" s="19" t="s">
        <v>1599</v>
      </c>
      <c r="J1803" s="20">
        <v>33</v>
      </c>
      <c r="K1803" t="s">
        <v>654</v>
      </c>
      <c r="L1803" t="s">
        <v>684</v>
      </c>
      <c r="M1803" t="s">
        <v>623</v>
      </c>
      <c r="N1803" t="s">
        <v>662</v>
      </c>
      <c r="O1803" t="s">
        <v>857</v>
      </c>
    </row>
    <row r="1804" spans="1:15" x14ac:dyDescent="0.35">
      <c r="A1804" s="77">
        <v>2.043835616438356</v>
      </c>
      <c r="B1804" s="19">
        <v>88566</v>
      </c>
      <c r="C1804" s="19" t="s">
        <v>4118</v>
      </c>
      <c r="D1804" s="19" t="s">
        <v>369</v>
      </c>
      <c r="E1804" s="19" t="s">
        <v>370</v>
      </c>
      <c r="F1804" s="19" t="s">
        <v>856</v>
      </c>
      <c r="G1804" s="19" t="s">
        <v>1008</v>
      </c>
      <c r="H1804" s="19" t="s">
        <v>1001</v>
      </c>
      <c r="I1804" s="19" t="s">
        <v>1575</v>
      </c>
      <c r="J1804" s="20">
        <v>26</v>
      </c>
      <c r="K1804" t="s">
        <v>654</v>
      </c>
      <c r="L1804" t="s">
        <v>684</v>
      </c>
      <c r="M1804" t="s">
        <v>623</v>
      </c>
      <c r="N1804" t="s">
        <v>662</v>
      </c>
      <c r="O1804" t="s">
        <v>857</v>
      </c>
    </row>
    <row r="1805" spans="1:15" x14ac:dyDescent="0.35">
      <c r="A1805" s="77">
        <v>2.0465753424657533</v>
      </c>
      <c r="B1805" s="19">
        <v>88573</v>
      </c>
      <c r="C1805" s="19" t="s">
        <v>4119</v>
      </c>
      <c r="D1805" s="19" t="s">
        <v>399</v>
      </c>
      <c r="E1805" s="19" t="s">
        <v>400</v>
      </c>
      <c r="F1805" s="19" t="s">
        <v>868</v>
      </c>
      <c r="G1805" s="19" t="s">
        <v>1008</v>
      </c>
      <c r="H1805" s="19" t="s">
        <v>1001</v>
      </c>
      <c r="I1805" s="19" t="s">
        <v>1575</v>
      </c>
      <c r="J1805" s="20">
        <v>26</v>
      </c>
      <c r="K1805" t="s">
        <v>642</v>
      </c>
      <c r="L1805" t="s">
        <v>684</v>
      </c>
      <c r="M1805" t="s">
        <v>623</v>
      </c>
      <c r="N1805" t="s">
        <v>662</v>
      </c>
      <c r="O1805" t="s">
        <v>795</v>
      </c>
    </row>
    <row r="1806" spans="1:15" x14ac:dyDescent="0.35">
      <c r="A1806" s="77">
        <v>2.0547945205479454</v>
      </c>
      <c r="B1806" s="19">
        <v>88576</v>
      </c>
      <c r="C1806" s="19" t="s">
        <v>4120</v>
      </c>
      <c r="D1806" s="19" t="s">
        <v>91</v>
      </c>
      <c r="E1806" s="19" t="s">
        <v>92</v>
      </c>
      <c r="F1806" s="19" t="s">
        <v>1113</v>
      </c>
      <c r="G1806" s="19" t="s">
        <v>1008</v>
      </c>
      <c r="H1806" s="19" t="s">
        <v>1001</v>
      </c>
      <c r="I1806" s="19" t="s">
        <v>1575</v>
      </c>
      <c r="J1806" s="20">
        <v>26</v>
      </c>
      <c r="K1806" t="s">
        <v>636</v>
      </c>
      <c r="L1806" t="s">
        <v>634</v>
      </c>
      <c r="M1806" t="s">
        <v>629</v>
      </c>
      <c r="N1806" t="s">
        <v>630</v>
      </c>
      <c r="O1806" t="s">
        <v>734</v>
      </c>
    </row>
    <row r="1807" spans="1:15" x14ac:dyDescent="0.35">
      <c r="A1807" s="77">
        <v>2.043835616438356</v>
      </c>
      <c r="B1807" s="19">
        <v>88601</v>
      </c>
      <c r="C1807" s="19" t="s">
        <v>4121</v>
      </c>
      <c r="D1807" s="19" t="s">
        <v>62</v>
      </c>
      <c r="E1807" s="19" t="s">
        <v>63</v>
      </c>
      <c r="F1807" s="19" t="s">
        <v>1228</v>
      </c>
      <c r="G1807" s="19" t="s">
        <v>1019</v>
      </c>
      <c r="H1807" s="19" t="s">
        <v>1020</v>
      </c>
      <c r="I1807" s="19" t="s">
        <v>1575</v>
      </c>
      <c r="J1807" s="20">
        <v>21</v>
      </c>
      <c r="K1807" t="s">
        <v>636</v>
      </c>
      <c r="L1807" t="s">
        <v>645</v>
      </c>
      <c r="M1807" t="s">
        <v>629</v>
      </c>
      <c r="N1807" t="s">
        <v>646</v>
      </c>
      <c r="O1807" t="s">
        <v>632</v>
      </c>
    </row>
    <row r="1808" spans="1:15" x14ac:dyDescent="0.35">
      <c r="A1808" s="77">
        <v>2.0356164383561643</v>
      </c>
      <c r="B1808" s="19">
        <v>88620</v>
      </c>
      <c r="C1808" s="19" t="s">
        <v>4122</v>
      </c>
      <c r="D1808" s="19" t="s">
        <v>76</v>
      </c>
      <c r="E1808" s="19" t="s">
        <v>77</v>
      </c>
      <c r="F1808" s="19" t="s">
        <v>899</v>
      </c>
      <c r="G1808" s="19" t="s">
        <v>1028</v>
      </c>
      <c r="H1808" s="19" t="s">
        <v>1020</v>
      </c>
      <c r="I1808" s="19" t="s">
        <v>1575</v>
      </c>
      <c r="J1808" s="20">
        <v>20</v>
      </c>
      <c r="K1808" t="s">
        <v>636</v>
      </c>
      <c r="L1808" t="s">
        <v>645</v>
      </c>
      <c r="M1808" t="s">
        <v>629</v>
      </c>
      <c r="N1808" t="s">
        <v>646</v>
      </c>
      <c r="O1808" t="s">
        <v>632</v>
      </c>
    </row>
    <row r="1809" spans="1:15" x14ac:dyDescent="0.35">
      <c r="A1809" s="77">
        <v>2.0356164383561643</v>
      </c>
      <c r="B1809" s="19">
        <v>88624</v>
      </c>
      <c r="C1809" s="19" t="s">
        <v>4123</v>
      </c>
      <c r="D1809" s="19" t="s">
        <v>211</v>
      </c>
      <c r="E1809" s="19" t="s">
        <v>212</v>
      </c>
      <c r="F1809" s="19" t="s">
        <v>1049</v>
      </c>
      <c r="G1809" s="19" t="s">
        <v>1057</v>
      </c>
      <c r="H1809" s="19" t="s">
        <v>1001</v>
      </c>
      <c r="I1809" s="19" t="s">
        <v>1575</v>
      </c>
      <c r="J1809" s="20">
        <v>23</v>
      </c>
      <c r="K1809" t="s">
        <v>654</v>
      </c>
      <c r="L1809" t="s">
        <v>691</v>
      </c>
      <c r="M1809" t="s">
        <v>657</v>
      </c>
      <c r="N1809" t="s">
        <v>658</v>
      </c>
      <c r="O1809" t="s">
        <v>632</v>
      </c>
    </row>
    <row r="1810" spans="1:15" x14ac:dyDescent="0.35">
      <c r="A1810" s="77">
        <v>2.0410958904109591</v>
      </c>
      <c r="B1810" s="19">
        <v>88634</v>
      </c>
      <c r="C1810" s="19" t="s">
        <v>4124</v>
      </c>
      <c r="D1810" s="19" t="s">
        <v>149</v>
      </c>
      <c r="E1810" s="19" t="s">
        <v>150</v>
      </c>
      <c r="F1810" s="19" t="s">
        <v>1548</v>
      </c>
      <c r="G1810" s="19" t="s">
        <v>1019</v>
      </c>
      <c r="H1810" s="19" t="s">
        <v>1020</v>
      </c>
      <c r="I1810" s="19" t="s">
        <v>1575</v>
      </c>
      <c r="J1810" s="20">
        <v>26</v>
      </c>
      <c r="K1810" t="s">
        <v>654</v>
      </c>
      <c r="L1810" t="s">
        <v>648</v>
      </c>
      <c r="M1810" t="s">
        <v>623</v>
      </c>
      <c r="N1810" t="s">
        <v>624</v>
      </c>
      <c r="O1810" t="s">
        <v>725</v>
      </c>
    </row>
    <row r="1811" spans="1:15" x14ac:dyDescent="0.35">
      <c r="A1811" s="77">
        <v>1.5397260273972602</v>
      </c>
      <c r="B1811" s="19">
        <v>88644</v>
      </c>
      <c r="C1811" s="19" t="s">
        <v>4125</v>
      </c>
      <c r="D1811" s="19" t="s">
        <v>276</v>
      </c>
      <c r="E1811" s="19" t="s">
        <v>277</v>
      </c>
      <c r="F1811" s="19" t="s">
        <v>893</v>
      </c>
      <c r="G1811" s="19" t="s">
        <v>1034</v>
      </c>
      <c r="H1811" s="19" t="s">
        <v>1001</v>
      </c>
      <c r="I1811" s="19" t="s">
        <v>1599</v>
      </c>
      <c r="J1811" s="20">
        <v>24</v>
      </c>
      <c r="K1811" t="s">
        <v>631</v>
      </c>
      <c r="L1811" t="s">
        <v>707</v>
      </c>
      <c r="M1811" t="s">
        <v>629</v>
      </c>
      <c r="N1811" t="s">
        <v>635</v>
      </c>
      <c r="O1811" t="s">
        <v>710</v>
      </c>
    </row>
    <row r="1812" spans="1:15" x14ac:dyDescent="0.35">
      <c r="A1812" s="77">
        <v>2.0246575342465754</v>
      </c>
      <c r="B1812" s="19">
        <v>88667</v>
      </c>
      <c r="C1812" s="19" t="s">
        <v>4126</v>
      </c>
      <c r="D1812" s="19" t="s">
        <v>258</v>
      </c>
      <c r="E1812" s="19" t="s">
        <v>259</v>
      </c>
      <c r="F1812" s="19" t="s">
        <v>1349</v>
      </c>
      <c r="G1812" s="19" t="s">
        <v>1057</v>
      </c>
      <c r="H1812" s="19" t="s">
        <v>1001</v>
      </c>
      <c r="I1812" s="19" t="s">
        <v>1599</v>
      </c>
      <c r="J1812" s="20">
        <v>24</v>
      </c>
      <c r="K1812" t="s">
        <v>668</v>
      </c>
      <c r="L1812" t="s">
        <v>691</v>
      </c>
      <c r="M1812" t="s">
        <v>657</v>
      </c>
      <c r="N1812" t="s">
        <v>658</v>
      </c>
      <c r="O1812" t="s">
        <v>632</v>
      </c>
    </row>
    <row r="1813" spans="1:15" x14ac:dyDescent="0.35">
      <c r="A1813" s="77">
        <v>2.0246575342465754</v>
      </c>
      <c r="B1813" s="19">
        <v>88669</v>
      </c>
      <c r="C1813" s="19" t="s">
        <v>4127</v>
      </c>
      <c r="D1813" s="19" t="s">
        <v>51</v>
      </c>
      <c r="E1813" s="19" t="s">
        <v>52</v>
      </c>
      <c r="F1813" s="19" t="s">
        <v>921</v>
      </c>
      <c r="G1813" s="19" t="s">
        <v>1008</v>
      </c>
      <c r="H1813" s="19" t="s">
        <v>1001</v>
      </c>
      <c r="I1813" s="19" t="s">
        <v>1599</v>
      </c>
      <c r="J1813" s="20">
        <v>29</v>
      </c>
      <c r="K1813" t="s">
        <v>636</v>
      </c>
      <c r="L1813" t="s">
        <v>656</v>
      </c>
      <c r="M1813" t="s">
        <v>657</v>
      </c>
      <c r="N1813" t="s">
        <v>658</v>
      </c>
      <c r="O1813" t="s">
        <v>718</v>
      </c>
    </row>
    <row r="1814" spans="1:15" x14ac:dyDescent="0.35">
      <c r="A1814" s="77">
        <v>2.021917808219178</v>
      </c>
      <c r="B1814" s="19">
        <v>88692</v>
      </c>
      <c r="C1814" s="19" t="s">
        <v>4128</v>
      </c>
      <c r="D1814" s="19" t="s">
        <v>397</v>
      </c>
      <c r="E1814" s="19" t="s">
        <v>398</v>
      </c>
      <c r="F1814" s="19" t="s">
        <v>867</v>
      </c>
      <c r="G1814" s="19" t="s">
        <v>1057</v>
      </c>
      <c r="H1814" s="19" t="s">
        <v>1001</v>
      </c>
      <c r="I1814" s="19" t="s">
        <v>1575</v>
      </c>
      <c r="J1814" s="20">
        <v>24</v>
      </c>
      <c r="K1814" t="s">
        <v>625</v>
      </c>
      <c r="L1814" t="s">
        <v>634</v>
      </c>
      <c r="M1814" t="s">
        <v>629</v>
      </c>
      <c r="N1814" t="s">
        <v>635</v>
      </c>
      <c r="O1814" t="s">
        <v>637</v>
      </c>
    </row>
    <row r="1815" spans="1:15" x14ac:dyDescent="0.35">
      <c r="A1815" s="77">
        <v>2.0191780821917806</v>
      </c>
      <c r="B1815" s="19">
        <v>88719</v>
      </c>
      <c r="C1815" s="19" t="s">
        <v>4129</v>
      </c>
      <c r="D1815" s="19" t="s">
        <v>163</v>
      </c>
      <c r="E1815" s="19" t="s">
        <v>164</v>
      </c>
      <c r="F1815" s="19" t="s">
        <v>1174</v>
      </c>
      <c r="G1815" s="19" t="s">
        <v>1057</v>
      </c>
      <c r="H1815" s="19" t="s">
        <v>1001</v>
      </c>
      <c r="I1815" s="19" t="s">
        <v>1575</v>
      </c>
      <c r="J1815" s="20">
        <v>25</v>
      </c>
      <c r="K1815" t="s">
        <v>654</v>
      </c>
      <c r="L1815" t="s">
        <v>634</v>
      </c>
      <c r="M1815" t="s">
        <v>629</v>
      </c>
      <c r="N1815" t="s">
        <v>635</v>
      </c>
      <c r="O1815" t="s">
        <v>637</v>
      </c>
    </row>
    <row r="1816" spans="1:15" x14ac:dyDescent="0.35">
      <c r="A1816" s="77">
        <v>2.0273972602739727</v>
      </c>
      <c r="B1816" s="19">
        <v>88723</v>
      </c>
      <c r="C1816" s="19" t="s">
        <v>4130</v>
      </c>
      <c r="D1816" s="19" t="s">
        <v>320</v>
      </c>
      <c r="E1816" s="19" t="s">
        <v>321</v>
      </c>
      <c r="F1816" s="19" t="s">
        <v>1205</v>
      </c>
      <c r="G1816" s="19" t="s">
        <v>1008</v>
      </c>
      <c r="H1816" s="19" t="s">
        <v>1001</v>
      </c>
      <c r="I1816" s="19" t="s">
        <v>1575</v>
      </c>
      <c r="J1816" s="20">
        <v>21</v>
      </c>
      <c r="K1816" t="s">
        <v>668</v>
      </c>
      <c r="L1816" t="s">
        <v>707</v>
      </c>
      <c r="M1816" t="s">
        <v>629</v>
      </c>
      <c r="N1816" t="s">
        <v>635</v>
      </c>
      <c r="O1816" t="s">
        <v>708</v>
      </c>
    </row>
    <row r="1817" spans="1:15" x14ac:dyDescent="0.35">
      <c r="A1817" s="77">
        <v>1.7945205479452055</v>
      </c>
      <c r="B1817" s="19">
        <v>88724</v>
      </c>
      <c r="C1817" s="19" t="s">
        <v>4131</v>
      </c>
      <c r="D1817" s="19" t="s">
        <v>373</v>
      </c>
      <c r="E1817" s="19" t="s">
        <v>374</v>
      </c>
      <c r="F1817" s="19" t="s">
        <v>1033</v>
      </c>
      <c r="G1817" s="19" t="s">
        <v>1057</v>
      </c>
      <c r="H1817" s="19" t="s">
        <v>1001</v>
      </c>
      <c r="I1817" s="19" t="s">
        <v>1575</v>
      </c>
      <c r="J1817" s="20">
        <v>21</v>
      </c>
      <c r="K1817" t="s">
        <v>654</v>
      </c>
      <c r="L1817" t="s">
        <v>634</v>
      </c>
      <c r="M1817" t="s">
        <v>629</v>
      </c>
      <c r="N1817" t="s">
        <v>635</v>
      </c>
      <c r="O1817" t="s">
        <v>637</v>
      </c>
    </row>
    <row r="1818" spans="1:15" x14ac:dyDescent="0.35">
      <c r="A1818" s="77">
        <v>2.021917808219178</v>
      </c>
      <c r="B1818" s="19">
        <v>88740</v>
      </c>
      <c r="C1818" s="19" t="s">
        <v>4132</v>
      </c>
      <c r="D1818" s="19" t="s">
        <v>18</v>
      </c>
      <c r="E1818" s="19" t="s">
        <v>18</v>
      </c>
      <c r="F1818" s="19" t="s">
        <v>650</v>
      </c>
      <c r="G1818" s="19" t="s">
        <v>1057</v>
      </c>
      <c r="H1818" s="19" t="s">
        <v>1001</v>
      </c>
      <c r="I1818" s="19" t="s">
        <v>1575</v>
      </c>
      <c r="J1818" s="20">
        <v>21</v>
      </c>
      <c r="K1818" t="s">
        <v>636</v>
      </c>
      <c r="L1818" t="s">
        <v>651</v>
      </c>
      <c r="M1818" t="s">
        <v>629</v>
      </c>
      <c r="N1818" t="s">
        <v>630</v>
      </c>
      <c r="O1818" t="s">
        <v>652</v>
      </c>
    </row>
    <row r="1819" spans="1:15" x14ac:dyDescent="0.35">
      <c r="A1819" s="77">
        <v>0.9342465753424658</v>
      </c>
      <c r="B1819" s="19">
        <v>88753</v>
      </c>
      <c r="C1819" s="19" t="s">
        <v>4133</v>
      </c>
      <c r="D1819" s="19" t="s">
        <v>32</v>
      </c>
      <c r="E1819" s="19" t="s">
        <v>33</v>
      </c>
      <c r="F1819" s="19" t="s">
        <v>1154</v>
      </c>
      <c r="G1819" s="19" t="s">
        <v>1084</v>
      </c>
      <c r="H1819" s="19" t="s">
        <v>1001</v>
      </c>
      <c r="I1819" s="19" t="s">
        <v>1599</v>
      </c>
      <c r="J1819" s="20">
        <v>27</v>
      </c>
      <c r="K1819" t="s">
        <v>654</v>
      </c>
      <c r="L1819" t="s">
        <v>622</v>
      </c>
      <c r="M1819" t="s">
        <v>623</v>
      </c>
      <c r="N1819" t="s">
        <v>624</v>
      </c>
      <c r="O1819" t="s">
        <v>681</v>
      </c>
    </row>
    <row r="1820" spans="1:15" x14ac:dyDescent="0.35">
      <c r="A1820" s="77">
        <v>2.0082191780821916</v>
      </c>
      <c r="B1820" s="19">
        <v>88757</v>
      </c>
      <c r="C1820" s="19" t="s">
        <v>4134</v>
      </c>
      <c r="D1820" s="19" t="s">
        <v>335</v>
      </c>
      <c r="E1820" s="19" t="s">
        <v>336</v>
      </c>
      <c r="F1820" s="19" t="s">
        <v>841</v>
      </c>
      <c r="G1820" s="19" t="s">
        <v>1057</v>
      </c>
      <c r="H1820" s="19" t="s">
        <v>1001</v>
      </c>
      <c r="I1820" s="19" t="s">
        <v>1575</v>
      </c>
      <c r="J1820" s="20">
        <v>23</v>
      </c>
      <c r="K1820" t="s">
        <v>636</v>
      </c>
      <c r="L1820" t="s">
        <v>622</v>
      </c>
      <c r="M1820" t="s">
        <v>623</v>
      </c>
      <c r="N1820" t="s">
        <v>624</v>
      </c>
      <c r="O1820" t="s">
        <v>649</v>
      </c>
    </row>
    <row r="1821" spans="1:15" x14ac:dyDescent="0.35">
      <c r="A1821" s="77">
        <v>2.021917808219178</v>
      </c>
      <c r="B1821" s="19">
        <v>88763</v>
      </c>
      <c r="C1821" s="19" t="s">
        <v>4135</v>
      </c>
      <c r="D1821" s="19" t="s">
        <v>41</v>
      </c>
      <c r="E1821" s="19" t="s">
        <v>41</v>
      </c>
      <c r="F1821" s="19" t="s">
        <v>1157</v>
      </c>
      <c r="G1821" s="19" t="s">
        <v>1034</v>
      </c>
      <c r="H1821" s="19" t="s">
        <v>1001</v>
      </c>
      <c r="I1821" s="19" t="s">
        <v>1575</v>
      </c>
      <c r="J1821" s="20">
        <v>20</v>
      </c>
      <c r="K1821" t="s">
        <v>625</v>
      </c>
      <c r="L1821" t="s">
        <v>691</v>
      </c>
      <c r="M1821" t="s">
        <v>657</v>
      </c>
      <c r="N1821" t="s">
        <v>658</v>
      </c>
      <c r="O1821" t="s">
        <v>632</v>
      </c>
    </row>
    <row r="1822" spans="1:15" x14ac:dyDescent="0.35">
      <c r="A1822" s="77">
        <v>2.0164383561643837</v>
      </c>
      <c r="B1822" s="19">
        <v>88765</v>
      </c>
      <c r="C1822" s="19" t="s">
        <v>4136</v>
      </c>
      <c r="D1822" s="19" t="s">
        <v>351</v>
      </c>
      <c r="E1822" s="19" t="s">
        <v>352</v>
      </c>
      <c r="F1822" s="19" t="s">
        <v>1507</v>
      </c>
      <c r="G1822" s="19" t="s">
        <v>1008</v>
      </c>
      <c r="H1822" s="19" t="s">
        <v>1001</v>
      </c>
      <c r="I1822" s="19" t="s">
        <v>1575</v>
      </c>
      <c r="J1822" s="20">
        <v>25</v>
      </c>
      <c r="K1822" t="s">
        <v>636</v>
      </c>
      <c r="L1822" t="s">
        <v>661</v>
      </c>
      <c r="M1822" t="s">
        <v>657</v>
      </c>
      <c r="N1822" t="s">
        <v>662</v>
      </c>
      <c r="O1822" t="s">
        <v>632</v>
      </c>
    </row>
    <row r="1823" spans="1:15" x14ac:dyDescent="0.35">
      <c r="A1823" s="77">
        <v>1.9972602739726026</v>
      </c>
      <c r="B1823" s="19">
        <v>88808</v>
      </c>
      <c r="C1823" s="19" t="s">
        <v>4137</v>
      </c>
      <c r="D1823" s="19" t="s">
        <v>111</v>
      </c>
      <c r="E1823" s="19" t="s">
        <v>112</v>
      </c>
      <c r="F1823" s="19" t="s">
        <v>1083</v>
      </c>
      <c r="G1823" s="19" t="s">
        <v>1028</v>
      </c>
      <c r="H1823" s="19" t="s">
        <v>1020</v>
      </c>
      <c r="I1823" s="19" t="s">
        <v>1575</v>
      </c>
      <c r="J1823" s="20">
        <v>24</v>
      </c>
      <c r="K1823" t="s">
        <v>654</v>
      </c>
      <c r="L1823" t="s">
        <v>651</v>
      </c>
      <c r="M1823" t="s">
        <v>629</v>
      </c>
      <c r="N1823" t="s">
        <v>630</v>
      </c>
      <c r="O1823" t="s">
        <v>652</v>
      </c>
    </row>
    <row r="1824" spans="1:15" x14ac:dyDescent="0.35">
      <c r="A1824" s="77">
        <v>1.9972602739726026</v>
      </c>
      <c r="B1824" s="19">
        <v>88810</v>
      </c>
      <c r="C1824" s="19" t="s">
        <v>4138</v>
      </c>
      <c r="D1824" s="19" t="s">
        <v>276</v>
      </c>
      <c r="E1824" s="19" t="s">
        <v>277</v>
      </c>
      <c r="F1824" s="19" t="s">
        <v>893</v>
      </c>
      <c r="G1824" s="19" t="s">
        <v>1008</v>
      </c>
      <c r="H1824" s="19" t="s">
        <v>1001</v>
      </c>
      <c r="I1824" s="19" t="s">
        <v>1575</v>
      </c>
      <c r="J1824" s="20">
        <v>53</v>
      </c>
      <c r="K1824" t="s">
        <v>631</v>
      </c>
      <c r="L1824" t="s">
        <v>707</v>
      </c>
      <c r="M1824" t="s">
        <v>629</v>
      </c>
      <c r="N1824" t="s">
        <v>635</v>
      </c>
      <c r="O1824" t="s">
        <v>710</v>
      </c>
    </row>
    <row r="1825" spans="1:15" x14ac:dyDescent="0.35">
      <c r="A1825" s="77">
        <v>1.9972602739726026</v>
      </c>
      <c r="B1825" s="19">
        <v>88819</v>
      </c>
      <c r="C1825" s="19" t="s">
        <v>4139</v>
      </c>
      <c r="D1825" s="19" t="s">
        <v>417</v>
      </c>
      <c r="E1825" s="19" t="s">
        <v>417</v>
      </c>
      <c r="F1825" s="19" t="s">
        <v>418</v>
      </c>
      <c r="G1825" s="19" t="s">
        <v>1028</v>
      </c>
      <c r="H1825" s="19" t="s">
        <v>1020</v>
      </c>
      <c r="I1825" s="19" t="s">
        <v>1575</v>
      </c>
      <c r="J1825" s="20">
        <v>40</v>
      </c>
      <c r="K1825" t="s">
        <v>654</v>
      </c>
      <c r="L1825" t="s">
        <v>684</v>
      </c>
      <c r="M1825" t="s">
        <v>623</v>
      </c>
      <c r="N1825" t="s">
        <v>662</v>
      </c>
      <c r="O1825" t="s">
        <v>687</v>
      </c>
    </row>
    <row r="1826" spans="1:15" x14ac:dyDescent="0.35">
      <c r="A1826" s="77">
        <v>1.9972602739726026</v>
      </c>
      <c r="B1826" s="19">
        <v>88839</v>
      </c>
      <c r="C1826" s="19" t="s">
        <v>4140</v>
      </c>
      <c r="D1826" s="19" t="s">
        <v>215</v>
      </c>
      <c r="E1826" s="19" t="s">
        <v>216</v>
      </c>
      <c r="F1826" s="19" t="s">
        <v>1081</v>
      </c>
      <c r="G1826" s="19" t="s">
        <v>1019</v>
      </c>
      <c r="H1826" s="19" t="s">
        <v>1020</v>
      </c>
      <c r="I1826" s="19" t="s">
        <v>1575</v>
      </c>
      <c r="J1826" s="20">
        <v>23</v>
      </c>
      <c r="K1826" t="s">
        <v>654</v>
      </c>
      <c r="L1826" t="s">
        <v>640</v>
      </c>
      <c r="M1826" t="s">
        <v>623</v>
      </c>
      <c r="N1826" t="s">
        <v>624</v>
      </c>
      <c r="O1826" t="s">
        <v>789</v>
      </c>
    </row>
    <row r="1827" spans="1:15" x14ac:dyDescent="0.35">
      <c r="A1827" s="77">
        <v>1.989041095890411</v>
      </c>
      <c r="B1827" s="19">
        <v>88898</v>
      </c>
      <c r="C1827" s="19" t="s">
        <v>4141</v>
      </c>
      <c r="D1827" s="19" t="s">
        <v>107</v>
      </c>
      <c r="E1827" s="19" t="s">
        <v>108</v>
      </c>
      <c r="F1827" s="19" t="s">
        <v>2702</v>
      </c>
      <c r="G1827" s="19" t="s">
        <v>1028</v>
      </c>
      <c r="H1827" s="19" t="s">
        <v>1020</v>
      </c>
      <c r="I1827" s="19" t="s">
        <v>1575</v>
      </c>
      <c r="J1827" s="20">
        <v>24</v>
      </c>
      <c r="K1827" t="s">
        <v>668</v>
      </c>
      <c r="L1827" t="s">
        <v>691</v>
      </c>
      <c r="M1827" t="s">
        <v>657</v>
      </c>
      <c r="N1827" t="s">
        <v>658</v>
      </c>
      <c r="O1827" t="s">
        <v>632</v>
      </c>
    </row>
    <row r="1828" spans="1:15" x14ac:dyDescent="0.35">
      <c r="A1828" s="77">
        <v>1.9972602739726026</v>
      </c>
      <c r="B1828" s="19">
        <v>88920</v>
      </c>
      <c r="C1828" s="19" t="s">
        <v>4142</v>
      </c>
      <c r="D1828" s="19" t="s">
        <v>278</v>
      </c>
      <c r="E1828" s="19" t="s">
        <v>279</v>
      </c>
      <c r="F1828" s="19" t="s">
        <v>1131</v>
      </c>
      <c r="G1828" s="19" t="s">
        <v>1019</v>
      </c>
      <c r="H1828" s="19" t="s">
        <v>1020</v>
      </c>
      <c r="I1828" s="19" t="s">
        <v>1599</v>
      </c>
      <c r="J1828" s="20">
        <v>21</v>
      </c>
      <c r="K1828" t="s">
        <v>625</v>
      </c>
      <c r="L1828" t="s">
        <v>661</v>
      </c>
      <c r="M1828" t="s">
        <v>657</v>
      </c>
      <c r="N1828" t="s">
        <v>662</v>
      </c>
      <c r="O1828" t="s">
        <v>632</v>
      </c>
    </row>
    <row r="1829" spans="1:15" x14ac:dyDescent="0.35">
      <c r="A1829" s="77">
        <v>2.1917808219178082E-2</v>
      </c>
      <c r="B1829" s="19">
        <v>88951</v>
      </c>
      <c r="C1829" s="19" t="s">
        <v>4143</v>
      </c>
      <c r="D1829" s="19" t="s">
        <v>328</v>
      </c>
      <c r="E1829" s="19" t="s">
        <v>329</v>
      </c>
      <c r="F1829" s="19" t="s">
        <v>838</v>
      </c>
      <c r="G1829" s="19" t="s">
        <v>1028</v>
      </c>
      <c r="H1829" s="19" t="s">
        <v>1020</v>
      </c>
      <c r="I1829" s="19" t="s">
        <v>1575</v>
      </c>
      <c r="J1829" s="20">
        <v>20</v>
      </c>
      <c r="K1829" t="s">
        <v>631</v>
      </c>
      <c r="L1829" t="s">
        <v>645</v>
      </c>
      <c r="M1829" t="s">
        <v>629</v>
      </c>
      <c r="N1829" t="s">
        <v>646</v>
      </c>
      <c r="O1829" t="s">
        <v>632</v>
      </c>
    </row>
    <row r="1830" spans="1:15" x14ac:dyDescent="0.35">
      <c r="A1830" s="77">
        <v>1.989041095890411</v>
      </c>
      <c r="B1830" s="19">
        <v>88963</v>
      </c>
      <c r="C1830" s="19" t="s">
        <v>4144</v>
      </c>
      <c r="D1830" s="19" t="s">
        <v>431</v>
      </c>
      <c r="E1830" s="19" t="e">
        <v>#N/A</v>
      </c>
      <c r="F1830" s="19" t="s">
        <v>709</v>
      </c>
      <c r="G1830" s="19" t="s">
        <v>1008</v>
      </c>
      <c r="H1830" s="19" t="s">
        <v>1001</v>
      </c>
      <c r="I1830" s="19" t="s">
        <v>1575</v>
      </c>
      <c r="J1830" s="20">
        <v>40</v>
      </c>
      <c r="K1830" t="s">
        <v>654</v>
      </c>
      <c r="L1830" t="s">
        <v>707</v>
      </c>
      <c r="M1830" t="s">
        <v>629</v>
      </c>
      <c r="N1830" t="s">
        <v>635</v>
      </c>
      <c r="O1830" t="s">
        <v>710</v>
      </c>
    </row>
    <row r="1831" spans="1:15" x14ac:dyDescent="0.35">
      <c r="A1831" s="77">
        <v>1.978082191780822</v>
      </c>
      <c r="B1831" s="19">
        <v>88964</v>
      </c>
      <c r="C1831" s="19" t="s">
        <v>4145</v>
      </c>
      <c r="D1831" s="19" t="s">
        <v>430</v>
      </c>
      <c r="E1831" s="19" t="e">
        <v>#N/A</v>
      </c>
      <c r="F1831" s="19" t="s">
        <v>1105</v>
      </c>
      <c r="G1831" s="19" t="s">
        <v>1008</v>
      </c>
      <c r="H1831" s="19" t="s">
        <v>1001</v>
      </c>
      <c r="I1831" s="19" t="s">
        <v>1575</v>
      </c>
      <c r="J1831" s="20">
        <v>52</v>
      </c>
      <c r="K1831" t="s">
        <v>654</v>
      </c>
      <c r="L1831" t="s">
        <v>645</v>
      </c>
      <c r="M1831" t="s">
        <v>629</v>
      </c>
      <c r="N1831" t="s">
        <v>646</v>
      </c>
      <c r="O1831" t="s">
        <v>632</v>
      </c>
    </row>
    <row r="1832" spans="1:15" x14ac:dyDescent="0.35">
      <c r="A1832" s="77">
        <v>1.978082191780822</v>
      </c>
      <c r="B1832" s="19">
        <v>88974</v>
      </c>
      <c r="C1832" s="19" t="s">
        <v>4146</v>
      </c>
      <c r="D1832" s="19" t="s">
        <v>91</v>
      </c>
      <c r="E1832" s="19" t="s">
        <v>92</v>
      </c>
      <c r="F1832" s="19" t="s">
        <v>1113</v>
      </c>
      <c r="G1832" s="19" t="s">
        <v>1019</v>
      </c>
      <c r="H1832" s="19" t="s">
        <v>1020</v>
      </c>
      <c r="I1832" s="19" t="s">
        <v>1575</v>
      </c>
      <c r="J1832" s="20">
        <v>20</v>
      </c>
      <c r="K1832" t="s">
        <v>636</v>
      </c>
      <c r="L1832" t="s">
        <v>634</v>
      </c>
      <c r="M1832" t="s">
        <v>629</v>
      </c>
      <c r="N1832" t="s">
        <v>630</v>
      </c>
      <c r="O1832" t="s">
        <v>734</v>
      </c>
    </row>
    <row r="1833" spans="1:15" x14ac:dyDescent="0.35">
      <c r="A1833" s="77">
        <v>1.989041095890411</v>
      </c>
      <c r="B1833" s="19">
        <v>88979</v>
      </c>
      <c r="C1833" s="19" t="s">
        <v>4147</v>
      </c>
      <c r="D1833" s="19" t="s">
        <v>431</v>
      </c>
      <c r="E1833" s="19" t="e">
        <v>#N/A</v>
      </c>
      <c r="F1833" s="19" t="s">
        <v>709</v>
      </c>
      <c r="G1833" s="19" t="s">
        <v>1008</v>
      </c>
      <c r="H1833" s="19" t="s">
        <v>1001</v>
      </c>
      <c r="I1833" s="19" t="s">
        <v>1575</v>
      </c>
      <c r="J1833" s="20">
        <v>29</v>
      </c>
      <c r="K1833" t="s">
        <v>654</v>
      </c>
      <c r="L1833" t="s">
        <v>707</v>
      </c>
      <c r="M1833" t="s">
        <v>629</v>
      </c>
      <c r="N1833" t="s">
        <v>635</v>
      </c>
      <c r="O1833" t="s">
        <v>710</v>
      </c>
    </row>
    <row r="1834" spans="1:15" x14ac:dyDescent="0.35">
      <c r="A1834" s="77">
        <v>1.978082191780822</v>
      </c>
      <c r="B1834" s="19">
        <v>88985</v>
      </c>
      <c r="C1834" s="19" t="s">
        <v>4148</v>
      </c>
      <c r="D1834" s="19" t="s">
        <v>427</v>
      </c>
      <c r="E1834" s="19" t="s">
        <v>427</v>
      </c>
      <c r="F1834" s="19" t="s">
        <v>1290</v>
      </c>
      <c r="G1834" s="19" t="s">
        <v>1057</v>
      </c>
      <c r="H1834" s="19" t="s">
        <v>1001</v>
      </c>
      <c r="I1834" s="19" t="s">
        <v>1575</v>
      </c>
      <c r="J1834" s="20">
        <v>31</v>
      </c>
      <c r="K1834" t="s">
        <v>654</v>
      </c>
      <c r="L1834" t="s">
        <v>651</v>
      </c>
      <c r="M1834" t="s">
        <v>629</v>
      </c>
      <c r="N1834" t="s">
        <v>630</v>
      </c>
      <c r="O1834" t="s">
        <v>652</v>
      </c>
    </row>
    <row r="1835" spans="1:15" x14ac:dyDescent="0.35">
      <c r="A1835" s="77">
        <v>1.978082191780822</v>
      </c>
      <c r="B1835" s="19">
        <v>88997</v>
      </c>
      <c r="C1835" s="19" t="s">
        <v>4149</v>
      </c>
      <c r="D1835" s="19" t="s">
        <v>208</v>
      </c>
      <c r="E1835" s="19" t="s">
        <v>209</v>
      </c>
      <c r="F1835" s="19" t="s">
        <v>1444</v>
      </c>
      <c r="G1835" s="19" t="s">
        <v>1008</v>
      </c>
      <c r="H1835" s="19" t="s">
        <v>1001</v>
      </c>
      <c r="I1835" s="19" t="s">
        <v>1575</v>
      </c>
      <c r="J1835" s="20">
        <v>28</v>
      </c>
      <c r="K1835" t="s">
        <v>636</v>
      </c>
      <c r="L1835" t="s">
        <v>640</v>
      </c>
      <c r="M1835" t="s">
        <v>623</v>
      </c>
      <c r="N1835" t="s">
        <v>624</v>
      </c>
      <c r="O1835" t="s">
        <v>787</v>
      </c>
    </row>
    <row r="1836" spans="1:15" x14ac:dyDescent="0.35">
      <c r="A1836" s="77">
        <v>1.9835616438356165</v>
      </c>
      <c r="B1836" s="19">
        <v>89017</v>
      </c>
      <c r="C1836" s="19" t="s">
        <v>4150</v>
      </c>
      <c r="D1836" s="19" t="s">
        <v>313</v>
      </c>
      <c r="E1836" s="19" t="s">
        <v>314</v>
      </c>
      <c r="F1836" s="19" t="s">
        <v>1401</v>
      </c>
      <c r="G1836" s="19" t="s">
        <v>1046</v>
      </c>
      <c r="H1836" s="19" t="s">
        <v>1001</v>
      </c>
      <c r="I1836" s="19" t="s">
        <v>1575</v>
      </c>
      <c r="J1836" s="20">
        <v>29</v>
      </c>
      <c r="K1836" t="s">
        <v>654</v>
      </c>
      <c r="L1836" t="s">
        <v>666</v>
      </c>
      <c r="M1836" t="s">
        <v>629</v>
      </c>
      <c r="N1836" t="s">
        <v>635</v>
      </c>
      <c r="O1836" t="s">
        <v>637</v>
      </c>
    </row>
    <row r="1837" spans="1:15" x14ac:dyDescent="0.35">
      <c r="A1837" s="77">
        <v>0.71506849315068488</v>
      </c>
      <c r="B1837" s="19">
        <v>89038</v>
      </c>
      <c r="C1837" s="19" t="s">
        <v>4151</v>
      </c>
      <c r="D1837" s="19" t="s">
        <v>30</v>
      </c>
      <c r="E1837" s="19" t="s">
        <v>30</v>
      </c>
      <c r="F1837" s="19" t="s">
        <v>672</v>
      </c>
      <c r="G1837" s="19" t="s">
        <v>1028</v>
      </c>
      <c r="H1837" s="19" t="s">
        <v>1020</v>
      </c>
      <c r="I1837" s="19" t="s">
        <v>1575</v>
      </c>
      <c r="J1837" s="20">
        <v>22</v>
      </c>
      <c r="K1837" t="s">
        <v>636</v>
      </c>
      <c r="L1837" t="s">
        <v>673</v>
      </c>
      <c r="M1837" t="s">
        <v>623</v>
      </c>
      <c r="N1837" t="s">
        <v>641</v>
      </c>
      <c r="O1837" t="s">
        <v>674</v>
      </c>
    </row>
    <row r="1838" spans="1:15" x14ac:dyDescent="0.35">
      <c r="A1838" s="77">
        <v>1.9698630136986301</v>
      </c>
      <c r="B1838" s="19">
        <v>89041</v>
      </c>
      <c r="C1838" s="19" t="s">
        <v>4152</v>
      </c>
      <c r="D1838" s="19" t="s">
        <v>41</v>
      </c>
      <c r="E1838" s="19" t="s">
        <v>41</v>
      </c>
      <c r="F1838" s="19" t="s">
        <v>1157</v>
      </c>
      <c r="G1838" s="19" t="s">
        <v>1034</v>
      </c>
      <c r="H1838" s="19" t="s">
        <v>1001</v>
      </c>
      <c r="I1838" s="19" t="s">
        <v>1599</v>
      </c>
      <c r="J1838" s="20">
        <v>22</v>
      </c>
      <c r="K1838" t="s">
        <v>625</v>
      </c>
      <c r="L1838" t="s">
        <v>691</v>
      </c>
      <c r="M1838" t="s">
        <v>657</v>
      </c>
      <c r="N1838" t="s">
        <v>658</v>
      </c>
      <c r="O1838" t="s">
        <v>632</v>
      </c>
    </row>
    <row r="1839" spans="1:15" x14ac:dyDescent="0.35">
      <c r="A1839" s="77">
        <v>1.9698630136986301</v>
      </c>
      <c r="B1839" s="19">
        <v>89082</v>
      </c>
      <c r="C1839" s="19" t="s">
        <v>4153</v>
      </c>
      <c r="D1839" s="19" t="s">
        <v>26</v>
      </c>
      <c r="E1839" s="19" t="s">
        <v>26</v>
      </c>
      <c r="F1839" s="19" t="s">
        <v>1124</v>
      </c>
      <c r="G1839" s="19" t="s">
        <v>1000</v>
      </c>
      <c r="H1839" s="19" t="s">
        <v>1001</v>
      </c>
      <c r="I1839" s="19" t="s">
        <v>1599</v>
      </c>
      <c r="J1839" s="20">
        <v>38</v>
      </c>
      <c r="K1839" t="s">
        <v>636</v>
      </c>
      <c r="L1839" t="s">
        <v>666</v>
      </c>
      <c r="M1839" t="s">
        <v>629</v>
      </c>
      <c r="N1839" t="s">
        <v>635</v>
      </c>
      <c r="O1839" t="s">
        <v>637</v>
      </c>
    </row>
    <row r="1840" spans="1:15" x14ac:dyDescent="0.35">
      <c r="A1840" s="77">
        <v>1.9698630136986301</v>
      </c>
      <c r="B1840" s="19">
        <v>89083</v>
      </c>
      <c r="C1840" s="19" t="s">
        <v>4154</v>
      </c>
      <c r="D1840" s="19" t="s">
        <v>135</v>
      </c>
      <c r="E1840" s="19" t="s">
        <v>136</v>
      </c>
      <c r="F1840" s="19" t="s">
        <v>2393</v>
      </c>
      <c r="G1840" s="19" t="s">
        <v>1084</v>
      </c>
      <c r="H1840" s="19" t="s">
        <v>1001</v>
      </c>
      <c r="I1840" s="19" t="s">
        <v>1575</v>
      </c>
      <c r="J1840" s="20">
        <v>32</v>
      </c>
      <c r="K1840" t="s">
        <v>668</v>
      </c>
      <c r="L1840" t="s">
        <v>651</v>
      </c>
      <c r="M1840" t="s">
        <v>629</v>
      </c>
      <c r="N1840" t="s">
        <v>630</v>
      </c>
      <c r="O1840" t="s">
        <v>652</v>
      </c>
    </row>
    <row r="1841" spans="1:15" x14ac:dyDescent="0.35">
      <c r="A1841" s="77">
        <v>1.9698630136986301</v>
      </c>
      <c r="B1841" s="19">
        <v>89095</v>
      </c>
      <c r="C1841" s="19" t="s">
        <v>4155</v>
      </c>
      <c r="D1841" s="19" t="s">
        <v>201</v>
      </c>
      <c r="E1841" s="19" t="s">
        <v>202</v>
      </c>
      <c r="F1841" s="19" t="s">
        <v>1061</v>
      </c>
      <c r="G1841" s="19" t="s">
        <v>1034</v>
      </c>
      <c r="H1841" s="19" t="s">
        <v>1001</v>
      </c>
      <c r="I1841" s="19" t="s">
        <v>1599</v>
      </c>
      <c r="J1841" s="20">
        <v>26</v>
      </c>
      <c r="K1841" t="s">
        <v>631</v>
      </c>
      <c r="L1841" t="s">
        <v>628</v>
      </c>
      <c r="M1841" t="s">
        <v>629</v>
      </c>
      <c r="N1841" t="s">
        <v>630</v>
      </c>
      <c r="O1841" t="s">
        <v>784</v>
      </c>
    </row>
    <row r="1842" spans="1:15" x14ac:dyDescent="0.35">
      <c r="A1842" s="77">
        <v>1.9671232876712328</v>
      </c>
      <c r="B1842" s="19">
        <v>89106</v>
      </c>
      <c r="C1842" s="19" t="s">
        <v>4156</v>
      </c>
      <c r="D1842" s="19" t="s">
        <v>273</v>
      </c>
      <c r="E1842" s="19" t="s">
        <v>274</v>
      </c>
      <c r="F1842" s="19" t="s">
        <v>1093</v>
      </c>
      <c r="G1842" s="19" t="s">
        <v>1057</v>
      </c>
      <c r="H1842" s="19" t="s">
        <v>1001</v>
      </c>
      <c r="I1842" s="19" t="s">
        <v>1575</v>
      </c>
      <c r="J1842" s="20">
        <v>21</v>
      </c>
      <c r="K1842" t="s">
        <v>636</v>
      </c>
      <c r="L1842" t="s">
        <v>663</v>
      </c>
      <c r="M1842" t="s">
        <v>629</v>
      </c>
      <c r="N1842" t="s">
        <v>646</v>
      </c>
      <c r="O1842" t="s">
        <v>639</v>
      </c>
    </row>
    <row r="1843" spans="1:15" x14ac:dyDescent="0.35">
      <c r="A1843" s="77">
        <v>1.9643835616438357</v>
      </c>
      <c r="B1843" s="19">
        <v>89111</v>
      </c>
      <c r="C1843" s="19" t="s">
        <v>4157</v>
      </c>
      <c r="D1843" s="19" t="s">
        <v>428</v>
      </c>
      <c r="E1843" s="19" t="s">
        <v>428</v>
      </c>
      <c r="F1843" s="19" t="s">
        <v>1063</v>
      </c>
      <c r="G1843" s="19" t="s">
        <v>1046</v>
      </c>
      <c r="H1843" s="19" t="s">
        <v>1001</v>
      </c>
      <c r="I1843" s="19" t="s">
        <v>1575</v>
      </c>
      <c r="J1843" s="20">
        <v>20</v>
      </c>
      <c r="K1843" t="s">
        <v>668</v>
      </c>
      <c r="L1843" t="s">
        <v>656</v>
      </c>
      <c r="M1843" t="s">
        <v>657</v>
      </c>
      <c r="N1843" t="s">
        <v>658</v>
      </c>
      <c r="O1843" t="s">
        <v>632</v>
      </c>
    </row>
    <row r="1844" spans="1:15" x14ac:dyDescent="0.35">
      <c r="A1844" s="77">
        <v>1.9643835616438357</v>
      </c>
      <c r="B1844" s="19">
        <v>89114</v>
      </c>
      <c r="C1844" s="19" t="s">
        <v>4158</v>
      </c>
      <c r="D1844" s="19" t="s">
        <v>80</v>
      </c>
      <c r="E1844" s="19" t="s">
        <v>81</v>
      </c>
      <c r="F1844" s="19" t="s">
        <v>1022</v>
      </c>
      <c r="G1844" s="19" t="s">
        <v>1019</v>
      </c>
      <c r="H1844" s="19" t="s">
        <v>1020</v>
      </c>
      <c r="I1844" s="19" t="s">
        <v>1575</v>
      </c>
      <c r="J1844" s="20">
        <v>20</v>
      </c>
      <c r="K1844" t="s">
        <v>654</v>
      </c>
      <c r="L1844" t="s">
        <v>628</v>
      </c>
      <c r="M1844" t="s">
        <v>629</v>
      </c>
      <c r="N1844" t="s">
        <v>630</v>
      </c>
      <c r="O1844" t="s">
        <v>632</v>
      </c>
    </row>
    <row r="1845" spans="1:15" x14ac:dyDescent="0.35">
      <c r="A1845" s="77">
        <v>1.9671232876712328</v>
      </c>
      <c r="B1845" s="19">
        <v>89131</v>
      </c>
      <c r="C1845" s="19" t="s">
        <v>4159</v>
      </c>
      <c r="D1845" s="19" t="s">
        <v>145</v>
      </c>
      <c r="E1845" s="19" t="s">
        <v>146</v>
      </c>
      <c r="F1845" s="19" t="s">
        <v>1015</v>
      </c>
      <c r="G1845" s="19" t="s">
        <v>1057</v>
      </c>
      <c r="H1845" s="19" t="s">
        <v>1001</v>
      </c>
      <c r="I1845" s="19" t="s">
        <v>1575</v>
      </c>
      <c r="J1845" s="20">
        <v>24</v>
      </c>
      <c r="K1845" t="s">
        <v>636</v>
      </c>
      <c r="L1845" t="s">
        <v>737</v>
      </c>
      <c r="M1845" t="s">
        <v>657</v>
      </c>
      <c r="N1845" t="s">
        <v>641</v>
      </c>
      <c r="O1845" t="s">
        <v>757</v>
      </c>
    </row>
    <row r="1846" spans="1:15" x14ac:dyDescent="0.35">
      <c r="A1846" s="77">
        <v>1.989041095890411</v>
      </c>
      <c r="B1846" s="19">
        <v>89150</v>
      </c>
      <c r="C1846" s="19" t="s">
        <v>4160</v>
      </c>
      <c r="D1846" s="19" t="s">
        <v>45</v>
      </c>
      <c r="E1846" s="19" t="s">
        <v>46</v>
      </c>
      <c r="F1846" s="19" t="s">
        <v>1122</v>
      </c>
      <c r="G1846" s="19" t="s">
        <v>1008</v>
      </c>
      <c r="H1846" s="19" t="s">
        <v>1001</v>
      </c>
      <c r="I1846" s="19" t="s">
        <v>1575</v>
      </c>
      <c r="J1846" s="20">
        <v>22</v>
      </c>
      <c r="K1846" t="s">
        <v>631</v>
      </c>
      <c r="L1846" t="s">
        <v>651</v>
      </c>
      <c r="M1846" t="s">
        <v>629</v>
      </c>
      <c r="N1846" t="s">
        <v>630</v>
      </c>
      <c r="O1846" t="s">
        <v>705</v>
      </c>
    </row>
    <row r="1847" spans="1:15" x14ac:dyDescent="0.35">
      <c r="A1847" s="77">
        <v>1.9589041095890412</v>
      </c>
      <c r="B1847" s="19">
        <v>89203</v>
      </c>
      <c r="C1847" s="19" t="s">
        <v>4161</v>
      </c>
      <c r="D1847" s="19" t="s">
        <v>377</v>
      </c>
      <c r="E1847" s="19" t="s">
        <v>378</v>
      </c>
      <c r="F1847" s="19" t="s">
        <v>862</v>
      </c>
      <c r="G1847" s="19" t="s">
        <v>1028</v>
      </c>
      <c r="H1847" s="19" t="s">
        <v>1020</v>
      </c>
      <c r="I1847" s="19" t="s">
        <v>1575</v>
      </c>
      <c r="J1847" s="20">
        <v>22</v>
      </c>
      <c r="K1847" t="s">
        <v>631</v>
      </c>
      <c r="L1847" t="s">
        <v>661</v>
      </c>
      <c r="M1847" t="s">
        <v>657</v>
      </c>
      <c r="N1847" t="s">
        <v>662</v>
      </c>
      <c r="O1847" t="s">
        <v>632</v>
      </c>
    </row>
    <row r="1848" spans="1:15" x14ac:dyDescent="0.35">
      <c r="A1848" s="77">
        <v>1.9616438356164383</v>
      </c>
      <c r="B1848" s="19">
        <v>89208</v>
      </c>
      <c r="C1848" s="19" t="s">
        <v>4162</v>
      </c>
      <c r="D1848" s="19" t="s">
        <v>206</v>
      </c>
      <c r="E1848" s="19" t="s">
        <v>207</v>
      </c>
      <c r="F1848" s="19" t="s">
        <v>2447</v>
      </c>
      <c r="G1848" s="19" t="s">
        <v>1008</v>
      </c>
      <c r="H1848" s="19" t="s">
        <v>1001</v>
      </c>
      <c r="I1848" s="19" t="s">
        <v>1599</v>
      </c>
      <c r="J1848" s="20">
        <v>37</v>
      </c>
      <c r="K1848" t="s">
        <v>668</v>
      </c>
      <c r="L1848" t="s">
        <v>666</v>
      </c>
      <c r="M1848" t="s">
        <v>629</v>
      </c>
      <c r="N1848" t="s">
        <v>630</v>
      </c>
      <c r="O1848" t="s">
        <v>652</v>
      </c>
    </row>
    <row r="1849" spans="1:15" x14ac:dyDescent="0.35">
      <c r="A1849" s="77">
        <v>1.9835616438356165</v>
      </c>
      <c r="B1849" s="19">
        <v>89230</v>
      </c>
      <c r="C1849" s="19" t="s">
        <v>4163</v>
      </c>
      <c r="D1849" s="19" t="s">
        <v>256</v>
      </c>
      <c r="E1849" s="19" t="s">
        <v>257</v>
      </c>
      <c r="F1849" s="19" t="s">
        <v>1005</v>
      </c>
      <c r="G1849" s="19" t="s">
        <v>1008</v>
      </c>
      <c r="H1849" s="19" t="s">
        <v>1001</v>
      </c>
      <c r="I1849" s="19" t="s">
        <v>1575</v>
      </c>
      <c r="J1849" s="20">
        <v>22</v>
      </c>
      <c r="K1849" t="s">
        <v>668</v>
      </c>
      <c r="L1849" t="s">
        <v>651</v>
      </c>
      <c r="M1849" t="s">
        <v>629</v>
      </c>
      <c r="N1849" t="s">
        <v>630</v>
      </c>
      <c r="O1849" t="s">
        <v>705</v>
      </c>
    </row>
    <row r="1850" spans="1:15" x14ac:dyDescent="0.35">
      <c r="A1850" s="77">
        <v>2.1917808219178082E-2</v>
      </c>
      <c r="B1850" s="19">
        <v>89239</v>
      </c>
      <c r="C1850" s="19" t="s">
        <v>4164</v>
      </c>
      <c r="D1850" s="19" t="s">
        <v>201</v>
      </c>
      <c r="E1850" s="19" t="s">
        <v>202</v>
      </c>
      <c r="F1850" s="19" t="s">
        <v>1061</v>
      </c>
      <c r="G1850" s="19" t="s">
        <v>1028</v>
      </c>
      <c r="H1850" s="19" t="s">
        <v>1020</v>
      </c>
      <c r="I1850" s="19" t="s">
        <v>1575</v>
      </c>
      <c r="J1850" s="20">
        <v>24</v>
      </c>
      <c r="K1850" t="s">
        <v>631</v>
      </c>
      <c r="L1850" t="s">
        <v>628</v>
      </c>
      <c r="M1850" t="s">
        <v>629</v>
      </c>
      <c r="N1850" t="s">
        <v>630</v>
      </c>
      <c r="O1850" t="s">
        <v>784</v>
      </c>
    </row>
    <row r="1851" spans="1:15" x14ac:dyDescent="0.35">
      <c r="A1851" s="77">
        <v>1.9698630136986301</v>
      </c>
      <c r="B1851" s="19">
        <v>89271</v>
      </c>
      <c r="C1851" s="19" t="s">
        <v>4165</v>
      </c>
      <c r="D1851" s="19" t="s">
        <v>169</v>
      </c>
      <c r="E1851" s="19" t="s">
        <v>170</v>
      </c>
      <c r="F1851" s="19" t="s">
        <v>1274</v>
      </c>
      <c r="G1851" s="19" t="s">
        <v>1008</v>
      </c>
      <c r="H1851" s="19" t="s">
        <v>1001</v>
      </c>
      <c r="I1851" s="19" t="s">
        <v>1575</v>
      </c>
      <c r="J1851" s="20">
        <v>21</v>
      </c>
      <c r="K1851" t="s">
        <v>631</v>
      </c>
      <c r="L1851" t="s">
        <v>670</v>
      </c>
      <c r="M1851" t="s">
        <v>657</v>
      </c>
      <c r="N1851" t="s">
        <v>641</v>
      </c>
      <c r="O1851" t="s">
        <v>772</v>
      </c>
    </row>
    <row r="1852" spans="1:15" x14ac:dyDescent="0.35">
      <c r="A1852" s="77">
        <v>0.94794520547945205</v>
      </c>
      <c r="B1852" s="19">
        <v>89276</v>
      </c>
      <c r="C1852" s="19" t="s">
        <v>4166</v>
      </c>
      <c r="D1852" s="19" t="s">
        <v>228</v>
      </c>
      <c r="E1852" s="19" t="s">
        <v>229</v>
      </c>
      <c r="F1852" s="19" t="s">
        <v>1643</v>
      </c>
      <c r="G1852" s="19" t="s">
        <v>1019</v>
      </c>
      <c r="H1852" s="19" t="s">
        <v>1020</v>
      </c>
      <c r="I1852" s="19" t="s">
        <v>1575</v>
      </c>
      <c r="J1852" s="20">
        <v>23</v>
      </c>
      <c r="K1852" t="s">
        <v>668</v>
      </c>
      <c r="L1852" t="s">
        <v>762</v>
      </c>
      <c r="M1852" t="s">
        <v>629</v>
      </c>
      <c r="N1852" t="s">
        <v>646</v>
      </c>
      <c r="O1852" t="s">
        <v>763</v>
      </c>
    </row>
    <row r="1853" spans="1:15" x14ac:dyDescent="0.35">
      <c r="A1853" s="77">
        <v>1.9315068493150684</v>
      </c>
      <c r="B1853" s="19">
        <v>89284</v>
      </c>
      <c r="C1853" s="19" t="s">
        <v>4167</v>
      </c>
      <c r="D1853" s="19" t="s">
        <v>91</v>
      </c>
      <c r="E1853" s="19" t="s">
        <v>92</v>
      </c>
      <c r="F1853" s="19" t="s">
        <v>1113</v>
      </c>
      <c r="G1853" s="19" t="s">
        <v>1034</v>
      </c>
      <c r="H1853" s="19" t="s">
        <v>1001</v>
      </c>
      <c r="I1853" s="19" t="s">
        <v>1575</v>
      </c>
      <c r="J1853" s="20">
        <v>23</v>
      </c>
      <c r="K1853" t="s">
        <v>636</v>
      </c>
      <c r="L1853" t="s">
        <v>634</v>
      </c>
      <c r="M1853" t="s">
        <v>629</v>
      </c>
      <c r="N1853" t="s">
        <v>630</v>
      </c>
      <c r="O1853" t="s">
        <v>734</v>
      </c>
    </row>
    <row r="1854" spans="1:15" x14ac:dyDescent="0.35">
      <c r="A1854" s="77">
        <v>1.9315068493150684</v>
      </c>
      <c r="B1854" s="19">
        <v>89288</v>
      </c>
      <c r="C1854" s="19" t="s">
        <v>4168</v>
      </c>
      <c r="D1854" s="19" t="s">
        <v>431</v>
      </c>
      <c r="E1854" s="19" t="e">
        <v>#N/A</v>
      </c>
      <c r="F1854" s="19" t="s">
        <v>709</v>
      </c>
      <c r="G1854" s="19" t="s">
        <v>1019</v>
      </c>
      <c r="H1854" s="19" t="s">
        <v>1020</v>
      </c>
      <c r="I1854" s="19" t="s">
        <v>1575</v>
      </c>
      <c r="J1854" s="20">
        <v>33</v>
      </c>
      <c r="K1854" t="s">
        <v>654</v>
      </c>
      <c r="L1854" t="s">
        <v>707</v>
      </c>
      <c r="M1854" t="s">
        <v>629</v>
      </c>
      <c r="N1854" t="s">
        <v>635</v>
      </c>
      <c r="O1854" t="s">
        <v>710</v>
      </c>
    </row>
    <row r="1855" spans="1:15" x14ac:dyDescent="0.35">
      <c r="A1855" s="77">
        <v>1.9315068493150684</v>
      </c>
      <c r="B1855" s="19">
        <v>89290</v>
      </c>
      <c r="C1855" s="19" t="s">
        <v>4169</v>
      </c>
      <c r="D1855" s="19" t="s">
        <v>431</v>
      </c>
      <c r="E1855" s="19" t="e">
        <v>#N/A</v>
      </c>
      <c r="F1855" s="19" t="s">
        <v>709</v>
      </c>
      <c r="G1855" s="19" t="s">
        <v>1008</v>
      </c>
      <c r="H1855" s="19" t="s">
        <v>1001</v>
      </c>
      <c r="I1855" s="19" t="s">
        <v>1575</v>
      </c>
      <c r="J1855" s="20">
        <v>39</v>
      </c>
      <c r="K1855" t="s">
        <v>654</v>
      </c>
      <c r="L1855" t="s">
        <v>707</v>
      </c>
      <c r="M1855" t="s">
        <v>629</v>
      </c>
      <c r="N1855" t="s">
        <v>635</v>
      </c>
      <c r="O1855" t="s">
        <v>710</v>
      </c>
    </row>
    <row r="1856" spans="1:15" x14ac:dyDescent="0.35">
      <c r="A1856" s="77">
        <v>1.9287671232876713</v>
      </c>
      <c r="B1856" s="19">
        <v>89292</v>
      </c>
      <c r="C1856" s="19" t="s">
        <v>4170</v>
      </c>
      <c r="D1856" s="19" t="s">
        <v>175</v>
      </c>
      <c r="E1856" s="19" t="s">
        <v>176</v>
      </c>
      <c r="F1856" s="19" t="s">
        <v>1538</v>
      </c>
      <c r="G1856" s="19" t="s">
        <v>1008</v>
      </c>
      <c r="H1856" s="19" t="s">
        <v>1001</v>
      </c>
      <c r="I1856" s="19" t="s">
        <v>1575</v>
      </c>
      <c r="J1856" s="20">
        <v>34</v>
      </c>
      <c r="K1856" t="s">
        <v>668</v>
      </c>
      <c r="L1856" t="s">
        <v>707</v>
      </c>
      <c r="M1856" t="s">
        <v>629</v>
      </c>
      <c r="N1856" t="s">
        <v>635</v>
      </c>
      <c r="O1856" t="s">
        <v>710</v>
      </c>
    </row>
    <row r="1857" spans="1:15" x14ac:dyDescent="0.35">
      <c r="A1857" s="77">
        <v>1.9287671232876713</v>
      </c>
      <c r="B1857" s="19">
        <v>89326</v>
      </c>
      <c r="C1857" s="19" t="s">
        <v>4171</v>
      </c>
      <c r="D1857" s="19" t="s">
        <v>230</v>
      </c>
      <c r="E1857" s="19" t="s">
        <v>231</v>
      </c>
      <c r="F1857" s="19" t="s">
        <v>2112</v>
      </c>
      <c r="G1857" s="19" t="s">
        <v>1057</v>
      </c>
      <c r="H1857" s="19" t="s">
        <v>1001</v>
      </c>
      <c r="I1857" s="19" t="s">
        <v>1599</v>
      </c>
      <c r="J1857" s="20">
        <v>27</v>
      </c>
      <c r="K1857" t="s">
        <v>668</v>
      </c>
      <c r="L1857" t="s">
        <v>684</v>
      </c>
      <c r="M1857" t="s">
        <v>623</v>
      </c>
      <c r="N1857" t="s">
        <v>662</v>
      </c>
      <c r="O1857" t="s">
        <v>795</v>
      </c>
    </row>
    <row r="1858" spans="1:15" x14ac:dyDescent="0.35">
      <c r="A1858" s="77">
        <v>1.6383561643835616</v>
      </c>
      <c r="B1858" s="19">
        <v>89342</v>
      </c>
      <c r="C1858" s="19" t="s">
        <v>4172</v>
      </c>
      <c r="D1858" s="19" t="s">
        <v>16</v>
      </c>
      <c r="E1858" s="19" t="s">
        <v>16</v>
      </c>
      <c r="F1858" s="19" t="s">
        <v>1211</v>
      </c>
      <c r="G1858" s="19" t="s">
        <v>1008</v>
      </c>
      <c r="H1858" s="19" t="s">
        <v>1001</v>
      </c>
      <c r="I1858" s="19" t="s">
        <v>1575</v>
      </c>
      <c r="J1858" s="20">
        <v>24</v>
      </c>
      <c r="K1858" t="s">
        <v>631</v>
      </c>
      <c r="L1858" t="s">
        <v>645</v>
      </c>
      <c r="M1858" t="s">
        <v>629</v>
      </c>
      <c r="N1858" t="s">
        <v>646</v>
      </c>
      <c r="O1858" t="s">
        <v>632</v>
      </c>
    </row>
    <row r="1859" spans="1:15" x14ac:dyDescent="0.35">
      <c r="A1859" s="77">
        <v>0.99726027397260275</v>
      </c>
      <c r="B1859" s="19">
        <v>89385</v>
      </c>
      <c r="C1859" s="19" t="s">
        <v>4173</v>
      </c>
      <c r="D1859" s="19" t="s">
        <v>397</v>
      </c>
      <c r="E1859" s="19" t="s">
        <v>398</v>
      </c>
      <c r="F1859" s="19" t="s">
        <v>867</v>
      </c>
      <c r="G1859" s="19" t="s">
        <v>1028</v>
      </c>
      <c r="H1859" s="19" t="s">
        <v>1020</v>
      </c>
      <c r="I1859" s="19" t="s">
        <v>1575</v>
      </c>
      <c r="J1859" s="20">
        <v>20</v>
      </c>
      <c r="K1859" t="s">
        <v>625</v>
      </c>
      <c r="L1859" t="s">
        <v>634</v>
      </c>
      <c r="M1859" t="s">
        <v>629</v>
      </c>
      <c r="N1859" t="s">
        <v>635</v>
      </c>
      <c r="O1859" t="s">
        <v>637</v>
      </c>
    </row>
    <row r="1860" spans="1:15" x14ac:dyDescent="0.35">
      <c r="A1860" s="77">
        <v>2.1917808219178082E-2</v>
      </c>
      <c r="B1860" s="19">
        <v>89390</v>
      </c>
      <c r="C1860" s="19" t="s">
        <v>4174</v>
      </c>
      <c r="D1860" s="19" t="s">
        <v>181</v>
      </c>
      <c r="E1860" s="19" t="s">
        <v>182</v>
      </c>
      <c r="F1860" s="19" t="s">
        <v>1374</v>
      </c>
      <c r="G1860" s="19" t="s">
        <v>1008</v>
      </c>
      <c r="H1860" s="19" t="s">
        <v>1001</v>
      </c>
      <c r="I1860" s="19" t="s">
        <v>1575</v>
      </c>
      <c r="J1860" s="20">
        <v>40</v>
      </c>
      <c r="K1860" t="s">
        <v>625</v>
      </c>
      <c r="L1860" t="s">
        <v>678</v>
      </c>
      <c r="M1860" t="s">
        <v>623</v>
      </c>
      <c r="N1860" t="s">
        <v>624</v>
      </c>
      <c r="O1860" t="s">
        <v>679</v>
      </c>
    </row>
    <row r="1861" spans="1:15" x14ac:dyDescent="0.35">
      <c r="A1861" s="77">
        <v>0.92876712328767119</v>
      </c>
      <c r="B1861" s="19">
        <v>89485</v>
      </c>
      <c r="C1861" s="19" t="s">
        <v>4175</v>
      </c>
      <c r="D1861" s="19" t="s">
        <v>16</v>
      </c>
      <c r="E1861" s="19" t="s">
        <v>16</v>
      </c>
      <c r="F1861" s="19" t="s">
        <v>1211</v>
      </c>
      <c r="G1861" s="19" t="s">
        <v>1084</v>
      </c>
      <c r="H1861" s="19" t="s">
        <v>1020</v>
      </c>
      <c r="I1861" s="19" t="s">
        <v>1599</v>
      </c>
      <c r="J1861" s="20">
        <v>20</v>
      </c>
      <c r="K1861" t="s">
        <v>631</v>
      </c>
      <c r="L1861" t="s">
        <v>645</v>
      </c>
      <c r="M1861" t="s">
        <v>629</v>
      </c>
      <c r="N1861" t="s">
        <v>646</v>
      </c>
      <c r="O1861" t="s">
        <v>632</v>
      </c>
    </row>
    <row r="1862" spans="1:15" x14ac:dyDescent="0.35">
      <c r="A1862" s="77">
        <v>0.55890410958904113</v>
      </c>
      <c r="B1862" s="19">
        <v>89506</v>
      </c>
      <c r="C1862" s="19" t="s">
        <v>4176</v>
      </c>
      <c r="D1862" s="19" t="s">
        <v>241</v>
      </c>
      <c r="E1862" s="19" t="s">
        <v>242</v>
      </c>
      <c r="F1862" s="19" t="s">
        <v>1030</v>
      </c>
      <c r="G1862" s="19" t="s">
        <v>1028</v>
      </c>
      <c r="H1862" s="19" t="s">
        <v>1020</v>
      </c>
      <c r="I1862" s="19" t="s">
        <v>1575</v>
      </c>
      <c r="J1862" s="20">
        <v>37</v>
      </c>
      <c r="K1862" t="s">
        <v>668</v>
      </c>
      <c r="L1862" t="s">
        <v>622</v>
      </c>
      <c r="M1862" t="s">
        <v>623</v>
      </c>
      <c r="N1862" t="s">
        <v>624</v>
      </c>
      <c r="O1862" t="s">
        <v>800</v>
      </c>
    </row>
    <row r="1863" spans="1:15" x14ac:dyDescent="0.35">
      <c r="A1863" s="77">
        <v>1.6630136986301369</v>
      </c>
      <c r="B1863" s="19">
        <v>89544</v>
      </c>
      <c r="C1863" s="19" t="s">
        <v>4177</v>
      </c>
      <c r="D1863" s="19" t="s">
        <v>228</v>
      </c>
      <c r="E1863" s="19" t="s">
        <v>229</v>
      </c>
      <c r="F1863" s="19" t="s">
        <v>1643</v>
      </c>
      <c r="G1863" s="19" t="s">
        <v>1028</v>
      </c>
      <c r="H1863" s="19" t="s">
        <v>1020</v>
      </c>
      <c r="I1863" s="19" t="s">
        <v>1575</v>
      </c>
      <c r="J1863" s="20">
        <v>23</v>
      </c>
      <c r="K1863" t="s">
        <v>668</v>
      </c>
      <c r="L1863" t="s">
        <v>762</v>
      </c>
      <c r="M1863" t="s">
        <v>629</v>
      </c>
      <c r="N1863" t="s">
        <v>646</v>
      </c>
      <c r="O1863" t="s">
        <v>763</v>
      </c>
    </row>
    <row r="1864" spans="1:15" x14ac:dyDescent="0.35">
      <c r="A1864" s="77">
        <v>2.1917808219178082E-2</v>
      </c>
      <c r="B1864" s="19">
        <v>89567</v>
      </c>
      <c r="C1864" s="19" t="s">
        <v>4178</v>
      </c>
      <c r="D1864" s="19" t="s">
        <v>118</v>
      </c>
      <c r="E1864" s="19" t="s">
        <v>119</v>
      </c>
      <c r="F1864" s="19" t="s">
        <v>1360</v>
      </c>
      <c r="G1864" s="19" t="s">
        <v>1028</v>
      </c>
      <c r="H1864" s="19" t="s">
        <v>1020</v>
      </c>
      <c r="I1864" s="19" t="s">
        <v>1575</v>
      </c>
      <c r="J1864" s="20">
        <v>21</v>
      </c>
      <c r="K1864" t="s">
        <v>625</v>
      </c>
      <c r="L1864" t="s">
        <v>656</v>
      </c>
      <c r="M1864" t="s">
        <v>657</v>
      </c>
      <c r="N1864" t="s">
        <v>658</v>
      </c>
      <c r="O1864" t="s">
        <v>632</v>
      </c>
    </row>
    <row r="1865" spans="1:15" x14ac:dyDescent="0.35">
      <c r="A1865" s="77">
        <v>1.9150684931506849</v>
      </c>
      <c r="B1865" s="19">
        <v>89587</v>
      </c>
      <c r="C1865" s="19" t="s">
        <v>4179</v>
      </c>
      <c r="D1865" s="19" t="s">
        <v>362</v>
      </c>
      <c r="E1865" s="19" t="s">
        <v>363</v>
      </c>
      <c r="F1865" s="19" t="s">
        <v>1056</v>
      </c>
      <c r="G1865" s="19" t="s">
        <v>1008</v>
      </c>
      <c r="H1865" s="19" t="s">
        <v>1001</v>
      </c>
      <c r="I1865" s="19" t="s">
        <v>1599</v>
      </c>
      <c r="J1865" s="20">
        <v>20</v>
      </c>
      <c r="K1865" t="s">
        <v>654</v>
      </c>
      <c r="L1865" t="s">
        <v>663</v>
      </c>
      <c r="M1865" t="s">
        <v>629</v>
      </c>
      <c r="N1865" t="s">
        <v>646</v>
      </c>
      <c r="O1865" t="s">
        <v>810</v>
      </c>
    </row>
    <row r="1866" spans="1:15" x14ac:dyDescent="0.35">
      <c r="A1866" s="77">
        <v>1.106849315068493</v>
      </c>
      <c r="B1866" s="19">
        <v>89603</v>
      </c>
      <c r="C1866" s="19" t="s">
        <v>4180</v>
      </c>
      <c r="D1866" s="19" t="s">
        <v>230</v>
      </c>
      <c r="E1866" s="19" t="s">
        <v>231</v>
      </c>
      <c r="F1866" s="19" t="s">
        <v>2112</v>
      </c>
      <c r="G1866" s="19" t="s">
        <v>1008</v>
      </c>
      <c r="H1866" s="19" t="s">
        <v>1001</v>
      </c>
      <c r="I1866" s="19" t="s">
        <v>1575</v>
      </c>
      <c r="J1866" s="20">
        <v>25</v>
      </c>
      <c r="K1866" t="s">
        <v>668</v>
      </c>
      <c r="L1866" t="s">
        <v>684</v>
      </c>
      <c r="M1866" t="s">
        <v>623</v>
      </c>
      <c r="N1866" t="s">
        <v>662</v>
      </c>
      <c r="O1866" t="s">
        <v>795</v>
      </c>
    </row>
    <row r="1867" spans="1:15" x14ac:dyDescent="0.35">
      <c r="A1867" s="77">
        <v>0.99726027397260275</v>
      </c>
      <c r="B1867" s="19">
        <v>89642</v>
      </c>
      <c r="C1867" s="19" t="s">
        <v>4181</v>
      </c>
      <c r="D1867" s="19" t="s">
        <v>45</v>
      </c>
      <c r="E1867" s="19" t="s">
        <v>46</v>
      </c>
      <c r="F1867" s="19" t="s">
        <v>1122</v>
      </c>
      <c r="G1867" s="19" t="s">
        <v>1028</v>
      </c>
      <c r="H1867" s="19" t="s">
        <v>1020</v>
      </c>
      <c r="I1867" s="19" t="s">
        <v>1575</v>
      </c>
      <c r="J1867" s="20">
        <v>20</v>
      </c>
      <c r="K1867" t="s">
        <v>631</v>
      </c>
      <c r="L1867" t="s">
        <v>651</v>
      </c>
      <c r="M1867" t="s">
        <v>629</v>
      </c>
      <c r="N1867" t="s">
        <v>630</v>
      </c>
      <c r="O1867" t="s">
        <v>705</v>
      </c>
    </row>
    <row r="1868" spans="1:15" x14ac:dyDescent="0.35">
      <c r="A1868" s="77">
        <v>2.1917808219178082E-2</v>
      </c>
      <c r="B1868" s="19">
        <v>89643</v>
      </c>
      <c r="C1868" s="19" t="s">
        <v>4182</v>
      </c>
      <c r="D1868" s="19" t="s">
        <v>45</v>
      </c>
      <c r="E1868" s="19" t="s">
        <v>46</v>
      </c>
      <c r="F1868" s="19" t="s">
        <v>1122</v>
      </c>
      <c r="G1868" s="19" t="s">
        <v>1008</v>
      </c>
      <c r="H1868" s="19" t="s">
        <v>1001</v>
      </c>
      <c r="I1868" s="19" t="s">
        <v>1575</v>
      </c>
      <c r="J1868" s="20">
        <v>20</v>
      </c>
      <c r="K1868" t="s">
        <v>631</v>
      </c>
      <c r="L1868" t="s">
        <v>651</v>
      </c>
      <c r="M1868" t="s">
        <v>629</v>
      </c>
      <c r="N1868" t="s">
        <v>630</v>
      </c>
      <c r="O1868" t="s">
        <v>705</v>
      </c>
    </row>
    <row r="1869" spans="1:15" x14ac:dyDescent="0.35">
      <c r="A1869" s="77">
        <v>1.9698630136986301</v>
      </c>
      <c r="B1869" s="19">
        <v>89645</v>
      </c>
      <c r="C1869" s="19" t="s">
        <v>4183</v>
      </c>
      <c r="D1869" s="19" t="s">
        <v>201</v>
      </c>
      <c r="E1869" s="19" t="s">
        <v>202</v>
      </c>
      <c r="F1869" s="19" t="s">
        <v>1061</v>
      </c>
      <c r="G1869" s="19" t="s">
        <v>1019</v>
      </c>
      <c r="H1869" s="19" t="s">
        <v>1020</v>
      </c>
      <c r="I1869" s="19" t="s">
        <v>1575</v>
      </c>
      <c r="J1869" s="20">
        <v>22</v>
      </c>
      <c r="K1869" t="s">
        <v>631</v>
      </c>
      <c r="L1869" t="s">
        <v>628</v>
      </c>
      <c r="M1869" t="s">
        <v>629</v>
      </c>
      <c r="N1869" t="s">
        <v>630</v>
      </c>
      <c r="O1869" t="s">
        <v>784</v>
      </c>
    </row>
    <row r="1870" spans="1:15" x14ac:dyDescent="0.35">
      <c r="A1870" s="77">
        <v>1.9260273972602739</v>
      </c>
      <c r="B1870" s="19">
        <v>89647</v>
      </c>
      <c r="C1870" s="19" t="s">
        <v>4184</v>
      </c>
      <c r="D1870" s="19" t="s">
        <v>12</v>
      </c>
      <c r="E1870" s="19" t="s">
        <v>12</v>
      </c>
      <c r="F1870" s="19" t="s">
        <v>1145</v>
      </c>
      <c r="G1870" s="19" t="s">
        <v>1028</v>
      </c>
      <c r="H1870" s="19" t="s">
        <v>1020</v>
      </c>
      <c r="I1870" s="19" t="s">
        <v>1575</v>
      </c>
      <c r="J1870" s="20">
        <v>58</v>
      </c>
      <c r="K1870" t="s">
        <v>636</v>
      </c>
      <c r="L1870" t="s">
        <v>634</v>
      </c>
      <c r="M1870" t="s">
        <v>629</v>
      </c>
      <c r="N1870" t="s">
        <v>635</v>
      </c>
      <c r="O1870" t="s">
        <v>637</v>
      </c>
    </row>
    <row r="1871" spans="1:15" x14ac:dyDescent="0.35">
      <c r="A1871" s="77">
        <v>1.9260273972602739</v>
      </c>
      <c r="B1871" s="19">
        <v>89648</v>
      </c>
      <c r="C1871" s="19" t="s">
        <v>4185</v>
      </c>
      <c r="D1871" s="19" t="s">
        <v>302</v>
      </c>
      <c r="E1871" s="19" t="s">
        <v>303</v>
      </c>
      <c r="F1871" s="19" t="s">
        <v>1053</v>
      </c>
      <c r="G1871" s="19" t="s">
        <v>1008</v>
      </c>
      <c r="H1871" s="19" t="s">
        <v>1001</v>
      </c>
      <c r="I1871" s="19" t="s">
        <v>1575</v>
      </c>
      <c r="J1871" s="20">
        <v>42</v>
      </c>
      <c r="K1871" t="s">
        <v>668</v>
      </c>
      <c r="L1871" t="s">
        <v>737</v>
      </c>
      <c r="M1871" t="s">
        <v>657</v>
      </c>
      <c r="N1871" t="s">
        <v>641</v>
      </c>
      <c r="O1871" t="s">
        <v>738</v>
      </c>
    </row>
    <row r="1872" spans="1:15" x14ac:dyDescent="0.35">
      <c r="A1872" s="77">
        <v>1.0767123287671232</v>
      </c>
      <c r="B1872" s="19">
        <v>89663</v>
      </c>
      <c r="C1872" s="19" t="s">
        <v>4186</v>
      </c>
      <c r="D1872" s="19" t="s">
        <v>375</v>
      </c>
      <c r="E1872" s="19" t="s">
        <v>376</v>
      </c>
      <c r="F1872" s="19" t="s">
        <v>1270</v>
      </c>
      <c r="G1872" s="19" t="s">
        <v>1008</v>
      </c>
      <c r="H1872" s="19" t="s">
        <v>1001</v>
      </c>
      <c r="I1872" s="19" t="s">
        <v>1575</v>
      </c>
      <c r="J1872" s="20">
        <v>20</v>
      </c>
      <c r="K1872" t="s">
        <v>636</v>
      </c>
      <c r="L1872" t="s">
        <v>678</v>
      </c>
      <c r="M1872" t="s">
        <v>623</v>
      </c>
      <c r="N1872" t="s">
        <v>624</v>
      </c>
      <c r="O1872" t="s">
        <v>679</v>
      </c>
    </row>
    <row r="1873" spans="1:15" x14ac:dyDescent="0.35">
      <c r="A1873" s="77">
        <v>1.9397260273972603</v>
      </c>
      <c r="B1873" s="19">
        <v>89664</v>
      </c>
      <c r="C1873" s="19" t="s">
        <v>4187</v>
      </c>
      <c r="D1873" s="19" t="s">
        <v>318</v>
      </c>
      <c r="E1873" s="19" t="s">
        <v>319</v>
      </c>
      <c r="F1873" s="19" t="s">
        <v>1266</v>
      </c>
      <c r="G1873" s="19" t="s">
        <v>1034</v>
      </c>
      <c r="H1873" s="19" t="s">
        <v>1001</v>
      </c>
      <c r="I1873" s="19" t="s">
        <v>1575</v>
      </c>
      <c r="J1873" s="20">
        <v>20</v>
      </c>
      <c r="K1873" t="s">
        <v>625</v>
      </c>
      <c r="L1873" t="s">
        <v>678</v>
      </c>
      <c r="M1873" t="s">
        <v>623</v>
      </c>
      <c r="N1873" t="s">
        <v>624</v>
      </c>
      <c r="O1873" t="s">
        <v>679</v>
      </c>
    </row>
    <row r="1874" spans="1:15" x14ac:dyDescent="0.35">
      <c r="A1874" s="77">
        <v>1.9315068493150684</v>
      </c>
      <c r="B1874" s="19">
        <v>89673</v>
      </c>
      <c r="C1874" s="19" t="s">
        <v>4188</v>
      </c>
      <c r="D1874" s="19" t="s">
        <v>355</v>
      </c>
      <c r="E1874" s="19" t="s">
        <v>356</v>
      </c>
      <c r="F1874" s="19" t="s">
        <v>1100</v>
      </c>
      <c r="G1874" s="19" t="s">
        <v>1008</v>
      </c>
      <c r="H1874" s="19" t="s">
        <v>1001</v>
      </c>
      <c r="I1874" s="19" t="s">
        <v>1575</v>
      </c>
      <c r="J1874" s="20">
        <v>49</v>
      </c>
      <c r="K1874" t="s">
        <v>625</v>
      </c>
      <c r="L1874" t="s">
        <v>622</v>
      </c>
      <c r="M1874" t="s">
        <v>623</v>
      </c>
      <c r="N1874" t="s">
        <v>624</v>
      </c>
      <c r="O1874" t="s">
        <v>649</v>
      </c>
    </row>
    <row r="1875" spans="1:15" x14ac:dyDescent="0.35">
      <c r="A1875" s="77">
        <v>1.9315068493150684</v>
      </c>
      <c r="B1875" s="19">
        <v>89678</v>
      </c>
      <c r="C1875" s="19" t="s">
        <v>4189</v>
      </c>
      <c r="D1875" s="19" t="s">
        <v>318</v>
      </c>
      <c r="E1875" s="19" t="s">
        <v>319</v>
      </c>
      <c r="F1875" s="19" t="s">
        <v>1266</v>
      </c>
      <c r="G1875" s="19" t="s">
        <v>1028</v>
      </c>
      <c r="H1875" s="19" t="s">
        <v>1020</v>
      </c>
      <c r="I1875" s="19" t="s">
        <v>1575</v>
      </c>
      <c r="J1875" s="20">
        <v>24</v>
      </c>
      <c r="K1875" t="s">
        <v>625</v>
      </c>
      <c r="L1875" t="s">
        <v>678</v>
      </c>
      <c r="M1875" t="s">
        <v>623</v>
      </c>
      <c r="N1875" t="s">
        <v>624</v>
      </c>
      <c r="O1875" t="s">
        <v>679</v>
      </c>
    </row>
    <row r="1876" spans="1:15" x14ac:dyDescent="0.35">
      <c r="A1876" s="77">
        <v>2.4657534246575342E-2</v>
      </c>
      <c r="B1876" s="19">
        <v>89749</v>
      </c>
      <c r="C1876" s="19" t="s">
        <v>4190</v>
      </c>
      <c r="D1876" s="19" t="s">
        <v>165</v>
      </c>
      <c r="E1876" s="19" t="s">
        <v>166</v>
      </c>
      <c r="F1876" s="19" t="s">
        <v>1238</v>
      </c>
      <c r="G1876" s="19" t="s">
        <v>1008</v>
      </c>
      <c r="H1876" s="19" t="s">
        <v>1001</v>
      </c>
      <c r="I1876" s="19" t="s">
        <v>1575</v>
      </c>
      <c r="J1876" s="20">
        <v>20</v>
      </c>
      <c r="K1876" t="s">
        <v>636</v>
      </c>
      <c r="L1876" t="s">
        <v>648</v>
      </c>
      <c r="M1876" t="s">
        <v>623</v>
      </c>
      <c r="N1876" t="s">
        <v>624</v>
      </c>
      <c r="O1876" t="s">
        <v>649</v>
      </c>
    </row>
    <row r="1877" spans="1:15" x14ac:dyDescent="0.35">
      <c r="A1877" s="77">
        <v>1.9698630136986301</v>
      </c>
      <c r="B1877" s="19">
        <v>89756</v>
      </c>
      <c r="C1877" s="19" t="s">
        <v>4191</v>
      </c>
      <c r="D1877" s="19" t="s">
        <v>218</v>
      </c>
      <c r="E1877" s="19" t="s">
        <v>219</v>
      </c>
      <c r="F1877" s="19" t="s">
        <v>1372</v>
      </c>
      <c r="G1877" s="19" t="s">
        <v>1019</v>
      </c>
      <c r="H1877" s="19" t="s">
        <v>1020</v>
      </c>
      <c r="I1877" s="19" t="s">
        <v>1575</v>
      </c>
      <c r="J1877" s="20">
        <v>21</v>
      </c>
      <c r="K1877" t="s">
        <v>625</v>
      </c>
      <c r="L1877" t="s">
        <v>661</v>
      </c>
      <c r="M1877" t="s">
        <v>657</v>
      </c>
      <c r="N1877" t="s">
        <v>662</v>
      </c>
      <c r="O1877" t="s">
        <v>632</v>
      </c>
    </row>
    <row r="1878" spans="1:15" x14ac:dyDescent="0.35">
      <c r="A1878" s="77">
        <v>0.61917808219178083</v>
      </c>
      <c r="B1878" s="19">
        <v>89799</v>
      </c>
      <c r="C1878" s="19" t="s">
        <v>4192</v>
      </c>
      <c r="D1878" s="19" t="s">
        <v>49</v>
      </c>
      <c r="E1878" s="19" t="s">
        <v>50</v>
      </c>
      <c r="F1878" s="19" t="s">
        <v>1213</v>
      </c>
      <c r="G1878" s="19" t="s">
        <v>1028</v>
      </c>
      <c r="H1878" s="19" t="s">
        <v>1020</v>
      </c>
      <c r="I1878" s="19" t="s">
        <v>1575</v>
      </c>
      <c r="J1878" s="20">
        <v>20</v>
      </c>
      <c r="K1878" t="s">
        <v>625</v>
      </c>
      <c r="L1878" t="s">
        <v>648</v>
      </c>
      <c r="M1878" t="s">
        <v>623</v>
      </c>
      <c r="N1878" t="s">
        <v>624</v>
      </c>
      <c r="O1878" t="s">
        <v>649</v>
      </c>
    </row>
    <row r="1879" spans="1:15" x14ac:dyDescent="0.35">
      <c r="A1879" s="77">
        <v>1.9150684931506849</v>
      </c>
      <c r="B1879" s="19">
        <v>89806</v>
      </c>
      <c r="C1879" s="19" t="s">
        <v>4193</v>
      </c>
      <c r="D1879" s="19" t="s">
        <v>353</v>
      </c>
      <c r="E1879" s="19" t="s">
        <v>354</v>
      </c>
      <c r="F1879" s="19" t="s">
        <v>850</v>
      </c>
      <c r="G1879" s="19" t="s">
        <v>1008</v>
      </c>
      <c r="H1879" s="19" t="s">
        <v>1001</v>
      </c>
      <c r="I1879" s="19" t="s">
        <v>1575</v>
      </c>
      <c r="J1879" s="20">
        <v>27</v>
      </c>
      <c r="K1879" t="s">
        <v>654</v>
      </c>
      <c r="L1879" t="s">
        <v>640</v>
      </c>
      <c r="M1879" t="s">
        <v>623</v>
      </c>
      <c r="N1879" t="s">
        <v>624</v>
      </c>
      <c r="O1879" t="s">
        <v>789</v>
      </c>
    </row>
    <row r="1880" spans="1:15" x14ac:dyDescent="0.35">
      <c r="A1880" s="77">
        <v>1.9150684931506849</v>
      </c>
      <c r="B1880" s="19">
        <v>89808</v>
      </c>
      <c r="C1880" s="19" t="s">
        <v>4194</v>
      </c>
      <c r="D1880" s="19" t="s">
        <v>353</v>
      </c>
      <c r="E1880" s="19" t="s">
        <v>354</v>
      </c>
      <c r="F1880" s="19" t="s">
        <v>850</v>
      </c>
      <c r="G1880" s="19" t="s">
        <v>1034</v>
      </c>
      <c r="H1880" s="19" t="s">
        <v>1001</v>
      </c>
      <c r="I1880" s="19" t="s">
        <v>1599</v>
      </c>
      <c r="J1880" s="20">
        <v>26</v>
      </c>
      <c r="K1880" t="s">
        <v>654</v>
      </c>
      <c r="L1880" t="s">
        <v>640</v>
      </c>
      <c r="M1880" t="s">
        <v>623</v>
      </c>
      <c r="N1880" t="s">
        <v>624</v>
      </c>
      <c r="O1880" t="s">
        <v>789</v>
      </c>
    </row>
    <row r="1881" spans="1:15" x14ac:dyDescent="0.35">
      <c r="A1881" s="77">
        <v>1.9068493150684931</v>
      </c>
      <c r="B1881" s="19">
        <v>89900</v>
      </c>
      <c r="C1881" s="19" t="s">
        <v>4195</v>
      </c>
      <c r="D1881" s="19" t="s">
        <v>260</v>
      </c>
      <c r="E1881" s="19" t="s">
        <v>261</v>
      </c>
      <c r="F1881" s="19" t="s">
        <v>1109</v>
      </c>
      <c r="G1881" s="19" t="s">
        <v>1028</v>
      </c>
      <c r="H1881" s="19" t="s">
        <v>1020</v>
      </c>
      <c r="I1881" s="19" t="s">
        <v>1599</v>
      </c>
      <c r="J1881" s="20">
        <v>21</v>
      </c>
      <c r="K1881" t="s">
        <v>636</v>
      </c>
      <c r="L1881" t="s">
        <v>656</v>
      </c>
      <c r="M1881" t="s">
        <v>657</v>
      </c>
      <c r="N1881" t="s">
        <v>658</v>
      </c>
      <c r="O1881" t="s">
        <v>808</v>
      </c>
    </row>
    <row r="1882" spans="1:15" x14ac:dyDescent="0.35">
      <c r="A1882" s="77">
        <v>1.9095890410958904</v>
      </c>
      <c r="B1882" s="19">
        <v>89918</v>
      </c>
      <c r="C1882" s="19" t="s">
        <v>4196</v>
      </c>
      <c r="D1882" s="19" t="s">
        <v>431</v>
      </c>
      <c r="E1882" s="19" t="e">
        <v>#N/A</v>
      </c>
      <c r="F1882" s="19" t="s">
        <v>709</v>
      </c>
      <c r="G1882" s="19" t="s">
        <v>1034</v>
      </c>
      <c r="H1882" s="19" t="s">
        <v>1001</v>
      </c>
      <c r="I1882" s="19" t="s">
        <v>1599</v>
      </c>
      <c r="J1882" s="20">
        <v>25</v>
      </c>
      <c r="K1882" t="s">
        <v>654</v>
      </c>
      <c r="L1882" t="s">
        <v>707</v>
      </c>
      <c r="M1882" t="s">
        <v>629</v>
      </c>
      <c r="N1882" t="s">
        <v>635</v>
      </c>
      <c r="O1882" t="s">
        <v>710</v>
      </c>
    </row>
    <row r="1883" spans="1:15" x14ac:dyDescent="0.35">
      <c r="A1883" s="77">
        <v>1.9068493150684931</v>
      </c>
      <c r="B1883" s="19">
        <v>89923</v>
      </c>
      <c r="C1883" s="19" t="s">
        <v>4197</v>
      </c>
      <c r="D1883" s="19" t="s">
        <v>431</v>
      </c>
      <c r="E1883" s="19" t="e">
        <v>#N/A</v>
      </c>
      <c r="F1883" s="19" t="s">
        <v>709</v>
      </c>
      <c r="G1883" s="19" t="s">
        <v>1034</v>
      </c>
      <c r="H1883" s="19" t="s">
        <v>1001</v>
      </c>
      <c r="I1883" s="19" t="s">
        <v>1575</v>
      </c>
      <c r="J1883" s="20">
        <v>23</v>
      </c>
      <c r="K1883" t="s">
        <v>654</v>
      </c>
      <c r="L1883" t="s">
        <v>707</v>
      </c>
      <c r="M1883" t="s">
        <v>629</v>
      </c>
      <c r="N1883" t="s">
        <v>635</v>
      </c>
      <c r="O1883" t="s">
        <v>710</v>
      </c>
    </row>
    <row r="1884" spans="1:15" x14ac:dyDescent="0.35">
      <c r="A1884" s="77">
        <v>0.54794520547945202</v>
      </c>
      <c r="B1884" s="19">
        <v>89941</v>
      </c>
      <c r="C1884" s="19" t="s">
        <v>4198</v>
      </c>
      <c r="D1884" s="19" t="s">
        <v>39</v>
      </c>
      <c r="E1884" s="19" t="s">
        <v>39</v>
      </c>
      <c r="F1884" s="19" t="s">
        <v>1168</v>
      </c>
      <c r="G1884" s="19" t="s">
        <v>1028</v>
      </c>
      <c r="H1884" s="19" t="s">
        <v>1020</v>
      </c>
      <c r="I1884" s="19" t="s">
        <v>1575</v>
      </c>
      <c r="J1884" s="20">
        <v>22</v>
      </c>
      <c r="K1884" t="s">
        <v>636</v>
      </c>
      <c r="L1884" t="s">
        <v>661</v>
      </c>
      <c r="M1884" t="s">
        <v>657</v>
      </c>
      <c r="N1884" t="s">
        <v>662</v>
      </c>
      <c r="O1884" t="s">
        <v>632</v>
      </c>
    </row>
    <row r="1885" spans="1:15" x14ac:dyDescent="0.35">
      <c r="A1885" s="77">
        <v>1.6630136986301369</v>
      </c>
      <c r="B1885" s="19">
        <v>89962</v>
      </c>
      <c r="C1885" s="19" t="s">
        <v>4199</v>
      </c>
      <c r="D1885" s="19" t="s">
        <v>55</v>
      </c>
      <c r="E1885" s="19" t="s">
        <v>56</v>
      </c>
      <c r="F1885" s="19" t="s">
        <v>1684</v>
      </c>
      <c r="G1885" s="19" t="s">
        <v>1057</v>
      </c>
      <c r="H1885" s="19" t="s">
        <v>1001</v>
      </c>
      <c r="I1885" s="19" t="s">
        <v>1575</v>
      </c>
      <c r="J1885" s="20">
        <v>22</v>
      </c>
      <c r="K1885" t="s">
        <v>668</v>
      </c>
      <c r="L1885" t="s">
        <v>707</v>
      </c>
      <c r="M1885" t="s">
        <v>629</v>
      </c>
      <c r="N1885" t="s">
        <v>635</v>
      </c>
      <c r="O1885" t="s">
        <v>708</v>
      </c>
    </row>
    <row r="1886" spans="1:15" x14ac:dyDescent="0.35">
      <c r="A1886" s="77">
        <v>1.893150684931507</v>
      </c>
      <c r="B1886" s="19">
        <v>89978</v>
      </c>
      <c r="C1886" s="19" t="s">
        <v>4200</v>
      </c>
      <c r="D1886" s="19" t="s">
        <v>130</v>
      </c>
      <c r="E1886" s="19" t="s">
        <v>131</v>
      </c>
      <c r="F1886" s="19" t="s">
        <v>1693</v>
      </c>
      <c r="G1886" s="19" t="s">
        <v>1008</v>
      </c>
      <c r="H1886" s="19" t="s">
        <v>1001</v>
      </c>
      <c r="I1886" s="19" t="s">
        <v>1575</v>
      </c>
      <c r="J1886" s="20">
        <v>26</v>
      </c>
      <c r="K1886" t="s">
        <v>654</v>
      </c>
      <c r="L1886" t="s">
        <v>670</v>
      </c>
      <c r="M1886" t="s">
        <v>657</v>
      </c>
      <c r="N1886" t="s">
        <v>641</v>
      </c>
      <c r="O1886" t="s">
        <v>752</v>
      </c>
    </row>
    <row r="1887" spans="1:15" x14ac:dyDescent="0.35">
      <c r="A1887" s="77">
        <v>1.893150684931507</v>
      </c>
      <c r="B1887" s="19">
        <v>90012</v>
      </c>
      <c r="C1887" s="19" t="s">
        <v>4201</v>
      </c>
      <c r="D1887" s="19" t="s">
        <v>115</v>
      </c>
      <c r="E1887" s="19" t="s">
        <v>116</v>
      </c>
      <c r="F1887" s="19" t="s">
        <v>1383</v>
      </c>
      <c r="G1887" s="19" t="s">
        <v>1028</v>
      </c>
      <c r="H1887" s="19" t="s">
        <v>1020</v>
      </c>
      <c r="I1887" s="19" t="s">
        <v>1575</v>
      </c>
      <c r="J1887" s="20">
        <v>39</v>
      </c>
      <c r="K1887" t="s">
        <v>631</v>
      </c>
      <c r="L1887" t="s">
        <v>670</v>
      </c>
      <c r="M1887" t="s">
        <v>657</v>
      </c>
      <c r="N1887" t="s">
        <v>641</v>
      </c>
      <c r="O1887" t="s">
        <v>671</v>
      </c>
    </row>
    <row r="1888" spans="1:15" x14ac:dyDescent="0.35">
      <c r="A1888" s="77">
        <v>0.21917808219178081</v>
      </c>
      <c r="B1888" s="19">
        <v>90014</v>
      </c>
      <c r="C1888" s="19" t="s">
        <v>4202</v>
      </c>
      <c r="D1888" s="19" t="s">
        <v>397</v>
      </c>
      <c r="E1888" s="19" t="s">
        <v>398</v>
      </c>
      <c r="F1888" s="19" t="s">
        <v>867</v>
      </c>
      <c r="G1888" s="19" t="s">
        <v>1019</v>
      </c>
      <c r="H1888" s="19" t="s">
        <v>1020</v>
      </c>
      <c r="I1888" s="19" t="s">
        <v>1575</v>
      </c>
      <c r="J1888" s="20">
        <v>21</v>
      </c>
      <c r="K1888" t="s">
        <v>625</v>
      </c>
      <c r="L1888" t="s">
        <v>634</v>
      </c>
      <c r="M1888" t="s">
        <v>629</v>
      </c>
      <c r="N1888" t="s">
        <v>635</v>
      </c>
      <c r="O1888" t="s">
        <v>637</v>
      </c>
    </row>
    <row r="1889" spans="1:15" x14ac:dyDescent="0.35">
      <c r="A1889" s="77">
        <v>1.893150684931507</v>
      </c>
      <c r="B1889" s="19">
        <v>90039</v>
      </c>
      <c r="C1889" s="19" t="s">
        <v>4203</v>
      </c>
      <c r="D1889" s="19" t="s">
        <v>349</v>
      </c>
      <c r="E1889" s="19" t="s">
        <v>350</v>
      </c>
      <c r="F1889" s="19" t="s">
        <v>912</v>
      </c>
      <c r="G1889" s="19" t="s">
        <v>1028</v>
      </c>
      <c r="H1889" s="19" t="s">
        <v>1020</v>
      </c>
      <c r="I1889" s="19" t="s">
        <v>1575</v>
      </c>
      <c r="J1889" s="20">
        <v>24</v>
      </c>
      <c r="K1889" t="s">
        <v>625</v>
      </c>
      <c r="L1889" t="s">
        <v>648</v>
      </c>
      <c r="M1889" t="s">
        <v>623</v>
      </c>
      <c r="N1889" t="s">
        <v>624</v>
      </c>
      <c r="O1889" t="s">
        <v>649</v>
      </c>
    </row>
    <row r="1890" spans="1:15" x14ac:dyDescent="0.35">
      <c r="A1890" s="77">
        <v>1.9123287671232876</v>
      </c>
      <c r="B1890" s="19">
        <v>90090</v>
      </c>
      <c r="C1890" s="19" t="s">
        <v>4204</v>
      </c>
      <c r="D1890" s="19" t="s">
        <v>78</v>
      </c>
      <c r="E1890" s="19" t="s">
        <v>79</v>
      </c>
      <c r="F1890" s="19" t="s">
        <v>1107</v>
      </c>
      <c r="G1890" s="19" t="s">
        <v>1028</v>
      </c>
      <c r="H1890" s="19" t="s">
        <v>1020</v>
      </c>
      <c r="I1890" s="19" t="s">
        <v>1599</v>
      </c>
      <c r="J1890" s="20">
        <v>21</v>
      </c>
      <c r="K1890" t="s">
        <v>654</v>
      </c>
      <c r="L1890" t="s">
        <v>661</v>
      </c>
      <c r="M1890" t="s">
        <v>657</v>
      </c>
      <c r="N1890" t="s">
        <v>658</v>
      </c>
      <c r="O1890" t="s">
        <v>632</v>
      </c>
    </row>
    <row r="1891" spans="1:15" x14ac:dyDescent="0.35">
      <c r="A1891" s="77">
        <v>0.24383561643835616</v>
      </c>
      <c r="B1891" s="19">
        <v>90094</v>
      </c>
      <c r="C1891" s="19" t="s">
        <v>4205</v>
      </c>
      <c r="D1891" s="19" t="s">
        <v>66</v>
      </c>
      <c r="E1891" s="19" t="s">
        <v>67</v>
      </c>
      <c r="F1891" s="19" t="s">
        <v>1708</v>
      </c>
      <c r="G1891" s="19" t="s">
        <v>1019</v>
      </c>
      <c r="H1891" s="19" t="s">
        <v>1020</v>
      </c>
      <c r="I1891" s="19" t="s">
        <v>1599</v>
      </c>
      <c r="J1891" s="20">
        <v>21</v>
      </c>
      <c r="K1891" t="s">
        <v>654</v>
      </c>
      <c r="L1891" t="s">
        <v>645</v>
      </c>
      <c r="M1891" t="s">
        <v>629</v>
      </c>
      <c r="N1891" t="s">
        <v>646</v>
      </c>
      <c r="O1891" t="s">
        <v>632</v>
      </c>
    </row>
    <row r="1892" spans="1:15" x14ac:dyDescent="0.35">
      <c r="A1892" s="77">
        <v>1.9123287671232876</v>
      </c>
      <c r="B1892" s="19">
        <v>90099</v>
      </c>
      <c r="C1892" s="19" t="s">
        <v>4206</v>
      </c>
      <c r="D1892" s="19" t="s">
        <v>39</v>
      </c>
      <c r="E1892" s="19" t="s">
        <v>39</v>
      </c>
      <c r="F1892" s="19" t="s">
        <v>1168</v>
      </c>
      <c r="G1892" s="19" t="s">
        <v>1046</v>
      </c>
      <c r="H1892" s="19" t="s">
        <v>1001</v>
      </c>
      <c r="I1892" s="19" t="s">
        <v>1599</v>
      </c>
      <c r="J1892" s="20">
        <v>20</v>
      </c>
      <c r="K1892" t="s">
        <v>636</v>
      </c>
      <c r="L1892" t="s">
        <v>661</v>
      </c>
      <c r="M1892" t="s">
        <v>657</v>
      </c>
      <c r="N1892" t="s">
        <v>662</v>
      </c>
      <c r="O1892" t="s">
        <v>632</v>
      </c>
    </row>
    <row r="1893" spans="1:15" x14ac:dyDescent="0.35">
      <c r="A1893" s="77">
        <v>1.9068493150684931</v>
      </c>
      <c r="B1893" s="19">
        <v>90114</v>
      </c>
      <c r="C1893" s="19" t="s">
        <v>4207</v>
      </c>
      <c r="D1893" s="19" t="s">
        <v>343</v>
      </c>
      <c r="E1893" s="19" t="s">
        <v>344</v>
      </c>
      <c r="F1893" s="19" t="s">
        <v>846</v>
      </c>
      <c r="G1893" s="19" t="s">
        <v>1019</v>
      </c>
      <c r="H1893" s="19" t="s">
        <v>1020</v>
      </c>
      <c r="I1893" s="19" t="s">
        <v>1575</v>
      </c>
      <c r="J1893" s="20">
        <v>22</v>
      </c>
      <c r="K1893" t="s">
        <v>642</v>
      </c>
      <c r="L1893" t="s">
        <v>645</v>
      </c>
      <c r="M1893" t="s">
        <v>629</v>
      </c>
      <c r="N1893" t="s">
        <v>646</v>
      </c>
      <c r="O1893" t="s">
        <v>632</v>
      </c>
    </row>
    <row r="1894" spans="1:15" x14ac:dyDescent="0.35">
      <c r="A1894" s="77">
        <v>1.904109589041096</v>
      </c>
      <c r="B1894" s="19">
        <v>90120</v>
      </c>
      <c r="C1894" s="19" t="s">
        <v>4208</v>
      </c>
      <c r="D1894" s="19" t="s">
        <v>280</v>
      </c>
      <c r="E1894" s="19" t="s">
        <v>281</v>
      </c>
      <c r="F1894" s="19" t="s">
        <v>1223</v>
      </c>
      <c r="G1894" s="19" t="s">
        <v>1019</v>
      </c>
      <c r="H1894" s="19" t="s">
        <v>1020</v>
      </c>
      <c r="I1894" s="19" t="s">
        <v>1575</v>
      </c>
      <c r="J1894" s="20">
        <v>22</v>
      </c>
      <c r="K1894" t="s">
        <v>631</v>
      </c>
      <c r="L1894" t="s">
        <v>691</v>
      </c>
      <c r="M1894" t="s">
        <v>657</v>
      </c>
      <c r="N1894" t="s">
        <v>658</v>
      </c>
      <c r="O1894" t="s">
        <v>632</v>
      </c>
    </row>
    <row r="1895" spans="1:15" x14ac:dyDescent="0.35">
      <c r="A1895" s="77">
        <v>1.893150684931507</v>
      </c>
      <c r="B1895" s="19">
        <v>90128</v>
      </c>
      <c r="C1895" s="19" t="s">
        <v>4209</v>
      </c>
      <c r="D1895" s="19" t="s">
        <v>237</v>
      </c>
      <c r="E1895" s="19" t="s">
        <v>238</v>
      </c>
      <c r="F1895" s="19" t="s">
        <v>1070</v>
      </c>
      <c r="G1895" s="19" t="s">
        <v>1028</v>
      </c>
      <c r="H1895" s="19" t="s">
        <v>1020</v>
      </c>
      <c r="I1895" s="19" t="s">
        <v>1575</v>
      </c>
      <c r="J1895" s="20">
        <v>19</v>
      </c>
      <c r="K1895" t="s">
        <v>631</v>
      </c>
      <c r="L1895" t="s">
        <v>661</v>
      </c>
      <c r="M1895" t="s">
        <v>657</v>
      </c>
      <c r="N1895" t="s">
        <v>662</v>
      </c>
      <c r="O1895" t="s">
        <v>632</v>
      </c>
    </row>
    <row r="1896" spans="1:15" x14ac:dyDescent="0.35">
      <c r="A1896" s="77">
        <v>0.57808219178082187</v>
      </c>
      <c r="B1896" s="19">
        <v>90129</v>
      </c>
      <c r="C1896" s="19" t="s">
        <v>4210</v>
      </c>
      <c r="D1896" s="19" t="s">
        <v>107</v>
      </c>
      <c r="E1896" s="19" t="s">
        <v>108</v>
      </c>
      <c r="F1896" s="19" t="s">
        <v>2702</v>
      </c>
      <c r="G1896" s="19" t="s">
        <v>1028</v>
      </c>
      <c r="H1896" s="19" t="s">
        <v>1020</v>
      </c>
      <c r="I1896" s="19" t="s">
        <v>1575</v>
      </c>
      <c r="J1896" s="20">
        <v>21</v>
      </c>
      <c r="K1896" t="s">
        <v>668</v>
      </c>
      <c r="L1896" t="s">
        <v>691</v>
      </c>
      <c r="M1896" t="s">
        <v>657</v>
      </c>
      <c r="N1896" t="s">
        <v>658</v>
      </c>
      <c r="O1896" t="s">
        <v>632</v>
      </c>
    </row>
    <row r="1897" spans="1:15" x14ac:dyDescent="0.35">
      <c r="A1897" s="77">
        <v>1.9095890410958904</v>
      </c>
      <c r="B1897" s="19">
        <v>90155</v>
      </c>
      <c r="C1897" s="19" t="s">
        <v>4211</v>
      </c>
      <c r="D1897" s="19" t="s">
        <v>280</v>
      </c>
      <c r="E1897" s="19" t="s">
        <v>281</v>
      </c>
      <c r="F1897" s="19" t="s">
        <v>1223</v>
      </c>
      <c r="G1897" s="19" t="s">
        <v>1019</v>
      </c>
      <c r="H1897" s="19" t="s">
        <v>1020</v>
      </c>
      <c r="I1897" s="19" t="s">
        <v>1575</v>
      </c>
      <c r="J1897" s="20">
        <v>22</v>
      </c>
      <c r="K1897" t="s">
        <v>631</v>
      </c>
      <c r="L1897" t="s">
        <v>691</v>
      </c>
      <c r="M1897" t="s">
        <v>657</v>
      </c>
      <c r="N1897" t="s">
        <v>658</v>
      </c>
      <c r="O1897" t="s">
        <v>632</v>
      </c>
    </row>
    <row r="1898" spans="1:15" x14ac:dyDescent="0.35">
      <c r="A1898" s="77">
        <v>0.69589041095890414</v>
      </c>
      <c r="B1898" s="19">
        <v>90161</v>
      </c>
      <c r="C1898" s="19" t="s">
        <v>4212</v>
      </c>
      <c r="D1898" s="19" t="s">
        <v>118</v>
      </c>
      <c r="E1898" s="19" t="s">
        <v>119</v>
      </c>
      <c r="F1898" s="19" t="s">
        <v>1360</v>
      </c>
      <c r="G1898" s="19" t="s">
        <v>1028</v>
      </c>
      <c r="H1898" s="19" t="s">
        <v>1020</v>
      </c>
      <c r="I1898" s="19" t="s">
        <v>1575</v>
      </c>
      <c r="J1898" s="20">
        <v>20</v>
      </c>
      <c r="K1898" t="s">
        <v>625</v>
      </c>
      <c r="L1898" t="s">
        <v>656</v>
      </c>
      <c r="M1898" t="s">
        <v>657</v>
      </c>
      <c r="N1898" t="s">
        <v>658</v>
      </c>
      <c r="O1898" t="s">
        <v>632</v>
      </c>
    </row>
    <row r="1899" spans="1:15" x14ac:dyDescent="0.35">
      <c r="A1899" s="77">
        <v>1.8876712328767122</v>
      </c>
      <c r="B1899" s="19">
        <v>90175</v>
      </c>
      <c r="C1899" s="19" t="s">
        <v>4213</v>
      </c>
      <c r="D1899" s="19" t="s">
        <v>93</v>
      </c>
      <c r="E1899" s="19" t="s">
        <v>94</v>
      </c>
      <c r="F1899" s="19" t="s">
        <v>919</v>
      </c>
      <c r="G1899" s="19" t="s">
        <v>1008</v>
      </c>
      <c r="H1899" s="19" t="s">
        <v>1001</v>
      </c>
      <c r="I1899" s="19" t="s">
        <v>1575</v>
      </c>
      <c r="J1899" s="20">
        <v>21</v>
      </c>
      <c r="K1899" t="s">
        <v>654</v>
      </c>
      <c r="L1899" t="s">
        <v>691</v>
      </c>
      <c r="M1899" t="s">
        <v>657</v>
      </c>
      <c r="N1899" t="s">
        <v>658</v>
      </c>
      <c r="O1899" t="s">
        <v>632</v>
      </c>
    </row>
    <row r="1900" spans="1:15" x14ac:dyDescent="0.35">
      <c r="A1900" s="77">
        <v>1.9013698630136986</v>
      </c>
      <c r="B1900" s="19">
        <v>90184</v>
      </c>
      <c r="C1900" s="19" t="s">
        <v>4214</v>
      </c>
      <c r="D1900" s="19" t="s">
        <v>211</v>
      </c>
      <c r="E1900" s="19" t="s">
        <v>212</v>
      </c>
      <c r="F1900" s="19" t="s">
        <v>1049</v>
      </c>
      <c r="G1900" s="19" t="s">
        <v>1057</v>
      </c>
      <c r="H1900" s="19" t="s">
        <v>1001</v>
      </c>
      <c r="I1900" s="19" t="s">
        <v>1599</v>
      </c>
      <c r="J1900" s="20">
        <v>21</v>
      </c>
      <c r="K1900" t="s">
        <v>654</v>
      </c>
      <c r="L1900" t="s">
        <v>691</v>
      </c>
      <c r="M1900" t="s">
        <v>657</v>
      </c>
      <c r="N1900" t="s">
        <v>658</v>
      </c>
      <c r="O1900" t="s">
        <v>632</v>
      </c>
    </row>
    <row r="1901" spans="1:15" x14ac:dyDescent="0.35">
      <c r="A1901" s="77">
        <v>1.8849315068493151</v>
      </c>
      <c r="B1901" s="19">
        <v>90186</v>
      </c>
      <c r="C1901" s="19" t="s">
        <v>4215</v>
      </c>
      <c r="D1901" s="19" t="s">
        <v>31</v>
      </c>
      <c r="E1901" s="19" t="s">
        <v>31</v>
      </c>
      <c r="F1901" s="19" t="s">
        <v>675</v>
      </c>
      <c r="G1901" s="19" t="s">
        <v>1057</v>
      </c>
      <c r="H1901" s="19" t="s">
        <v>1001</v>
      </c>
      <c r="I1901" s="19" t="s">
        <v>1575</v>
      </c>
      <c r="J1901" s="20">
        <v>29</v>
      </c>
      <c r="K1901" t="s">
        <v>654</v>
      </c>
      <c r="L1901" t="s">
        <v>670</v>
      </c>
      <c r="M1901" t="s">
        <v>657</v>
      </c>
      <c r="N1901" t="s">
        <v>641</v>
      </c>
      <c r="O1901" t="s">
        <v>676</v>
      </c>
    </row>
    <row r="1902" spans="1:15" x14ac:dyDescent="0.35">
      <c r="A1902" s="77">
        <v>1.8821917808219177</v>
      </c>
      <c r="B1902" s="19">
        <v>90191</v>
      </c>
      <c r="C1902" s="19" t="s">
        <v>4216</v>
      </c>
      <c r="D1902" s="19" t="s">
        <v>431</v>
      </c>
      <c r="E1902" s="19" t="e">
        <v>#N/A</v>
      </c>
      <c r="F1902" s="19" t="s">
        <v>709</v>
      </c>
      <c r="G1902" s="19" t="s">
        <v>1028</v>
      </c>
      <c r="H1902" s="19" t="s">
        <v>1020</v>
      </c>
      <c r="I1902" s="19" t="s">
        <v>1575</v>
      </c>
      <c r="J1902" s="20">
        <v>20</v>
      </c>
      <c r="K1902" t="s">
        <v>654</v>
      </c>
      <c r="L1902" t="s">
        <v>707</v>
      </c>
      <c r="M1902" t="s">
        <v>629</v>
      </c>
      <c r="N1902" t="s">
        <v>635</v>
      </c>
      <c r="O1902" t="s">
        <v>710</v>
      </c>
    </row>
    <row r="1903" spans="1:15" x14ac:dyDescent="0.35">
      <c r="A1903" s="77">
        <v>1.893150684931507</v>
      </c>
      <c r="B1903" s="19">
        <v>90209</v>
      </c>
      <c r="C1903" s="19" t="s">
        <v>4217</v>
      </c>
      <c r="D1903" s="19" t="s">
        <v>258</v>
      </c>
      <c r="E1903" s="19" t="s">
        <v>259</v>
      </c>
      <c r="F1903" s="19" t="s">
        <v>1349</v>
      </c>
      <c r="G1903" s="19" t="s">
        <v>1019</v>
      </c>
      <c r="H1903" s="19" t="s">
        <v>1020</v>
      </c>
      <c r="I1903" s="19" t="s">
        <v>1575</v>
      </c>
      <c r="J1903" s="20">
        <v>21</v>
      </c>
      <c r="K1903" t="s">
        <v>668</v>
      </c>
      <c r="L1903" t="s">
        <v>691</v>
      </c>
      <c r="M1903" t="s">
        <v>657</v>
      </c>
      <c r="N1903" t="s">
        <v>658</v>
      </c>
      <c r="O1903" t="s">
        <v>632</v>
      </c>
    </row>
    <row r="1904" spans="1:15" x14ac:dyDescent="0.35">
      <c r="A1904" s="77">
        <v>1.8821917808219177</v>
      </c>
      <c r="B1904" s="19">
        <v>90239</v>
      </c>
      <c r="C1904" s="19" t="s">
        <v>4218</v>
      </c>
      <c r="D1904" s="19" t="s">
        <v>45</v>
      </c>
      <c r="E1904" s="19" t="s">
        <v>46</v>
      </c>
      <c r="F1904" s="19" t="s">
        <v>1122</v>
      </c>
      <c r="G1904" s="19" t="s">
        <v>1028</v>
      </c>
      <c r="H1904" s="19" t="s">
        <v>1020</v>
      </c>
      <c r="I1904" s="19" t="s">
        <v>1575</v>
      </c>
      <c r="J1904" s="20">
        <v>33</v>
      </c>
      <c r="K1904" t="s">
        <v>631</v>
      </c>
      <c r="L1904" t="s">
        <v>651</v>
      </c>
      <c r="M1904" t="s">
        <v>629</v>
      </c>
      <c r="N1904" t="s">
        <v>630</v>
      </c>
      <c r="O1904" t="s">
        <v>705</v>
      </c>
    </row>
    <row r="1905" spans="1:15" x14ac:dyDescent="0.35">
      <c r="A1905" s="77">
        <v>1.8712328767123287</v>
      </c>
      <c r="B1905" s="19">
        <v>90242</v>
      </c>
      <c r="C1905" s="19" t="s">
        <v>4219</v>
      </c>
      <c r="D1905" s="19" t="s">
        <v>64</v>
      </c>
      <c r="E1905" s="19" t="s">
        <v>65</v>
      </c>
      <c r="F1905" s="19" t="s">
        <v>1197</v>
      </c>
      <c r="G1905" s="19" t="s">
        <v>1034</v>
      </c>
      <c r="H1905" s="19" t="s">
        <v>1001</v>
      </c>
      <c r="I1905" s="19" t="s">
        <v>1599</v>
      </c>
      <c r="J1905" s="20">
        <v>22</v>
      </c>
      <c r="K1905" t="s">
        <v>654</v>
      </c>
      <c r="L1905" t="s">
        <v>651</v>
      </c>
      <c r="M1905" t="s">
        <v>629</v>
      </c>
      <c r="N1905" t="s">
        <v>630</v>
      </c>
      <c r="O1905" t="s">
        <v>705</v>
      </c>
    </row>
    <row r="1906" spans="1:15" x14ac:dyDescent="0.35">
      <c r="A1906" s="77">
        <v>1.8767123287671232</v>
      </c>
      <c r="B1906" s="19">
        <v>90243</v>
      </c>
      <c r="C1906" s="19" t="s">
        <v>4220</v>
      </c>
      <c r="D1906" s="19" t="s">
        <v>328</v>
      </c>
      <c r="E1906" s="19" t="s">
        <v>329</v>
      </c>
      <c r="F1906" s="19" t="s">
        <v>838</v>
      </c>
      <c r="G1906" s="19" t="s">
        <v>1019</v>
      </c>
      <c r="H1906" s="19" t="s">
        <v>1020</v>
      </c>
      <c r="I1906" s="19" t="s">
        <v>1575</v>
      </c>
      <c r="J1906" s="20">
        <v>20</v>
      </c>
      <c r="K1906" t="s">
        <v>631</v>
      </c>
      <c r="L1906" t="s">
        <v>645</v>
      </c>
      <c r="M1906" t="s">
        <v>629</v>
      </c>
      <c r="N1906" t="s">
        <v>646</v>
      </c>
      <c r="O1906" t="s">
        <v>632</v>
      </c>
    </row>
    <row r="1907" spans="1:15" x14ac:dyDescent="0.35">
      <c r="A1907" s="77">
        <v>2.4657534246575342E-2</v>
      </c>
      <c r="B1907" s="19">
        <v>90290</v>
      </c>
      <c r="C1907" s="19" t="s">
        <v>4221</v>
      </c>
      <c r="D1907" s="19" t="s">
        <v>115</v>
      </c>
      <c r="E1907" s="19" t="s">
        <v>116</v>
      </c>
      <c r="F1907" s="19" t="s">
        <v>1383</v>
      </c>
      <c r="G1907" s="19" t="s">
        <v>1008</v>
      </c>
      <c r="H1907" s="19" t="s">
        <v>1001</v>
      </c>
      <c r="I1907" s="19" t="s">
        <v>1575</v>
      </c>
      <c r="J1907" s="20">
        <v>21</v>
      </c>
      <c r="K1907" t="s">
        <v>631</v>
      </c>
      <c r="L1907" t="s">
        <v>670</v>
      </c>
      <c r="M1907" t="s">
        <v>657</v>
      </c>
      <c r="N1907" t="s">
        <v>641</v>
      </c>
      <c r="O1907" t="s">
        <v>671</v>
      </c>
    </row>
    <row r="1908" spans="1:15" x14ac:dyDescent="0.35">
      <c r="A1908" s="77">
        <v>1.8630136986301369</v>
      </c>
      <c r="B1908" s="19">
        <v>90320</v>
      </c>
      <c r="C1908" s="19" t="s">
        <v>4222</v>
      </c>
      <c r="D1908" s="19" t="s">
        <v>375</v>
      </c>
      <c r="E1908" s="19" t="s">
        <v>376</v>
      </c>
      <c r="F1908" s="19" t="s">
        <v>1270</v>
      </c>
      <c r="G1908" s="19" t="s">
        <v>1008</v>
      </c>
      <c r="H1908" s="19" t="s">
        <v>1001</v>
      </c>
      <c r="I1908" s="19" t="s">
        <v>1599</v>
      </c>
      <c r="J1908" s="20">
        <v>18</v>
      </c>
      <c r="K1908" t="s">
        <v>636</v>
      </c>
      <c r="L1908" t="s">
        <v>678</v>
      </c>
      <c r="M1908" t="s">
        <v>623</v>
      </c>
      <c r="N1908" t="s">
        <v>624</v>
      </c>
      <c r="O1908" t="s">
        <v>679</v>
      </c>
    </row>
    <row r="1909" spans="1:15" x14ac:dyDescent="0.35">
      <c r="A1909" s="77">
        <v>1.8575342465753424</v>
      </c>
      <c r="B1909" s="19">
        <v>90322</v>
      </c>
      <c r="C1909" s="19" t="s">
        <v>4223</v>
      </c>
      <c r="D1909" s="19" t="s">
        <v>49</v>
      </c>
      <c r="E1909" s="19" t="s">
        <v>50</v>
      </c>
      <c r="F1909" s="19" t="s">
        <v>1213</v>
      </c>
      <c r="G1909" s="19" t="s">
        <v>1046</v>
      </c>
      <c r="H1909" s="19" t="s">
        <v>1001</v>
      </c>
      <c r="I1909" s="19" t="s">
        <v>1575</v>
      </c>
      <c r="J1909" s="20">
        <v>31</v>
      </c>
      <c r="K1909" t="s">
        <v>625</v>
      </c>
      <c r="L1909" t="s">
        <v>648</v>
      </c>
      <c r="M1909" t="s">
        <v>623</v>
      </c>
      <c r="N1909" t="s">
        <v>624</v>
      </c>
      <c r="O1909" t="s">
        <v>649</v>
      </c>
    </row>
    <row r="1910" spans="1:15" x14ac:dyDescent="0.35">
      <c r="A1910" s="77">
        <v>1.8630136986301369</v>
      </c>
      <c r="B1910" s="19">
        <v>90324</v>
      </c>
      <c r="C1910" s="19" t="s">
        <v>4224</v>
      </c>
      <c r="D1910" s="19" t="s">
        <v>49</v>
      </c>
      <c r="E1910" s="19" t="s">
        <v>50</v>
      </c>
      <c r="F1910" s="19" t="s">
        <v>1213</v>
      </c>
      <c r="G1910" s="19" t="s">
        <v>1008</v>
      </c>
      <c r="H1910" s="19" t="s">
        <v>1001</v>
      </c>
      <c r="I1910" s="19" t="s">
        <v>1575</v>
      </c>
      <c r="J1910" s="20">
        <v>24</v>
      </c>
      <c r="K1910" t="s">
        <v>625</v>
      </c>
      <c r="L1910" t="s">
        <v>648</v>
      </c>
      <c r="M1910" t="s">
        <v>623</v>
      </c>
      <c r="N1910" t="s">
        <v>624</v>
      </c>
      <c r="O1910" t="s">
        <v>649</v>
      </c>
    </row>
    <row r="1911" spans="1:15" x14ac:dyDescent="0.35">
      <c r="A1911" s="77">
        <v>1.8657534246575342</v>
      </c>
      <c r="B1911" s="19">
        <v>90328</v>
      </c>
      <c r="C1911" s="19" t="s">
        <v>4225</v>
      </c>
      <c r="D1911" s="19" t="s">
        <v>262</v>
      </c>
      <c r="E1911" s="19" t="s">
        <v>263</v>
      </c>
      <c r="F1911" s="19" t="s">
        <v>2336</v>
      </c>
      <c r="G1911" s="19" t="s">
        <v>1028</v>
      </c>
      <c r="H1911" s="19" t="s">
        <v>1020</v>
      </c>
      <c r="I1911" s="19" t="s">
        <v>1599</v>
      </c>
      <c r="J1911" s="20">
        <v>20</v>
      </c>
      <c r="K1911" t="s">
        <v>668</v>
      </c>
      <c r="L1911" t="s">
        <v>663</v>
      </c>
      <c r="M1911" t="s">
        <v>629</v>
      </c>
      <c r="N1911" t="s">
        <v>646</v>
      </c>
      <c r="O1911" t="s">
        <v>810</v>
      </c>
    </row>
    <row r="1912" spans="1:15" x14ac:dyDescent="0.35">
      <c r="A1912" s="77">
        <v>1.8657534246575342</v>
      </c>
      <c r="B1912" s="19">
        <v>90330</v>
      </c>
      <c r="C1912" s="19" t="s">
        <v>4226</v>
      </c>
      <c r="D1912" s="19" t="s">
        <v>264</v>
      </c>
      <c r="E1912" s="19" t="s">
        <v>265</v>
      </c>
      <c r="F1912" s="19" t="s">
        <v>2526</v>
      </c>
      <c r="G1912" s="19" t="s">
        <v>1028</v>
      </c>
      <c r="H1912" s="19" t="s">
        <v>1020</v>
      </c>
      <c r="I1912" s="19" t="s">
        <v>1575</v>
      </c>
      <c r="J1912" s="20">
        <v>24</v>
      </c>
      <c r="K1912" t="s">
        <v>654</v>
      </c>
      <c r="L1912" t="s">
        <v>678</v>
      </c>
      <c r="M1912" t="s">
        <v>623</v>
      </c>
      <c r="N1912" t="s">
        <v>624</v>
      </c>
      <c r="O1912" t="s">
        <v>689</v>
      </c>
    </row>
    <row r="1913" spans="1:15" x14ac:dyDescent="0.35">
      <c r="A1913" s="77">
        <v>1.8547945205479452</v>
      </c>
      <c r="B1913" s="19">
        <v>90359</v>
      </c>
      <c r="C1913" s="19" t="s">
        <v>4227</v>
      </c>
      <c r="D1913" s="19" t="s">
        <v>278</v>
      </c>
      <c r="E1913" s="19" t="s">
        <v>279</v>
      </c>
      <c r="F1913" s="19" t="s">
        <v>1131</v>
      </c>
      <c r="G1913" s="19" t="s">
        <v>1084</v>
      </c>
      <c r="H1913" s="19" t="s">
        <v>1020</v>
      </c>
      <c r="I1913" s="19" t="s">
        <v>1575</v>
      </c>
      <c r="J1913" s="20">
        <v>19</v>
      </c>
      <c r="K1913" t="s">
        <v>625</v>
      </c>
      <c r="L1913" t="s">
        <v>661</v>
      </c>
      <c r="M1913" t="s">
        <v>657</v>
      </c>
      <c r="N1913" t="s">
        <v>662</v>
      </c>
      <c r="O1913" t="s">
        <v>632</v>
      </c>
    </row>
    <row r="1914" spans="1:15" x14ac:dyDescent="0.35">
      <c r="A1914" s="77">
        <v>2.1917808219178082E-2</v>
      </c>
      <c r="B1914" s="19">
        <v>90406</v>
      </c>
      <c r="C1914" s="19" t="s">
        <v>4228</v>
      </c>
      <c r="D1914" s="19" t="s">
        <v>276</v>
      </c>
      <c r="E1914" s="19" t="s">
        <v>277</v>
      </c>
      <c r="F1914" s="19" t="s">
        <v>893</v>
      </c>
      <c r="G1914" s="19" t="s">
        <v>1008</v>
      </c>
      <c r="H1914" s="19" t="s">
        <v>1001</v>
      </c>
      <c r="I1914" s="19" t="s">
        <v>1575</v>
      </c>
      <c r="J1914" s="20">
        <v>18</v>
      </c>
      <c r="K1914" t="s">
        <v>631</v>
      </c>
      <c r="L1914" t="s">
        <v>707</v>
      </c>
      <c r="M1914" t="s">
        <v>629</v>
      </c>
      <c r="N1914" t="s">
        <v>635</v>
      </c>
      <c r="O1914" t="s">
        <v>710</v>
      </c>
    </row>
    <row r="1915" spans="1:15" x14ac:dyDescent="0.35">
      <c r="A1915" s="77">
        <v>2.4657534246575342E-2</v>
      </c>
      <c r="B1915" s="19">
        <v>90413</v>
      </c>
      <c r="C1915" s="19" t="s">
        <v>4229</v>
      </c>
      <c r="D1915" s="19" t="s">
        <v>11</v>
      </c>
      <c r="E1915" s="19" t="s">
        <v>11</v>
      </c>
      <c r="F1915" s="19" t="s">
        <v>627</v>
      </c>
      <c r="G1915" s="19" t="s">
        <v>1008</v>
      </c>
      <c r="H1915" s="19" t="s">
        <v>1001</v>
      </c>
      <c r="I1915" s="19" t="s">
        <v>1575</v>
      </c>
      <c r="J1915" s="20">
        <v>22</v>
      </c>
      <c r="K1915" t="s">
        <v>631</v>
      </c>
      <c r="L1915" t="s">
        <v>628</v>
      </c>
      <c r="M1915" t="s">
        <v>629</v>
      </c>
      <c r="N1915" t="s">
        <v>630</v>
      </c>
      <c r="O1915" t="s">
        <v>632</v>
      </c>
    </row>
    <row r="1916" spans="1:15" x14ac:dyDescent="0.35">
      <c r="A1916" s="77">
        <v>0.22191780821917809</v>
      </c>
      <c r="B1916" s="19">
        <v>90437</v>
      </c>
      <c r="C1916" s="19" t="s">
        <v>4230</v>
      </c>
      <c r="D1916" s="19" t="s">
        <v>397</v>
      </c>
      <c r="E1916" s="19" t="s">
        <v>398</v>
      </c>
      <c r="F1916" s="19" t="s">
        <v>867</v>
      </c>
      <c r="G1916" s="19" t="s">
        <v>1028</v>
      </c>
      <c r="H1916" s="19" t="s">
        <v>1020</v>
      </c>
      <c r="I1916" s="19" t="s">
        <v>1575</v>
      </c>
      <c r="J1916" s="20">
        <v>27</v>
      </c>
      <c r="K1916" t="s">
        <v>625</v>
      </c>
      <c r="L1916" t="s">
        <v>634</v>
      </c>
      <c r="M1916" t="s">
        <v>629</v>
      </c>
      <c r="N1916" t="s">
        <v>635</v>
      </c>
      <c r="O1916" t="s">
        <v>637</v>
      </c>
    </row>
    <row r="1917" spans="1:15" x14ac:dyDescent="0.35">
      <c r="A1917" s="77">
        <v>1.8465753424657534</v>
      </c>
      <c r="B1917" s="19">
        <v>90438</v>
      </c>
      <c r="C1917" s="19" t="s">
        <v>4231</v>
      </c>
      <c r="D1917" s="19" t="s">
        <v>247</v>
      </c>
      <c r="E1917" s="19" t="s">
        <v>248</v>
      </c>
      <c r="F1917" s="19" t="s">
        <v>1726</v>
      </c>
      <c r="G1917" s="19" t="s">
        <v>1008</v>
      </c>
      <c r="H1917" s="19" t="s">
        <v>1001</v>
      </c>
      <c r="I1917" s="19" t="s">
        <v>1599</v>
      </c>
      <c r="J1917" s="20">
        <v>27</v>
      </c>
      <c r="K1917" t="s">
        <v>668</v>
      </c>
      <c r="L1917" t="s">
        <v>634</v>
      </c>
      <c r="M1917" t="s">
        <v>629</v>
      </c>
      <c r="N1917" t="s">
        <v>635</v>
      </c>
      <c r="O1917" t="s">
        <v>637</v>
      </c>
    </row>
    <row r="1918" spans="1:15" x14ac:dyDescent="0.35">
      <c r="A1918" s="77">
        <v>0.9068493150684932</v>
      </c>
      <c r="B1918" s="19">
        <v>90459</v>
      </c>
      <c r="C1918" s="19" t="s">
        <v>4232</v>
      </c>
      <c r="D1918" s="19" t="s">
        <v>432</v>
      </c>
      <c r="E1918" s="19" t="e">
        <v>#N/A</v>
      </c>
      <c r="F1918" s="19" t="s">
        <v>1037</v>
      </c>
      <c r="G1918" s="19" t="s">
        <v>1019</v>
      </c>
      <c r="H1918" s="19" t="s">
        <v>1020</v>
      </c>
      <c r="I1918" s="19" t="s">
        <v>1575</v>
      </c>
      <c r="J1918" s="20">
        <v>20</v>
      </c>
      <c r="K1918" t="s">
        <v>668</v>
      </c>
      <c r="L1918" t="s">
        <v>707</v>
      </c>
      <c r="M1918" t="s">
        <v>629</v>
      </c>
      <c r="N1918" t="s">
        <v>635</v>
      </c>
      <c r="O1918" t="s">
        <v>708</v>
      </c>
    </row>
    <row r="1919" spans="1:15" x14ac:dyDescent="0.35">
      <c r="A1919" s="77">
        <v>1.8520547945205479</v>
      </c>
      <c r="B1919" s="19">
        <v>90482</v>
      </c>
      <c r="C1919" s="19" t="s">
        <v>4233</v>
      </c>
      <c r="D1919" s="19" t="s">
        <v>428</v>
      </c>
      <c r="E1919" s="19" t="s">
        <v>428</v>
      </c>
      <c r="F1919" s="19" t="s">
        <v>1063</v>
      </c>
      <c r="G1919" s="19" t="s">
        <v>1019</v>
      </c>
      <c r="H1919" s="19" t="s">
        <v>1020</v>
      </c>
      <c r="I1919" s="19" t="s">
        <v>1575</v>
      </c>
      <c r="J1919" s="20">
        <v>25</v>
      </c>
      <c r="K1919" t="s">
        <v>668</v>
      </c>
      <c r="L1919" t="s">
        <v>656</v>
      </c>
      <c r="M1919" t="s">
        <v>657</v>
      </c>
      <c r="N1919" t="s">
        <v>658</v>
      </c>
      <c r="O1919" t="s">
        <v>632</v>
      </c>
    </row>
    <row r="1920" spans="1:15" x14ac:dyDescent="0.35">
      <c r="A1920" s="77">
        <v>1.8465753424657534</v>
      </c>
      <c r="B1920" s="19">
        <v>90514</v>
      </c>
      <c r="C1920" s="19" t="s">
        <v>4234</v>
      </c>
      <c r="D1920" s="19" t="s">
        <v>32</v>
      </c>
      <c r="E1920" s="19" t="s">
        <v>33</v>
      </c>
      <c r="F1920" s="19" t="s">
        <v>1154</v>
      </c>
      <c r="G1920" s="19" t="s">
        <v>1034</v>
      </c>
      <c r="H1920" s="19" t="s">
        <v>1001</v>
      </c>
      <c r="I1920" s="19" t="s">
        <v>1575</v>
      </c>
      <c r="J1920" s="20">
        <v>23</v>
      </c>
      <c r="K1920" t="s">
        <v>654</v>
      </c>
      <c r="L1920" t="s">
        <v>622</v>
      </c>
      <c r="M1920" t="s">
        <v>623</v>
      </c>
      <c r="N1920" t="s">
        <v>624</v>
      </c>
      <c r="O1920" t="s">
        <v>681</v>
      </c>
    </row>
    <row r="1921" spans="1:15" x14ac:dyDescent="0.35">
      <c r="A1921" s="77">
        <v>1.8301369863013699</v>
      </c>
      <c r="B1921" s="19">
        <v>90541</v>
      </c>
      <c r="C1921" s="19" t="s">
        <v>4235</v>
      </c>
      <c r="D1921" s="19" t="s">
        <v>307</v>
      </c>
      <c r="E1921" s="19" t="s">
        <v>308</v>
      </c>
      <c r="F1921" s="19" t="s">
        <v>1524</v>
      </c>
      <c r="G1921" s="19" t="s">
        <v>1028</v>
      </c>
      <c r="H1921" s="19" t="s">
        <v>1020</v>
      </c>
      <c r="I1921" s="19" t="s">
        <v>1575</v>
      </c>
      <c r="J1921" s="20">
        <v>29</v>
      </c>
      <c r="K1921" t="s">
        <v>668</v>
      </c>
      <c r="L1921" t="s">
        <v>656</v>
      </c>
      <c r="M1921" t="s">
        <v>657</v>
      </c>
      <c r="N1921" t="s">
        <v>658</v>
      </c>
      <c r="O1921" t="s">
        <v>718</v>
      </c>
    </row>
    <row r="1922" spans="1:15" x14ac:dyDescent="0.35">
      <c r="A1922" s="77">
        <v>0.27123287671232876</v>
      </c>
      <c r="B1922" s="19">
        <v>90595</v>
      </c>
      <c r="C1922" s="19" t="s">
        <v>4236</v>
      </c>
      <c r="D1922" s="19" t="s">
        <v>343</v>
      </c>
      <c r="E1922" s="19" t="s">
        <v>344</v>
      </c>
      <c r="F1922" s="19" t="s">
        <v>846</v>
      </c>
      <c r="G1922" s="19" t="s">
        <v>1028</v>
      </c>
      <c r="H1922" s="19" t="s">
        <v>1020</v>
      </c>
      <c r="I1922" s="19" t="s">
        <v>1575</v>
      </c>
      <c r="J1922" s="20">
        <v>21</v>
      </c>
      <c r="K1922" t="s">
        <v>642</v>
      </c>
      <c r="L1922" t="s">
        <v>645</v>
      </c>
      <c r="M1922" t="s">
        <v>629</v>
      </c>
      <c r="N1922" t="s">
        <v>646</v>
      </c>
      <c r="O1922" t="s">
        <v>632</v>
      </c>
    </row>
    <row r="1923" spans="1:15" x14ac:dyDescent="0.35">
      <c r="A1923" s="77">
        <v>1.8301369863013699</v>
      </c>
      <c r="B1923" s="19">
        <v>90610</v>
      </c>
      <c r="C1923" s="19" t="s">
        <v>4237</v>
      </c>
      <c r="D1923" s="19" t="s">
        <v>247</v>
      </c>
      <c r="E1923" s="19" t="s">
        <v>248</v>
      </c>
      <c r="F1923" s="19" t="s">
        <v>1726</v>
      </c>
      <c r="G1923" s="19" t="s">
        <v>1008</v>
      </c>
      <c r="H1923" s="19" t="s">
        <v>1001</v>
      </c>
      <c r="I1923" s="19" t="s">
        <v>1575</v>
      </c>
      <c r="J1923" s="20">
        <v>20</v>
      </c>
      <c r="K1923" t="s">
        <v>668</v>
      </c>
      <c r="L1923" t="s">
        <v>634</v>
      </c>
      <c r="M1923" t="s">
        <v>629</v>
      </c>
      <c r="N1923" t="s">
        <v>635</v>
      </c>
      <c r="O1923" t="s">
        <v>637</v>
      </c>
    </row>
    <row r="1924" spans="1:15" x14ac:dyDescent="0.35">
      <c r="A1924" s="77">
        <v>1.8301369863013699</v>
      </c>
      <c r="B1924" s="19">
        <v>90611</v>
      </c>
      <c r="C1924" s="19" t="s">
        <v>4238</v>
      </c>
      <c r="D1924" s="19" t="s">
        <v>31</v>
      </c>
      <c r="E1924" s="19" t="s">
        <v>31</v>
      </c>
      <c r="F1924" s="19" t="s">
        <v>675</v>
      </c>
      <c r="G1924" s="19" t="s">
        <v>1046</v>
      </c>
      <c r="H1924" s="19" t="s">
        <v>1001</v>
      </c>
      <c r="I1924" s="19" t="s">
        <v>1575</v>
      </c>
      <c r="J1924" s="20">
        <v>22</v>
      </c>
      <c r="K1924" t="s">
        <v>654</v>
      </c>
      <c r="L1924" t="s">
        <v>670</v>
      </c>
      <c r="M1924" t="s">
        <v>657</v>
      </c>
      <c r="N1924" t="s">
        <v>641</v>
      </c>
      <c r="O1924" t="s">
        <v>676</v>
      </c>
    </row>
    <row r="1925" spans="1:15" x14ac:dyDescent="0.35">
      <c r="A1925" s="77">
        <v>0.989041095890411</v>
      </c>
      <c r="B1925" s="19">
        <v>90643</v>
      </c>
      <c r="C1925" s="19" t="s">
        <v>4239</v>
      </c>
      <c r="D1925" s="19" t="s">
        <v>32</v>
      </c>
      <c r="E1925" s="19" t="s">
        <v>33</v>
      </c>
      <c r="F1925" s="19" t="s">
        <v>1154</v>
      </c>
      <c r="G1925" s="19" t="s">
        <v>1028</v>
      </c>
      <c r="H1925" s="19" t="s">
        <v>1020</v>
      </c>
      <c r="I1925" s="19" t="s">
        <v>1599</v>
      </c>
      <c r="J1925" s="20">
        <v>24</v>
      </c>
      <c r="K1925" t="s">
        <v>654</v>
      </c>
      <c r="L1925" t="s">
        <v>622</v>
      </c>
      <c r="M1925" t="s">
        <v>623</v>
      </c>
      <c r="N1925" t="s">
        <v>624</v>
      </c>
      <c r="O1925" t="s">
        <v>681</v>
      </c>
    </row>
    <row r="1926" spans="1:15" x14ac:dyDescent="0.35">
      <c r="A1926" s="77">
        <v>1.5315068493150685</v>
      </c>
      <c r="B1926" s="19">
        <v>90659</v>
      </c>
      <c r="C1926" s="19" t="s">
        <v>4240</v>
      </c>
      <c r="D1926" s="19" t="s">
        <v>68</v>
      </c>
      <c r="E1926" s="19" t="s">
        <v>69</v>
      </c>
      <c r="F1926" s="19" t="s">
        <v>1078</v>
      </c>
      <c r="G1926" s="19" t="s">
        <v>1019</v>
      </c>
      <c r="H1926" s="19" t="s">
        <v>1020</v>
      </c>
      <c r="I1926" s="19" t="s">
        <v>1575</v>
      </c>
      <c r="J1926" s="20">
        <v>23</v>
      </c>
      <c r="K1926" t="s">
        <v>636</v>
      </c>
      <c r="L1926" t="s">
        <v>670</v>
      </c>
      <c r="M1926" t="s">
        <v>657</v>
      </c>
      <c r="N1926" t="s">
        <v>641</v>
      </c>
      <c r="O1926" t="s">
        <v>671</v>
      </c>
    </row>
    <row r="1927" spans="1:15" x14ac:dyDescent="0.35">
      <c r="A1927" s="77">
        <v>1.5287671232876712</v>
      </c>
      <c r="B1927" s="19">
        <v>90665</v>
      </c>
      <c r="C1927" s="19" t="s">
        <v>4241</v>
      </c>
      <c r="D1927" s="19" t="s">
        <v>115</v>
      </c>
      <c r="E1927" s="19" t="s">
        <v>116</v>
      </c>
      <c r="F1927" s="19" t="s">
        <v>1383</v>
      </c>
      <c r="G1927" s="19" t="s">
        <v>1008</v>
      </c>
      <c r="H1927" s="19" t="s">
        <v>1001</v>
      </c>
      <c r="I1927" s="19" t="s">
        <v>1575</v>
      </c>
      <c r="J1927" s="20">
        <v>22</v>
      </c>
      <c r="K1927" t="s">
        <v>631</v>
      </c>
      <c r="L1927" t="s">
        <v>670</v>
      </c>
      <c r="M1927" t="s">
        <v>657</v>
      </c>
      <c r="N1927" t="s">
        <v>641</v>
      </c>
      <c r="O1927" t="s">
        <v>671</v>
      </c>
    </row>
    <row r="1928" spans="1:15" x14ac:dyDescent="0.35">
      <c r="A1928" s="77">
        <v>1.5287671232876712</v>
      </c>
      <c r="B1928" s="19">
        <v>90666</v>
      </c>
      <c r="C1928" s="19" t="s">
        <v>4242</v>
      </c>
      <c r="D1928" s="19" t="s">
        <v>115</v>
      </c>
      <c r="E1928" s="19" t="s">
        <v>116</v>
      </c>
      <c r="F1928" s="19" t="s">
        <v>1383</v>
      </c>
      <c r="G1928" s="19" t="s">
        <v>1008</v>
      </c>
      <c r="H1928" s="19" t="s">
        <v>1001</v>
      </c>
      <c r="I1928" s="19" t="s">
        <v>1575</v>
      </c>
      <c r="J1928" s="20">
        <v>20</v>
      </c>
      <c r="K1928" t="s">
        <v>631</v>
      </c>
      <c r="L1928" t="s">
        <v>670</v>
      </c>
      <c r="M1928" t="s">
        <v>657</v>
      </c>
      <c r="N1928" t="s">
        <v>641</v>
      </c>
      <c r="O1928" t="s">
        <v>671</v>
      </c>
    </row>
    <row r="1929" spans="1:15" x14ac:dyDescent="0.35">
      <c r="A1929" s="77">
        <v>2.1917808219178082E-2</v>
      </c>
      <c r="B1929" s="19">
        <v>90667</v>
      </c>
      <c r="C1929" s="19" t="s">
        <v>4243</v>
      </c>
      <c r="D1929" s="19" t="s">
        <v>360</v>
      </c>
      <c r="E1929" s="19" t="s">
        <v>361</v>
      </c>
      <c r="F1929" s="19" t="s">
        <v>2312</v>
      </c>
      <c r="G1929" s="19" t="s">
        <v>1008</v>
      </c>
      <c r="H1929" s="19" t="s">
        <v>1001</v>
      </c>
      <c r="I1929" s="19" t="s">
        <v>1599</v>
      </c>
      <c r="J1929" s="20">
        <v>38</v>
      </c>
      <c r="K1929" t="s">
        <v>642</v>
      </c>
      <c r="L1929" t="s">
        <v>670</v>
      </c>
      <c r="M1929" t="s">
        <v>657</v>
      </c>
      <c r="N1929" t="s">
        <v>641</v>
      </c>
      <c r="O1929" t="s">
        <v>671</v>
      </c>
    </row>
    <row r="1930" spans="1:15" x14ac:dyDescent="0.35">
      <c r="A1930" s="77">
        <v>1.8164383561643835</v>
      </c>
      <c r="B1930" s="19">
        <v>90678</v>
      </c>
      <c r="C1930" s="19" t="s">
        <v>4244</v>
      </c>
      <c r="D1930" s="19" t="s">
        <v>397</v>
      </c>
      <c r="E1930" s="19" t="s">
        <v>398</v>
      </c>
      <c r="F1930" s="19" t="s">
        <v>867</v>
      </c>
      <c r="G1930" s="19" t="s">
        <v>1019</v>
      </c>
      <c r="H1930" s="19" t="s">
        <v>1020</v>
      </c>
      <c r="I1930" s="19" t="s">
        <v>1575</v>
      </c>
      <c r="J1930" s="20">
        <v>22</v>
      </c>
      <c r="K1930" t="s">
        <v>625</v>
      </c>
      <c r="L1930" t="s">
        <v>634</v>
      </c>
      <c r="M1930" t="s">
        <v>629</v>
      </c>
      <c r="N1930" t="s">
        <v>635</v>
      </c>
      <c r="O1930" t="s">
        <v>637</v>
      </c>
    </row>
    <row r="1931" spans="1:15" x14ac:dyDescent="0.35">
      <c r="A1931" s="77">
        <v>1.8246575342465754</v>
      </c>
      <c r="B1931" s="19">
        <v>90702</v>
      </c>
      <c r="C1931" s="19" t="s">
        <v>4245</v>
      </c>
      <c r="D1931" s="19" t="s">
        <v>326</v>
      </c>
      <c r="E1931" s="19" t="s">
        <v>327</v>
      </c>
      <c r="F1931" s="19" t="s">
        <v>1051</v>
      </c>
      <c r="G1931" s="19" t="s">
        <v>1019</v>
      </c>
      <c r="H1931" s="19" t="s">
        <v>1020</v>
      </c>
      <c r="I1931" s="19" t="s">
        <v>1575</v>
      </c>
      <c r="J1931" s="20">
        <v>25</v>
      </c>
      <c r="K1931" t="s">
        <v>631</v>
      </c>
      <c r="L1931" t="s">
        <v>648</v>
      </c>
      <c r="M1931" t="s">
        <v>623</v>
      </c>
      <c r="N1931" t="s">
        <v>624</v>
      </c>
      <c r="O1931" t="s">
        <v>837</v>
      </c>
    </row>
    <row r="1932" spans="1:15" x14ac:dyDescent="0.35">
      <c r="A1932" s="77">
        <v>1.8301369863013699</v>
      </c>
      <c r="B1932" s="19">
        <v>90732</v>
      </c>
      <c r="C1932" s="19" t="s">
        <v>4246</v>
      </c>
      <c r="D1932" s="19" t="s">
        <v>73</v>
      </c>
      <c r="E1932" s="19" t="s">
        <v>74</v>
      </c>
      <c r="F1932" s="19" t="s">
        <v>1178</v>
      </c>
      <c r="G1932" s="19" t="s">
        <v>1008</v>
      </c>
      <c r="H1932" s="19" t="s">
        <v>1001</v>
      </c>
      <c r="I1932" s="19" t="s">
        <v>1575</v>
      </c>
      <c r="J1932" s="20">
        <v>25</v>
      </c>
      <c r="K1932" t="s">
        <v>654</v>
      </c>
      <c r="L1932" t="s">
        <v>648</v>
      </c>
      <c r="M1932" t="s">
        <v>623</v>
      </c>
      <c r="N1932" t="s">
        <v>624</v>
      </c>
      <c r="O1932" t="s">
        <v>725</v>
      </c>
    </row>
    <row r="1933" spans="1:15" x14ac:dyDescent="0.35">
      <c r="A1933" s="77">
        <v>1.8301369863013699</v>
      </c>
      <c r="B1933" s="19">
        <v>90750</v>
      </c>
      <c r="C1933" s="19" t="s">
        <v>4247</v>
      </c>
      <c r="D1933" s="19" t="s">
        <v>14</v>
      </c>
      <c r="E1933" s="19" t="s">
        <v>14</v>
      </c>
      <c r="F1933" s="19" t="s">
        <v>15</v>
      </c>
      <c r="G1933" s="19" t="s">
        <v>1008</v>
      </c>
      <c r="H1933" s="19" t="s">
        <v>1001</v>
      </c>
      <c r="I1933" s="19" t="s">
        <v>1575</v>
      </c>
      <c r="J1933" s="20">
        <v>21</v>
      </c>
      <c r="K1933" t="s">
        <v>642</v>
      </c>
      <c r="L1933" t="s">
        <v>640</v>
      </c>
      <c r="M1933" t="s">
        <v>623</v>
      </c>
      <c r="N1933" t="s">
        <v>641</v>
      </c>
      <c r="O1933" t="s">
        <v>643</v>
      </c>
    </row>
    <row r="1934" spans="1:15" x14ac:dyDescent="0.35">
      <c r="A1934" s="77">
        <v>1.8301369863013699</v>
      </c>
      <c r="B1934" s="19">
        <v>90753</v>
      </c>
      <c r="C1934" s="19" t="s">
        <v>4248</v>
      </c>
      <c r="D1934" s="19" t="s">
        <v>201</v>
      </c>
      <c r="E1934" s="19" t="s">
        <v>202</v>
      </c>
      <c r="F1934" s="19" t="s">
        <v>1061</v>
      </c>
      <c r="G1934" s="19" t="s">
        <v>1008</v>
      </c>
      <c r="H1934" s="19" t="s">
        <v>1001</v>
      </c>
      <c r="I1934" s="19" t="s">
        <v>1599</v>
      </c>
      <c r="J1934" s="20">
        <v>20</v>
      </c>
      <c r="K1934" t="s">
        <v>631</v>
      </c>
      <c r="L1934" t="s">
        <v>628</v>
      </c>
      <c r="M1934" t="s">
        <v>629</v>
      </c>
      <c r="N1934" t="s">
        <v>630</v>
      </c>
      <c r="O1934" t="s">
        <v>784</v>
      </c>
    </row>
    <row r="1935" spans="1:15" x14ac:dyDescent="0.35">
      <c r="A1935" s="77">
        <v>1.8246575342465754</v>
      </c>
      <c r="B1935" s="19">
        <v>90768</v>
      </c>
      <c r="C1935" s="19" t="s">
        <v>4249</v>
      </c>
      <c r="D1935" s="19" t="s">
        <v>41</v>
      </c>
      <c r="E1935" s="19" t="s">
        <v>41</v>
      </c>
      <c r="F1935" s="19" t="s">
        <v>1157</v>
      </c>
      <c r="G1935" s="19" t="s">
        <v>1008</v>
      </c>
      <c r="H1935" s="19" t="s">
        <v>1001</v>
      </c>
      <c r="I1935" s="19" t="s">
        <v>1575</v>
      </c>
      <c r="J1935" s="20">
        <v>20</v>
      </c>
      <c r="K1935" t="s">
        <v>625</v>
      </c>
      <c r="L1935" t="s">
        <v>691</v>
      </c>
      <c r="M1935" t="s">
        <v>657</v>
      </c>
      <c r="N1935" t="s">
        <v>658</v>
      </c>
      <c r="O1935" t="s">
        <v>632</v>
      </c>
    </row>
    <row r="1936" spans="1:15" x14ac:dyDescent="0.35">
      <c r="A1936" s="77">
        <v>1.8246575342465754</v>
      </c>
      <c r="B1936" s="19">
        <v>90769</v>
      </c>
      <c r="C1936" s="19" t="s">
        <v>4250</v>
      </c>
      <c r="D1936" s="19" t="s">
        <v>118</v>
      </c>
      <c r="E1936" s="19" t="s">
        <v>119</v>
      </c>
      <c r="F1936" s="19" t="s">
        <v>1360</v>
      </c>
      <c r="G1936" s="19" t="s">
        <v>1019</v>
      </c>
      <c r="H1936" s="19" t="s">
        <v>1020</v>
      </c>
      <c r="I1936" s="19" t="s">
        <v>1575</v>
      </c>
      <c r="J1936" s="20">
        <v>19</v>
      </c>
      <c r="K1936" t="s">
        <v>625</v>
      </c>
      <c r="L1936" t="s">
        <v>656</v>
      </c>
      <c r="M1936" t="s">
        <v>657</v>
      </c>
      <c r="N1936" t="s">
        <v>658</v>
      </c>
      <c r="O1936" t="s">
        <v>632</v>
      </c>
    </row>
    <row r="1937" spans="1:15" x14ac:dyDescent="0.35">
      <c r="A1937" s="77">
        <v>1.8301369863013699</v>
      </c>
      <c r="B1937" s="19">
        <v>90772</v>
      </c>
      <c r="C1937" s="19" t="s">
        <v>4251</v>
      </c>
      <c r="D1937" s="19" t="s">
        <v>68</v>
      </c>
      <c r="E1937" s="19" t="s">
        <v>69</v>
      </c>
      <c r="F1937" s="19" t="s">
        <v>1078</v>
      </c>
      <c r="G1937" s="19" t="s">
        <v>1057</v>
      </c>
      <c r="H1937" s="19" t="s">
        <v>1001</v>
      </c>
      <c r="I1937" s="19" t="s">
        <v>1575</v>
      </c>
      <c r="J1937" s="20">
        <v>20</v>
      </c>
      <c r="K1937" t="s">
        <v>636</v>
      </c>
      <c r="L1937" t="s">
        <v>670</v>
      </c>
      <c r="M1937" t="s">
        <v>657</v>
      </c>
      <c r="N1937" t="s">
        <v>641</v>
      </c>
      <c r="O1937" t="s">
        <v>671</v>
      </c>
    </row>
    <row r="1938" spans="1:15" x14ac:dyDescent="0.35">
      <c r="A1938" s="77">
        <v>1.8136986301369864</v>
      </c>
      <c r="B1938" s="19">
        <v>90774</v>
      </c>
      <c r="C1938" s="19" t="s">
        <v>4252</v>
      </c>
      <c r="D1938" s="19" t="s">
        <v>111</v>
      </c>
      <c r="E1938" s="19" t="s">
        <v>112</v>
      </c>
      <c r="F1938" s="19" t="s">
        <v>1083</v>
      </c>
      <c r="G1938" s="19" t="s">
        <v>1057</v>
      </c>
      <c r="H1938" s="19" t="s">
        <v>1001</v>
      </c>
      <c r="I1938" s="19" t="s">
        <v>1575</v>
      </c>
      <c r="J1938" s="20">
        <v>30</v>
      </c>
      <c r="K1938" t="s">
        <v>654</v>
      </c>
      <c r="L1938" t="s">
        <v>651</v>
      </c>
      <c r="M1938" t="s">
        <v>629</v>
      </c>
      <c r="N1938" t="s">
        <v>630</v>
      </c>
      <c r="O1938" t="s">
        <v>652</v>
      </c>
    </row>
    <row r="1939" spans="1:15" x14ac:dyDescent="0.35">
      <c r="A1939" s="77">
        <v>0.62465753424657533</v>
      </c>
      <c r="B1939" s="19">
        <v>90778</v>
      </c>
      <c r="C1939" s="19" t="s">
        <v>4253</v>
      </c>
      <c r="D1939" s="19" t="s">
        <v>264</v>
      </c>
      <c r="E1939" s="19" t="s">
        <v>265</v>
      </c>
      <c r="F1939" s="19" t="s">
        <v>2526</v>
      </c>
      <c r="G1939" s="19" t="s">
        <v>1028</v>
      </c>
      <c r="H1939" s="19" t="s">
        <v>1020</v>
      </c>
      <c r="I1939" s="19" t="s">
        <v>1599</v>
      </c>
      <c r="J1939" s="20">
        <v>21</v>
      </c>
      <c r="K1939" t="s">
        <v>654</v>
      </c>
      <c r="L1939" t="s">
        <v>678</v>
      </c>
      <c r="M1939" t="s">
        <v>623</v>
      </c>
      <c r="N1939" t="s">
        <v>624</v>
      </c>
      <c r="O1939" t="s">
        <v>689</v>
      </c>
    </row>
    <row r="1940" spans="1:15" x14ac:dyDescent="0.35">
      <c r="A1940" s="77">
        <v>2.1917808219178082E-2</v>
      </c>
      <c r="B1940" s="19">
        <v>90781</v>
      </c>
      <c r="C1940" s="19" t="s">
        <v>4254</v>
      </c>
      <c r="D1940" s="19" t="s">
        <v>13</v>
      </c>
      <c r="E1940" s="19" t="s">
        <v>13</v>
      </c>
      <c r="F1940" s="19" t="s">
        <v>1467</v>
      </c>
      <c r="G1940" s="19" t="s">
        <v>1008</v>
      </c>
      <c r="H1940" s="19" t="s">
        <v>1001</v>
      </c>
      <c r="I1940" s="19" t="s">
        <v>1575</v>
      </c>
      <c r="J1940" s="20">
        <v>20</v>
      </c>
      <c r="K1940" t="s">
        <v>631</v>
      </c>
      <c r="L1940" t="s">
        <v>628</v>
      </c>
      <c r="M1940" t="s">
        <v>629</v>
      </c>
      <c r="N1940" t="s">
        <v>630</v>
      </c>
      <c r="O1940" t="s">
        <v>639</v>
      </c>
    </row>
    <row r="1941" spans="1:15" x14ac:dyDescent="0.35">
      <c r="A1941" s="77">
        <v>1.810958904109589</v>
      </c>
      <c r="B1941" s="19">
        <v>90784</v>
      </c>
      <c r="C1941" s="19" t="s">
        <v>4255</v>
      </c>
      <c r="D1941" s="19" t="s">
        <v>12</v>
      </c>
      <c r="E1941" s="19" t="s">
        <v>12</v>
      </c>
      <c r="F1941" s="19" t="s">
        <v>1145</v>
      </c>
      <c r="G1941" s="19" t="s">
        <v>1008</v>
      </c>
      <c r="H1941" s="19" t="s">
        <v>1001</v>
      </c>
      <c r="I1941" s="19" t="s">
        <v>1575</v>
      </c>
      <c r="J1941" s="20">
        <v>22</v>
      </c>
      <c r="K1941" t="s">
        <v>636</v>
      </c>
      <c r="L1941" t="s">
        <v>634</v>
      </c>
      <c r="M1941" t="s">
        <v>629</v>
      </c>
      <c r="N1941" t="s">
        <v>635</v>
      </c>
      <c r="O1941" t="s">
        <v>637</v>
      </c>
    </row>
    <row r="1942" spans="1:15" x14ac:dyDescent="0.35">
      <c r="A1942" s="77">
        <v>1.7726027397260273</v>
      </c>
      <c r="B1942" s="19">
        <v>90795</v>
      </c>
      <c r="C1942" s="19" t="s">
        <v>4256</v>
      </c>
      <c r="D1942" s="19" t="s">
        <v>333</v>
      </c>
      <c r="E1942" s="19" t="s">
        <v>334</v>
      </c>
      <c r="F1942" s="19" t="s">
        <v>1333</v>
      </c>
      <c r="G1942" s="19" t="s">
        <v>1028</v>
      </c>
      <c r="H1942" s="19" t="s">
        <v>1020</v>
      </c>
      <c r="I1942" s="19" t="s">
        <v>1599</v>
      </c>
      <c r="J1942" s="20">
        <v>23</v>
      </c>
      <c r="K1942" t="s">
        <v>636</v>
      </c>
      <c r="L1942" t="s">
        <v>666</v>
      </c>
      <c r="M1942" t="s">
        <v>629</v>
      </c>
      <c r="N1942" t="s">
        <v>630</v>
      </c>
      <c r="O1942" t="s">
        <v>652</v>
      </c>
    </row>
    <row r="1943" spans="1:15" x14ac:dyDescent="0.35">
      <c r="A1943" s="77">
        <v>0.73972602739726023</v>
      </c>
      <c r="B1943" s="19">
        <v>90818</v>
      </c>
      <c r="C1943" s="19" t="s">
        <v>4257</v>
      </c>
      <c r="D1943" s="19" t="s">
        <v>365</v>
      </c>
      <c r="E1943" s="19" t="s">
        <v>366</v>
      </c>
      <c r="F1943" s="19" t="s">
        <v>1117</v>
      </c>
      <c r="G1943" s="19" t="s">
        <v>1008</v>
      </c>
      <c r="H1943" s="19" t="s">
        <v>1001</v>
      </c>
      <c r="I1943" s="19" t="s">
        <v>1575</v>
      </c>
      <c r="J1943" s="20">
        <v>22</v>
      </c>
      <c r="K1943" t="s">
        <v>668</v>
      </c>
      <c r="L1943" t="s">
        <v>691</v>
      </c>
      <c r="M1943" t="s">
        <v>657</v>
      </c>
      <c r="N1943" t="s">
        <v>658</v>
      </c>
      <c r="O1943" t="s">
        <v>632</v>
      </c>
    </row>
    <row r="1944" spans="1:15" x14ac:dyDescent="0.35">
      <c r="A1944" s="77">
        <v>2.4657534246575342E-2</v>
      </c>
      <c r="B1944" s="19">
        <v>90820</v>
      </c>
      <c r="C1944" s="19" t="s">
        <v>4258</v>
      </c>
      <c r="D1944" s="19" t="s">
        <v>64</v>
      </c>
      <c r="E1944" s="19" t="s">
        <v>65</v>
      </c>
      <c r="F1944" s="19" t="s">
        <v>1197</v>
      </c>
      <c r="G1944" s="19" t="s">
        <v>1008</v>
      </c>
      <c r="H1944" s="19" t="s">
        <v>1001</v>
      </c>
      <c r="I1944" s="19" t="s">
        <v>1575</v>
      </c>
      <c r="J1944" s="20">
        <v>24</v>
      </c>
      <c r="K1944" t="s">
        <v>654</v>
      </c>
      <c r="L1944" t="s">
        <v>651</v>
      </c>
      <c r="M1944" t="s">
        <v>629</v>
      </c>
      <c r="N1944" t="s">
        <v>630</v>
      </c>
      <c r="O1944" t="s">
        <v>705</v>
      </c>
    </row>
    <row r="1945" spans="1:15" x14ac:dyDescent="0.35">
      <c r="A1945" s="77">
        <v>1.8273972602739725</v>
      </c>
      <c r="B1945" s="19">
        <v>90821</v>
      </c>
      <c r="C1945" s="19" t="s">
        <v>4259</v>
      </c>
      <c r="D1945" s="19" t="s">
        <v>411</v>
      </c>
      <c r="E1945" s="19" t="s">
        <v>412</v>
      </c>
      <c r="F1945" s="19" t="s">
        <v>1225</v>
      </c>
      <c r="G1945" s="19" t="s">
        <v>1028</v>
      </c>
      <c r="H1945" s="19" t="s">
        <v>1020</v>
      </c>
      <c r="I1945" s="19" t="s">
        <v>1575</v>
      </c>
      <c r="J1945" s="20">
        <v>24</v>
      </c>
      <c r="K1945" t="s">
        <v>636</v>
      </c>
      <c r="L1945" t="s">
        <v>691</v>
      </c>
      <c r="M1945" t="s">
        <v>657</v>
      </c>
      <c r="N1945" t="s">
        <v>658</v>
      </c>
      <c r="O1945" t="s">
        <v>632</v>
      </c>
    </row>
    <row r="1946" spans="1:15" x14ac:dyDescent="0.35">
      <c r="A1946" s="77">
        <v>1.8082191780821917</v>
      </c>
      <c r="B1946" s="19">
        <v>90831</v>
      </c>
      <c r="C1946" s="19" t="s">
        <v>4260</v>
      </c>
      <c r="D1946" s="19" t="s">
        <v>208</v>
      </c>
      <c r="E1946" s="19" t="s">
        <v>209</v>
      </c>
      <c r="F1946" s="19" t="s">
        <v>1444</v>
      </c>
      <c r="G1946" s="19" t="s">
        <v>1008</v>
      </c>
      <c r="H1946" s="19" t="s">
        <v>1001</v>
      </c>
      <c r="I1946" s="19" t="s">
        <v>1575</v>
      </c>
      <c r="J1946" s="20">
        <v>23</v>
      </c>
      <c r="K1946" t="s">
        <v>636</v>
      </c>
      <c r="L1946" t="s">
        <v>640</v>
      </c>
      <c r="M1946" t="s">
        <v>623</v>
      </c>
      <c r="N1946" t="s">
        <v>624</v>
      </c>
      <c r="O1946" t="s">
        <v>787</v>
      </c>
    </row>
    <row r="1947" spans="1:15" x14ac:dyDescent="0.35">
      <c r="A1947" s="77">
        <v>1.4602739726027398</v>
      </c>
      <c r="B1947" s="19">
        <v>90847</v>
      </c>
      <c r="C1947" s="19" t="s">
        <v>4261</v>
      </c>
      <c r="D1947" s="19" t="s">
        <v>318</v>
      </c>
      <c r="E1947" s="19" t="s">
        <v>319</v>
      </c>
      <c r="F1947" s="19" t="s">
        <v>1266</v>
      </c>
      <c r="G1947" s="19" t="s">
        <v>1046</v>
      </c>
      <c r="H1947" s="19" t="s">
        <v>1001</v>
      </c>
      <c r="I1947" s="19" t="s">
        <v>1575</v>
      </c>
      <c r="J1947" s="20">
        <v>22</v>
      </c>
      <c r="K1947" t="s">
        <v>625</v>
      </c>
      <c r="L1947" t="s">
        <v>678</v>
      </c>
      <c r="M1947" t="s">
        <v>623</v>
      </c>
      <c r="N1947" t="s">
        <v>624</v>
      </c>
      <c r="O1947" t="s">
        <v>679</v>
      </c>
    </row>
    <row r="1948" spans="1:15" x14ac:dyDescent="0.35">
      <c r="A1948" s="77">
        <v>1.8054794520547945</v>
      </c>
      <c r="B1948" s="19">
        <v>90861</v>
      </c>
      <c r="C1948" s="19" t="s">
        <v>4262</v>
      </c>
      <c r="D1948" s="19" t="s">
        <v>333</v>
      </c>
      <c r="E1948" s="19" t="s">
        <v>334</v>
      </c>
      <c r="F1948" s="19" t="s">
        <v>1333</v>
      </c>
      <c r="G1948" s="19" t="s">
        <v>1028</v>
      </c>
      <c r="H1948" s="19" t="s">
        <v>1020</v>
      </c>
      <c r="I1948" s="19" t="s">
        <v>1575</v>
      </c>
      <c r="J1948" s="20">
        <v>33</v>
      </c>
      <c r="K1948" t="s">
        <v>636</v>
      </c>
      <c r="L1948" t="s">
        <v>666</v>
      </c>
      <c r="M1948" t="s">
        <v>629</v>
      </c>
      <c r="N1948" t="s">
        <v>630</v>
      </c>
      <c r="O1948" t="s">
        <v>652</v>
      </c>
    </row>
    <row r="1949" spans="1:15" x14ac:dyDescent="0.35">
      <c r="A1949" s="77">
        <v>1.8246575342465754</v>
      </c>
      <c r="B1949" s="19">
        <v>90880</v>
      </c>
      <c r="C1949" s="19" t="s">
        <v>4263</v>
      </c>
      <c r="D1949" s="19" t="s">
        <v>284</v>
      </c>
      <c r="E1949" s="19" t="s">
        <v>285</v>
      </c>
      <c r="F1949" s="19" t="s">
        <v>1150</v>
      </c>
      <c r="G1949" s="19" t="s">
        <v>1028</v>
      </c>
      <c r="H1949" s="19" t="s">
        <v>1020</v>
      </c>
      <c r="I1949" s="19" t="s">
        <v>1575</v>
      </c>
      <c r="J1949" s="20">
        <v>20</v>
      </c>
      <c r="K1949" t="s">
        <v>625</v>
      </c>
      <c r="L1949" t="s">
        <v>661</v>
      </c>
      <c r="M1949" t="s">
        <v>657</v>
      </c>
      <c r="N1949" t="s">
        <v>662</v>
      </c>
      <c r="O1949" t="s">
        <v>632</v>
      </c>
    </row>
    <row r="1950" spans="1:15" x14ac:dyDescent="0.35">
      <c r="A1950" s="77">
        <v>1.8164383561643835</v>
      </c>
      <c r="B1950" s="19">
        <v>90898</v>
      </c>
      <c r="C1950" s="19" t="s">
        <v>4264</v>
      </c>
      <c r="D1950" s="19" t="s">
        <v>258</v>
      </c>
      <c r="E1950" s="19" t="s">
        <v>259</v>
      </c>
      <c r="F1950" s="19" t="s">
        <v>1349</v>
      </c>
      <c r="G1950" s="19" t="s">
        <v>1028</v>
      </c>
      <c r="H1950" s="19" t="s">
        <v>1020</v>
      </c>
      <c r="I1950" s="19" t="s">
        <v>1575</v>
      </c>
      <c r="J1950" s="20">
        <v>23</v>
      </c>
      <c r="K1950" t="s">
        <v>668</v>
      </c>
      <c r="L1950" t="s">
        <v>691</v>
      </c>
      <c r="M1950" t="s">
        <v>657</v>
      </c>
      <c r="N1950" t="s">
        <v>658</v>
      </c>
      <c r="O1950" t="s">
        <v>632</v>
      </c>
    </row>
    <row r="1951" spans="1:15" x14ac:dyDescent="0.35">
      <c r="A1951" s="77">
        <v>6.8493150684931503E-2</v>
      </c>
      <c r="B1951" s="19">
        <v>90975</v>
      </c>
      <c r="C1951" s="19" t="s">
        <v>4265</v>
      </c>
      <c r="D1951" s="19" t="s">
        <v>120</v>
      </c>
      <c r="E1951" s="19" t="s">
        <v>121</v>
      </c>
      <c r="F1951" s="19" t="s">
        <v>1236</v>
      </c>
      <c r="G1951" s="19" t="s">
        <v>1028</v>
      </c>
      <c r="H1951" s="19" t="s">
        <v>1020</v>
      </c>
      <c r="I1951" s="19" t="s">
        <v>1575</v>
      </c>
      <c r="J1951" s="20">
        <v>22</v>
      </c>
      <c r="K1951" t="s">
        <v>636</v>
      </c>
      <c r="L1951" t="s">
        <v>673</v>
      </c>
      <c r="M1951" t="s">
        <v>623</v>
      </c>
      <c r="N1951" t="s">
        <v>641</v>
      </c>
      <c r="O1951" t="s">
        <v>748</v>
      </c>
    </row>
    <row r="1952" spans="1:15" x14ac:dyDescent="0.35">
      <c r="A1952" s="77">
        <v>1.736986301369863</v>
      </c>
      <c r="B1952" s="19">
        <v>90984</v>
      </c>
      <c r="C1952" s="19" t="s">
        <v>4266</v>
      </c>
      <c r="D1952" s="19" t="s">
        <v>78</v>
      </c>
      <c r="E1952" s="19" t="s">
        <v>79</v>
      </c>
      <c r="F1952" s="19" t="s">
        <v>1107</v>
      </c>
      <c r="G1952" s="19" t="s">
        <v>1028</v>
      </c>
      <c r="H1952" s="19" t="s">
        <v>1020</v>
      </c>
      <c r="I1952" s="19" t="s">
        <v>1575</v>
      </c>
      <c r="J1952" s="20">
        <v>19</v>
      </c>
      <c r="K1952" t="s">
        <v>654</v>
      </c>
      <c r="L1952" t="s">
        <v>661</v>
      </c>
      <c r="M1952" t="s">
        <v>657</v>
      </c>
      <c r="N1952" t="s">
        <v>658</v>
      </c>
      <c r="O1952" t="s">
        <v>632</v>
      </c>
    </row>
    <row r="1953" spans="1:15" x14ac:dyDescent="0.35">
      <c r="A1953" s="77">
        <v>1.8136986301369864</v>
      </c>
      <c r="B1953" s="19">
        <v>90990</v>
      </c>
      <c r="C1953" s="19" t="s">
        <v>4267</v>
      </c>
      <c r="D1953" s="19" t="s">
        <v>76</v>
      </c>
      <c r="E1953" s="19" t="s">
        <v>77</v>
      </c>
      <c r="F1953" s="19" t="s">
        <v>899</v>
      </c>
      <c r="G1953" s="19" t="s">
        <v>1008</v>
      </c>
      <c r="H1953" s="19" t="s">
        <v>1001</v>
      </c>
      <c r="I1953" s="19" t="s">
        <v>1575</v>
      </c>
      <c r="J1953" s="20">
        <v>20</v>
      </c>
      <c r="K1953" t="s">
        <v>636</v>
      </c>
      <c r="L1953" t="s">
        <v>645</v>
      </c>
      <c r="M1953" t="s">
        <v>629</v>
      </c>
      <c r="N1953" t="s">
        <v>646</v>
      </c>
      <c r="O1953" t="s">
        <v>632</v>
      </c>
    </row>
    <row r="1954" spans="1:15" x14ac:dyDescent="0.35">
      <c r="A1954" s="77">
        <v>1.810958904109589</v>
      </c>
      <c r="B1954" s="19">
        <v>91004</v>
      </c>
      <c r="C1954" s="19" t="s">
        <v>4268</v>
      </c>
      <c r="D1954" s="19" t="s">
        <v>66</v>
      </c>
      <c r="E1954" s="19" t="s">
        <v>67</v>
      </c>
      <c r="F1954" s="19" t="s">
        <v>1708</v>
      </c>
      <c r="G1954" s="19" t="s">
        <v>1028</v>
      </c>
      <c r="H1954" s="19" t="s">
        <v>1020</v>
      </c>
      <c r="I1954" s="19" t="s">
        <v>1575</v>
      </c>
      <c r="J1954" s="20">
        <v>20</v>
      </c>
      <c r="K1954" t="s">
        <v>654</v>
      </c>
      <c r="L1954" t="s">
        <v>645</v>
      </c>
      <c r="M1954" t="s">
        <v>629</v>
      </c>
      <c r="N1954" t="s">
        <v>646</v>
      </c>
      <c r="O1954" t="s">
        <v>632</v>
      </c>
    </row>
    <row r="1955" spans="1:15" x14ac:dyDescent="0.35">
      <c r="A1955" s="77">
        <v>1.810958904109589</v>
      </c>
      <c r="B1955" s="19">
        <v>91005</v>
      </c>
      <c r="C1955" s="19" t="s">
        <v>4269</v>
      </c>
      <c r="D1955" s="19" t="s">
        <v>284</v>
      </c>
      <c r="E1955" s="19" t="s">
        <v>285</v>
      </c>
      <c r="F1955" s="19" t="s">
        <v>1150</v>
      </c>
      <c r="G1955" s="19" t="s">
        <v>1008</v>
      </c>
      <c r="H1955" s="19" t="s">
        <v>1001</v>
      </c>
      <c r="I1955" s="19" t="s">
        <v>1575</v>
      </c>
      <c r="J1955" s="20">
        <v>21</v>
      </c>
      <c r="K1955" t="s">
        <v>625</v>
      </c>
      <c r="L1955" t="s">
        <v>661</v>
      </c>
      <c r="M1955" t="s">
        <v>657</v>
      </c>
      <c r="N1955" t="s">
        <v>662</v>
      </c>
      <c r="O1955" t="s">
        <v>632</v>
      </c>
    </row>
    <row r="1956" spans="1:15" x14ac:dyDescent="0.35">
      <c r="A1956" s="77">
        <v>1.8082191780821917</v>
      </c>
      <c r="B1956" s="19">
        <v>91011</v>
      </c>
      <c r="C1956" s="19" t="s">
        <v>4270</v>
      </c>
      <c r="D1956" s="19" t="s">
        <v>284</v>
      </c>
      <c r="E1956" s="19" t="s">
        <v>285</v>
      </c>
      <c r="F1956" s="19" t="s">
        <v>1150</v>
      </c>
      <c r="G1956" s="19" t="s">
        <v>1008</v>
      </c>
      <c r="H1956" s="19" t="s">
        <v>1001</v>
      </c>
      <c r="I1956" s="19" t="s">
        <v>1575</v>
      </c>
      <c r="J1956" s="20">
        <v>21</v>
      </c>
      <c r="K1956" t="s">
        <v>625</v>
      </c>
      <c r="L1956" t="s">
        <v>661</v>
      </c>
      <c r="M1956" t="s">
        <v>657</v>
      </c>
      <c r="N1956" t="s">
        <v>662</v>
      </c>
      <c r="O1956" t="s">
        <v>632</v>
      </c>
    </row>
    <row r="1957" spans="1:15" x14ac:dyDescent="0.35">
      <c r="A1957" s="77">
        <v>1.8054794520547945</v>
      </c>
      <c r="B1957" s="19">
        <v>91016</v>
      </c>
      <c r="C1957" s="19" t="s">
        <v>4271</v>
      </c>
      <c r="D1957" s="19" t="s">
        <v>284</v>
      </c>
      <c r="E1957" s="19" t="s">
        <v>285</v>
      </c>
      <c r="F1957" s="19" t="s">
        <v>1150</v>
      </c>
      <c r="G1957" s="19" t="s">
        <v>1028</v>
      </c>
      <c r="H1957" s="19" t="s">
        <v>1020</v>
      </c>
      <c r="I1957" s="19" t="s">
        <v>1575</v>
      </c>
      <c r="J1957" s="20">
        <v>23</v>
      </c>
      <c r="K1957" t="s">
        <v>625</v>
      </c>
      <c r="L1957" t="s">
        <v>661</v>
      </c>
      <c r="M1957" t="s">
        <v>657</v>
      </c>
      <c r="N1957" t="s">
        <v>662</v>
      </c>
      <c r="O1957" t="s">
        <v>632</v>
      </c>
    </row>
    <row r="1958" spans="1:15" x14ac:dyDescent="0.35">
      <c r="A1958" s="77">
        <v>1.7972602739726027</v>
      </c>
      <c r="B1958" s="19">
        <v>91017</v>
      </c>
      <c r="C1958" s="19" t="s">
        <v>4272</v>
      </c>
      <c r="D1958" s="19" t="s">
        <v>425</v>
      </c>
      <c r="E1958" s="19" t="s">
        <v>425</v>
      </c>
      <c r="F1958" s="19" t="s">
        <v>1330</v>
      </c>
      <c r="G1958" s="19" t="s">
        <v>1019</v>
      </c>
      <c r="H1958" s="19" t="s">
        <v>1020</v>
      </c>
      <c r="I1958" s="19" t="s">
        <v>1599</v>
      </c>
      <c r="J1958" s="20">
        <v>25</v>
      </c>
      <c r="K1958" t="s">
        <v>654</v>
      </c>
      <c r="L1958" t="s">
        <v>678</v>
      </c>
      <c r="M1958" t="s">
        <v>623</v>
      </c>
      <c r="N1958" t="s">
        <v>624</v>
      </c>
      <c r="O1958" t="s">
        <v>689</v>
      </c>
    </row>
    <row r="1959" spans="1:15" x14ac:dyDescent="0.35">
      <c r="A1959" s="77">
        <v>1.7945205479452055</v>
      </c>
      <c r="B1959" s="19">
        <v>91042</v>
      </c>
      <c r="C1959" s="19" t="s">
        <v>4273</v>
      </c>
      <c r="D1959" s="19" t="s">
        <v>60</v>
      </c>
      <c r="E1959" s="19" t="s">
        <v>61</v>
      </c>
      <c r="F1959" s="19" t="s">
        <v>1119</v>
      </c>
      <c r="G1959" s="19" t="s">
        <v>1008</v>
      </c>
      <c r="H1959" s="19" t="s">
        <v>1001</v>
      </c>
      <c r="I1959" s="19" t="s">
        <v>1575</v>
      </c>
      <c r="J1959" s="20">
        <v>23</v>
      </c>
      <c r="K1959" t="s">
        <v>654</v>
      </c>
      <c r="L1959" t="s">
        <v>651</v>
      </c>
      <c r="M1959" t="s">
        <v>629</v>
      </c>
      <c r="N1959" t="s">
        <v>630</v>
      </c>
      <c r="O1959" t="s">
        <v>705</v>
      </c>
    </row>
    <row r="1960" spans="1:15" x14ac:dyDescent="0.35">
      <c r="A1960" s="77">
        <v>1.7917808219178082</v>
      </c>
      <c r="B1960" s="19">
        <v>91048</v>
      </c>
      <c r="C1960" s="19" t="s">
        <v>4274</v>
      </c>
      <c r="D1960" s="19" t="s">
        <v>189</v>
      </c>
      <c r="E1960" s="19" t="s">
        <v>190</v>
      </c>
      <c r="F1960" s="19" t="s">
        <v>1369</v>
      </c>
      <c r="G1960" s="19" t="s">
        <v>1008</v>
      </c>
      <c r="H1960" s="19" t="s">
        <v>1001</v>
      </c>
      <c r="I1960" s="19" t="s">
        <v>1575</v>
      </c>
      <c r="J1960" s="20">
        <v>26</v>
      </c>
      <c r="K1960" t="s">
        <v>654</v>
      </c>
      <c r="L1960" t="s">
        <v>640</v>
      </c>
      <c r="M1960" t="s">
        <v>623</v>
      </c>
      <c r="N1960" t="s">
        <v>641</v>
      </c>
      <c r="O1960" t="s">
        <v>754</v>
      </c>
    </row>
    <row r="1961" spans="1:15" x14ac:dyDescent="0.35">
      <c r="A1961" s="77">
        <v>1.7917808219178082</v>
      </c>
      <c r="B1961" s="19">
        <v>91064</v>
      </c>
      <c r="C1961" s="19" t="s">
        <v>4275</v>
      </c>
      <c r="D1961" s="19" t="s">
        <v>155</v>
      </c>
      <c r="E1961" s="19" t="s">
        <v>156</v>
      </c>
      <c r="F1961" s="19" t="s">
        <v>896</v>
      </c>
      <c r="G1961" s="19" t="s">
        <v>1019</v>
      </c>
      <c r="H1961" s="19" t="s">
        <v>1020</v>
      </c>
      <c r="I1961" s="19" t="s">
        <v>1575</v>
      </c>
      <c r="J1961" s="20">
        <v>20</v>
      </c>
      <c r="K1961" t="s">
        <v>636</v>
      </c>
      <c r="L1961" t="s">
        <v>663</v>
      </c>
      <c r="M1961" t="s">
        <v>629</v>
      </c>
      <c r="N1961" t="s">
        <v>646</v>
      </c>
      <c r="O1961" t="s">
        <v>639</v>
      </c>
    </row>
    <row r="1962" spans="1:15" x14ac:dyDescent="0.35">
      <c r="A1962" s="77">
        <v>0.44931506849315067</v>
      </c>
      <c r="B1962" s="19">
        <v>91074</v>
      </c>
      <c r="C1962" s="19" t="s">
        <v>4276</v>
      </c>
      <c r="D1962" s="19" t="s">
        <v>413</v>
      </c>
      <c r="E1962" s="19" t="s">
        <v>414</v>
      </c>
      <c r="F1962" s="19" t="s">
        <v>1699</v>
      </c>
      <c r="G1962" s="19" t="s">
        <v>1019</v>
      </c>
      <c r="H1962" s="19" t="s">
        <v>1020</v>
      </c>
      <c r="I1962" s="19" t="s">
        <v>1599</v>
      </c>
      <c r="J1962" s="20">
        <v>36</v>
      </c>
      <c r="K1962" t="s">
        <v>668</v>
      </c>
      <c r="L1962" t="s">
        <v>691</v>
      </c>
      <c r="M1962" t="s">
        <v>657</v>
      </c>
      <c r="N1962" t="s">
        <v>658</v>
      </c>
      <c r="O1962" t="s">
        <v>632</v>
      </c>
    </row>
    <row r="1963" spans="1:15" x14ac:dyDescent="0.35">
      <c r="A1963" s="77">
        <v>1.1013698630136985</v>
      </c>
      <c r="B1963" s="19">
        <v>91077</v>
      </c>
      <c r="C1963" s="19" t="s">
        <v>4277</v>
      </c>
      <c r="D1963" s="19" t="s">
        <v>218</v>
      </c>
      <c r="E1963" s="19" t="s">
        <v>219</v>
      </c>
      <c r="F1963" s="19" t="s">
        <v>1372</v>
      </c>
      <c r="G1963" s="19" t="s">
        <v>1028</v>
      </c>
      <c r="H1963" s="19" t="s">
        <v>1020</v>
      </c>
      <c r="I1963" s="19" t="s">
        <v>1575</v>
      </c>
      <c r="J1963" s="20">
        <v>21</v>
      </c>
      <c r="K1963" t="s">
        <v>625</v>
      </c>
      <c r="L1963" t="s">
        <v>661</v>
      </c>
      <c r="M1963" t="s">
        <v>657</v>
      </c>
      <c r="N1963" t="s">
        <v>662</v>
      </c>
      <c r="O1963" t="s">
        <v>632</v>
      </c>
    </row>
    <row r="1964" spans="1:15" x14ac:dyDescent="0.35">
      <c r="A1964" s="77">
        <v>1.789041095890411</v>
      </c>
      <c r="B1964" s="19">
        <v>91085</v>
      </c>
      <c r="C1964" s="19" t="s">
        <v>4278</v>
      </c>
      <c r="D1964" s="19" t="s">
        <v>268</v>
      </c>
      <c r="E1964" s="19" t="s">
        <v>269</v>
      </c>
      <c r="F1964" s="19" t="s">
        <v>2161</v>
      </c>
      <c r="G1964" s="19" t="s">
        <v>1028</v>
      </c>
      <c r="H1964" s="19" t="s">
        <v>1020</v>
      </c>
      <c r="I1964" s="19" t="s">
        <v>1575</v>
      </c>
      <c r="J1964" s="20">
        <v>56</v>
      </c>
      <c r="K1964" t="s">
        <v>654</v>
      </c>
      <c r="L1964" t="s">
        <v>666</v>
      </c>
      <c r="M1964" t="s">
        <v>629</v>
      </c>
      <c r="N1964" t="s">
        <v>635</v>
      </c>
      <c r="O1964" t="s">
        <v>637</v>
      </c>
    </row>
    <row r="1965" spans="1:15" x14ac:dyDescent="0.35">
      <c r="A1965" s="77">
        <v>1.789041095890411</v>
      </c>
      <c r="B1965" s="19">
        <v>91086</v>
      </c>
      <c r="C1965" s="19" t="s">
        <v>4279</v>
      </c>
      <c r="D1965" s="19" t="s">
        <v>20</v>
      </c>
      <c r="E1965" s="19" t="s">
        <v>20</v>
      </c>
      <c r="F1965" s="19" t="s">
        <v>1133</v>
      </c>
      <c r="G1965" s="19" t="s">
        <v>1008</v>
      </c>
      <c r="H1965" s="19" t="s">
        <v>1001</v>
      </c>
      <c r="I1965" s="19" t="s">
        <v>1575</v>
      </c>
      <c r="J1965" s="20">
        <v>27</v>
      </c>
      <c r="K1965" t="s">
        <v>654</v>
      </c>
      <c r="L1965" t="s">
        <v>634</v>
      </c>
      <c r="M1965" t="s">
        <v>629</v>
      </c>
      <c r="N1965" t="s">
        <v>635</v>
      </c>
      <c r="O1965" t="s">
        <v>637</v>
      </c>
    </row>
    <row r="1966" spans="1:15" x14ac:dyDescent="0.35">
      <c r="A1966" s="77">
        <v>1.7917808219178082</v>
      </c>
      <c r="B1966" s="19">
        <v>91095</v>
      </c>
      <c r="C1966" s="19" t="s">
        <v>4280</v>
      </c>
      <c r="D1966" s="19" t="s">
        <v>353</v>
      </c>
      <c r="E1966" s="19" t="s">
        <v>354</v>
      </c>
      <c r="F1966" s="19" t="s">
        <v>850</v>
      </c>
      <c r="G1966" s="19" t="s">
        <v>1028</v>
      </c>
      <c r="H1966" s="19" t="s">
        <v>1020</v>
      </c>
      <c r="I1966" s="19" t="s">
        <v>1599</v>
      </c>
      <c r="J1966" s="20">
        <v>20</v>
      </c>
      <c r="K1966" t="s">
        <v>654</v>
      </c>
      <c r="L1966" t="s">
        <v>640</v>
      </c>
      <c r="M1966" t="s">
        <v>623</v>
      </c>
      <c r="N1966" t="s">
        <v>624</v>
      </c>
      <c r="O1966" t="s">
        <v>789</v>
      </c>
    </row>
    <row r="1967" spans="1:15" x14ac:dyDescent="0.35">
      <c r="A1967" s="77">
        <v>0.61917808219178083</v>
      </c>
      <c r="B1967" s="19">
        <v>91115</v>
      </c>
      <c r="C1967" s="19" t="s">
        <v>4281</v>
      </c>
      <c r="D1967" s="19" t="s">
        <v>42</v>
      </c>
      <c r="E1967" s="19" t="s">
        <v>42</v>
      </c>
      <c r="F1967" s="19" t="s">
        <v>1262</v>
      </c>
      <c r="G1967" s="19" t="s">
        <v>1028</v>
      </c>
      <c r="H1967" s="19" t="s">
        <v>1020</v>
      </c>
      <c r="I1967" s="19" t="s">
        <v>1599</v>
      </c>
      <c r="J1967" s="20">
        <v>23</v>
      </c>
      <c r="K1967" t="s">
        <v>625</v>
      </c>
      <c r="L1967" t="s">
        <v>628</v>
      </c>
      <c r="M1967" t="s">
        <v>629</v>
      </c>
      <c r="N1967" t="s">
        <v>630</v>
      </c>
      <c r="O1967" t="s">
        <v>632</v>
      </c>
    </row>
    <row r="1968" spans="1:15" x14ac:dyDescent="0.35">
      <c r="A1968" s="77">
        <v>1.7863013698630137</v>
      </c>
      <c r="B1968" s="19">
        <v>91124</v>
      </c>
      <c r="C1968" s="19" t="s">
        <v>4282</v>
      </c>
      <c r="D1968" s="19" t="s">
        <v>409</v>
      </c>
      <c r="E1968" s="19" t="s">
        <v>410</v>
      </c>
      <c r="F1968" s="19" t="s">
        <v>874</v>
      </c>
      <c r="G1968" s="19" t="s">
        <v>1008</v>
      </c>
      <c r="H1968" s="19" t="s">
        <v>1001</v>
      </c>
      <c r="I1968" s="19" t="s">
        <v>1575</v>
      </c>
      <c r="J1968" s="20">
        <v>38</v>
      </c>
      <c r="K1968" t="s">
        <v>631</v>
      </c>
      <c r="L1968" t="s">
        <v>666</v>
      </c>
      <c r="M1968" t="s">
        <v>629</v>
      </c>
      <c r="N1968" t="s">
        <v>635</v>
      </c>
      <c r="O1968" t="s">
        <v>637</v>
      </c>
    </row>
    <row r="1969" spans="1:15" x14ac:dyDescent="0.35">
      <c r="A1969" s="77">
        <v>1.7863013698630137</v>
      </c>
      <c r="B1969" s="19">
        <v>91126</v>
      </c>
      <c r="C1969" s="19" t="s">
        <v>4283</v>
      </c>
      <c r="D1969" s="19" t="s">
        <v>12</v>
      </c>
      <c r="E1969" s="19" t="s">
        <v>12</v>
      </c>
      <c r="F1969" s="19" t="s">
        <v>1145</v>
      </c>
      <c r="G1969" s="19" t="s">
        <v>1046</v>
      </c>
      <c r="H1969" s="19" t="s">
        <v>1001</v>
      </c>
      <c r="I1969" s="19" t="s">
        <v>1575</v>
      </c>
      <c r="J1969" s="20">
        <v>23</v>
      </c>
      <c r="K1969" t="s">
        <v>636</v>
      </c>
      <c r="L1969" t="s">
        <v>634</v>
      </c>
      <c r="M1969" t="s">
        <v>629</v>
      </c>
      <c r="N1969" t="s">
        <v>635</v>
      </c>
      <c r="O1969" t="s">
        <v>637</v>
      </c>
    </row>
    <row r="1970" spans="1:15" x14ac:dyDescent="0.35">
      <c r="A1970" s="77">
        <v>1.7863013698630137</v>
      </c>
      <c r="B1970" s="19">
        <v>91128</v>
      </c>
      <c r="C1970" s="19" t="s">
        <v>1486</v>
      </c>
      <c r="D1970" s="19" t="s">
        <v>415</v>
      </c>
      <c r="E1970" s="19" t="s">
        <v>416</v>
      </c>
      <c r="F1970" s="19" t="s">
        <v>1199</v>
      </c>
      <c r="G1970" s="19" t="s">
        <v>1057</v>
      </c>
      <c r="H1970" s="19" t="s">
        <v>1001</v>
      </c>
      <c r="I1970" s="19" t="s">
        <v>1575</v>
      </c>
      <c r="J1970" s="20">
        <v>20</v>
      </c>
      <c r="K1970" t="s">
        <v>668</v>
      </c>
      <c r="L1970" t="s">
        <v>666</v>
      </c>
      <c r="M1970" t="s">
        <v>629</v>
      </c>
      <c r="N1970" t="s">
        <v>635</v>
      </c>
      <c r="O1970" t="s">
        <v>637</v>
      </c>
    </row>
    <row r="1971" spans="1:15" x14ac:dyDescent="0.35">
      <c r="A1971" s="77">
        <v>1.7863013698630137</v>
      </c>
      <c r="B1971" s="19">
        <v>91140</v>
      </c>
      <c r="C1971" s="19" t="s">
        <v>4284</v>
      </c>
      <c r="D1971" s="19" t="s">
        <v>399</v>
      </c>
      <c r="E1971" s="19" t="s">
        <v>400</v>
      </c>
      <c r="F1971" s="19" t="s">
        <v>868</v>
      </c>
      <c r="G1971" s="19" t="s">
        <v>1019</v>
      </c>
      <c r="H1971" s="19" t="s">
        <v>1020</v>
      </c>
      <c r="I1971" s="19" t="s">
        <v>1599</v>
      </c>
      <c r="J1971" s="20">
        <v>22</v>
      </c>
      <c r="K1971" t="s">
        <v>642</v>
      </c>
      <c r="L1971" t="s">
        <v>684</v>
      </c>
      <c r="M1971" t="s">
        <v>623</v>
      </c>
      <c r="N1971" t="s">
        <v>662</v>
      </c>
      <c r="O1971" t="s">
        <v>795</v>
      </c>
    </row>
    <row r="1972" spans="1:15" x14ac:dyDescent="0.35">
      <c r="A1972" s="77">
        <v>1.7972602739726027</v>
      </c>
      <c r="B1972" s="19">
        <v>91147</v>
      </c>
      <c r="C1972" s="19" t="s">
        <v>4285</v>
      </c>
      <c r="D1972" s="19" t="s">
        <v>318</v>
      </c>
      <c r="E1972" s="19" t="s">
        <v>319</v>
      </c>
      <c r="F1972" s="19" t="s">
        <v>1266</v>
      </c>
      <c r="G1972" s="19" t="s">
        <v>1028</v>
      </c>
      <c r="H1972" s="19" t="s">
        <v>1020</v>
      </c>
      <c r="I1972" s="19" t="s">
        <v>1575</v>
      </c>
      <c r="J1972" s="20">
        <v>22</v>
      </c>
      <c r="K1972" t="s">
        <v>625</v>
      </c>
      <c r="L1972" t="s">
        <v>678</v>
      </c>
      <c r="M1972" t="s">
        <v>623</v>
      </c>
      <c r="N1972" t="s">
        <v>624</v>
      </c>
      <c r="O1972" t="s">
        <v>679</v>
      </c>
    </row>
    <row r="1973" spans="1:15" x14ac:dyDescent="0.35">
      <c r="A1973" s="77">
        <v>1.7972602739726027</v>
      </c>
      <c r="B1973" s="19">
        <v>91157</v>
      </c>
      <c r="C1973" s="19" t="s">
        <v>4286</v>
      </c>
      <c r="D1973" s="19" t="s">
        <v>355</v>
      </c>
      <c r="E1973" s="19" t="s">
        <v>356</v>
      </c>
      <c r="F1973" s="19" t="s">
        <v>1100</v>
      </c>
      <c r="G1973" s="19" t="s">
        <v>1028</v>
      </c>
      <c r="H1973" s="19" t="s">
        <v>1020</v>
      </c>
      <c r="I1973" s="19" t="s">
        <v>1575</v>
      </c>
      <c r="J1973" s="20">
        <v>19</v>
      </c>
      <c r="K1973" t="s">
        <v>625</v>
      </c>
      <c r="L1973" t="s">
        <v>622</v>
      </c>
      <c r="M1973" t="s">
        <v>623</v>
      </c>
      <c r="N1973" t="s">
        <v>624</v>
      </c>
      <c r="O1973" t="s">
        <v>649</v>
      </c>
    </row>
    <row r="1974" spans="1:15" x14ac:dyDescent="0.35">
      <c r="A1974" s="77">
        <v>1.7808219178082192</v>
      </c>
      <c r="B1974" s="19">
        <v>91159</v>
      </c>
      <c r="C1974" s="19" t="s">
        <v>4287</v>
      </c>
      <c r="D1974" s="19" t="s">
        <v>375</v>
      </c>
      <c r="E1974" s="19" t="s">
        <v>376</v>
      </c>
      <c r="F1974" s="19" t="s">
        <v>1270</v>
      </c>
      <c r="G1974" s="19" t="s">
        <v>1084</v>
      </c>
      <c r="H1974" s="19" t="s">
        <v>1001</v>
      </c>
      <c r="I1974" s="19" t="s">
        <v>1575</v>
      </c>
      <c r="J1974" s="20">
        <v>40</v>
      </c>
      <c r="K1974" t="s">
        <v>636</v>
      </c>
      <c r="L1974" t="s">
        <v>678</v>
      </c>
      <c r="M1974" t="s">
        <v>623</v>
      </c>
      <c r="N1974" t="s">
        <v>624</v>
      </c>
      <c r="O1974" t="s">
        <v>679</v>
      </c>
    </row>
    <row r="1975" spans="1:15" x14ac:dyDescent="0.35">
      <c r="A1975" s="77">
        <v>1.789041095890411</v>
      </c>
      <c r="B1975" s="19">
        <v>91191</v>
      </c>
      <c r="C1975" s="19" t="s">
        <v>4288</v>
      </c>
      <c r="D1975" s="19" t="s">
        <v>377</v>
      </c>
      <c r="E1975" s="19" t="s">
        <v>378</v>
      </c>
      <c r="F1975" s="19" t="s">
        <v>862</v>
      </c>
      <c r="G1975" s="19" t="s">
        <v>1084</v>
      </c>
      <c r="H1975" s="19" t="s">
        <v>1001</v>
      </c>
      <c r="I1975" s="19" t="s">
        <v>1575</v>
      </c>
      <c r="J1975" s="20">
        <v>28</v>
      </c>
      <c r="K1975" t="s">
        <v>631</v>
      </c>
      <c r="L1975" t="s">
        <v>661</v>
      </c>
      <c r="M1975" t="s">
        <v>657</v>
      </c>
      <c r="N1975" t="s">
        <v>662</v>
      </c>
      <c r="O1975" t="s">
        <v>632</v>
      </c>
    </row>
    <row r="1976" spans="1:15" x14ac:dyDescent="0.35">
      <c r="A1976" s="77">
        <v>1.789041095890411</v>
      </c>
      <c r="B1976" s="19">
        <v>91202</v>
      </c>
      <c r="C1976" s="19" t="s">
        <v>4289</v>
      </c>
      <c r="D1976" s="19" t="s">
        <v>41</v>
      </c>
      <c r="E1976" s="19" t="s">
        <v>41</v>
      </c>
      <c r="F1976" s="19" t="s">
        <v>1157</v>
      </c>
      <c r="G1976" s="19" t="s">
        <v>1084</v>
      </c>
      <c r="H1976" s="19" t="s">
        <v>1020</v>
      </c>
      <c r="I1976" s="19" t="s">
        <v>1575</v>
      </c>
      <c r="J1976" s="20">
        <v>46</v>
      </c>
      <c r="K1976" t="s">
        <v>625</v>
      </c>
      <c r="L1976" t="s">
        <v>691</v>
      </c>
      <c r="M1976" t="s">
        <v>657</v>
      </c>
      <c r="N1976" t="s">
        <v>658</v>
      </c>
      <c r="O1976" t="s">
        <v>632</v>
      </c>
    </row>
    <row r="1977" spans="1:15" x14ac:dyDescent="0.35">
      <c r="A1977" s="77">
        <v>1.7780821917808218</v>
      </c>
      <c r="B1977" s="19">
        <v>91204</v>
      </c>
      <c r="C1977" s="19" t="s">
        <v>4290</v>
      </c>
      <c r="D1977" s="19" t="s">
        <v>268</v>
      </c>
      <c r="E1977" s="19" t="s">
        <v>269</v>
      </c>
      <c r="F1977" s="19" t="s">
        <v>2161</v>
      </c>
      <c r="G1977" s="19" t="s">
        <v>1028</v>
      </c>
      <c r="H1977" s="19" t="s">
        <v>1020</v>
      </c>
      <c r="I1977" s="19" t="s">
        <v>1575</v>
      </c>
      <c r="J1977" s="20">
        <v>39</v>
      </c>
      <c r="K1977" t="s">
        <v>654</v>
      </c>
      <c r="L1977" t="s">
        <v>666</v>
      </c>
      <c r="M1977" t="s">
        <v>629</v>
      </c>
      <c r="N1977" t="s">
        <v>635</v>
      </c>
      <c r="O1977" t="s">
        <v>637</v>
      </c>
    </row>
    <row r="1978" spans="1:15" x14ac:dyDescent="0.35">
      <c r="A1978" s="77">
        <v>1.7863013698630137</v>
      </c>
      <c r="B1978" s="19">
        <v>91209</v>
      </c>
      <c r="C1978" s="19" t="s">
        <v>4291</v>
      </c>
      <c r="D1978" s="19" t="s">
        <v>118</v>
      </c>
      <c r="E1978" s="19" t="s">
        <v>119</v>
      </c>
      <c r="F1978" s="19" t="s">
        <v>1360</v>
      </c>
      <c r="G1978" s="19" t="s">
        <v>1019</v>
      </c>
      <c r="H1978" s="19" t="s">
        <v>1020</v>
      </c>
      <c r="I1978" s="19" t="s">
        <v>1575</v>
      </c>
      <c r="J1978" s="20">
        <v>22</v>
      </c>
      <c r="K1978" t="s">
        <v>625</v>
      </c>
      <c r="L1978" t="s">
        <v>656</v>
      </c>
      <c r="M1978" t="s">
        <v>657</v>
      </c>
      <c r="N1978" t="s">
        <v>658</v>
      </c>
      <c r="O1978" t="s">
        <v>632</v>
      </c>
    </row>
    <row r="1979" spans="1:15" x14ac:dyDescent="0.35">
      <c r="A1979" s="77">
        <v>1.7726027397260273</v>
      </c>
      <c r="B1979" s="19">
        <v>91228</v>
      </c>
      <c r="C1979" s="19" t="s">
        <v>4292</v>
      </c>
      <c r="D1979" s="19" t="s">
        <v>111</v>
      </c>
      <c r="E1979" s="19" t="s">
        <v>112</v>
      </c>
      <c r="F1979" s="19" t="s">
        <v>1083</v>
      </c>
      <c r="G1979" s="19" t="s">
        <v>1046</v>
      </c>
      <c r="H1979" s="19" t="s">
        <v>1001</v>
      </c>
      <c r="I1979" s="19" t="s">
        <v>1599</v>
      </c>
      <c r="J1979" s="20">
        <v>25</v>
      </c>
      <c r="K1979" t="s">
        <v>654</v>
      </c>
      <c r="L1979" t="s">
        <v>651</v>
      </c>
      <c r="M1979" t="s">
        <v>629</v>
      </c>
      <c r="N1979" t="s">
        <v>630</v>
      </c>
      <c r="O1979" t="s">
        <v>652</v>
      </c>
    </row>
    <row r="1980" spans="1:15" x14ac:dyDescent="0.35">
      <c r="A1980" s="77">
        <v>1.7753424657534247</v>
      </c>
      <c r="B1980" s="19">
        <v>91256</v>
      </c>
      <c r="C1980" s="19" t="s">
        <v>4293</v>
      </c>
      <c r="D1980" s="19" t="s">
        <v>311</v>
      </c>
      <c r="E1980" s="19" t="s">
        <v>312</v>
      </c>
      <c r="F1980" s="19" t="s">
        <v>1140</v>
      </c>
      <c r="G1980" s="19" t="s">
        <v>1158</v>
      </c>
      <c r="H1980" s="19" t="s">
        <v>1001</v>
      </c>
      <c r="I1980" s="19" t="s">
        <v>1575</v>
      </c>
      <c r="J1980" s="20">
        <v>29</v>
      </c>
      <c r="K1980" t="s">
        <v>631</v>
      </c>
      <c r="L1980" t="s">
        <v>628</v>
      </c>
      <c r="M1980" t="s">
        <v>629</v>
      </c>
      <c r="N1980" t="s">
        <v>630</v>
      </c>
      <c r="O1980" t="s">
        <v>632</v>
      </c>
    </row>
    <row r="1981" spans="1:15" x14ac:dyDescent="0.35">
      <c r="A1981" s="77">
        <v>0.43561643835616437</v>
      </c>
      <c r="B1981" s="19">
        <v>91259</v>
      </c>
      <c r="C1981" s="19" t="s">
        <v>4294</v>
      </c>
      <c r="D1981" s="19" t="s">
        <v>19</v>
      </c>
      <c r="E1981" s="19" t="s">
        <v>19</v>
      </c>
      <c r="F1981" s="19" t="s">
        <v>1255</v>
      </c>
      <c r="G1981" s="19" t="s">
        <v>1028</v>
      </c>
      <c r="H1981" s="19" t="s">
        <v>1020</v>
      </c>
      <c r="I1981" s="19" t="s">
        <v>1575</v>
      </c>
      <c r="J1981" s="20">
        <v>20</v>
      </c>
      <c r="K1981" t="s">
        <v>654</v>
      </c>
      <c r="L1981" t="s">
        <v>645</v>
      </c>
      <c r="M1981" t="s">
        <v>629</v>
      </c>
      <c r="N1981" t="s">
        <v>646</v>
      </c>
      <c r="O1981" t="s">
        <v>632</v>
      </c>
    </row>
    <row r="1982" spans="1:15" x14ac:dyDescent="0.35">
      <c r="A1982" s="77">
        <v>1.7698630136986302</v>
      </c>
      <c r="B1982" s="19">
        <v>91288</v>
      </c>
      <c r="C1982" s="19" t="s">
        <v>4295</v>
      </c>
      <c r="D1982" s="19" t="s">
        <v>169</v>
      </c>
      <c r="E1982" s="19" t="s">
        <v>170</v>
      </c>
      <c r="F1982" s="19" t="s">
        <v>1274</v>
      </c>
      <c r="G1982" s="19" t="s">
        <v>1028</v>
      </c>
      <c r="H1982" s="19" t="s">
        <v>1020</v>
      </c>
      <c r="I1982" s="19" t="s">
        <v>1575</v>
      </c>
      <c r="J1982" s="20">
        <v>20</v>
      </c>
      <c r="K1982" t="s">
        <v>631</v>
      </c>
      <c r="L1982" t="s">
        <v>670</v>
      </c>
      <c r="M1982" t="s">
        <v>657</v>
      </c>
      <c r="N1982" t="s">
        <v>641</v>
      </c>
      <c r="O1982" t="s">
        <v>772</v>
      </c>
    </row>
    <row r="1983" spans="1:15" x14ac:dyDescent="0.35">
      <c r="A1983" s="77">
        <v>4.6575342465753428E-2</v>
      </c>
      <c r="B1983" s="19">
        <v>91291</v>
      </c>
      <c r="C1983" s="19" t="s">
        <v>4296</v>
      </c>
      <c r="D1983" s="19" t="s">
        <v>245</v>
      </c>
      <c r="E1983" s="19" t="s">
        <v>246</v>
      </c>
      <c r="F1983" s="19" t="s">
        <v>1365</v>
      </c>
      <c r="G1983" s="19" t="s">
        <v>3508</v>
      </c>
      <c r="H1983" s="19" t="s">
        <v>1020</v>
      </c>
      <c r="I1983" s="19" t="s">
        <v>1599</v>
      </c>
      <c r="J1983" s="20">
        <v>16</v>
      </c>
      <c r="K1983" t="s">
        <v>654</v>
      </c>
      <c r="L1983" t="s">
        <v>678</v>
      </c>
      <c r="M1983" t="s">
        <v>623</v>
      </c>
      <c r="N1983" t="s">
        <v>624</v>
      </c>
      <c r="O1983" t="s">
        <v>679</v>
      </c>
    </row>
    <row r="1984" spans="1:15" x14ac:dyDescent="0.35">
      <c r="A1984" s="77">
        <v>1.7698630136986302</v>
      </c>
      <c r="B1984" s="19">
        <v>91313</v>
      </c>
      <c r="C1984" s="19" t="s">
        <v>4297</v>
      </c>
      <c r="D1984" s="19" t="s">
        <v>375</v>
      </c>
      <c r="E1984" s="19" t="s">
        <v>376</v>
      </c>
      <c r="F1984" s="19" t="s">
        <v>1270</v>
      </c>
      <c r="G1984" s="19" t="s">
        <v>1008</v>
      </c>
      <c r="H1984" s="19" t="s">
        <v>1001</v>
      </c>
      <c r="I1984" s="19" t="s">
        <v>1575</v>
      </c>
      <c r="J1984" s="20">
        <v>19</v>
      </c>
      <c r="K1984" t="s">
        <v>636</v>
      </c>
      <c r="L1984" t="s">
        <v>678</v>
      </c>
      <c r="M1984" t="s">
        <v>623</v>
      </c>
      <c r="N1984" t="s">
        <v>624</v>
      </c>
      <c r="O1984" t="s">
        <v>679</v>
      </c>
    </row>
    <row r="1985" spans="1:15" x14ac:dyDescent="0.35">
      <c r="A1985" s="77">
        <v>1.7616438356164383</v>
      </c>
      <c r="B1985" s="19">
        <v>91326</v>
      </c>
      <c r="C1985" s="19" t="s">
        <v>4298</v>
      </c>
      <c r="D1985" s="19" t="s">
        <v>349</v>
      </c>
      <c r="E1985" s="19" t="s">
        <v>350</v>
      </c>
      <c r="F1985" s="19" t="s">
        <v>912</v>
      </c>
      <c r="G1985" s="19" t="s">
        <v>1008</v>
      </c>
      <c r="H1985" s="19" t="s">
        <v>1001</v>
      </c>
      <c r="I1985" s="19" t="s">
        <v>1575</v>
      </c>
      <c r="J1985" s="20">
        <v>23</v>
      </c>
      <c r="K1985" t="s">
        <v>625</v>
      </c>
      <c r="L1985" t="s">
        <v>648</v>
      </c>
      <c r="M1985" t="s">
        <v>623</v>
      </c>
      <c r="N1985" t="s">
        <v>624</v>
      </c>
      <c r="O1985" t="s">
        <v>649</v>
      </c>
    </row>
    <row r="1986" spans="1:15" x14ac:dyDescent="0.35">
      <c r="A1986" s="77">
        <v>1.7589041095890412</v>
      </c>
      <c r="B1986" s="19">
        <v>91330</v>
      </c>
      <c r="C1986" s="19" t="s">
        <v>4299</v>
      </c>
      <c r="D1986" s="19" t="s">
        <v>335</v>
      </c>
      <c r="E1986" s="19" t="s">
        <v>336</v>
      </c>
      <c r="F1986" s="19" t="s">
        <v>841</v>
      </c>
      <c r="G1986" s="19" t="s">
        <v>1046</v>
      </c>
      <c r="H1986" s="19" t="s">
        <v>1001</v>
      </c>
      <c r="I1986" s="19" t="s">
        <v>1575</v>
      </c>
      <c r="J1986" s="20">
        <v>24</v>
      </c>
      <c r="K1986" t="s">
        <v>636</v>
      </c>
      <c r="L1986" t="s">
        <v>622</v>
      </c>
      <c r="M1986" t="s">
        <v>623</v>
      </c>
      <c r="N1986" t="s">
        <v>624</v>
      </c>
      <c r="O1986" t="s">
        <v>649</v>
      </c>
    </row>
    <row r="1987" spans="1:15" x14ac:dyDescent="0.35">
      <c r="A1987" s="77">
        <v>1.7589041095890412</v>
      </c>
      <c r="B1987" s="19">
        <v>91332</v>
      </c>
      <c r="C1987" s="19" t="s">
        <v>4300</v>
      </c>
      <c r="D1987" s="19" t="s">
        <v>149</v>
      </c>
      <c r="E1987" s="19" t="s">
        <v>150</v>
      </c>
      <c r="F1987" s="19" t="s">
        <v>1548</v>
      </c>
      <c r="G1987" s="19" t="s">
        <v>1057</v>
      </c>
      <c r="H1987" s="19" t="s">
        <v>1001</v>
      </c>
      <c r="I1987" s="19" t="s">
        <v>1575</v>
      </c>
      <c r="J1987" s="20">
        <v>22</v>
      </c>
      <c r="K1987" t="s">
        <v>654</v>
      </c>
      <c r="L1987" t="s">
        <v>648</v>
      </c>
      <c r="M1987" t="s">
        <v>623</v>
      </c>
      <c r="N1987" t="s">
        <v>624</v>
      </c>
      <c r="O1987" t="s">
        <v>725</v>
      </c>
    </row>
    <row r="1988" spans="1:15" x14ac:dyDescent="0.35">
      <c r="A1988" s="77">
        <v>1.7589041095890412</v>
      </c>
      <c r="B1988" s="19">
        <v>91348</v>
      </c>
      <c r="C1988" s="19" t="s">
        <v>4301</v>
      </c>
      <c r="D1988" s="19" t="s">
        <v>169</v>
      </c>
      <c r="E1988" s="19" t="s">
        <v>170</v>
      </c>
      <c r="F1988" s="19" t="s">
        <v>1274</v>
      </c>
      <c r="G1988" s="19" t="s">
        <v>1057</v>
      </c>
      <c r="H1988" s="19" t="s">
        <v>1001</v>
      </c>
      <c r="I1988" s="19" t="s">
        <v>1575</v>
      </c>
      <c r="J1988" s="20">
        <v>23</v>
      </c>
      <c r="K1988" t="s">
        <v>631</v>
      </c>
      <c r="L1988" t="s">
        <v>670</v>
      </c>
      <c r="M1988" t="s">
        <v>657</v>
      </c>
      <c r="N1988" t="s">
        <v>641</v>
      </c>
      <c r="O1988" t="s">
        <v>772</v>
      </c>
    </row>
    <row r="1989" spans="1:15" x14ac:dyDescent="0.35">
      <c r="A1989" s="77">
        <v>1.7452054794520548</v>
      </c>
      <c r="B1989" s="19">
        <v>91349</v>
      </c>
      <c r="C1989" s="19" t="s">
        <v>4302</v>
      </c>
      <c r="D1989" s="19" t="s">
        <v>260</v>
      </c>
      <c r="E1989" s="19" t="s">
        <v>261</v>
      </c>
      <c r="F1989" s="19" t="s">
        <v>1109</v>
      </c>
      <c r="G1989" s="19" t="s">
        <v>1046</v>
      </c>
      <c r="H1989" s="19" t="s">
        <v>1001</v>
      </c>
      <c r="I1989" s="19" t="s">
        <v>1575</v>
      </c>
      <c r="J1989" s="20">
        <v>34</v>
      </c>
      <c r="K1989" t="s">
        <v>636</v>
      </c>
      <c r="L1989" t="s">
        <v>656</v>
      </c>
      <c r="M1989" t="s">
        <v>657</v>
      </c>
      <c r="N1989" t="s">
        <v>658</v>
      </c>
      <c r="O1989" t="s">
        <v>808</v>
      </c>
    </row>
    <row r="1990" spans="1:15" x14ac:dyDescent="0.35">
      <c r="A1990" s="77">
        <v>1.5753424657534247</v>
      </c>
      <c r="B1990" s="19">
        <v>91357</v>
      </c>
      <c r="C1990" s="19" t="s">
        <v>4303</v>
      </c>
      <c r="D1990" s="19" t="s">
        <v>409</v>
      </c>
      <c r="E1990" s="19" t="s">
        <v>410</v>
      </c>
      <c r="F1990" s="19" t="s">
        <v>874</v>
      </c>
      <c r="G1990" s="19" t="s">
        <v>1028</v>
      </c>
      <c r="H1990" s="19" t="s">
        <v>1020</v>
      </c>
      <c r="I1990" s="19" t="s">
        <v>1599</v>
      </c>
      <c r="J1990" s="20">
        <v>19</v>
      </c>
      <c r="K1990" t="s">
        <v>631</v>
      </c>
      <c r="L1990" t="s">
        <v>666</v>
      </c>
      <c r="M1990" t="s">
        <v>629</v>
      </c>
      <c r="N1990" t="s">
        <v>635</v>
      </c>
      <c r="O1990" t="s">
        <v>637</v>
      </c>
    </row>
    <row r="1991" spans="1:15" x14ac:dyDescent="0.35">
      <c r="A1991" s="77">
        <v>1.273972602739726</v>
      </c>
      <c r="B1991" s="19">
        <v>91366</v>
      </c>
      <c r="C1991" s="19" t="s">
        <v>4304</v>
      </c>
      <c r="D1991" s="19" t="s">
        <v>313</v>
      </c>
      <c r="E1991" s="19" t="s">
        <v>314</v>
      </c>
      <c r="F1991" s="19" t="s">
        <v>1401</v>
      </c>
      <c r="G1991" s="19" t="s">
        <v>1057</v>
      </c>
      <c r="H1991" s="19" t="s">
        <v>1001</v>
      </c>
      <c r="I1991" s="19" t="s">
        <v>1575</v>
      </c>
      <c r="J1991" s="20">
        <v>21</v>
      </c>
      <c r="K1991" t="s">
        <v>654</v>
      </c>
      <c r="L1991" t="s">
        <v>666</v>
      </c>
      <c r="M1991" t="s">
        <v>629</v>
      </c>
      <c r="N1991" t="s">
        <v>635</v>
      </c>
      <c r="O1991" t="s">
        <v>637</v>
      </c>
    </row>
    <row r="1992" spans="1:15" x14ac:dyDescent="0.35">
      <c r="A1992" s="77">
        <v>1.8301369863013699</v>
      </c>
      <c r="B1992" s="19">
        <v>91378</v>
      </c>
      <c r="C1992" s="19" t="s">
        <v>4305</v>
      </c>
      <c r="D1992" s="19" t="s">
        <v>335</v>
      </c>
      <c r="E1992" s="19" t="s">
        <v>336</v>
      </c>
      <c r="F1992" s="19" t="s">
        <v>841</v>
      </c>
      <c r="G1992" s="19" t="s">
        <v>3508</v>
      </c>
      <c r="H1992" s="19" t="s">
        <v>1020</v>
      </c>
      <c r="I1992" s="19" t="s">
        <v>1599</v>
      </c>
      <c r="J1992" s="20">
        <v>17</v>
      </c>
      <c r="K1992" t="s">
        <v>636</v>
      </c>
      <c r="L1992" t="s">
        <v>622</v>
      </c>
      <c r="M1992" t="s">
        <v>623</v>
      </c>
      <c r="N1992" t="s">
        <v>624</v>
      </c>
      <c r="O1992" t="s">
        <v>649</v>
      </c>
    </row>
    <row r="1993" spans="1:15" x14ac:dyDescent="0.35">
      <c r="A1993" s="77">
        <v>1.7671232876712328</v>
      </c>
      <c r="B1993" s="19">
        <v>91393</v>
      </c>
      <c r="C1993" s="19" t="s">
        <v>4306</v>
      </c>
      <c r="D1993" s="19" t="s">
        <v>362</v>
      </c>
      <c r="E1993" s="19" t="s">
        <v>363</v>
      </c>
      <c r="F1993" s="19" t="s">
        <v>1056</v>
      </c>
      <c r="G1993" s="19" t="s">
        <v>1057</v>
      </c>
      <c r="H1993" s="19" t="s">
        <v>1001</v>
      </c>
      <c r="I1993" s="19" t="s">
        <v>1575</v>
      </c>
      <c r="J1993" s="20">
        <v>31</v>
      </c>
      <c r="K1993" t="s">
        <v>654</v>
      </c>
      <c r="L1993" t="s">
        <v>663</v>
      </c>
      <c r="M1993" t="s">
        <v>629</v>
      </c>
      <c r="N1993" t="s">
        <v>646</v>
      </c>
      <c r="O1993" t="s">
        <v>810</v>
      </c>
    </row>
    <row r="1994" spans="1:15" x14ac:dyDescent="0.35">
      <c r="A1994" s="77">
        <v>0.12876712328767123</v>
      </c>
      <c r="B1994" s="19">
        <v>91394</v>
      </c>
      <c r="C1994" s="19" t="s">
        <v>4307</v>
      </c>
      <c r="D1994" s="19" t="s">
        <v>126</v>
      </c>
      <c r="E1994" s="19" t="s">
        <v>127</v>
      </c>
      <c r="F1994" s="19" t="s">
        <v>1152</v>
      </c>
      <c r="G1994" s="19" t="s">
        <v>1028</v>
      </c>
      <c r="H1994" s="19" t="s">
        <v>1020</v>
      </c>
      <c r="I1994" s="19" t="s">
        <v>1575</v>
      </c>
      <c r="J1994" s="20">
        <v>21</v>
      </c>
      <c r="K1994" t="s">
        <v>654</v>
      </c>
      <c r="L1994" t="s">
        <v>628</v>
      </c>
      <c r="M1994" t="s">
        <v>629</v>
      </c>
      <c r="N1994" t="s">
        <v>630</v>
      </c>
      <c r="O1994" t="s">
        <v>632</v>
      </c>
    </row>
    <row r="1995" spans="1:15" x14ac:dyDescent="0.35">
      <c r="A1995" s="77">
        <v>1.7698630136986302</v>
      </c>
      <c r="B1995" s="19">
        <v>91398</v>
      </c>
      <c r="C1995" s="19" t="s">
        <v>4308</v>
      </c>
      <c r="D1995" s="19" t="s">
        <v>45</v>
      </c>
      <c r="E1995" s="19" t="s">
        <v>46</v>
      </c>
      <c r="F1995" s="19" t="s">
        <v>1122</v>
      </c>
      <c r="G1995" s="19" t="s">
        <v>1057</v>
      </c>
      <c r="H1995" s="19" t="s">
        <v>1001</v>
      </c>
      <c r="I1995" s="19" t="s">
        <v>1575</v>
      </c>
      <c r="J1995" s="20">
        <v>19</v>
      </c>
      <c r="K1995" t="s">
        <v>631</v>
      </c>
      <c r="L1995" t="s">
        <v>651</v>
      </c>
      <c r="M1995" t="s">
        <v>629</v>
      </c>
      <c r="N1995" t="s">
        <v>630</v>
      </c>
      <c r="O1995" t="s">
        <v>705</v>
      </c>
    </row>
    <row r="1996" spans="1:15" x14ac:dyDescent="0.35">
      <c r="A1996" s="77">
        <v>1.7671232876712328</v>
      </c>
      <c r="B1996" s="19">
        <v>91407</v>
      </c>
      <c r="C1996" s="19" t="s">
        <v>4309</v>
      </c>
      <c r="D1996" s="19" t="s">
        <v>23</v>
      </c>
      <c r="E1996" s="19" t="s">
        <v>23</v>
      </c>
      <c r="F1996" s="19" t="s">
        <v>660</v>
      </c>
      <c r="G1996" s="19" t="s">
        <v>1028</v>
      </c>
      <c r="H1996" s="19" t="s">
        <v>1020</v>
      </c>
      <c r="I1996" s="19" t="s">
        <v>1575</v>
      </c>
      <c r="J1996" s="20">
        <v>19</v>
      </c>
      <c r="K1996" t="s">
        <v>631</v>
      </c>
      <c r="L1996" t="s">
        <v>661</v>
      </c>
      <c r="M1996" t="s">
        <v>657</v>
      </c>
      <c r="N1996" t="s">
        <v>662</v>
      </c>
      <c r="O1996" t="s">
        <v>632</v>
      </c>
    </row>
    <row r="1997" spans="1:15" x14ac:dyDescent="0.35">
      <c r="A1997" s="77">
        <v>0.16438356164383561</v>
      </c>
      <c r="B1997" s="19">
        <v>91439</v>
      </c>
      <c r="C1997" s="19" t="s">
        <v>4310</v>
      </c>
      <c r="D1997" s="19" t="s">
        <v>39</v>
      </c>
      <c r="E1997" s="19" t="s">
        <v>39</v>
      </c>
      <c r="F1997" s="19" t="s">
        <v>1168</v>
      </c>
      <c r="G1997" s="19" t="s">
        <v>1028</v>
      </c>
      <c r="H1997" s="19" t="s">
        <v>1020</v>
      </c>
      <c r="I1997" s="19" t="s">
        <v>1575</v>
      </c>
      <c r="J1997" s="20">
        <v>24</v>
      </c>
      <c r="K1997" t="s">
        <v>636</v>
      </c>
      <c r="L1997" t="s">
        <v>661</v>
      </c>
      <c r="M1997" t="s">
        <v>657</v>
      </c>
      <c r="N1997" t="s">
        <v>662</v>
      </c>
      <c r="O1997" t="s">
        <v>632</v>
      </c>
    </row>
    <row r="1998" spans="1:15" x14ac:dyDescent="0.35">
      <c r="A1998" s="77">
        <v>1.273972602739726</v>
      </c>
      <c r="B1998" s="19">
        <v>91443</v>
      </c>
      <c r="C1998" s="19" t="s">
        <v>4311</v>
      </c>
      <c r="D1998" s="19" t="s">
        <v>268</v>
      </c>
      <c r="E1998" s="19" t="s">
        <v>269</v>
      </c>
      <c r="F1998" s="19" t="s">
        <v>2161</v>
      </c>
      <c r="G1998" s="19" t="s">
        <v>1008</v>
      </c>
      <c r="H1998" s="19" t="s">
        <v>1001</v>
      </c>
      <c r="I1998" s="19" t="s">
        <v>1575</v>
      </c>
      <c r="J1998" s="20">
        <v>41</v>
      </c>
      <c r="K1998" t="s">
        <v>654</v>
      </c>
      <c r="L1998" t="s">
        <v>666</v>
      </c>
      <c r="M1998" t="s">
        <v>629</v>
      </c>
      <c r="N1998" t="s">
        <v>635</v>
      </c>
      <c r="O1998" t="s">
        <v>637</v>
      </c>
    </row>
    <row r="1999" spans="1:15" x14ac:dyDescent="0.35">
      <c r="A1999" s="77">
        <v>1.7561643835616438</v>
      </c>
      <c r="B1999" s="19">
        <v>91444</v>
      </c>
      <c r="C1999" s="19" t="s">
        <v>4312</v>
      </c>
      <c r="D1999" s="19" t="s">
        <v>145</v>
      </c>
      <c r="E1999" s="19" t="s">
        <v>146</v>
      </c>
      <c r="F1999" s="19" t="s">
        <v>1015</v>
      </c>
      <c r="G1999" s="19" t="s">
        <v>1057</v>
      </c>
      <c r="H1999" s="19" t="s">
        <v>1001</v>
      </c>
      <c r="I1999" s="19" t="s">
        <v>1575</v>
      </c>
      <c r="J1999" s="20">
        <v>29</v>
      </c>
      <c r="K1999" t="s">
        <v>636</v>
      </c>
      <c r="L1999" t="s">
        <v>737</v>
      </c>
      <c r="M1999" t="s">
        <v>657</v>
      </c>
      <c r="N1999" t="s">
        <v>641</v>
      </c>
      <c r="O1999" t="s">
        <v>757</v>
      </c>
    </row>
    <row r="2000" spans="1:15" x14ac:dyDescent="0.35">
      <c r="A2000" s="77">
        <v>1.7561643835616438</v>
      </c>
      <c r="B2000" s="19">
        <v>91454</v>
      </c>
      <c r="C2000" s="19" t="s">
        <v>4313</v>
      </c>
      <c r="D2000" s="19" t="s">
        <v>375</v>
      </c>
      <c r="E2000" s="19" t="s">
        <v>376</v>
      </c>
      <c r="F2000" s="19" t="s">
        <v>1270</v>
      </c>
      <c r="G2000" s="19" t="s">
        <v>1019</v>
      </c>
      <c r="H2000" s="19" t="s">
        <v>1020</v>
      </c>
      <c r="I2000" s="19" t="s">
        <v>1575</v>
      </c>
      <c r="J2000" s="20">
        <v>33</v>
      </c>
      <c r="K2000" t="s">
        <v>636</v>
      </c>
      <c r="L2000" t="s">
        <v>678</v>
      </c>
      <c r="M2000" t="s">
        <v>623</v>
      </c>
      <c r="N2000" t="s">
        <v>624</v>
      </c>
      <c r="O2000" t="s">
        <v>679</v>
      </c>
    </row>
    <row r="2001" spans="1:15" x14ac:dyDescent="0.35">
      <c r="A2001" s="77">
        <v>1.7452054794520548</v>
      </c>
      <c r="B2001" s="19">
        <v>91490</v>
      </c>
      <c r="C2001" s="19" t="s">
        <v>4314</v>
      </c>
      <c r="D2001" s="19" t="s">
        <v>333</v>
      </c>
      <c r="E2001" s="19" t="s">
        <v>334</v>
      </c>
      <c r="F2001" s="19" t="s">
        <v>1333</v>
      </c>
      <c r="G2001" s="19" t="s">
        <v>1057</v>
      </c>
      <c r="H2001" s="19" t="s">
        <v>1001</v>
      </c>
      <c r="I2001" s="19" t="s">
        <v>1575</v>
      </c>
      <c r="J2001" s="20">
        <v>23</v>
      </c>
      <c r="K2001" t="s">
        <v>636</v>
      </c>
      <c r="L2001" t="s">
        <v>666</v>
      </c>
      <c r="M2001" t="s">
        <v>629</v>
      </c>
      <c r="N2001" t="s">
        <v>630</v>
      </c>
      <c r="O2001" t="s">
        <v>652</v>
      </c>
    </row>
    <row r="2002" spans="1:15" x14ac:dyDescent="0.35">
      <c r="A2002" s="77">
        <v>1.178082191780822</v>
      </c>
      <c r="B2002" s="19">
        <v>91494</v>
      </c>
      <c r="C2002" s="19" t="s">
        <v>4315</v>
      </c>
      <c r="D2002" s="19" t="s">
        <v>415</v>
      </c>
      <c r="E2002" s="19" t="s">
        <v>416</v>
      </c>
      <c r="F2002" s="19" t="s">
        <v>1199</v>
      </c>
      <c r="G2002" s="19" t="s">
        <v>1008</v>
      </c>
      <c r="H2002" s="19" t="s">
        <v>1001</v>
      </c>
      <c r="I2002" s="19" t="s">
        <v>1575</v>
      </c>
      <c r="J2002" s="20">
        <v>19</v>
      </c>
      <c r="K2002" t="s">
        <v>668</v>
      </c>
      <c r="L2002" t="s">
        <v>666</v>
      </c>
      <c r="M2002" t="s">
        <v>629</v>
      </c>
      <c r="N2002" t="s">
        <v>635</v>
      </c>
      <c r="O2002" t="s">
        <v>637</v>
      </c>
    </row>
    <row r="2003" spans="1:15" x14ac:dyDescent="0.35">
      <c r="A2003" s="77">
        <v>1.7452054794520548</v>
      </c>
      <c r="B2003" s="19">
        <v>91495</v>
      </c>
      <c r="C2003" s="19" t="s">
        <v>4316</v>
      </c>
      <c r="D2003" s="19" t="s">
        <v>431</v>
      </c>
      <c r="E2003" s="19" t="e">
        <v>#N/A</v>
      </c>
      <c r="F2003" s="19" t="s">
        <v>709</v>
      </c>
      <c r="G2003" s="19" t="s">
        <v>1008</v>
      </c>
      <c r="H2003" s="19" t="s">
        <v>1001</v>
      </c>
      <c r="I2003" s="19" t="s">
        <v>1575</v>
      </c>
      <c r="J2003" s="20">
        <v>19</v>
      </c>
      <c r="K2003" t="s">
        <v>654</v>
      </c>
      <c r="L2003" t="s">
        <v>707</v>
      </c>
      <c r="M2003" t="s">
        <v>629</v>
      </c>
      <c r="N2003" t="s">
        <v>635</v>
      </c>
      <c r="O2003" t="s">
        <v>710</v>
      </c>
    </row>
    <row r="2004" spans="1:15" x14ac:dyDescent="0.35">
      <c r="A2004" s="77">
        <v>1.7452054794520548</v>
      </c>
      <c r="B2004" s="19">
        <v>91499</v>
      </c>
      <c r="C2004" s="19" t="s">
        <v>4317</v>
      </c>
      <c r="D2004" s="19" t="s">
        <v>111</v>
      </c>
      <c r="E2004" s="19" t="s">
        <v>112</v>
      </c>
      <c r="F2004" s="19" t="s">
        <v>1083</v>
      </c>
      <c r="G2004" s="19" t="s">
        <v>1008</v>
      </c>
      <c r="H2004" s="19" t="s">
        <v>1001</v>
      </c>
      <c r="I2004" s="19" t="s">
        <v>1575</v>
      </c>
      <c r="J2004" s="20">
        <v>23</v>
      </c>
      <c r="K2004" t="s">
        <v>654</v>
      </c>
      <c r="L2004" t="s">
        <v>651</v>
      </c>
      <c r="M2004" t="s">
        <v>629</v>
      </c>
      <c r="N2004" t="s">
        <v>630</v>
      </c>
      <c r="O2004" t="s">
        <v>652</v>
      </c>
    </row>
    <row r="2005" spans="1:15" x14ac:dyDescent="0.35">
      <c r="A2005" s="77">
        <v>1.7424657534246575</v>
      </c>
      <c r="B2005" s="19">
        <v>91500</v>
      </c>
      <c r="C2005" s="19" t="s">
        <v>4318</v>
      </c>
      <c r="D2005" s="19" t="s">
        <v>268</v>
      </c>
      <c r="E2005" s="19" t="s">
        <v>269</v>
      </c>
      <c r="F2005" s="19" t="s">
        <v>2161</v>
      </c>
      <c r="G2005" s="19" t="s">
        <v>1084</v>
      </c>
      <c r="H2005" s="19" t="s">
        <v>1001</v>
      </c>
      <c r="I2005" s="19" t="s">
        <v>1575</v>
      </c>
      <c r="J2005" s="20">
        <v>28</v>
      </c>
      <c r="K2005" t="s">
        <v>654</v>
      </c>
      <c r="L2005" t="s">
        <v>666</v>
      </c>
      <c r="M2005" t="s">
        <v>629</v>
      </c>
      <c r="N2005" t="s">
        <v>635</v>
      </c>
      <c r="O2005" t="s">
        <v>637</v>
      </c>
    </row>
    <row r="2006" spans="1:15" x14ac:dyDescent="0.35">
      <c r="A2006" s="77">
        <v>1.7397260273972603</v>
      </c>
      <c r="B2006" s="19">
        <v>91519</v>
      </c>
      <c r="C2006" s="19" t="s">
        <v>4319</v>
      </c>
      <c r="D2006" s="19" t="s">
        <v>264</v>
      </c>
      <c r="E2006" s="19" t="s">
        <v>265</v>
      </c>
      <c r="F2006" s="19" t="s">
        <v>2526</v>
      </c>
      <c r="G2006" s="19" t="s">
        <v>1084</v>
      </c>
      <c r="H2006" s="19" t="s">
        <v>1001</v>
      </c>
      <c r="I2006" s="19" t="s">
        <v>1599</v>
      </c>
      <c r="J2006" s="20">
        <v>26</v>
      </c>
      <c r="K2006" t="s">
        <v>654</v>
      </c>
      <c r="L2006" t="s">
        <v>678</v>
      </c>
      <c r="M2006" t="s">
        <v>623</v>
      </c>
      <c r="N2006" t="s">
        <v>624</v>
      </c>
      <c r="O2006" t="s">
        <v>689</v>
      </c>
    </row>
    <row r="2007" spans="1:15" x14ac:dyDescent="0.35">
      <c r="A2007" s="77">
        <v>1.736986301369863</v>
      </c>
      <c r="B2007" s="19">
        <v>91521</v>
      </c>
      <c r="C2007" s="19" t="s">
        <v>4320</v>
      </c>
      <c r="D2007" s="19" t="s">
        <v>252</v>
      </c>
      <c r="E2007" s="19" t="s">
        <v>253</v>
      </c>
      <c r="F2007" s="19" t="s">
        <v>914</v>
      </c>
      <c r="G2007" s="19" t="s">
        <v>1046</v>
      </c>
      <c r="H2007" s="19" t="s">
        <v>1001</v>
      </c>
      <c r="I2007" s="19" t="s">
        <v>1575</v>
      </c>
      <c r="J2007" s="20">
        <v>23</v>
      </c>
      <c r="K2007" t="s">
        <v>636</v>
      </c>
      <c r="L2007" t="s">
        <v>656</v>
      </c>
      <c r="M2007" t="s">
        <v>657</v>
      </c>
      <c r="N2007" t="s">
        <v>658</v>
      </c>
      <c r="O2007" t="s">
        <v>718</v>
      </c>
    </row>
    <row r="2008" spans="1:15" x14ac:dyDescent="0.35">
      <c r="A2008" s="77">
        <v>1.736986301369863</v>
      </c>
      <c r="B2008" s="19">
        <v>91525</v>
      </c>
      <c r="C2008" s="19" t="s">
        <v>4321</v>
      </c>
      <c r="D2008" s="19" t="s">
        <v>307</v>
      </c>
      <c r="E2008" s="19" t="s">
        <v>308</v>
      </c>
      <c r="F2008" s="19" t="s">
        <v>1524</v>
      </c>
      <c r="G2008" s="19" t="s">
        <v>1008</v>
      </c>
      <c r="H2008" s="19" t="s">
        <v>1001</v>
      </c>
      <c r="I2008" s="19" t="s">
        <v>1599</v>
      </c>
      <c r="J2008" s="20">
        <v>25</v>
      </c>
      <c r="K2008" t="s">
        <v>668</v>
      </c>
      <c r="L2008" t="s">
        <v>656</v>
      </c>
      <c r="M2008" t="s">
        <v>657</v>
      </c>
      <c r="N2008" t="s">
        <v>658</v>
      </c>
      <c r="O2008" t="s">
        <v>718</v>
      </c>
    </row>
    <row r="2009" spans="1:15" x14ac:dyDescent="0.35">
      <c r="A2009" s="77">
        <v>7.1232876712328766E-2</v>
      </c>
      <c r="B2009" s="19">
        <v>91542</v>
      </c>
      <c r="C2009" s="19" t="s">
        <v>4322</v>
      </c>
      <c r="D2009" s="19" t="s">
        <v>405</v>
      </c>
      <c r="E2009" s="19" t="s">
        <v>406</v>
      </c>
      <c r="F2009" s="19" t="s">
        <v>594</v>
      </c>
      <c r="G2009" s="19" t="s">
        <v>1057</v>
      </c>
      <c r="H2009" s="19" t="s">
        <v>1001</v>
      </c>
      <c r="I2009" s="19" t="s">
        <v>1575</v>
      </c>
      <c r="J2009" s="20">
        <v>21</v>
      </c>
      <c r="K2009" t="s">
        <v>654</v>
      </c>
      <c r="L2009" t="s">
        <v>684</v>
      </c>
      <c r="M2009" t="s">
        <v>623</v>
      </c>
      <c r="N2009" t="s">
        <v>662</v>
      </c>
      <c r="O2009" t="s">
        <v>872</v>
      </c>
    </row>
    <row r="2010" spans="1:15" x14ac:dyDescent="0.35">
      <c r="A2010" s="77">
        <v>1.736986301369863</v>
      </c>
      <c r="B2010" s="19">
        <v>91543</v>
      </c>
      <c r="C2010" s="19" t="s">
        <v>4323</v>
      </c>
      <c r="D2010" s="19" t="s">
        <v>330</v>
      </c>
      <c r="E2010" s="19" t="s">
        <v>331</v>
      </c>
      <c r="F2010" s="19" t="s">
        <v>332</v>
      </c>
      <c r="G2010" s="19" t="s">
        <v>1028</v>
      </c>
      <c r="H2010" s="19" t="s">
        <v>1020</v>
      </c>
      <c r="I2010" s="19" t="s">
        <v>1575</v>
      </c>
      <c r="J2010" s="20">
        <v>21</v>
      </c>
      <c r="K2010" t="s">
        <v>636</v>
      </c>
      <c r="L2010" t="s">
        <v>762</v>
      </c>
      <c r="M2010" t="s">
        <v>629</v>
      </c>
      <c r="N2010" t="s">
        <v>646</v>
      </c>
      <c r="O2010" t="s">
        <v>839</v>
      </c>
    </row>
    <row r="2011" spans="1:15" x14ac:dyDescent="0.35">
      <c r="A2011" s="77">
        <v>1.2821917808219179</v>
      </c>
      <c r="B2011" s="19">
        <v>91552</v>
      </c>
      <c r="C2011" s="19" t="s">
        <v>4324</v>
      </c>
      <c r="D2011" s="19" t="s">
        <v>189</v>
      </c>
      <c r="E2011" s="19" t="s">
        <v>190</v>
      </c>
      <c r="F2011" s="19" t="s">
        <v>1369</v>
      </c>
      <c r="G2011" s="19" t="s">
        <v>1008</v>
      </c>
      <c r="H2011" s="19" t="s">
        <v>1001</v>
      </c>
      <c r="I2011" s="19" t="s">
        <v>1575</v>
      </c>
      <c r="J2011" s="20">
        <v>23</v>
      </c>
      <c r="K2011" t="s">
        <v>654</v>
      </c>
      <c r="L2011" t="s">
        <v>640</v>
      </c>
      <c r="M2011" t="s">
        <v>623</v>
      </c>
      <c r="N2011" t="s">
        <v>641</v>
      </c>
      <c r="O2011" t="s">
        <v>754</v>
      </c>
    </row>
    <row r="2012" spans="1:15" x14ac:dyDescent="0.35">
      <c r="A2012" s="77">
        <v>1.7452054794520548</v>
      </c>
      <c r="B2012" s="19">
        <v>91564</v>
      </c>
      <c r="C2012" s="19" t="s">
        <v>4325</v>
      </c>
      <c r="D2012" s="19" t="s">
        <v>8</v>
      </c>
      <c r="E2012" s="19" t="s">
        <v>8</v>
      </c>
      <c r="F2012" s="19" t="s">
        <v>1176</v>
      </c>
      <c r="G2012" s="19" t="s">
        <v>1008</v>
      </c>
      <c r="H2012" s="19" t="s">
        <v>1001</v>
      </c>
      <c r="I2012" s="19" t="s">
        <v>1575</v>
      </c>
      <c r="J2012" s="20">
        <v>32</v>
      </c>
      <c r="K2012" t="s">
        <v>625</v>
      </c>
      <c r="L2012" t="s">
        <v>622</v>
      </c>
      <c r="M2012" t="s">
        <v>623</v>
      </c>
      <c r="N2012" t="s">
        <v>624</v>
      </c>
      <c r="O2012" t="s">
        <v>626</v>
      </c>
    </row>
    <row r="2013" spans="1:15" x14ac:dyDescent="0.35">
      <c r="A2013" s="77">
        <v>1.7452054794520548</v>
      </c>
      <c r="B2013" s="19">
        <v>91572</v>
      </c>
      <c r="C2013" s="19" t="s">
        <v>4326</v>
      </c>
      <c r="D2013" s="19" t="s">
        <v>341</v>
      </c>
      <c r="E2013" s="19" t="s">
        <v>342</v>
      </c>
      <c r="F2013" s="19" t="s">
        <v>1264</v>
      </c>
      <c r="G2013" s="19" t="s">
        <v>1008</v>
      </c>
      <c r="H2013" s="19" t="s">
        <v>1001</v>
      </c>
      <c r="I2013" s="19" t="s">
        <v>1575</v>
      </c>
      <c r="J2013" s="20">
        <v>41</v>
      </c>
      <c r="K2013" t="s">
        <v>636</v>
      </c>
      <c r="L2013" t="s">
        <v>678</v>
      </c>
      <c r="M2013" t="s">
        <v>623</v>
      </c>
      <c r="N2013" t="s">
        <v>624</v>
      </c>
      <c r="O2013" t="s">
        <v>679</v>
      </c>
    </row>
    <row r="2014" spans="1:15" x14ac:dyDescent="0.35">
      <c r="A2014" s="77">
        <v>1.7424657534246575</v>
      </c>
      <c r="B2014" s="19">
        <v>91574</v>
      </c>
      <c r="C2014" s="19" t="s">
        <v>4327</v>
      </c>
      <c r="D2014" s="19" t="s">
        <v>183</v>
      </c>
      <c r="E2014" s="19" t="s">
        <v>184</v>
      </c>
      <c r="F2014" s="19" t="s">
        <v>1532</v>
      </c>
      <c r="G2014" s="19" t="s">
        <v>1000</v>
      </c>
      <c r="H2014" s="19" t="s">
        <v>1001</v>
      </c>
      <c r="I2014" s="19" t="s">
        <v>1599</v>
      </c>
      <c r="J2014" s="20">
        <v>27</v>
      </c>
      <c r="K2014" t="s">
        <v>654</v>
      </c>
      <c r="L2014" t="s">
        <v>648</v>
      </c>
      <c r="M2014" t="s">
        <v>623</v>
      </c>
      <c r="N2014" t="s">
        <v>624</v>
      </c>
      <c r="O2014" t="s">
        <v>725</v>
      </c>
    </row>
    <row r="2015" spans="1:15" x14ac:dyDescent="0.35">
      <c r="A2015" s="77">
        <v>1.7397260273972603</v>
      </c>
      <c r="B2015" s="19">
        <v>91575</v>
      </c>
      <c r="C2015" s="19" t="s">
        <v>4328</v>
      </c>
      <c r="D2015" s="19" t="s">
        <v>149</v>
      </c>
      <c r="E2015" s="19" t="s">
        <v>150</v>
      </c>
      <c r="F2015" s="19" t="s">
        <v>1548</v>
      </c>
      <c r="G2015" s="19" t="s">
        <v>1008</v>
      </c>
      <c r="H2015" s="19" t="s">
        <v>1001</v>
      </c>
      <c r="I2015" s="19" t="s">
        <v>1575</v>
      </c>
      <c r="J2015" s="20">
        <v>26</v>
      </c>
      <c r="K2015" t="s">
        <v>654</v>
      </c>
      <c r="L2015" t="s">
        <v>648</v>
      </c>
      <c r="M2015" t="s">
        <v>623</v>
      </c>
      <c r="N2015" t="s">
        <v>624</v>
      </c>
      <c r="O2015" t="s">
        <v>725</v>
      </c>
    </row>
    <row r="2016" spans="1:15" x14ac:dyDescent="0.35">
      <c r="A2016" s="77">
        <v>1.7342465753424658</v>
      </c>
      <c r="B2016" s="19">
        <v>91585</v>
      </c>
      <c r="C2016" s="19" t="s">
        <v>4329</v>
      </c>
      <c r="D2016" s="19" t="s">
        <v>17</v>
      </c>
      <c r="E2016" s="19" t="s">
        <v>17</v>
      </c>
      <c r="F2016" s="19" t="s">
        <v>906</v>
      </c>
      <c r="G2016" s="19" t="s">
        <v>1008</v>
      </c>
      <c r="H2016" s="19" t="s">
        <v>1001</v>
      </c>
      <c r="I2016" s="19" t="s">
        <v>1575</v>
      </c>
      <c r="J2016" s="20">
        <v>23</v>
      </c>
      <c r="K2016" t="s">
        <v>636</v>
      </c>
      <c r="L2016" t="s">
        <v>648</v>
      </c>
      <c r="M2016" t="s">
        <v>623</v>
      </c>
      <c r="N2016" t="s">
        <v>624</v>
      </c>
      <c r="O2016" t="s">
        <v>649</v>
      </c>
    </row>
    <row r="2017" spans="1:15" x14ac:dyDescent="0.35">
      <c r="A2017" s="77">
        <v>1.7424657534246575</v>
      </c>
      <c r="B2017" s="19">
        <v>91588</v>
      </c>
      <c r="C2017" s="19" t="s">
        <v>4330</v>
      </c>
      <c r="D2017" s="19" t="s">
        <v>432</v>
      </c>
      <c r="E2017" s="19" t="e">
        <v>#N/A</v>
      </c>
      <c r="F2017" s="19" t="s">
        <v>1037</v>
      </c>
      <c r="G2017" s="19" t="s">
        <v>1019</v>
      </c>
      <c r="H2017" s="19" t="s">
        <v>1020</v>
      </c>
      <c r="I2017" s="19" t="s">
        <v>1575</v>
      </c>
      <c r="J2017" s="20">
        <v>27</v>
      </c>
      <c r="K2017" t="s">
        <v>668</v>
      </c>
      <c r="L2017" t="s">
        <v>707</v>
      </c>
      <c r="M2017" t="s">
        <v>629</v>
      </c>
      <c r="N2017" t="s">
        <v>635</v>
      </c>
      <c r="O2017" t="s">
        <v>708</v>
      </c>
    </row>
    <row r="2018" spans="1:15" x14ac:dyDescent="0.35">
      <c r="A2018" s="77">
        <v>1.7424657534246575</v>
      </c>
      <c r="B2018" s="19">
        <v>91591</v>
      </c>
      <c r="C2018" s="19" t="s">
        <v>4331</v>
      </c>
      <c r="D2018" s="19" t="s">
        <v>432</v>
      </c>
      <c r="E2018" s="19" t="e">
        <v>#N/A</v>
      </c>
      <c r="F2018" s="19" t="s">
        <v>1037</v>
      </c>
      <c r="G2018" s="19" t="s">
        <v>1034</v>
      </c>
      <c r="H2018" s="19" t="s">
        <v>1001</v>
      </c>
      <c r="I2018" s="19" t="s">
        <v>1599</v>
      </c>
      <c r="J2018" s="20">
        <v>19</v>
      </c>
      <c r="K2018" t="s">
        <v>668</v>
      </c>
      <c r="L2018" t="s">
        <v>707</v>
      </c>
      <c r="M2018" t="s">
        <v>629</v>
      </c>
      <c r="N2018" t="s">
        <v>635</v>
      </c>
      <c r="O2018" t="s">
        <v>708</v>
      </c>
    </row>
    <row r="2019" spans="1:15" x14ac:dyDescent="0.35">
      <c r="A2019" s="77">
        <v>1.5671232876712329</v>
      </c>
      <c r="B2019" s="19">
        <v>91600</v>
      </c>
      <c r="C2019" s="19" t="s">
        <v>4332</v>
      </c>
      <c r="D2019" s="19" t="s">
        <v>397</v>
      </c>
      <c r="E2019" s="19" t="s">
        <v>398</v>
      </c>
      <c r="F2019" s="19" t="s">
        <v>867</v>
      </c>
      <c r="G2019" s="19" t="s">
        <v>1008</v>
      </c>
      <c r="H2019" s="19" t="s">
        <v>1001</v>
      </c>
      <c r="I2019" s="19" t="s">
        <v>1575</v>
      </c>
      <c r="J2019" s="20">
        <v>21</v>
      </c>
      <c r="K2019" t="s">
        <v>625</v>
      </c>
      <c r="L2019" t="s">
        <v>634</v>
      </c>
      <c r="M2019" t="s">
        <v>629</v>
      </c>
      <c r="N2019" t="s">
        <v>635</v>
      </c>
      <c r="O2019" t="s">
        <v>637</v>
      </c>
    </row>
    <row r="2020" spans="1:15" x14ac:dyDescent="0.35">
      <c r="A2020" s="77">
        <v>1.7452054794520548</v>
      </c>
      <c r="B2020" s="19">
        <v>91613</v>
      </c>
      <c r="C2020" s="19" t="s">
        <v>4333</v>
      </c>
      <c r="D2020" s="19" t="s">
        <v>147</v>
      </c>
      <c r="E2020" s="19" t="s">
        <v>148</v>
      </c>
      <c r="F2020" s="19" t="s">
        <v>1396</v>
      </c>
      <c r="G2020" s="19" t="s">
        <v>1008</v>
      </c>
      <c r="H2020" s="19" t="s">
        <v>1001</v>
      </c>
      <c r="I2020" s="19" t="s">
        <v>1575</v>
      </c>
      <c r="J2020" s="20">
        <v>23</v>
      </c>
      <c r="K2020" t="s">
        <v>636</v>
      </c>
      <c r="L2020" t="s">
        <v>661</v>
      </c>
      <c r="M2020" t="s">
        <v>657</v>
      </c>
      <c r="N2020" t="s">
        <v>662</v>
      </c>
      <c r="O2020" t="s">
        <v>632</v>
      </c>
    </row>
    <row r="2021" spans="1:15" x14ac:dyDescent="0.35">
      <c r="A2021" s="77">
        <v>1.7452054794520548</v>
      </c>
      <c r="B2021" s="19">
        <v>91616</v>
      </c>
      <c r="C2021" s="19" t="s">
        <v>4334</v>
      </c>
      <c r="D2021" s="19" t="s">
        <v>14</v>
      </c>
      <c r="E2021" s="19" t="s">
        <v>14</v>
      </c>
      <c r="F2021" s="19" t="s">
        <v>15</v>
      </c>
      <c r="G2021" s="19" t="s">
        <v>1057</v>
      </c>
      <c r="H2021" s="19" t="s">
        <v>1001</v>
      </c>
      <c r="I2021" s="19" t="s">
        <v>1575</v>
      </c>
      <c r="J2021" s="20">
        <v>26</v>
      </c>
      <c r="K2021" t="s">
        <v>642</v>
      </c>
      <c r="L2021" t="s">
        <v>640</v>
      </c>
      <c r="M2021" t="s">
        <v>623</v>
      </c>
      <c r="N2021" t="s">
        <v>641</v>
      </c>
      <c r="O2021" t="s">
        <v>643</v>
      </c>
    </row>
    <row r="2022" spans="1:15" x14ac:dyDescent="0.35">
      <c r="A2022" s="77">
        <v>1.7452054794520548</v>
      </c>
      <c r="B2022" s="19">
        <v>91627</v>
      </c>
      <c r="C2022" s="19" t="s">
        <v>4335</v>
      </c>
      <c r="D2022" s="19" t="s">
        <v>45</v>
      </c>
      <c r="E2022" s="19" t="s">
        <v>46</v>
      </c>
      <c r="F2022" s="19" t="s">
        <v>1122</v>
      </c>
      <c r="G2022" s="19" t="s">
        <v>1019</v>
      </c>
      <c r="H2022" s="19" t="s">
        <v>1020</v>
      </c>
      <c r="I2022" s="19" t="s">
        <v>1575</v>
      </c>
      <c r="J2022" s="20">
        <v>21</v>
      </c>
      <c r="K2022" t="s">
        <v>631</v>
      </c>
      <c r="L2022" t="s">
        <v>651</v>
      </c>
      <c r="M2022" t="s">
        <v>629</v>
      </c>
      <c r="N2022" t="s">
        <v>630</v>
      </c>
      <c r="O2022" t="s">
        <v>705</v>
      </c>
    </row>
    <row r="2023" spans="1:15" x14ac:dyDescent="0.35">
      <c r="A2023" s="77">
        <v>1.7397260273972603</v>
      </c>
      <c r="B2023" s="19">
        <v>91637</v>
      </c>
      <c r="C2023" s="19" t="s">
        <v>4336</v>
      </c>
      <c r="D2023" s="19" t="s">
        <v>339</v>
      </c>
      <c r="E2023" s="19" t="s">
        <v>340</v>
      </c>
      <c r="F2023" s="19" t="s">
        <v>1024</v>
      </c>
      <c r="G2023" s="19" t="s">
        <v>1028</v>
      </c>
      <c r="H2023" s="19" t="s">
        <v>1020</v>
      </c>
      <c r="I2023" s="19" t="s">
        <v>1575</v>
      </c>
      <c r="J2023" s="20">
        <v>19</v>
      </c>
      <c r="K2023" t="s">
        <v>631</v>
      </c>
      <c r="L2023" t="s">
        <v>651</v>
      </c>
      <c r="M2023" t="s">
        <v>629</v>
      </c>
      <c r="N2023" t="s">
        <v>630</v>
      </c>
      <c r="O2023" t="s">
        <v>705</v>
      </c>
    </row>
    <row r="2024" spans="1:15" x14ac:dyDescent="0.35">
      <c r="A2024" s="77">
        <v>1.7452054794520548</v>
      </c>
      <c r="B2024" s="19">
        <v>91695</v>
      </c>
      <c r="C2024" s="19" t="s">
        <v>4337</v>
      </c>
      <c r="D2024" s="19" t="s">
        <v>377</v>
      </c>
      <c r="E2024" s="19" t="s">
        <v>378</v>
      </c>
      <c r="F2024" s="19" t="s">
        <v>862</v>
      </c>
      <c r="G2024" s="19" t="s">
        <v>1028</v>
      </c>
      <c r="H2024" s="19" t="s">
        <v>1020</v>
      </c>
      <c r="I2024" s="19" t="s">
        <v>1575</v>
      </c>
      <c r="J2024" s="20">
        <v>23</v>
      </c>
      <c r="K2024" t="s">
        <v>631</v>
      </c>
      <c r="L2024" t="s">
        <v>661</v>
      </c>
      <c r="M2024" t="s">
        <v>657</v>
      </c>
      <c r="N2024" t="s">
        <v>662</v>
      </c>
      <c r="O2024" t="s">
        <v>632</v>
      </c>
    </row>
    <row r="2025" spans="1:15" x14ac:dyDescent="0.35">
      <c r="A2025" s="77">
        <v>1.7452054794520548</v>
      </c>
      <c r="B2025" s="19">
        <v>91708</v>
      </c>
      <c r="C2025" s="19" t="s">
        <v>4338</v>
      </c>
      <c r="D2025" s="19" t="s">
        <v>42</v>
      </c>
      <c r="E2025" s="19" t="s">
        <v>42</v>
      </c>
      <c r="F2025" s="19" t="s">
        <v>1262</v>
      </c>
      <c r="G2025" s="19" t="s">
        <v>1028</v>
      </c>
      <c r="H2025" s="19" t="s">
        <v>1020</v>
      </c>
      <c r="I2025" s="19" t="s">
        <v>1575</v>
      </c>
      <c r="J2025" s="20">
        <v>20</v>
      </c>
      <c r="K2025" t="s">
        <v>625</v>
      </c>
      <c r="L2025" t="s">
        <v>628</v>
      </c>
      <c r="M2025" t="s">
        <v>629</v>
      </c>
      <c r="N2025" t="s">
        <v>630</v>
      </c>
      <c r="O2025" t="s">
        <v>632</v>
      </c>
    </row>
    <row r="2026" spans="1:15" x14ac:dyDescent="0.35">
      <c r="A2026" s="77">
        <v>1.7452054794520548</v>
      </c>
      <c r="B2026" s="19">
        <v>91709</v>
      </c>
      <c r="C2026" s="19" t="s">
        <v>4339</v>
      </c>
      <c r="D2026" s="19" t="s">
        <v>62</v>
      </c>
      <c r="E2026" s="19" t="s">
        <v>63</v>
      </c>
      <c r="F2026" s="19" t="s">
        <v>1228</v>
      </c>
      <c r="G2026" s="19" t="s">
        <v>1008</v>
      </c>
      <c r="H2026" s="19" t="s">
        <v>1001</v>
      </c>
      <c r="I2026" s="19" t="s">
        <v>1575</v>
      </c>
      <c r="J2026" s="20">
        <v>19</v>
      </c>
      <c r="K2026" t="s">
        <v>636</v>
      </c>
      <c r="L2026" t="s">
        <v>645</v>
      </c>
      <c r="M2026" t="s">
        <v>629</v>
      </c>
      <c r="N2026" t="s">
        <v>646</v>
      </c>
      <c r="O2026" t="s">
        <v>632</v>
      </c>
    </row>
    <row r="2027" spans="1:15" x14ac:dyDescent="0.35">
      <c r="A2027" s="77">
        <v>1.7452054794520548</v>
      </c>
      <c r="B2027" s="19">
        <v>91714</v>
      </c>
      <c r="C2027" s="19" t="s">
        <v>4340</v>
      </c>
      <c r="D2027" s="19" t="s">
        <v>115</v>
      </c>
      <c r="E2027" s="19" t="s">
        <v>116</v>
      </c>
      <c r="F2027" s="19" t="s">
        <v>1383</v>
      </c>
      <c r="G2027" s="19" t="s">
        <v>1057</v>
      </c>
      <c r="H2027" s="19" t="s">
        <v>1001</v>
      </c>
      <c r="I2027" s="19" t="s">
        <v>1575</v>
      </c>
      <c r="J2027" s="20">
        <v>23</v>
      </c>
      <c r="K2027" t="s">
        <v>631</v>
      </c>
      <c r="L2027" t="s">
        <v>670</v>
      </c>
      <c r="M2027" t="s">
        <v>657</v>
      </c>
      <c r="N2027" t="s">
        <v>641</v>
      </c>
      <c r="O2027" t="s">
        <v>671</v>
      </c>
    </row>
    <row r="2028" spans="1:15" x14ac:dyDescent="0.35">
      <c r="A2028" s="77">
        <v>1.736986301369863</v>
      </c>
      <c r="B2028" s="19">
        <v>91735</v>
      </c>
      <c r="C2028" s="19" t="s">
        <v>4341</v>
      </c>
      <c r="D2028" s="19" t="s">
        <v>76</v>
      </c>
      <c r="E2028" s="19" t="s">
        <v>77</v>
      </c>
      <c r="F2028" s="19" t="s">
        <v>899</v>
      </c>
      <c r="G2028" s="19" t="s">
        <v>1019</v>
      </c>
      <c r="H2028" s="19" t="s">
        <v>1020</v>
      </c>
      <c r="I2028" s="19" t="s">
        <v>1575</v>
      </c>
      <c r="J2028" s="20">
        <v>21</v>
      </c>
      <c r="K2028" t="s">
        <v>636</v>
      </c>
      <c r="L2028" t="s">
        <v>645</v>
      </c>
      <c r="M2028" t="s">
        <v>629</v>
      </c>
      <c r="N2028" t="s">
        <v>646</v>
      </c>
      <c r="O2028" t="s">
        <v>632</v>
      </c>
    </row>
    <row r="2029" spans="1:15" x14ac:dyDescent="0.35">
      <c r="A2029" s="77">
        <v>1.7315068493150685</v>
      </c>
      <c r="B2029" s="19">
        <v>91739</v>
      </c>
      <c r="C2029" s="19" t="s">
        <v>4342</v>
      </c>
      <c r="D2029" s="19" t="s">
        <v>68</v>
      </c>
      <c r="E2029" s="19" t="s">
        <v>69</v>
      </c>
      <c r="F2029" s="19" t="s">
        <v>1078</v>
      </c>
      <c r="G2029" s="19" t="s">
        <v>1008</v>
      </c>
      <c r="H2029" s="19" t="s">
        <v>1001</v>
      </c>
      <c r="I2029" s="19" t="s">
        <v>1575</v>
      </c>
      <c r="J2029" s="20">
        <v>26</v>
      </c>
      <c r="K2029" t="s">
        <v>636</v>
      </c>
      <c r="L2029" t="s">
        <v>670</v>
      </c>
      <c r="M2029" t="s">
        <v>657</v>
      </c>
      <c r="N2029" t="s">
        <v>641</v>
      </c>
      <c r="O2029" t="s">
        <v>671</v>
      </c>
    </row>
    <row r="2030" spans="1:15" x14ac:dyDescent="0.35">
      <c r="A2030" s="77">
        <v>1.7287671232876711</v>
      </c>
      <c r="B2030" s="19">
        <v>91748</v>
      </c>
      <c r="C2030" s="19" t="s">
        <v>4343</v>
      </c>
      <c r="D2030" s="19" t="s">
        <v>128</v>
      </c>
      <c r="E2030" s="19" t="s">
        <v>129</v>
      </c>
      <c r="F2030" s="19" t="s">
        <v>1075</v>
      </c>
      <c r="G2030" s="19" t="s">
        <v>1008</v>
      </c>
      <c r="H2030" s="19" t="s">
        <v>1001</v>
      </c>
      <c r="I2030" s="19" t="s">
        <v>1575</v>
      </c>
      <c r="J2030" s="20">
        <v>36</v>
      </c>
      <c r="K2030" t="s">
        <v>636</v>
      </c>
      <c r="L2030" t="s">
        <v>678</v>
      </c>
      <c r="M2030" t="s">
        <v>623</v>
      </c>
      <c r="N2030" t="s">
        <v>624</v>
      </c>
      <c r="O2030" t="s">
        <v>679</v>
      </c>
    </row>
    <row r="2031" spans="1:15" x14ac:dyDescent="0.35">
      <c r="A2031" s="77">
        <v>1.7287671232876711</v>
      </c>
      <c r="B2031" s="19">
        <v>91750</v>
      </c>
      <c r="C2031" s="19" t="s">
        <v>4344</v>
      </c>
      <c r="D2031" s="19" t="s">
        <v>16</v>
      </c>
      <c r="E2031" s="19" t="s">
        <v>16</v>
      </c>
      <c r="F2031" s="19" t="s">
        <v>1211</v>
      </c>
      <c r="G2031" s="19" t="s">
        <v>1008</v>
      </c>
      <c r="H2031" s="19" t="s">
        <v>1001</v>
      </c>
      <c r="I2031" s="19" t="s">
        <v>1599</v>
      </c>
      <c r="J2031" s="20">
        <v>22</v>
      </c>
      <c r="K2031" t="s">
        <v>631</v>
      </c>
      <c r="L2031" t="s">
        <v>645</v>
      </c>
      <c r="M2031" t="s">
        <v>629</v>
      </c>
      <c r="N2031" t="s">
        <v>646</v>
      </c>
      <c r="O2031" t="s">
        <v>632</v>
      </c>
    </row>
    <row r="2032" spans="1:15" x14ac:dyDescent="0.35">
      <c r="A2032" s="77">
        <v>1.7287671232876711</v>
      </c>
      <c r="B2032" s="19">
        <v>91764</v>
      </c>
      <c r="C2032" s="19" t="s">
        <v>4345</v>
      </c>
      <c r="D2032" s="19" t="s">
        <v>278</v>
      </c>
      <c r="E2032" s="19" t="s">
        <v>279</v>
      </c>
      <c r="F2032" s="19" t="s">
        <v>1131</v>
      </c>
      <c r="G2032" s="19" t="s">
        <v>1008</v>
      </c>
      <c r="H2032" s="19" t="s">
        <v>1001</v>
      </c>
      <c r="I2032" s="19" t="s">
        <v>1599</v>
      </c>
      <c r="J2032" s="20">
        <v>25</v>
      </c>
      <c r="K2032" t="s">
        <v>625</v>
      </c>
      <c r="L2032" t="s">
        <v>661</v>
      </c>
      <c r="M2032" t="s">
        <v>657</v>
      </c>
      <c r="N2032" t="s">
        <v>662</v>
      </c>
      <c r="O2032" t="s">
        <v>632</v>
      </c>
    </row>
    <row r="2033" spans="1:15" x14ac:dyDescent="0.35">
      <c r="A2033" s="77">
        <v>2.1917808219178082E-2</v>
      </c>
      <c r="B2033" s="19">
        <v>91766</v>
      </c>
      <c r="C2033" s="19" t="s">
        <v>4346</v>
      </c>
      <c r="D2033" s="19" t="s">
        <v>235</v>
      </c>
      <c r="E2033" s="19" t="s">
        <v>236</v>
      </c>
      <c r="F2033" s="19" t="s">
        <v>1457</v>
      </c>
      <c r="G2033" s="19" t="s">
        <v>1008</v>
      </c>
      <c r="H2033" s="19" t="s">
        <v>1001</v>
      </c>
      <c r="I2033" s="19" t="s">
        <v>1575</v>
      </c>
      <c r="J2033" s="20">
        <v>20</v>
      </c>
      <c r="K2033" t="s">
        <v>654</v>
      </c>
      <c r="L2033" t="s">
        <v>707</v>
      </c>
      <c r="M2033" t="s">
        <v>629</v>
      </c>
      <c r="N2033" t="s">
        <v>635</v>
      </c>
      <c r="O2033" t="s">
        <v>710</v>
      </c>
    </row>
    <row r="2034" spans="1:15" x14ac:dyDescent="0.35">
      <c r="A2034" s="77">
        <v>1.7287671232876711</v>
      </c>
      <c r="B2034" s="19">
        <v>91767</v>
      </c>
      <c r="C2034" s="19" t="s">
        <v>4347</v>
      </c>
      <c r="D2034" s="19" t="s">
        <v>206</v>
      </c>
      <c r="E2034" s="19" t="s">
        <v>207</v>
      </c>
      <c r="F2034" s="19" t="s">
        <v>2447</v>
      </c>
      <c r="G2034" s="19" t="s">
        <v>1008</v>
      </c>
      <c r="H2034" s="19" t="s">
        <v>1001</v>
      </c>
      <c r="I2034" s="19" t="s">
        <v>1599</v>
      </c>
      <c r="J2034" s="20">
        <v>26</v>
      </c>
      <c r="K2034" t="s">
        <v>668</v>
      </c>
      <c r="L2034" t="s">
        <v>666</v>
      </c>
      <c r="M2034" t="s">
        <v>629</v>
      </c>
      <c r="N2034" t="s">
        <v>630</v>
      </c>
      <c r="O2034" t="s">
        <v>652</v>
      </c>
    </row>
    <row r="2035" spans="1:15" x14ac:dyDescent="0.35">
      <c r="A2035" s="77">
        <v>1.736986301369863</v>
      </c>
      <c r="B2035" s="19">
        <v>91785</v>
      </c>
      <c r="C2035" s="19" t="s">
        <v>4348</v>
      </c>
      <c r="D2035" s="19" t="s">
        <v>197</v>
      </c>
      <c r="E2035" s="19" t="s">
        <v>198</v>
      </c>
      <c r="F2035" s="19" t="s">
        <v>1297</v>
      </c>
      <c r="G2035" s="19" t="s">
        <v>1057</v>
      </c>
      <c r="H2035" s="19" t="s">
        <v>1001</v>
      </c>
      <c r="I2035" s="19" t="s">
        <v>1575</v>
      </c>
      <c r="J2035" s="20">
        <v>20</v>
      </c>
      <c r="K2035" t="s">
        <v>654</v>
      </c>
      <c r="L2035" t="s">
        <v>645</v>
      </c>
      <c r="M2035" t="s">
        <v>629</v>
      </c>
      <c r="N2035" t="s">
        <v>646</v>
      </c>
      <c r="O2035" t="s">
        <v>632</v>
      </c>
    </row>
    <row r="2036" spans="1:15" x14ac:dyDescent="0.35">
      <c r="A2036" s="77">
        <v>1.2602739726027397</v>
      </c>
      <c r="B2036" s="19">
        <v>91786</v>
      </c>
      <c r="C2036" s="19" t="s">
        <v>4349</v>
      </c>
      <c r="D2036" s="19" t="s">
        <v>12</v>
      </c>
      <c r="E2036" s="19" t="s">
        <v>12</v>
      </c>
      <c r="F2036" s="19" t="s">
        <v>1145</v>
      </c>
      <c r="G2036" s="19" t="s">
        <v>1008</v>
      </c>
      <c r="H2036" s="19" t="s">
        <v>1001</v>
      </c>
      <c r="I2036" s="19" t="s">
        <v>1575</v>
      </c>
      <c r="J2036" s="20">
        <v>30</v>
      </c>
      <c r="K2036" t="s">
        <v>636</v>
      </c>
      <c r="L2036" t="s">
        <v>634</v>
      </c>
      <c r="M2036" t="s">
        <v>629</v>
      </c>
      <c r="N2036" t="s">
        <v>635</v>
      </c>
      <c r="O2036" t="s">
        <v>637</v>
      </c>
    </row>
    <row r="2037" spans="1:15" x14ac:dyDescent="0.35">
      <c r="A2037" s="77">
        <v>1.3863013698630138</v>
      </c>
      <c r="B2037" s="19">
        <v>91789</v>
      </c>
      <c r="C2037" s="19" t="s">
        <v>4350</v>
      </c>
      <c r="D2037" s="19" t="s">
        <v>191</v>
      </c>
      <c r="E2037" s="19" t="s">
        <v>192</v>
      </c>
      <c r="F2037" s="19" t="s">
        <v>1626</v>
      </c>
      <c r="G2037" s="19" t="s">
        <v>1008</v>
      </c>
      <c r="H2037" s="19" t="s">
        <v>1001</v>
      </c>
      <c r="I2037" s="19" t="s">
        <v>1575</v>
      </c>
      <c r="J2037" s="20">
        <v>26</v>
      </c>
      <c r="K2037" t="s">
        <v>654</v>
      </c>
      <c r="L2037" t="s">
        <v>673</v>
      </c>
      <c r="M2037" t="s">
        <v>623</v>
      </c>
      <c r="N2037" t="s">
        <v>641</v>
      </c>
      <c r="O2037" t="s">
        <v>779</v>
      </c>
    </row>
    <row r="2038" spans="1:15" x14ac:dyDescent="0.35">
      <c r="A2038" s="77">
        <v>1.7205479452054795</v>
      </c>
      <c r="B2038" s="19">
        <v>91791</v>
      </c>
      <c r="C2038" s="19" t="s">
        <v>4351</v>
      </c>
      <c r="D2038" s="19" t="s">
        <v>427</v>
      </c>
      <c r="E2038" s="19" t="s">
        <v>427</v>
      </c>
      <c r="F2038" s="19" t="s">
        <v>1290</v>
      </c>
      <c r="G2038" s="19" t="s">
        <v>1028</v>
      </c>
      <c r="H2038" s="19" t="s">
        <v>1020</v>
      </c>
      <c r="I2038" s="19" t="s">
        <v>1575</v>
      </c>
      <c r="J2038" s="20">
        <v>21</v>
      </c>
      <c r="K2038" t="s">
        <v>654</v>
      </c>
      <c r="L2038" t="s">
        <v>651</v>
      </c>
      <c r="M2038" t="s">
        <v>629</v>
      </c>
      <c r="N2038" t="s">
        <v>630</v>
      </c>
      <c r="O2038" t="s">
        <v>652</v>
      </c>
    </row>
    <row r="2039" spans="1:15" x14ac:dyDescent="0.35">
      <c r="A2039" s="77">
        <v>1.106849315068493</v>
      </c>
      <c r="B2039" s="19">
        <v>91807</v>
      </c>
      <c r="C2039" s="19" t="s">
        <v>4352</v>
      </c>
      <c r="D2039" s="19" t="s">
        <v>284</v>
      </c>
      <c r="E2039" s="19" t="s">
        <v>285</v>
      </c>
      <c r="F2039" s="19" t="s">
        <v>1150</v>
      </c>
      <c r="G2039" s="19" t="s">
        <v>1008</v>
      </c>
      <c r="H2039" s="19" t="s">
        <v>1001</v>
      </c>
      <c r="I2039" s="19" t="s">
        <v>1575</v>
      </c>
      <c r="J2039" s="20">
        <v>19</v>
      </c>
      <c r="K2039" t="s">
        <v>625</v>
      </c>
      <c r="L2039" t="s">
        <v>661</v>
      </c>
      <c r="M2039" t="s">
        <v>657</v>
      </c>
      <c r="N2039" t="s">
        <v>662</v>
      </c>
      <c r="O2039" t="s">
        <v>632</v>
      </c>
    </row>
    <row r="2040" spans="1:15" x14ac:dyDescent="0.35">
      <c r="A2040" s="77">
        <v>1.7315068493150685</v>
      </c>
      <c r="B2040" s="19">
        <v>91815</v>
      </c>
      <c r="C2040" s="19" t="s">
        <v>4353</v>
      </c>
      <c r="D2040" s="19" t="s">
        <v>11</v>
      </c>
      <c r="E2040" s="19" t="s">
        <v>11</v>
      </c>
      <c r="F2040" s="19" t="s">
        <v>627</v>
      </c>
      <c r="G2040" s="19" t="s">
        <v>1028</v>
      </c>
      <c r="H2040" s="19" t="s">
        <v>1020</v>
      </c>
      <c r="I2040" s="19" t="s">
        <v>1575</v>
      </c>
      <c r="J2040" s="20">
        <v>24</v>
      </c>
      <c r="K2040" t="s">
        <v>631</v>
      </c>
      <c r="L2040" t="s">
        <v>628</v>
      </c>
      <c r="M2040" t="s">
        <v>629</v>
      </c>
      <c r="N2040" t="s">
        <v>630</v>
      </c>
      <c r="O2040" t="s">
        <v>632</v>
      </c>
    </row>
    <row r="2041" spans="1:15" x14ac:dyDescent="0.35">
      <c r="A2041" s="77">
        <v>2.1917808219178082E-2</v>
      </c>
      <c r="B2041" s="19">
        <v>91821</v>
      </c>
      <c r="C2041" s="19" t="s">
        <v>4354</v>
      </c>
      <c r="D2041" s="19" t="s">
        <v>273</v>
      </c>
      <c r="E2041" s="19" t="s">
        <v>274</v>
      </c>
      <c r="F2041" s="19" t="s">
        <v>1093</v>
      </c>
      <c r="G2041" s="19" t="s">
        <v>1008</v>
      </c>
      <c r="H2041" s="19" t="s">
        <v>1001</v>
      </c>
      <c r="I2041" s="19" t="s">
        <v>1575</v>
      </c>
      <c r="J2041" s="20">
        <v>20</v>
      </c>
      <c r="K2041" t="s">
        <v>636</v>
      </c>
      <c r="L2041" t="s">
        <v>663</v>
      </c>
      <c r="M2041" t="s">
        <v>629</v>
      </c>
      <c r="N2041" t="s">
        <v>646</v>
      </c>
      <c r="O2041" t="s">
        <v>639</v>
      </c>
    </row>
    <row r="2042" spans="1:15" x14ac:dyDescent="0.35">
      <c r="A2042" s="77">
        <v>1.7205479452054795</v>
      </c>
      <c r="B2042" s="19">
        <v>91825</v>
      </c>
      <c r="C2042" s="19" t="s">
        <v>4355</v>
      </c>
      <c r="D2042" s="19" t="s">
        <v>42</v>
      </c>
      <c r="E2042" s="19" t="s">
        <v>42</v>
      </c>
      <c r="F2042" s="19" t="s">
        <v>1262</v>
      </c>
      <c r="G2042" s="19" t="s">
        <v>1057</v>
      </c>
      <c r="H2042" s="19" t="s">
        <v>1001</v>
      </c>
      <c r="I2042" s="19" t="s">
        <v>1575</v>
      </c>
      <c r="J2042" s="20">
        <v>21</v>
      </c>
      <c r="K2042" t="s">
        <v>625</v>
      </c>
      <c r="L2042" t="s">
        <v>628</v>
      </c>
      <c r="M2042" t="s">
        <v>629</v>
      </c>
      <c r="N2042" t="s">
        <v>630</v>
      </c>
      <c r="O2042" t="s">
        <v>632</v>
      </c>
    </row>
    <row r="2043" spans="1:15" x14ac:dyDescent="0.35">
      <c r="A2043" s="77">
        <v>1.7178082191780821</v>
      </c>
      <c r="B2043" s="19">
        <v>91843</v>
      </c>
      <c r="C2043" s="19" t="s">
        <v>4356</v>
      </c>
      <c r="D2043" s="19" t="s">
        <v>252</v>
      </c>
      <c r="E2043" s="19" t="s">
        <v>253</v>
      </c>
      <c r="F2043" s="19" t="s">
        <v>914</v>
      </c>
      <c r="G2043" s="19" t="s">
        <v>1028</v>
      </c>
      <c r="H2043" s="19" t="s">
        <v>1020</v>
      </c>
      <c r="I2043" s="19" t="s">
        <v>1575</v>
      </c>
      <c r="J2043" s="20">
        <v>19</v>
      </c>
      <c r="K2043" t="s">
        <v>636</v>
      </c>
      <c r="L2043" t="s">
        <v>656</v>
      </c>
      <c r="M2043" t="s">
        <v>657</v>
      </c>
      <c r="N2043" t="s">
        <v>658</v>
      </c>
      <c r="O2043" t="s">
        <v>718</v>
      </c>
    </row>
    <row r="2044" spans="1:15" x14ac:dyDescent="0.35">
      <c r="A2044" s="77">
        <v>1.7287671232876711</v>
      </c>
      <c r="B2044" s="19">
        <v>91852</v>
      </c>
      <c r="C2044" s="19" t="s">
        <v>4357</v>
      </c>
      <c r="D2044" s="19" t="s">
        <v>318</v>
      </c>
      <c r="E2044" s="19" t="s">
        <v>319</v>
      </c>
      <c r="F2044" s="19" t="s">
        <v>1266</v>
      </c>
      <c r="G2044" s="19" t="s">
        <v>1008</v>
      </c>
      <c r="H2044" s="19" t="s">
        <v>1001</v>
      </c>
      <c r="I2044" s="19" t="s">
        <v>1575</v>
      </c>
      <c r="J2044" s="20">
        <v>28</v>
      </c>
      <c r="K2044" t="s">
        <v>625</v>
      </c>
      <c r="L2044" t="s">
        <v>678</v>
      </c>
      <c r="M2044" t="s">
        <v>623</v>
      </c>
      <c r="N2044" t="s">
        <v>624</v>
      </c>
      <c r="O2044" t="s">
        <v>679</v>
      </c>
    </row>
    <row r="2045" spans="1:15" x14ac:dyDescent="0.35">
      <c r="A2045" s="77">
        <v>1.7287671232876711</v>
      </c>
      <c r="B2045" s="19">
        <v>91856</v>
      </c>
      <c r="C2045" s="19" t="s">
        <v>4358</v>
      </c>
      <c r="D2045" s="19" t="s">
        <v>355</v>
      </c>
      <c r="E2045" s="19" t="s">
        <v>356</v>
      </c>
      <c r="F2045" s="19" t="s">
        <v>1100</v>
      </c>
      <c r="G2045" s="19" t="s">
        <v>1019</v>
      </c>
      <c r="H2045" s="19" t="s">
        <v>1020</v>
      </c>
      <c r="I2045" s="19" t="s">
        <v>1575</v>
      </c>
      <c r="J2045" s="20">
        <v>22</v>
      </c>
      <c r="K2045" t="s">
        <v>625</v>
      </c>
      <c r="L2045" t="s">
        <v>622</v>
      </c>
      <c r="M2045" t="s">
        <v>623</v>
      </c>
      <c r="N2045" t="s">
        <v>624</v>
      </c>
      <c r="O2045" t="s">
        <v>649</v>
      </c>
    </row>
    <row r="2046" spans="1:15" x14ac:dyDescent="0.35">
      <c r="A2046" s="77">
        <v>1.7287671232876711</v>
      </c>
      <c r="B2046" s="19">
        <v>91858</v>
      </c>
      <c r="C2046" s="19" t="s">
        <v>4359</v>
      </c>
      <c r="D2046" s="19" t="s">
        <v>355</v>
      </c>
      <c r="E2046" s="19" t="s">
        <v>356</v>
      </c>
      <c r="F2046" s="19" t="s">
        <v>1100</v>
      </c>
      <c r="G2046" s="19" t="s">
        <v>1028</v>
      </c>
      <c r="H2046" s="19" t="s">
        <v>1020</v>
      </c>
      <c r="I2046" s="19" t="s">
        <v>1575</v>
      </c>
      <c r="J2046" s="20">
        <v>20</v>
      </c>
      <c r="K2046" t="s">
        <v>625</v>
      </c>
      <c r="L2046" t="s">
        <v>622</v>
      </c>
      <c r="M2046" t="s">
        <v>623</v>
      </c>
      <c r="N2046" t="s">
        <v>624</v>
      </c>
      <c r="O2046" t="s">
        <v>649</v>
      </c>
    </row>
    <row r="2047" spans="1:15" x14ac:dyDescent="0.35">
      <c r="A2047" s="77">
        <v>1.7287671232876711</v>
      </c>
      <c r="B2047" s="19">
        <v>91859</v>
      </c>
      <c r="C2047" s="19" t="s">
        <v>4360</v>
      </c>
      <c r="D2047" s="19" t="s">
        <v>49</v>
      </c>
      <c r="E2047" s="19" t="s">
        <v>50</v>
      </c>
      <c r="F2047" s="19" t="s">
        <v>1213</v>
      </c>
      <c r="G2047" s="19" t="s">
        <v>1158</v>
      </c>
      <c r="H2047" s="19" t="s">
        <v>1001</v>
      </c>
      <c r="I2047" s="19" t="s">
        <v>1575</v>
      </c>
      <c r="J2047" s="20">
        <v>26</v>
      </c>
      <c r="K2047" t="s">
        <v>625</v>
      </c>
      <c r="L2047" t="s">
        <v>648</v>
      </c>
      <c r="M2047" t="s">
        <v>623</v>
      </c>
      <c r="N2047" t="s">
        <v>624</v>
      </c>
      <c r="O2047" t="s">
        <v>649</v>
      </c>
    </row>
    <row r="2048" spans="1:15" x14ac:dyDescent="0.35">
      <c r="A2048" s="77">
        <v>1.7287671232876711</v>
      </c>
      <c r="B2048" s="19">
        <v>91861</v>
      </c>
      <c r="C2048" s="19" t="s">
        <v>4361</v>
      </c>
      <c r="D2048" s="19" t="s">
        <v>109</v>
      </c>
      <c r="E2048" s="19" t="s">
        <v>110</v>
      </c>
      <c r="F2048" s="19" t="s">
        <v>2347</v>
      </c>
      <c r="G2048" s="19" t="s">
        <v>1084</v>
      </c>
      <c r="H2048" s="19" t="s">
        <v>1001</v>
      </c>
      <c r="I2048" s="19" t="s">
        <v>1575</v>
      </c>
      <c r="J2048" s="20">
        <v>48</v>
      </c>
      <c r="K2048" t="s">
        <v>654</v>
      </c>
      <c r="L2048" t="s">
        <v>684</v>
      </c>
      <c r="M2048" t="s">
        <v>623</v>
      </c>
      <c r="N2048" t="s">
        <v>662</v>
      </c>
      <c r="O2048" t="s">
        <v>685</v>
      </c>
    </row>
    <row r="2049" spans="1:15" x14ac:dyDescent="0.35">
      <c r="A2049" s="77">
        <v>1.0465753424657533</v>
      </c>
      <c r="B2049" s="19">
        <v>91874</v>
      </c>
      <c r="C2049" s="19" t="s">
        <v>4362</v>
      </c>
      <c r="D2049" s="19" t="s">
        <v>73</v>
      </c>
      <c r="E2049" s="19" t="s">
        <v>74</v>
      </c>
      <c r="F2049" s="19" t="s">
        <v>1178</v>
      </c>
      <c r="G2049" s="19" t="s">
        <v>1057</v>
      </c>
      <c r="H2049" s="19" t="s">
        <v>1001</v>
      </c>
      <c r="I2049" s="19" t="s">
        <v>1575</v>
      </c>
      <c r="J2049" s="20">
        <v>22</v>
      </c>
      <c r="K2049" t="s">
        <v>654</v>
      </c>
      <c r="L2049" t="s">
        <v>648</v>
      </c>
      <c r="M2049" t="s">
        <v>623</v>
      </c>
      <c r="N2049" t="s">
        <v>624</v>
      </c>
      <c r="O2049" t="s">
        <v>725</v>
      </c>
    </row>
    <row r="2050" spans="1:15" x14ac:dyDescent="0.35">
      <c r="A2050" s="77">
        <v>1.715068493150685</v>
      </c>
      <c r="B2050" s="19">
        <v>91886</v>
      </c>
      <c r="C2050" s="19" t="s">
        <v>4363</v>
      </c>
      <c r="D2050" s="19" t="s">
        <v>37</v>
      </c>
      <c r="E2050" s="19" t="s">
        <v>37</v>
      </c>
      <c r="F2050" s="19" t="s">
        <v>1480</v>
      </c>
      <c r="G2050" s="19" t="s">
        <v>1028</v>
      </c>
      <c r="H2050" s="19" t="s">
        <v>1020</v>
      </c>
      <c r="I2050" s="19" t="s">
        <v>1575</v>
      </c>
      <c r="J2050" s="20">
        <v>24</v>
      </c>
      <c r="K2050" t="s">
        <v>654</v>
      </c>
      <c r="L2050" t="s">
        <v>648</v>
      </c>
      <c r="M2050" t="s">
        <v>623</v>
      </c>
      <c r="N2050" t="s">
        <v>624</v>
      </c>
      <c r="O2050" t="s">
        <v>649</v>
      </c>
    </row>
    <row r="2051" spans="1:15" x14ac:dyDescent="0.35">
      <c r="A2051" s="77">
        <v>1.7123287671232876</v>
      </c>
      <c r="B2051" s="19">
        <v>91893</v>
      </c>
      <c r="C2051" s="19" t="s">
        <v>4364</v>
      </c>
      <c r="D2051" s="19" t="s">
        <v>161</v>
      </c>
      <c r="E2051" s="19" t="s">
        <v>162</v>
      </c>
      <c r="F2051" s="19" t="s">
        <v>1027</v>
      </c>
      <c r="G2051" s="19" t="s">
        <v>1057</v>
      </c>
      <c r="H2051" s="19" t="s">
        <v>1001</v>
      </c>
      <c r="I2051" s="19" t="s">
        <v>1599</v>
      </c>
      <c r="J2051" s="20">
        <v>26</v>
      </c>
      <c r="K2051" t="s">
        <v>654</v>
      </c>
      <c r="L2051" t="s">
        <v>622</v>
      </c>
      <c r="M2051" t="s">
        <v>623</v>
      </c>
      <c r="N2051" t="s">
        <v>624</v>
      </c>
      <c r="O2051" t="s">
        <v>649</v>
      </c>
    </row>
    <row r="2052" spans="1:15" x14ac:dyDescent="0.35">
      <c r="A2052" s="77">
        <v>0.30958904109589042</v>
      </c>
      <c r="B2052" s="19">
        <v>91903</v>
      </c>
      <c r="C2052" s="19" t="s">
        <v>4365</v>
      </c>
      <c r="D2052" s="19" t="s">
        <v>28</v>
      </c>
      <c r="E2052" s="19" t="s">
        <v>28</v>
      </c>
      <c r="F2052" s="19" t="s">
        <v>916</v>
      </c>
      <c r="G2052" s="19" t="s">
        <v>1028</v>
      </c>
      <c r="H2052" s="19" t="s">
        <v>1020</v>
      </c>
      <c r="I2052" s="19" t="s">
        <v>1575</v>
      </c>
      <c r="J2052" s="20">
        <v>32</v>
      </c>
      <c r="K2052" t="s">
        <v>654</v>
      </c>
      <c r="L2052" t="s">
        <v>670</v>
      </c>
      <c r="M2052" t="s">
        <v>657</v>
      </c>
      <c r="N2052" t="s">
        <v>641</v>
      </c>
      <c r="O2052" t="s">
        <v>671</v>
      </c>
    </row>
    <row r="2053" spans="1:15" x14ac:dyDescent="0.35">
      <c r="A2053" s="77">
        <v>1.7205479452054795</v>
      </c>
      <c r="B2053" s="19">
        <v>91911</v>
      </c>
      <c r="C2053" s="19" t="s">
        <v>4366</v>
      </c>
      <c r="D2053" s="19" t="s">
        <v>30</v>
      </c>
      <c r="E2053" s="19" t="s">
        <v>30</v>
      </c>
      <c r="F2053" s="19" t="s">
        <v>672</v>
      </c>
      <c r="G2053" s="19" t="s">
        <v>1046</v>
      </c>
      <c r="H2053" s="19" t="s">
        <v>1001</v>
      </c>
      <c r="I2053" s="19" t="s">
        <v>1575</v>
      </c>
      <c r="J2053" s="20">
        <v>22</v>
      </c>
      <c r="K2053" t="s">
        <v>636</v>
      </c>
      <c r="L2053" t="s">
        <v>673</v>
      </c>
      <c r="M2053" t="s">
        <v>623</v>
      </c>
      <c r="N2053" t="s">
        <v>641</v>
      </c>
      <c r="O2053" t="s">
        <v>674</v>
      </c>
    </row>
    <row r="2054" spans="1:15" x14ac:dyDescent="0.35">
      <c r="A2054" s="77">
        <v>0.12054794520547946</v>
      </c>
      <c r="B2054" s="19">
        <v>91929</v>
      </c>
      <c r="C2054" s="19" t="s">
        <v>4367</v>
      </c>
      <c r="D2054" s="19" t="s">
        <v>422</v>
      </c>
      <c r="E2054" s="19" t="s">
        <v>422</v>
      </c>
      <c r="F2054" s="19" t="s">
        <v>423</v>
      </c>
      <c r="G2054" s="19" t="s">
        <v>1028</v>
      </c>
      <c r="H2054" s="19" t="s">
        <v>1020</v>
      </c>
      <c r="I2054" s="19" t="s">
        <v>1575</v>
      </c>
      <c r="J2054" s="20">
        <v>23</v>
      </c>
      <c r="K2054" t="s">
        <v>654</v>
      </c>
      <c r="L2054" t="s">
        <v>673</v>
      </c>
      <c r="M2054" t="s">
        <v>623</v>
      </c>
      <c r="N2054" t="s">
        <v>641</v>
      </c>
      <c r="O2054" t="s">
        <v>697</v>
      </c>
    </row>
    <row r="2055" spans="1:15" x14ac:dyDescent="0.35">
      <c r="A2055" s="77">
        <v>1.715068493150685</v>
      </c>
      <c r="B2055" s="19">
        <v>91949</v>
      </c>
      <c r="C2055" s="19" t="s">
        <v>4368</v>
      </c>
      <c r="D2055" s="19" t="s">
        <v>431</v>
      </c>
      <c r="E2055" s="19" t="e">
        <v>#N/A</v>
      </c>
      <c r="F2055" s="19" t="s">
        <v>709</v>
      </c>
      <c r="G2055" s="19" t="s">
        <v>1057</v>
      </c>
      <c r="H2055" s="19" t="s">
        <v>1001</v>
      </c>
      <c r="I2055" s="19" t="s">
        <v>1575</v>
      </c>
      <c r="J2055" s="20">
        <v>23</v>
      </c>
      <c r="K2055" t="s">
        <v>654</v>
      </c>
      <c r="L2055" t="s">
        <v>707</v>
      </c>
      <c r="M2055" t="s">
        <v>629</v>
      </c>
      <c r="N2055" t="s">
        <v>635</v>
      </c>
      <c r="O2055" t="s">
        <v>710</v>
      </c>
    </row>
    <row r="2056" spans="1:15" x14ac:dyDescent="0.35">
      <c r="A2056" s="77">
        <v>1.7123287671232876</v>
      </c>
      <c r="B2056" s="19">
        <v>91952</v>
      </c>
      <c r="C2056" s="19" t="s">
        <v>4369</v>
      </c>
      <c r="D2056" s="19" t="s">
        <v>206</v>
      </c>
      <c r="E2056" s="19" t="s">
        <v>207</v>
      </c>
      <c r="F2056" s="19" t="s">
        <v>2447</v>
      </c>
      <c r="G2056" s="19" t="s">
        <v>1057</v>
      </c>
      <c r="H2056" s="19" t="s">
        <v>1001</v>
      </c>
      <c r="I2056" s="19" t="s">
        <v>1575</v>
      </c>
      <c r="J2056" s="20">
        <v>40</v>
      </c>
      <c r="K2056" t="s">
        <v>668</v>
      </c>
      <c r="L2056" t="s">
        <v>666</v>
      </c>
      <c r="M2056" t="s">
        <v>629</v>
      </c>
      <c r="N2056" t="s">
        <v>630</v>
      </c>
      <c r="O2056" t="s">
        <v>652</v>
      </c>
    </row>
    <row r="2057" spans="1:15" x14ac:dyDescent="0.35">
      <c r="A2057" s="77">
        <v>1.7095890410958905</v>
      </c>
      <c r="B2057" s="19">
        <v>91959</v>
      </c>
      <c r="C2057" s="19" t="s">
        <v>4370</v>
      </c>
      <c r="D2057" s="19" t="s">
        <v>41</v>
      </c>
      <c r="E2057" s="19" t="s">
        <v>41</v>
      </c>
      <c r="F2057" s="19" t="s">
        <v>1157</v>
      </c>
      <c r="G2057" s="19" t="s">
        <v>1028</v>
      </c>
      <c r="H2057" s="19" t="s">
        <v>1020</v>
      </c>
      <c r="I2057" s="19" t="s">
        <v>1575</v>
      </c>
      <c r="J2057" s="20">
        <v>20</v>
      </c>
      <c r="K2057" t="s">
        <v>625</v>
      </c>
      <c r="L2057" t="s">
        <v>691</v>
      </c>
      <c r="M2057" t="s">
        <v>657</v>
      </c>
      <c r="N2057" t="s">
        <v>658</v>
      </c>
      <c r="O2057" t="s">
        <v>632</v>
      </c>
    </row>
    <row r="2058" spans="1:15" x14ac:dyDescent="0.35">
      <c r="A2058" s="77">
        <v>1.7095890410958905</v>
      </c>
      <c r="B2058" s="19">
        <v>91965</v>
      </c>
      <c r="C2058" s="19" t="s">
        <v>4371</v>
      </c>
      <c r="D2058" s="19" t="s">
        <v>93</v>
      </c>
      <c r="E2058" s="19" t="s">
        <v>94</v>
      </c>
      <c r="F2058" s="19" t="s">
        <v>919</v>
      </c>
      <c r="G2058" s="19" t="s">
        <v>1028</v>
      </c>
      <c r="H2058" s="19" t="s">
        <v>1020</v>
      </c>
      <c r="I2058" s="19" t="s">
        <v>1575</v>
      </c>
      <c r="J2058" s="20">
        <v>23</v>
      </c>
      <c r="K2058" t="s">
        <v>654</v>
      </c>
      <c r="L2058" t="s">
        <v>691</v>
      </c>
      <c r="M2058" t="s">
        <v>657</v>
      </c>
      <c r="N2058" t="s">
        <v>658</v>
      </c>
      <c r="O2058" t="s">
        <v>632</v>
      </c>
    </row>
    <row r="2059" spans="1:15" x14ac:dyDescent="0.35">
      <c r="A2059" s="77">
        <v>1.7205479452054795</v>
      </c>
      <c r="B2059" s="19">
        <v>91970</v>
      </c>
      <c r="C2059" s="19" t="s">
        <v>4372</v>
      </c>
      <c r="D2059" s="19" t="s">
        <v>256</v>
      </c>
      <c r="E2059" s="19" t="s">
        <v>257</v>
      </c>
      <c r="F2059" s="19" t="s">
        <v>1005</v>
      </c>
      <c r="G2059" s="19" t="s">
        <v>1008</v>
      </c>
      <c r="H2059" s="19" t="s">
        <v>1001</v>
      </c>
      <c r="I2059" s="19" t="s">
        <v>1575</v>
      </c>
      <c r="J2059" s="20">
        <v>24</v>
      </c>
      <c r="K2059" t="s">
        <v>668</v>
      </c>
      <c r="L2059" t="s">
        <v>651</v>
      </c>
      <c r="M2059" t="s">
        <v>629</v>
      </c>
      <c r="N2059" t="s">
        <v>630</v>
      </c>
      <c r="O2059" t="s">
        <v>705</v>
      </c>
    </row>
    <row r="2060" spans="1:15" x14ac:dyDescent="0.35">
      <c r="A2060" s="77">
        <v>1.7178082191780821</v>
      </c>
      <c r="B2060" s="19">
        <v>91973</v>
      </c>
      <c r="C2060" s="19" t="s">
        <v>4373</v>
      </c>
      <c r="D2060" s="19" t="s">
        <v>256</v>
      </c>
      <c r="E2060" s="19" t="s">
        <v>257</v>
      </c>
      <c r="F2060" s="19" t="s">
        <v>1005</v>
      </c>
      <c r="G2060" s="19" t="s">
        <v>1028</v>
      </c>
      <c r="H2060" s="19" t="s">
        <v>1020</v>
      </c>
      <c r="I2060" s="19" t="s">
        <v>1599</v>
      </c>
      <c r="J2060" s="20">
        <v>21</v>
      </c>
      <c r="K2060" t="s">
        <v>668</v>
      </c>
      <c r="L2060" t="s">
        <v>651</v>
      </c>
      <c r="M2060" t="s">
        <v>629</v>
      </c>
      <c r="N2060" t="s">
        <v>630</v>
      </c>
      <c r="O2060" t="s">
        <v>705</v>
      </c>
    </row>
    <row r="2061" spans="1:15" x14ac:dyDescent="0.35">
      <c r="A2061" s="77">
        <v>1.715068493150685</v>
      </c>
      <c r="B2061" s="19">
        <v>91980</v>
      </c>
      <c r="C2061" s="19" t="s">
        <v>4374</v>
      </c>
      <c r="D2061" s="19" t="s">
        <v>278</v>
      </c>
      <c r="E2061" s="19" t="s">
        <v>279</v>
      </c>
      <c r="F2061" s="19" t="s">
        <v>1131</v>
      </c>
      <c r="G2061" s="19" t="s">
        <v>1028</v>
      </c>
      <c r="H2061" s="19" t="s">
        <v>1020</v>
      </c>
      <c r="I2061" s="19" t="s">
        <v>1599</v>
      </c>
      <c r="J2061" s="20">
        <v>21</v>
      </c>
      <c r="K2061" t="s">
        <v>625</v>
      </c>
      <c r="L2061" t="s">
        <v>661</v>
      </c>
      <c r="M2061" t="s">
        <v>657</v>
      </c>
      <c r="N2061" t="s">
        <v>662</v>
      </c>
      <c r="O2061" t="s">
        <v>632</v>
      </c>
    </row>
    <row r="2062" spans="1:15" x14ac:dyDescent="0.35">
      <c r="A2062" s="77">
        <v>6.0273972602739728E-2</v>
      </c>
      <c r="B2062" s="19">
        <v>91994</v>
      </c>
      <c r="C2062" s="19" t="s">
        <v>4375</v>
      </c>
      <c r="D2062" s="19" t="s">
        <v>89</v>
      </c>
      <c r="E2062" s="19" t="s">
        <v>90</v>
      </c>
      <c r="F2062" s="19" t="s">
        <v>1217</v>
      </c>
      <c r="G2062" s="19" t="s">
        <v>1019</v>
      </c>
      <c r="H2062" s="19" t="s">
        <v>1020</v>
      </c>
      <c r="I2062" s="19" t="s">
        <v>1575</v>
      </c>
      <c r="J2062" s="20">
        <v>19</v>
      </c>
      <c r="K2062" t="s">
        <v>636</v>
      </c>
      <c r="L2062" t="s">
        <v>666</v>
      </c>
      <c r="M2062" t="s">
        <v>629</v>
      </c>
      <c r="N2062" t="s">
        <v>635</v>
      </c>
      <c r="O2062" t="s">
        <v>637</v>
      </c>
    </row>
    <row r="2063" spans="1:15" x14ac:dyDescent="0.35">
      <c r="A2063" s="77">
        <v>0.91506849315068495</v>
      </c>
      <c r="B2063" s="19">
        <v>92008</v>
      </c>
      <c r="C2063" s="19" t="s">
        <v>4376</v>
      </c>
      <c r="D2063" s="19" t="s">
        <v>351</v>
      </c>
      <c r="E2063" s="19" t="s">
        <v>352</v>
      </c>
      <c r="F2063" s="19" t="s">
        <v>1507</v>
      </c>
      <c r="G2063" s="19" t="s">
        <v>1028</v>
      </c>
      <c r="H2063" s="19" t="s">
        <v>1020</v>
      </c>
      <c r="I2063" s="19" t="s">
        <v>1599</v>
      </c>
      <c r="J2063" s="20">
        <v>18</v>
      </c>
      <c r="K2063" t="s">
        <v>636</v>
      </c>
      <c r="L2063" t="s">
        <v>661</v>
      </c>
      <c r="M2063" t="s">
        <v>657</v>
      </c>
      <c r="N2063" t="s">
        <v>662</v>
      </c>
      <c r="O2063" t="s">
        <v>632</v>
      </c>
    </row>
    <row r="2064" spans="1:15" x14ac:dyDescent="0.35">
      <c r="A2064" s="77">
        <v>0.54246575342465753</v>
      </c>
      <c r="B2064" s="19">
        <v>92052</v>
      </c>
      <c r="C2064" s="19" t="s">
        <v>4377</v>
      </c>
      <c r="D2064" s="19" t="s">
        <v>193</v>
      </c>
      <c r="E2064" s="19" t="s">
        <v>194</v>
      </c>
      <c r="F2064" s="19" t="s">
        <v>2422</v>
      </c>
      <c r="G2064" s="19" t="s">
        <v>1028</v>
      </c>
      <c r="H2064" s="19" t="s">
        <v>1020</v>
      </c>
      <c r="I2064" s="19" t="s">
        <v>1599</v>
      </c>
      <c r="J2064" s="20">
        <v>19</v>
      </c>
      <c r="K2064" t="s">
        <v>654</v>
      </c>
      <c r="L2064" t="s">
        <v>670</v>
      </c>
      <c r="M2064" t="s">
        <v>657</v>
      </c>
      <c r="N2064" t="s">
        <v>641</v>
      </c>
      <c r="O2064" t="s">
        <v>676</v>
      </c>
    </row>
    <row r="2065" spans="1:15" x14ac:dyDescent="0.35">
      <c r="A2065" s="77">
        <v>1.715068493150685</v>
      </c>
      <c r="B2065" s="19">
        <v>92070</v>
      </c>
      <c r="C2065" s="19" t="s">
        <v>4378</v>
      </c>
      <c r="D2065" s="19" t="s">
        <v>420</v>
      </c>
      <c r="E2065" s="19" t="s">
        <v>420</v>
      </c>
      <c r="F2065" s="19" t="s">
        <v>686</v>
      </c>
      <c r="G2065" s="19" t="s">
        <v>3508</v>
      </c>
      <c r="H2065" s="19" t="s">
        <v>1020</v>
      </c>
      <c r="I2065" s="19" t="s">
        <v>1575</v>
      </c>
      <c r="J2065" s="20">
        <v>16</v>
      </c>
      <c r="K2065" t="s">
        <v>631</v>
      </c>
      <c r="L2065" t="s">
        <v>634</v>
      </c>
      <c r="M2065" t="s">
        <v>629</v>
      </c>
      <c r="N2065" t="s">
        <v>635</v>
      </c>
      <c r="O2065" t="s">
        <v>637</v>
      </c>
    </row>
    <row r="2066" spans="1:15" x14ac:dyDescent="0.35">
      <c r="A2066" s="77">
        <v>1.3726027397260274</v>
      </c>
      <c r="B2066" s="19">
        <v>92071</v>
      </c>
      <c r="C2066" s="19" t="s">
        <v>4379</v>
      </c>
      <c r="D2066" s="19" t="s">
        <v>181</v>
      </c>
      <c r="E2066" s="19" t="s">
        <v>182</v>
      </c>
      <c r="F2066" s="19" t="s">
        <v>1374</v>
      </c>
      <c r="G2066" s="19" t="s">
        <v>1008</v>
      </c>
      <c r="H2066" s="19" t="s">
        <v>1001</v>
      </c>
      <c r="I2066" s="19" t="s">
        <v>1575</v>
      </c>
      <c r="J2066" s="20">
        <v>25</v>
      </c>
      <c r="K2066" t="s">
        <v>625</v>
      </c>
      <c r="L2066" t="s">
        <v>678</v>
      </c>
      <c r="M2066" t="s">
        <v>623</v>
      </c>
      <c r="N2066" t="s">
        <v>624</v>
      </c>
      <c r="O2066" t="s">
        <v>679</v>
      </c>
    </row>
    <row r="2067" spans="1:15" x14ac:dyDescent="0.35">
      <c r="A2067" s="77">
        <v>1.7013698630136986</v>
      </c>
      <c r="B2067" s="19">
        <v>92081</v>
      </c>
      <c r="C2067" s="19" t="s">
        <v>4380</v>
      </c>
      <c r="D2067" s="19" t="s">
        <v>97</v>
      </c>
      <c r="E2067" s="19" t="s">
        <v>98</v>
      </c>
      <c r="F2067" s="19" t="s">
        <v>2395</v>
      </c>
      <c r="G2067" s="19" t="s">
        <v>1057</v>
      </c>
      <c r="H2067" s="19" t="s">
        <v>1001</v>
      </c>
      <c r="I2067" s="19" t="s">
        <v>1575</v>
      </c>
      <c r="J2067" s="20">
        <v>23</v>
      </c>
      <c r="K2067" t="s">
        <v>654</v>
      </c>
      <c r="L2067" t="s">
        <v>666</v>
      </c>
      <c r="M2067" t="s">
        <v>629</v>
      </c>
      <c r="N2067" t="s">
        <v>635</v>
      </c>
      <c r="O2067" t="s">
        <v>739</v>
      </c>
    </row>
    <row r="2068" spans="1:15" x14ac:dyDescent="0.35">
      <c r="A2068" s="77">
        <v>1.7013698630136986</v>
      </c>
      <c r="B2068" s="19">
        <v>92082</v>
      </c>
      <c r="C2068" s="19" t="s">
        <v>4381</v>
      </c>
      <c r="D2068" s="19" t="s">
        <v>387</v>
      </c>
      <c r="E2068" s="19" t="s">
        <v>388</v>
      </c>
      <c r="F2068" s="19" t="s">
        <v>1142</v>
      </c>
      <c r="G2068" s="19" t="s">
        <v>1046</v>
      </c>
      <c r="H2068" s="19" t="s">
        <v>1001</v>
      </c>
      <c r="I2068" s="19" t="s">
        <v>1575</v>
      </c>
      <c r="J2068" s="20">
        <v>26</v>
      </c>
      <c r="K2068" t="s">
        <v>642</v>
      </c>
      <c r="L2068" t="s">
        <v>634</v>
      </c>
      <c r="M2068" t="s">
        <v>629</v>
      </c>
      <c r="N2068" t="s">
        <v>630</v>
      </c>
      <c r="O2068" t="s">
        <v>734</v>
      </c>
    </row>
    <row r="2069" spans="1:15" x14ac:dyDescent="0.35">
      <c r="A2069" s="77">
        <v>1.7013698630136986</v>
      </c>
      <c r="B2069" s="19">
        <v>92085</v>
      </c>
      <c r="C2069" s="19" t="s">
        <v>4382</v>
      </c>
      <c r="D2069" s="19" t="s">
        <v>27</v>
      </c>
      <c r="E2069" s="19" t="s">
        <v>27</v>
      </c>
      <c r="F2069" s="19" t="s">
        <v>1250</v>
      </c>
      <c r="G2069" s="19" t="s">
        <v>1019</v>
      </c>
      <c r="H2069" s="19" t="s">
        <v>1020</v>
      </c>
      <c r="I2069" s="19" t="s">
        <v>1575</v>
      </c>
      <c r="J2069" s="20">
        <v>22</v>
      </c>
      <c r="K2069" t="s">
        <v>668</v>
      </c>
      <c r="L2069" t="s">
        <v>645</v>
      </c>
      <c r="M2069" t="s">
        <v>629</v>
      </c>
      <c r="N2069" t="s">
        <v>646</v>
      </c>
      <c r="O2069" t="s">
        <v>632</v>
      </c>
    </row>
    <row r="2070" spans="1:15" x14ac:dyDescent="0.35">
      <c r="A2070" s="77">
        <v>1.3863013698630138</v>
      </c>
      <c r="B2070" s="19">
        <v>92090</v>
      </c>
      <c r="C2070" s="19" t="s">
        <v>4383</v>
      </c>
      <c r="D2070" s="19" t="s">
        <v>120</v>
      </c>
      <c r="E2070" s="19" t="s">
        <v>121</v>
      </c>
      <c r="F2070" s="19" t="s">
        <v>1236</v>
      </c>
      <c r="G2070" s="19" t="s">
        <v>1034</v>
      </c>
      <c r="H2070" s="19" t="s">
        <v>1001</v>
      </c>
      <c r="I2070" s="19" t="s">
        <v>1599</v>
      </c>
      <c r="J2070" s="20">
        <v>30</v>
      </c>
      <c r="K2070" t="s">
        <v>636</v>
      </c>
      <c r="L2070" t="s">
        <v>673</v>
      </c>
      <c r="M2070" t="s">
        <v>623</v>
      </c>
      <c r="N2070" t="s">
        <v>641</v>
      </c>
      <c r="O2070" t="s">
        <v>748</v>
      </c>
    </row>
    <row r="2071" spans="1:15" x14ac:dyDescent="0.35">
      <c r="A2071" s="77">
        <v>1.3863013698630138</v>
      </c>
      <c r="B2071" s="19">
        <v>92091</v>
      </c>
      <c r="C2071" s="19" t="s">
        <v>4384</v>
      </c>
      <c r="D2071" s="19" t="s">
        <v>120</v>
      </c>
      <c r="E2071" s="19" t="s">
        <v>121</v>
      </c>
      <c r="F2071" s="19" t="s">
        <v>1236</v>
      </c>
      <c r="G2071" s="19" t="s">
        <v>1008</v>
      </c>
      <c r="H2071" s="19" t="s">
        <v>1001</v>
      </c>
      <c r="I2071" s="19" t="s">
        <v>1575</v>
      </c>
      <c r="J2071" s="20">
        <v>23</v>
      </c>
      <c r="K2071" t="s">
        <v>636</v>
      </c>
      <c r="L2071" t="s">
        <v>673</v>
      </c>
      <c r="M2071" t="s">
        <v>623</v>
      </c>
      <c r="N2071" t="s">
        <v>641</v>
      </c>
      <c r="O2071" t="s">
        <v>748</v>
      </c>
    </row>
    <row r="2072" spans="1:15" x14ac:dyDescent="0.35">
      <c r="A2072" s="77">
        <v>1.7123287671232876</v>
      </c>
      <c r="B2072" s="19">
        <v>92097</v>
      </c>
      <c r="C2072" s="19" t="s">
        <v>4385</v>
      </c>
      <c r="D2072" s="19" t="s">
        <v>425</v>
      </c>
      <c r="E2072" s="19" t="s">
        <v>425</v>
      </c>
      <c r="F2072" s="19" t="s">
        <v>1330</v>
      </c>
      <c r="G2072" s="19" t="s">
        <v>3508</v>
      </c>
      <c r="H2072" s="19" t="s">
        <v>1020</v>
      </c>
      <c r="I2072" s="19" t="s">
        <v>1575</v>
      </c>
      <c r="J2072" s="20">
        <v>17</v>
      </c>
      <c r="K2072" t="s">
        <v>654</v>
      </c>
      <c r="L2072" t="s">
        <v>678</v>
      </c>
      <c r="M2072" t="s">
        <v>623</v>
      </c>
      <c r="N2072" t="s">
        <v>624</v>
      </c>
      <c r="O2072" t="s">
        <v>689</v>
      </c>
    </row>
    <row r="2073" spans="1:15" x14ac:dyDescent="0.35">
      <c r="A2073" s="77">
        <v>0.31506849315068491</v>
      </c>
      <c r="B2073" s="19">
        <v>92101</v>
      </c>
      <c r="C2073" s="19" t="s">
        <v>4386</v>
      </c>
      <c r="D2073" s="19" t="s">
        <v>113</v>
      </c>
      <c r="E2073" s="19" t="s">
        <v>114</v>
      </c>
      <c r="F2073" s="19" t="s">
        <v>1871</v>
      </c>
      <c r="G2073" s="19" t="s">
        <v>1028</v>
      </c>
      <c r="H2073" s="19" t="s">
        <v>1020</v>
      </c>
      <c r="I2073" s="19" t="s">
        <v>1575</v>
      </c>
      <c r="J2073" s="20">
        <v>25</v>
      </c>
      <c r="K2073" t="s">
        <v>654</v>
      </c>
      <c r="L2073" t="s">
        <v>661</v>
      </c>
      <c r="M2073" t="s">
        <v>657</v>
      </c>
      <c r="N2073" t="s">
        <v>662</v>
      </c>
      <c r="O2073" t="s">
        <v>632</v>
      </c>
    </row>
    <row r="2074" spans="1:15" x14ac:dyDescent="0.35">
      <c r="A2074" s="77">
        <v>1.7013698630136986</v>
      </c>
      <c r="B2074" s="19">
        <v>92112</v>
      </c>
      <c r="C2074" s="19" t="s">
        <v>4387</v>
      </c>
      <c r="D2074" s="19" t="s">
        <v>425</v>
      </c>
      <c r="E2074" s="19" t="s">
        <v>425</v>
      </c>
      <c r="F2074" s="19" t="s">
        <v>1330</v>
      </c>
      <c r="G2074" s="19" t="s">
        <v>1034</v>
      </c>
      <c r="H2074" s="19" t="s">
        <v>1001</v>
      </c>
      <c r="I2074" s="19" t="s">
        <v>1599</v>
      </c>
      <c r="J2074" s="20">
        <v>23</v>
      </c>
      <c r="K2074" t="s">
        <v>654</v>
      </c>
      <c r="L2074" t="s">
        <v>678</v>
      </c>
      <c r="M2074" t="s">
        <v>623</v>
      </c>
      <c r="N2074" t="s">
        <v>624</v>
      </c>
      <c r="O2074" t="s">
        <v>689</v>
      </c>
    </row>
    <row r="2075" spans="1:15" x14ac:dyDescent="0.35">
      <c r="A2075" s="77">
        <v>1.7013698630136986</v>
      </c>
      <c r="B2075" s="19">
        <v>92114</v>
      </c>
      <c r="C2075" s="19" t="s">
        <v>4388</v>
      </c>
      <c r="D2075" s="19" t="s">
        <v>39</v>
      </c>
      <c r="E2075" s="19" t="s">
        <v>39</v>
      </c>
      <c r="F2075" s="19" t="s">
        <v>1168</v>
      </c>
      <c r="G2075" s="19" t="s">
        <v>1028</v>
      </c>
      <c r="H2075" s="19" t="s">
        <v>1020</v>
      </c>
      <c r="I2075" s="19" t="s">
        <v>1575</v>
      </c>
      <c r="J2075" s="20">
        <v>24</v>
      </c>
      <c r="K2075" t="s">
        <v>636</v>
      </c>
      <c r="L2075" t="s">
        <v>661</v>
      </c>
      <c r="M2075" t="s">
        <v>657</v>
      </c>
      <c r="N2075" t="s">
        <v>662</v>
      </c>
      <c r="O2075" t="s">
        <v>632</v>
      </c>
    </row>
    <row r="2076" spans="1:15" x14ac:dyDescent="0.35">
      <c r="A2076" s="77">
        <v>1.6958904109589041</v>
      </c>
      <c r="B2076" s="19">
        <v>92151</v>
      </c>
      <c r="C2076" s="19" t="s">
        <v>2469</v>
      </c>
      <c r="D2076" s="19" t="s">
        <v>278</v>
      </c>
      <c r="E2076" s="19" t="s">
        <v>279</v>
      </c>
      <c r="F2076" s="19" t="s">
        <v>1131</v>
      </c>
      <c r="G2076" s="19" t="s">
        <v>1028</v>
      </c>
      <c r="H2076" s="19" t="s">
        <v>1020</v>
      </c>
      <c r="I2076" s="19" t="s">
        <v>1575</v>
      </c>
      <c r="J2076" s="20">
        <v>31</v>
      </c>
      <c r="K2076" t="s">
        <v>625</v>
      </c>
      <c r="L2076" t="s">
        <v>661</v>
      </c>
      <c r="M2076" t="s">
        <v>657</v>
      </c>
      <c r="N2076" t="s">
        <v>662</v>
      </c>
      <c r="O2076" t="s">
        <v>632</v>
      </c>
    </row>
    <row r="2077" spans="1:15" x14ac:dyDescent="0.35">
      <c r="A2077" s="77">
        <v>1.6904109589041096</v>
      </c>
      <c r="B2077" s="19">
        <v>92153</v>
      </c>
      <c r="C2077" s="19" t="s">
        <v>4389</v>
      </c>
      <c r="D2077" s="19" t="s">
        <v>278</v>
      </c>
      <c r="E2077" s="19" t="s">
        <v>279</v>
      </c>
      <c r="F2077" s="19" t="s">
        <v>1131</v>
      </c>
      <c r="G2077" s="19" t="s">
        <v>1028</v>
      </c>
      <c r="H2077" s="19" t="s">
        <v>1020</v>
      </c>
      <c r="I2077" s="19" t="s">
        <v>1599</v>
      </c>
      <c r="J2077" s="20">
        <v>23</v>
      </c>
      <c r="K2077" t="s">
        <v>625</v>
      </c>
      <c r="L2077" t="s">
        <v>661</v>
      </c>
      <c r="M2077" t="s">
        <v>657</v>
      </c>
      <c r="N2077" t="s">
        <v>662</v>
      </c>
      <c r="O2077" t="s">
        <v>632</v>
      </c>
    </row>
    <row r="2078" spans="1:15" x14ac:dyDescent="0.35">
      <c r="A2078" s="77">
        <v>1.7095890410958905</v>
      </c>
      <c r="B2078" s="19">
        <v>92156</v>
      </c>
      <c r="C2078" s="19" t="s">
        <v>4390</v>
      </c>
      <c r="D2078" s="19" t="s">
        <v>45</v>
      </c>
      <c r="E2078" s="19" t="s">
        <v>46</v>
      </c>
      <c r="F2078" s="19" t="s">
        <v>1122</v>
      </c>
      <c r="G2078" s="19" t="s">
        <v>1008</v>
      </c>
      <c r="H2078" s="19" t="s">
        <v>1001</v>
      </c>
      <c r="I2078" s="19" t="s">
        <v>1575</v>
      </c>
      <c r="J2078" s="20">
        <v>20</v>
      </c>
      <c r="K2078" t="s">
        <v>631</v>
      </c>
      <c r="L2078" t="s">
        <v>651</v>
      </c>
      <c r="M2078" t="s">
        <v>629</v>
      </c>
      <c r="N2078" t="s">
        <v>630</v>
      </c>
      <c r="O2078" t="s">
        <v>705</v>
      </c>
    </row>
    <row r="2079" spans="1:15" x14ac:dyDescent="0.35">
      <c r="A2079" s="77">
        <v>1.0465753424657533</v>
      </c>
      <c r="B2079" s="19">
        <v>92163</v>
      </c>
      <c r="C2079" s="19" t="s">
        <v>4391</v>
      </c>
      <c r="D2079" s="19" t="s">
        <v>339</v>
      </c>
      <c r="E2079" s="19" t="s">
        <v>340</v>
      </c>
      <c r="F2079" s="19" t="s">
        <v>1024</v>
      </c>
      <c r="G2079" s="19" t="s">
        <v>1028</v>
      </c>
      <c r="H2079" s="19" t="s">
        <v>1020</v>
      </c>
      <c r="I2079" s="19" t="s">
        <v>1575</v>
      </c>
      <c r="J2079" s="20">
        <v>20</v>
      </c>
      <c r="K2079" t="s">
        <v>631</v>
      </c>
      <c r="L2079" t="s">
        <v>651</v>
      </c>
      <c r="M2079" t="s">
        <v>629</v>
      </c>
      <c r="N2079" t="s">
        <v>630</v>
      </c>
      <c r="O2079" t="s">
        <v>705</v>
      </c>
    </row>
    <row r="2080" spans="1:15" x14ac:dyDescent="0.35">
      <c r="A2080" s="77">
        <v>1.6904109589041096</v>
      </c>
      <c r="B2080" s="19">
        <v>92176</v>
      </c>
      <c r="C2080" s="19" t="s">
        <v>4392</v>
      </c>
      <c r="D2080" s="19" t="s">
        <v>211</v>
      </c>
      <c r="E2080" s="19" t="s">
        <v>212</v>
      </c>
      <c r="F2080" s="19" t="s">
        <v>1049</v>
      </c>
      <c r="G2080" s="19" t="s">
        <v>1028</v>
      </c>
      <c r="H2080" s="19" t="s">
        <v>1020</v>
      </c>
      <c r="I2080" s="19" t="s">
        <v>1599</v>
      </c>
      <c r="J2080" s="20">
        <v>26</v>
      </c>
      <c r="K2080" t="s">
        <v>654</v>
      </c>
      <c r="L2080" t="s">
        <v>691</v>
      </c>
      <c r="M2080" t="s">
        <v>657</v>
      </c>
      <c r="N2080" t="s">
        <v>658</v>
      </c>
      <c r="O2080" t="s">
        <v>632</v>
      </c>
    </row>
    <row r="2081" spans="1:15" x14ac:dyDescent="0.35">
      <c r="A2081" s="77">
        <v>1.6904109589041096</v>
      </c>
      <c r="B2081" s="19">
        <v>92179</v>
      </c>
      <c r="C2081" s="19" t="s">
        <v>4393</v>
      </c>
      <c r="D2081" s="19" t="s">
        <v>64</v>
      </c>
      <c r="E2081" s="19" t="s">
        <v>65</v>
      </c>
      <c r="F2081" s="19" t="s">
        <v>1197</v>
      </c>
      <c r="G2081" s="19" t="s">
        <v>1008</v>
      </c>
      <c r="H2081" s="19" t="s">
        <v>1001</v>
      </c>
      <c r="I2081" s="19" t="s">
        <v>1575</v>
      </c>
      <c r="J2081" s="20">
        <v>21</v>
      </c>
      <c r="K2081" t="s">
        <v>654</v>
      </c>
      <c r="L2081" t="s">
        <v>651</v>
      </c>
      <c r="M2081" t="s">
        <v>629</v>
      </c>
      <c r="N2081" t="s">
        <v>630</v>
      </c>
      <c r="O2081" t="s">
        <v>705</v>
      </c>
    </row>
    <row r="2082" spans="1:15" x14ac:dyDescent="0.35">
      <c r="A2082" s="77">
        <v>1.7013698630136986</v>
      </c>
      <c r="B2082" s="19">
        <v>92218</v>
      </c>
      <c r="C2082" s="19" t="s">
        <v>4394</v>
      </c>
      <c r="D2082" s="19" t="s">
        <v>89</v>
      </c>
      <c r="E2082" s="19" t="s">
        <v>90</v>
      </c>
      <c r="F2082" s="19" t="s">
        <v>1217</v>
      </c>
      <c r="G2082" s="19" t="s">
        <v>1045</v>
      </c>
      <c r="H2082" s="19" t="s">
        <v>1001</v>
      </c>
      <c r="I2082" s="19" t="s">
        <v>1575</v>
      </c>
      <c r="J2082" s="20">
        <v>24</v>
      </c>
      <c r="K2082" t="s">
        <v>636</v>
      </c>
      <c r="L2082" t="s">
        <v>666</v>
      </c>
      <c r="M2082" t="s">
        <v>629</v>
      </c>
      <c r="N2082" t="s">
        <v>635</v>
      </c>
      <c r="O2082" t="s">
        <v>637</v>
      </c>
    </row>
    <row r="2083" spans="1:15" x14ac:dyDescent="0.35">
      <c r="A2083" s="77">
        <v>1.7013698630136986</v>
      </c>
      <c r="B2083" s="19">
        <v>92222</v>
      </c>
      <c r="C2083" s="19" t="s">
        <v>4395</v>
      </c>
      <c r="D2083" s="19" t="s">
        <v>417</v>
      </c>
      <c r="E2083" s="19" t="s">
        <v>417</v>
      </c>
      <c r="F2083" s="19" t="s">
        <v>418</v>
      </c>
      <c r="G2083" s="19" t="s">
        <v>1008</v>
      </c>
      <c r="H2083" s="19" t="s">
        <v>1001</v>
      </c>
      <c r="I2083" s="19" t="s">
        <v>1599</v>
      </c>
      <c r="J2083" s="20">
        <v>21</v>
      </c>
      <c r="K2083" t="s">
        <v>654</v>
      </c>
      <c r="L2083" t="s">
        <v>684</v>
      </c>
      <c r="M2083" t="s">
        <v>623</v>
      </c>
      <c r="N2083" t="s">
        <v>662</v>
      </c>
      <c r="O2083" t="s">
        <v>687</v>
      </c>
    </row>
    <row r="2084" spans="1:15" x14ac:dyDescent="0.35">
      <c r="A2084" s="77">
        <v>1.6958904109589041</v>
      </c>
      <c r="B2084" s="19">
        <v>92230</v>
      </c>
      <c r="C2084" s="19" t="s">
        <v>4396</v>
      </c>
      <c r="D2084" s="19" t="s">
        <v>11</v>
      </c>
      <c r="E2084" s="19" t="s">
        <v>11</v>
      </c>
      <c r="F2084" s="19" t="s">
        <v>627</v>
      </c>
      <c r="G2084" s="19" t="s">
        <v>1019</v>
      </c>
      <c r="H2084" s="19" t="s">
        <v>1020</v>
      </c>
      <c r="I2084" s="19" t="s">
        <v>1575</v>
      </c>
      <c r="J2084" s="20">
        <v>19</v>
      </c>
      <c r="K2084" t="s">
        <v>631</v>
      </c>
      <c r="L2084" t="s">
        <v>628</v>
      </c>
      <c r="M2084" t="s">
        <v>629</v>
      </c>
      <c r="N2084" t="s">
        <v>630</v>
      </c>
      <c r="O2084" t="s">
        <v>632</v>
      </c>
    </row>
    <row r="2085" spans="1:15" x14ac:dyDescent="0.35">
      <c r="A2085" s="77">
        <v>1.6931506849315068</v>
      </c>
      <c r="B2085" s="19">
        <v>92234</v>
      </c>
      <c r="C2085" s="19" t="s">
        <v>4397</v>
      </c>
      <c r="D2085" s="19" t="s">
        <v>311</v>
      </c>
      <c r="E2085" s="19" t="s">
        <v>312</v>
      </c>
      <c r="F2085" s="19" t="s">
        <v>1140</v>
      </c>
      <c r="G2085" s="19" t="s">
        <v>1008</v>
      </c>
      <c r="H2085" s="19" t="s">
        <v>1001</v>
      </c>
      <c r="I2085" s="19" t="s">
        <v>1575</v>
      </c>
      <c r="J2085" s="20">
        <v>25</v>
      </c>
      <c r="K2085" t="s">
        <v>631</v>
      </c>
      <c r="L2085" t="s">
        <v>628</v>
      </c>
      <c r="M2085" t="s">
        <v>629</v>
      </c>
      <c r="N2085" t="s">
        <v>630</v>
      </c>
      <c r="O2085" t="s">
        <v>632</v>
      </c>
    </row>
    <row r="2086" spans="1:15" x14ac:dyDescent="0.35">
      <c r="A2086" s="77">
        <v>1.6986301369863013</v>
      </c>
      <c r="B2086" s="19">
        <v>92254</v>
      </c>
      <c r="C2086" s="19" t="s">
        <v>4398</v>
      </c>
      <c r="D2086" s="19" t="s">
        <v>195</v>
      </c>
      <c r="E2086" s="19" t="s">
        <v>196</v>
      </c>
      <c r="F2086" s="19" t="s">
        <v>908</v>
      </c>
      <c r="G2086" s="19" t="s">
        <v>1028</v>
      </c>
      <c r="H2086" s="19" t="s">
        <v>1020</v>
      </c>
      <c r="I2086" s="19" t="s">
        <v>1599</v>
      </c>
      <c r="J2086" s="20">
        <v>21</v>
      </c>
      <c r="K2086" t="s">
        <v>636</v>
      </c>
      <c r="L2086" t="s">
        <v>670</v>
      </c>
      <c r="M2086" t="s">
        <v>657</v>
      </c>
      <c r="N2086" t="s">
        <v>641</v>
      </c>
      <c r="O2086" t="s">
        <v>676</v>
      </c>
    </row>
    <row r="2087" spans="1:15" x14ac:dyDescent="0.35">
      <c r="A2087" s="77">
        <v>1.6958904109589041</v>
      </c>
      <c r="B2087" s="19">
        <v>92258</v>
      </c>
      <c r="C2087" s="19" t="s">
        <v>4399</v>
      </c>
      <c r="D2087" s="19" t="s">
        <v>409</v>
      </c>
      <c r="E2087" s="19" t="s">
        <v>410</v>
      </c>
      <c r="F2087" s="19" t="s">
        <v>874</v>
      </c>
      <c r="G2087" s="19" t="s">
        <v>1019</v>
      </c>
      <c r="H2087" s="19" t="s">
        <v>1020</v>
      </c>
      <c r="I2087" s="19" t="s">
        <v>1575</v>
      </c>
      <c r="J2087" s="20">
        <v>22</v>
      </c>
      <c r="K2087" t="s">
        <v>631</v>
      </c>
      <c r="L2087" t="s">
        <v>666</v>
      </c>
      <c r="M2087" t="s">
        <v>629</v>
      </c>
      <c r="N2087" t="s">
        <v>635</v>
      </c>
      <c r="O2087" t="s">
        <v>637</v>
      </c>
    </row>
    <row r="2088" spans="1:15" x14ac:dyDescent="0.35">
      <c r="A2088" s="77">
        <v>1.6958904109589041</v>
      </c>
      <c r="B2088" s="19">
        <v>92259</v>
      </c>
      <c r="C2088" s="19" t="s">
        <v>4400</v>
      </c>
      <c r="D2088" s="19" t="s">
        <v>76</v>
      </c>
      <c r="E2088" s="19" t="s">
        <v>77</v>
      </c>
      <c r="F2088" s="19" t="s">
        <v>899</v>
      </c>
      <c r="G2088" s="19" t="s">
        <v>1019</v>
      </c>
      <c r="H2088" s="19" t="s">
        <v>1020</v>
      </c>
      <c r="I2088" s="19" t="s">
        <v>1575</v>
      </c>
      <c r="J2088" s="20">
        <v>20</v>
      </c>
      <c r="K2088" t="s">
        <v>636</v>
      </c>
      <c r="L2088" t="s">
        <v>645</v>
      </c>
      <c r="M2088" t="s">
        <v>629</v>
      </c>
      <c r="N2088" t="s">
        <v>646</v>
      </c>
      <c r="O2088" t="s">
        <v>632</v>
      </c>
    </row>
    <row r="2089" spans="1:15" x14ac:dyDescent="0.35">
      <c r="A2089" s="77">
        <v>1.6931506849315068</v>
      </c>
      <c r="B2089" s="19">
        <v>92289</v>
      </c>
      <c r="C2089" s="19" t="s">
        <v>4401</v>
      </c>
      <c r="D2089" s="19" t="s">
        <v>377</v>
      </c>
      <c r="E2089" s="19" t="s">
        <v>378</v>
      </c>
      <c r="F2089" s="19" t="s">
        <v>862</v>
      </c>
      <c r="G2089" s="19" t="s">
        <v>1084</v>
      </c>
      <c r="H2089" s="19" t="s">
        <v>1020</v>
      </c>
      <c r="I2089" s="19" t="s">
        <v>1599</v>
      </c>
      <c r="J2089" s="20">
        <v>22</v>
      </c>
      <c r="K2089" t="s">
        <v>631</v>
      </c>
      <c r="L2089" t="s">
        <v>661</v>
      </c>
      <c r="M2089" t="s">
        <v>657</v>
      </c>
      <c r="N2089" t="s">
        <v>662</v>
      </c>
      <c r="O2089" t="s">
        <v>632</v>
      </c>
    </row>
    <row r="2090" spans="1:15" x14ac:dyDescent="0.35">
      <c r="A2090" s="77">
        <v>0.67671232876712328</v>
      </c>
      <c r="B2090" s="19">
        <v>92299</v>
      </c>
      <c r="C2090" s="19" t="s">
        <v>4402</v>
      </c>
      <c r="D2090" s="19" t="s">
        <v>411</v>
      </c>
      <c r="E2090" s="19" t="s">
        <v>412</v>
      </c>
      <c r="F2090" s="19" t="s">
        <v>1225</v>
      </c>
      <c r="G2090" s="19" t="s">
        <v>1057</v>
      </c>
      <c r="H2090" s="19" t="s">
        <v>1001</v>
      </c>
      <c r="I2090" s="19" t="s">
        <v>1599</v>
      </c>
      <c r="J2090" s="20">
        <v>18</v>
      </c>
      <c r="K2090" t="s">
        <v>636</v>
      </c>
      <c r="L2090" t="s">
        <v>691</v>
      </c>
      <c r="M2090" t="s">
        <v>657</v>
      </c>
      <c r="N2090" t="s">
        <v>658</v>
      </c>
      <c r="O2090" t="s">
        <v>632</v>
      </c>
    </row>
    <row r="2091" spans="1:15" x14ac:dyDescent="0.35">
      <c r="A2091" s="77">
        <v>0.35616438356164382</v>
      </c>
      <c r="B2091" s="19">
        <v>92303</v>
      </c>
      <c r="C2091" s="19" t="s">
        <v>4403</v>
      </c>
      <c r="D2091" s="19" t="s">
        <v>38</v>
      </c>
      <c r="E2091" s="19" t="s">
        <v>38</v>
      </c>
      <c r="F2091" s="19" t="s">
        <v>711</v>
      </c>
      <c r="G2091" s="19" t="s">
        <v>1028</v>
      </c>
      <c r="H2091" s="19" t="s">
        <v>1020</v>
      </c>
      <c r="I2091" s="19" t="s">
        <v>1575</v>
      </c>
      <c r="J2091" s="20">
        <v>18</v>
      </c>
      <c r="K2091" t="s">
        <v>668</v>
      </c>
      <c r="L2091" t="s">
        <v>691</v>
      </c>
      <c r="M2091" t="s">
        <v>657</v>
      </c>
      <c r="N2091" t="s">
        <v>658</v>
      </c>
      <c r="O2091" t="s">
        <v>632</v>
      </c>
    </row>
    <row r="2092" spans="1:15" x14ac:dyDescent="0.35">
      <c r="A2092" s="77">
        <v>9.0410958904109592E-2</v>
      </c>
      <c r="B2092" s="19">
        <v>92313</v>
      </c>
      <c r="C2092" s="19" t="s">
        <v>4404</v>
      </c>
      <c r="D2092" s="19" t="s">
        <v>37</v>
      </c>
      <c r="E2092" s="19" t="s">
        <v>37</v>
      </c>
      <c r="F2092" s="19" t="s">
        <v>1480</v>
      </c>
      <c r="G2092" s="19" t="s">
        <v>1028</v>
      </c>
      <c r="H2092" s="19" t="s">
        <v>1020</v>
      </c>
      <c r="I2092" s="19" t="s">
        <v>1575</v>
      </c>
      <c r="J2092" s="20">
        <v>20</v>
      </c>
      <c r="K2092" t="s">
        <v>654</v>
      </c>
      <c r="L2092" t="s">
        <v>648</v>
      </c>
      <c r="M2092" t="s">
        <v>623</v>
      </c>
      <c r="N2092" t="s">
        <v>624</v>
      </c>
      <c r="O2092" t="s">
        <v>649</v>
      </c>
    </row>
    <row r="2093" spans="1:15" x14ac:dyDescent="0.35">
      <c r="A2093" s="77">
        <v>1.7013698630136986</v>
      </c>
      <c r="B2093" s="19">
        <v>92326</v>
      </c>
      <c r="C2093" s="19" t="s">
        <v>4405</v>
      </c>
      <c r="D2093" s="19" t="s">
        <v>208</v>
      </c>
      <c r="E2093" s="19" t="s">
        <v>209</v>
      </c>
      <c r="F2093" s="19" t="s">
        <v>1444</v>
      </c>
      <c r="G2093" s="19" t="s">
        <v>1008</v>
      </c>
      <c r="H2093" s="19" t="s">
        <v>1001</v>
      </c>
      <c r="I2093" s="19" t="s">
        <v>1599</v>
      </c>
      <c r="J2093" s="20">
        <v>23</v>
      </c>
      <c r="K2093" t="s">
        <v>636</v>
      </c>
      <c r="L2093" t="s">
        <v>640</v>
      </c>
      <c r="M2093" t="s">
        <v>623</v>
      </c>
      <c r="N2093" t="s">
        <v>624</v>
      </c>
      <c r="O2093" t="s">
        <v>787</v>
      </c>
    </row>
    <row r="2094" spans="1:15" x14ac:dyDescent="0.35">
      <c r="A2094" s="77">
        <v>1.5424657534246575</v>
      </c>
      <c r="B2094" s="19">
        <v>92355</v>
      </c>
      <c r="C2094" s="19" t="s">
        <v>4406</v>
      </c>
      <c r="D2094" s="19" t="s">
        <v>403</v>
      </c>
      <c r="E2094" s="19" t="s">
        <v>404</v>
      </c>
      <c r="F2094" s="19" t="s">
        <v>870</v>
      </c>
      <c r="G2094" s="19" t="s">
        <v>1028</v>
      </c>
      <c r="H2094" s="19" t="s">
        <v>1020</v>
      </c>
      <c r="I2094" s="19" t="s">
        <v>1599</v>
      </c>
      <c r="J2094" s="20">
        <v>22</v>
      </c>
      <c r="K2094" t="s">
        <v>631</v>
      </c>
      <c r="L2094" t="s">
        <v>691</v>
      </c>
      <c r="M2094" t="s">
        <v>657</v>
      </c>
      <c r="N2094" t="s">
        <v>658</v>
      </c>
      <c r="O2094" t="s">
        <v>632</v>
      </c>
    </row>
    <row r="2095" spans="1:15" x14ac:dyDescent="0.35">
      <c r="A2095" s="77">
        <v>1.6821917808219178</v>
      </c>
      <c r="B2095" s="19">
        <v>92367</v>
      </c>
      <c r="C2095" s="19" t="s">
        <v>4407</v>
      </c>
      <c r="D2095" s="19" t="s">
        <v>107</v>
      </c>
      <c r="E2095" s="19" t="s">
        <v>108</v>
      </c>
      <c r="F2095" s="19" t="s">
        <v>2702</v>
      </c>
      <c r="G2095" s="19" t="s">
        <v>1028</v>
      </c>
      <c r="H2095" s="19" t="s">
        <v>1020</v>
      </c>
      <c r="I2095" s="19" t="s">
        <v>1575</v>
      </c>
      <c r="J2095" s="20">
        <v>23</v>
      </c>
      <c r="K2095" t="s">
        <v>668</v>
      </c>
      <c r="L2095" t="s">
        <v>691</v>
      </c>
      <c r="M2095" t="s">
        <v>657</v>
      </c>
      <c r="N2095" t="s">
        <v>658</v>
      </c>
      <c r="O2095" t="s">
        <v>632</v>
      </c>
    </row>
    <row r="2096" spans="1:15" x14ac:dyDescent="0.35">
      <c r="A2096" s="77">
        <v>1.6821917808219178</v>
      </c>
      <c r="B2096" s="19">
        <v>92384</v>
      </c>
      <c r="C2096" s="19" t="s">
        <v>4408</v>
      </c>
      <c r="D2096" s="19" t="s">
        <v>126</v>
      </c>
      <c r="E2096" s="19" t="s">
        <v>127</v>
      </c>
      <c r="F2096" s="19" t="s">
        <v>1152</v>
      </c>
      <c r="G2096" s="19" t="s">
        <v>1034</v>
      </c>
      <c r="H2096" s="19" t="s">
        <v>1001</v>
      </c>
      <c r="I2096" s="19" t="s">
        <v>1575</v>
      </c>
      <c r="J2096" s="20">
        <v>23</v>
      </c>
      <c r="K2096" t="s">
        <v>654</v>
      </c>
      <c r="L2096" t="s">
        <v>628</v>
      </c>
      <c r="M2096" t="s">
        <v>629</v>
      </c>
      <c r="N2096" t="s">
        <v>630</v>
      </c>
      <c r="O2096" t="s">
        <v>632</v>
      </c>
    </row>
    <row r="2097" spans="1:15" x14ac:dyDescent="0.35">
      <c r="A2097" s="77">
        <v>1.6794520547945206</v>
      </c>
      <c r="B2097" s="19">
        <v>92390</v>
      </c>
      <c r="C2097" s="19" t="s">
        <v>4409</v>
      </c>
      <c r="D2097" s="19" t="s">
        <v>178</v>
      </c>
      <c r="E2097" s="19" t="s">
        <v>179</v>
      </c>
      <c r="F2097" s="19" t="s">
        <v>2407</v>
      </c>
      <c r="G2097" s="19" t="s">
        <v>1028</v>
      </c>
      <c r="H2097" s="19" t="s">
        <v>1020</v>
      </c>
      <c r="I2097" s="19" t="s">
        <v>1575</v>
      </c>
      <c r="J2097" s="20">
        <v>21</v>
      </c>
      <c r="K2097" t="s">
        <v>636</v>
      </c>
      <c r="L2097" t="s">
        <v>684</v>
      </c>
      <c r="M2097" t="s">
        <v>623</v>
      </c>
      <c r="N2097" t="s">
        <v>662</v>
      </c>
      <c r="O2097" t="s">
        <v>775</v>
      </c>
    </row>
    <row r="2098" spans="1:15" x14ac:dyDescent="0.35">
      <c r="A2098" s="77">
        <v>1.2876712328767124</v>
      </c>
      <c r="B2098" s="19">
        <v>92397</v>
      </c>
      <c r="C2098" s="19" t="s">
        <v>4410</v>
      </c>
      <c r="D2098" s="19" t="s">
        <v>393</v>
      </c>
      <c r="E2098" s="19" t="s">
        <v>394</v>
      </c>
      <c r="F2098" s="19" t="s">
        <v>865</v>
      </c>
      <c r="G2098" s="19" t="s">
        <v>1008</v>
      </c>
      <c r="H2098" s="19" t="s">
        <v>1001</v>
      </c>
      <c r="I2098" s="19" t="s">
        <v>1575</v>
      </c>
      <c r="J2098" s="20">
        <v>20</v>
      </c>
      <c r="K2098" t="s">
        <v>631</v>
      </c>
      <c r="L2098" t="s">
        <v>684</v>
      </c>
      <c r="M2098" t="s">
        <v>623</v>
      </c>
      <c r="N2098" t="s">
        <v>662</v>
      </c>
      <c r="O2098" t="s">
        <v>685</v>
      </c>
    </row>
    <row r="2099" spans="1:15" x14ac:dyDescent="0.35">
      <c r="A2099" s="77">
        <v>1.2027397260273973</v>
      </c>
      <c r="B2099" s="19">
        <v>92398</v>
      </c>
      <c r="C2099" s="19" t="s">
        <v>4411</v>
      </c>
      <c r="D2099" s="19" t="s">
        <v>393</v>
      </c>
      <c r="E2099" s="19" t="s">
        <v>394</v>
      </c>
      <c r="F2099" s="19" t="s">
        <v>865</v>
      </c>
      <c r="G2099" s="19" t="s">
        <v>1008</v>
      </c>
      <c r="H2099" s="19" t="s">
        <v>1001</v>
      </c>
      <c r="I2099" s="19" t="s">
        <v>1575</v>
      </c>
      <c r="J2099" s="20">
        <v>23</v>
      </c>
      <c r="K2099" t="s">
        <v>631</v>
      </c>
      <c r="L2099" t="s">
        <v>684</v>
      </c>
      <c r="M2099" t="s">
        <v>623</v>
      </c>
      <c r="N2099" t="s">
        <v>662</v>
      </c>
      <c r="O2099" t="s">
        <v>685</v>
      </c>
    </row>
    <row r="2100" spans="1:15" x14ac:dyDescent="0.35">
      <c r="A2100" s="77">
        <v>2.1917808219178082E-2</v>
      </c>
      <c r="B2100" s="19">
        <v>92460</v>
      </c>
      <c r="C2100" s="19" t="s">
        <v>4412</v>
      </c>
      <c r="D2100" s="19" t="s">
        <v>276</v>
      </c>
      <c r="E2100" s="19" t="s">
        <v>277</v>
      </c>
      <c r="F2100" s="19" t="s">
        <v>893</v>
      </c>
      <c r="G2100" s="19" t="s">
        <v>1008</v>
      </c>
      <c r="H2100" s="19" t="s">
        <v>1001</v>
      </c>
      <c r="I2100" s="19" t="s">
        <v>1575</v>
      </c>
      <c r="J2100" s="20">
        <v>18</v>
      </c>
      <c r="K2100" t="s">
        <v>631</v>
      </c>
      <c r="L2100" t="s">
        <v>707</v>
      </c>
      <c r="M2100" t="s">
        <v>629</v>
      </c>
      <c r="N2100" t="s">
        <v>635</v>
      </c>
      <c r="O2100" t="s">
        <v>710</v>
      </c>
    </row>
    <row r="2101" spans="1:15" x14ac:dyDescent="0.35">
      <c r="A2101" s="77">
        <v>1.6739726027397259</v>
      </c>
      <c r="B2101" s="19">
        <v>92468</v>
      </c>
      <c r="C2101" s="19" t="s">
        <v>4413</v>
      </c>
      <c r="D2101" s="19" t="s">
        <v>409</v>
      </c>
      <c r="E2101" s="19" t="s">
        <v>410</v>
      </c>
      <c r="F2101" s="19" t="s">
        <v>874</v>
      </c>
      <c r="G2101" s="19" t="s">
        <v>1008</v>
      </c>
      <c r="H2101" s="19" t="s">
        <v>1001</v>
      </c>
      <c r="I2101" s="19" t="s">
        <v>1575</v>
      </c>
      <c r="J2101" s="20">
        <v>23</v>
      </c>
      <c r="K2101" t="s">
        <v>631</v>
      </c>
      <c r="L2101" t="s">
        <v>666</v>
      </c>
      <c r="M2101" t="s">
        <v>629</v>
      </c>
      <c r="N2101" t="s">
        <v>635</v>
      </c>
      <c r="O2101" t="s">
        <v>637</v>
      </c>
    </row>
    <row r="2102" spans="1:15" x14ac:dyDescent="0.35">
      <c r="A2102" s="77">
        <v>1.6794520547945206</v>
      </c>
      <c r="B2102" s="19">
        <v>92474</v>
      </c>
      <c r="C2102" s="19" t="s">
        <v>4414</v>
      </c>
      <c r="D2102" s="19" t="s">
        <v>399</v>
      </c>
      <c r="E2102" s="19" t="s">
        <v>400</v>
      </c>
      <c r="F2102" s="19" t="s">
        <v>868</v>
      </c>
      <c r="G2102" s="19" t="s">
        <v>1057</v>
      </c>
      <c r="H2102" s="19" t="s">
        <v>1001</v>
      </c>
      <c r="I2102" s="19" t="s">
        <v>1575</v>
      </c>
      <c r="J2102" s="20">
        <v>24</v>
      </c>
      <c r="K2102" t="s">
        <v>642</v>
      </c>
      <c r="L2102" t="s">
        <v>684</v>
      </c>
      <c r="M2102" t="s">
        <v>623</v>
      </c>
      <c r="N2102" t="s">
        <v>662</v>
      </c>
      <c r="O2102" t="s">
        <v>795</v>
      </c>
    </row>
    <row r="2103" spans="1:15" x14ac:dyDescent="0.35">
      <c r="A2103" s="77">
        <v>1.6739726027397259</v>
      </c>
      <c r="B2103" s="19">
        <v>92478</v>
      </c>
      <c r="C2103" s="19" t="s">
        <v>4415</v>
      </c>
      <c r="D2103" s="19" t="s">
        <v>120</v>
      </c>
      <c r="E2103" s="19" t="s">
        <v>121</v>
      </c>
      <c r="F2103" s="19" t="s">
        <v>1236</v>
      </c>
      <c r="G2103" s="19" t="s">
        <v>1028</v>
      </c>
      <c r="H2103" s="19" t="s">
        <v>1020</v>
      </c>
      <c r="I2103" s="19" t="s">
        <v>1575</v>
      </c>
      <c r="J2103" s="20">
        <v>20</v>
      </c>
      <c r="K2103" t="s">
        <v>636</v>
      </c>
      <c r="L2103" t="s">
        <v>673</v>
      </c>
      <c r="M2103" t="s">
        <v>623</v>
      </c>
      <c r="N2103" t="s">
        <v>641</v>
      </c>
      <c r="O2103" t="s">
        <v>748</v>
      </c>
    </row>
    <row r="2104" spans="1:15" x14ac:dyDescent="0.35">
      <c r="A2104" s="77">
        <v>1.6767123287671233</v>
      </c>
      <c r="B2104" s="19">
        <v>92484</v>
      </c>
      <c r="C2104" s="19" t="s">
        <v>4416</v>
      </c>
      <c r="D2104" s="19" t="s">
        <v>191</v>
      </c>
      <c r="E2104" s="19" t="s">
        <v>192</v>
      </c>
      <c r="F2104" s="19" t="s">
        <v>1626</v>
      </c>
      <c r="G2104" s="19" t="s">
        <v>1008</v>
      </c>
      <c r="H2104" s="19" t="s">
        <v>1001</v>
      </c>
      <c r="I2104" s="19" t="s">
        <v>1575</v>
      </c>
      <c r="J2104" s="20">
        <v>23</v>
      </c>
      <c r="K2104" t="s">
        <v>654</v>
      </c>
      <c r="L2104" t="s">
        <v>673</v>
      </c>
      <c r="M2104" t="s">
        <v>623</v>
      </c>
      <c r="N2104" t="s">
        <v>641</v>
      </c>
      <c r="O2104" t="s">
        <v>779</v>
      </c>
    </row>
    <row r="2105" spans="1:15" x14ac:dyDescent="0.35">
      <c r="A2105" s="77">
        <v>0.74246575342465748</v>
      </c>
      <c r="B2105" s="19">
        <v>92494</v>
      </c>
      <c r="C2105" s="19" t="s">
        <v>4417</v>
      </c>
      <c r="D2105" s="19" t="s">
        <v>401</v>
      </c>
      <c r="E2105" s="19" t="s">
        <v>402</v>
      </c>
      <c r="F2105" s="19" t="s">
        <v>1314</v>
      </c>
      <c r="G2105" s="19" t="s">
        <v>1057</v>
      </c>
      <c r="H2105" s="19" t="s">
        <v>1001</v>
      </c>
      <c r="I2105" s="19" t="s">
        <v>1575</v>
      </c>
      <c r="J2105" s="20">
        <v>24</v>
      </c>
      <c r="K2105" t="s">
        <v>668</v>
      </c>
      <c r="L2105" t="s">
        <v>691</v>
      </c>
      <c r="M2105" t="s">
        <v>657</v>
      </c>
      <c r="N2105" t="s">
        <v>658</v>
      </c>
      <c r="O2105" t="s">
        <v>632</v>
      </c>
    </row>
    <row r="2106" spans="1:15" x14ac:dyDescent="0.35">
      <c r="A2106" s="77">
        <v>1.6767123287671233</v>
      </c>
      <c r="B2106" s="19">
        <v>92526</v>
      </c>
      <c r="C2106" s="19" t="s">
        <v>4418</v>
      </c>
      <c r="D2106" s="19" t="s">
        <v>355</v>
      </c>
      <c r="E2106" s="19" t="s">
        <v>356</v>
      </c>
      <c r="F2106" s="19" t="s">
        <v>1100</v>
      </c>
      <c r="G2106" s="19" t="s">
        <v>1028</v>
      </c>
      <c r="H2106" s="19" t="s">
        <v>1020</v>
      </c>
      <c r="I2106" s="19" t="s">
        <v>1575</v>
      </c>
      <c r="J2106" s="20">
        <v>22</v>
      </c>
      <c r="K2106" t="s">
        <v>625</v>
      </c>
      <c r="L2106" t="s">
        <v>622</v>
      </c>
      <c r="M2106" t="s">
        <v>623</v>
      </c>
      <c r="N2106" t="s">
        <v>624</v>
      </c>
      <c r="O2106" t="s">
        <v>649</v>
      </c>
    </row>
    <row r="2107" spans="1:15" x14ac:dyDescent="0.35">
      <c r="A2107" s="77">
        <v>1.6767123287671233</v>
      </c>
      <c r="B2107" s="19">
        <v>92528</v>
      </c>
      <c r="C2107" s="19" t="s">
        <v>4419</v>
      </c>
      <c r="D2107" s="19" t="s">
        <v>353</v>
      </c>
      <c r="E2107" s="19" t="s">
        <v>354</v>
      </c>
      <c r="F2107" s="19" t="s">
        <v>850</v>
      </c>
      <c r="G2107" s="19" t="s">
        <v>1008</v>
      </c>
      <c r="H2107" s="19" t="s">
        <v>1001</v>
      </c>
      <c r="I2107" s="19" t="s">
        <v>1575</v>
      </c>
      <c r="J2107" s="20">
        <v>23</v>
      </c>
      <c r="K2107" t="s">
        <v>654</v>
      </c>
      <c r="L2107" t="s">
        <v>640</v>
      </c>
      <c r="M2107" t="s">
        <v>623</v>
      </c>
      <c r="N2107" t="s">
        <v>624</v>
      </c>
      <c r="O2107" t="s">
        <v>789</v>
      </c>
    </row>
    <row r="2108" spans="1:15" x14ac:dyDescent="0.35">
      <c r="A2108" s="77">
        <v>0.9068493150684932</v>
      </c>
      <c r="B2108" s="19">
        <v>92536</v>
      </c>
      <c r="C2108" s="19" t="s">
        <v>4420</v>
      </c>
      <c r="D2108" s="19" t="s">
        <v>349</v>
      </c>
      <c r="E2108" s="19" t="s">
        <v>350</v>
      </c>
      <c r="F2108" s="19" t="s">
        <v>912</v>
      </c>
      <c r="G2108" s="19" t="s">
        <v>1008</v>
      </c>
      <c r="H2108" s="19" t="s">
        <v>1001</v>
      </c>
      <c r="I2108" s="19" t="s">
        <v>1599</v>
      </c>
      <c r="J2108" s="20">
        <v>19</v>
      </c>
      <c r="K2108" t="s">
        <v>625</v>
      </c>
      <c r="L2108" t="s">
        <v>648</v>
      </c>
      <c r="M2108" t="s">
        <v>623</v>
      </c>
      <c r="N2108" t="s">
        <v>624</v>
      </c>
      <c r="O2108" t="s">
        <v>649</v>
      </c>
    </row>
    <row r="2109" spans="1:15" x14ac:dyDescent="0.35">
      <c r="A2109" s="77">
        <v>1.7452054794520548</v>
      </c>
      <c r="B2109" s="19">
        <v>92555</v>
      </c>
      <c r="C2109" s="19" t="s">
        <v>4421</v>
      </c>
      <c r="D2109" s="19" t="s">
        <v>375</v>
      </c>
      <c r="E2109" s="19" t="s">
        <v>376</v>
      </c>
      <c r="F2109" s="19" t="s">
        <v>1270</v>
      </c>
      <c r="G2109" s="19" t="s">
        <v>3508</v>
      </c>
      <c r="H2109" s="19" t="s">
        <v>1020</v>
      </c>
      <c r="I2109" s="19" t="s">
        <v>1575</v>
      </c>
      <c r="J2109" s="20">
        <v>15</v>
      </c>
      <c r="K2109" t="s">
        <v>636</v>
      </c>
      <c r="L2109" t="s">
        <v>678</v>
      </c>
      <c r="M2109" t="s">
        <v>623</v>
      </c>
      <c r="N2109" t="s">
        <v>624</v>
      </c>
      <c r="O2109" t="s">
        <v>679</v>
      </c>
    </row>
    <row r="2110" spans="1:15" x14ac:dyDescent="0.35">
      <c r="A2110" s="77">
        <v>1.6767123287671233</v>
      </c>
      <c r="B2110" s="19">
        <v>92562</v>
      </c>
      <c r="C2110" s="19" t="s">
        <v>4422</v>
      </c>
      <c r="D2110" s="19" t="s">
        <v>42</v>
      </c>
      <c r="E2110" s="19" t="s">
        <v>42</v>
      </c>
      <c r="F2110" s="19" t="s">
        <v>1262</v>
      </c>
      <c r="G2110" s="19" t="s">
        <v>1008</v>
      </c>
      <c r="H2110" s="19" t="s">
        <v>1001</v>
      </c>
      <c r="I2110" s="19" t="s">
        <v>1575</v>
      </c>
      <c r="J2110" s="20">
        <v>36</v>
      </c>
      <c r="K2110" t="s">
        <v>625</v>
      </c>
      <c r="L2110" t="s">
        <v>628</v>
      </c>
      <c r="M2110" t="s">
        <v>629</v>
      </c>
      <c r="N2110" t="s">
        <v>630</v>
      </c>
      <c r="O2110" t="s">
        <v>632</v>
      </c>
    </row>
    <row r="2111" spans="1:15" x14ac:dyDescent="0.35">
      <c r="A2111" s="77">
        <v>1.6630136986301369</v>
      </c>
      <c r="B2111" s="19">
        <v>92573</v>
      </c>
      <c r="C2111" s="19" t="s">
        <v>4423</v>
      </c>
      <c r="D2111" s="19" t="s">
        <v>128</v>
      </c>
      <c r="E2111" s="19" t="s">
        <v>129</v>
      </c>
      <c r="F2111" s="19" t="s">
        <v>1075</v>
      </c>
      <c r="G2111" s="19" t="s">
        <v>1008</v>
      </c>
      <c r="H2111" s="19" t="s">
        <v>1001</v>
      </c>
      <c r="I2111" s="19" t="s">
        <v>1575</v>
      </c>
      <c r="J2111" s="20">
        <v>26</v>
      </c>
      <c r="K2111" t="s">
        <v>636</v>
      </c>
      <c r="L2111" t="s">
        <v>678</v>
      </c>
      <c r="M2111" t="s">
        <v>623</v>
      </c>
      <c r="N2111" t="s">
        <v>624</v>
      </c>
      <c r="O2111" t="s">
        <v>679</v>
      </c>
    </row>
    <row r="2112" spans="1:15" x14ac:dyDescent="0.35">
      <c r="A2112" s="77">
        <v>0.55068493150684927</v>
      </c>
      <c r="B2112" s="19">
        <v>92578</v>
      </c>
      <c r="C2112" s="19" t="s">
        <v>4424</v>
      </c>
      <c r="D2112" s="19" t="s">
        <v>256</v>
      </c>
      <c r="E2112" s="19" t="s">
        <v>257</v>
      </c>
      <c r="F2112" s="19" t="s">
        <v>1005</v>
      </c>
      <c r="G2112" s="19" t="s">
        <v>1028</v>
      </c>
      <c r="H2112" s="19" t="s">
        <v>1020</v>
      </c>
      <c r="I2112" s="19" t="s">
        <v>1599</v>
      </c>
      <c r="J2112" s="20">
        <v>21</v>
      </c>
      <c r="K2112" t="s">
        <v>668</v>
      </c>
      <c r="L2112" t="s">
        <v>651</v>
      </c>
      <c r="M2112" t="s">
        <v>629</v>
      </c>
      <c r="N2112" t="s">
        <v>630</v>
      </c>
      <c r="O2112" t="s">
        <v>705</v>
      </c>
    </row>
    <row r="2113" spans="1:15" x14ac:dyDescent="0.35">
      <c r="A2113" s="77">
        <v>0.45479452054794522</v>
      </c>
      <c r="B2113" s="19">
        <v>92589</v>
      </c>
      <c r="C2113" s="19" t="s">
        <v>4425</v>
      </c>
      <c r="D2113" s="19" t="s">
        <v>18</v>
      </c>
      <c r="E2113" s="19" t="s">
        <v>18</v>
      </c>
      <c r="F2113" s="19" t="s">
        <v>650</v>
      </c>
      <c r="G2113" s="19" t="s">
        <v>1019</v>
      </c>
      <c r="H2113" s="19" t="s">
        <v>1020</v>
      </c>
      <c r="I2113" s="19" t="s">
        <v>1575</v>
      </c>
      <c r="J2113" s="20">
        <v>25</v>
      </c>
      <c r="K2113" t="s">
        <v>636</v>
      </c>
      <c r="L2113" t="s">
        <v>651</v>
      </c>
      <c r="M2113" t="s">
        <v>629</v>
      </c>
      <c r="N2113" t="s">
        <v>630</v>
      </c>
      <c r="O2113" t="s">
        <v>652</v>
      </c>
    </row>
    <row r="2114" spans="1:15" x14ac:dyDescent="0.35">
      <c r="A2114" s="77">
        <v>1.6630136986301369</v>
      </c>
      <c r="B2114" s="19">
        <v>92597</v>
      </c>
      <c r="C2114" s="19" t="s">
        <v>4426</v>
      </c>
      <c r="D2114" s="19" t="s">
        <v>432</v>
      </c>
      <c r="E2114" s="19" t="e">
        <v>#N/A</v>
      </c>
      <c r="F2114" s="19" t="s">
        <v>1037</v>
      </c>
      <c r="G2114" s="19" t="s">
        <v>1057</v>
      </c>
      <c r="H2114" s="19" t="s">
        <v>1001</v>
      </c>
      <c r="I2114" s="19" t="s">
        <v>1575</v>
      </c>
      <c r="J2114" s="20">
        <v>23</v>
      </c>
      <c r="K2114" t="s">
        <v>668</v>
      </c>
      <c r="L2114" t="s">
        <v>707</v>
      </c>
      <c r="M2114" t="s">
        <v>629</v>
      </c>
      <c r="N2114" t="s">
        <v>635</v>
      </c>
      <c r="O2114" t="s">
        <v>708</v>
      </c>
    </row>
    <row r="2115" spans="1:15" x14ac:dyDescent="0.35">
      <c r="A2115" s="77">
        <v>1.6630136986301369</v>
      </c>
      <c r="B2115" s="19">
        <v>92606</v>
      </c>
      <c r="C2115" s="19" t="s">
        <v>4427</v>
      </c>
      <c r="D2115" s="19" t="s">
        <v>245</v>
      </c>
      <c r="E2115" s="19" t="s">
        <v>246</v>
      </c>
      <c r="F2115" s="19" t="s">
        <v>1365</v>
      </c>
      <c r="G2115" s="19" t="s">
        <v>3508</v>
      </c>
      <c r="H2115" s="19" t="s">
        <v>1020</v>
      </c>
      <c r="I2115" s="19" t="s">
        <v>1599</v>
      </c>
      <c r="J2115" s="20">
        <v>17</v>
      </c>
      <c r="K2115" t="s">
        <v>654</v>
      </c>
      <c r="L2115" t="s">
        <v>678</v>
      </c>
      <c r="M2115" t="s">
        <v>623</v>
      </c>
      <c r="N2115" t="s">
        <v>624</v>
      </c>
      <c r="O2115" t="s">
        <v>679</v>
      </c>
    </row>
    <row r="2116" spans="1:15" x14ac:dyDescent="0.35">
      <c r="A2116" s="77">
        <v>1.6630136986301369</v>
      </c>
      <c r="B2116" s="19">
        <v>92608</v>
      </c>
      <c r="C2116" s="19" t="s">
        <v>4428</v>
      </c>
      <c r="D2116" s="19" t="s">
        <v>278</v>
      </c>
      <c r="E2116" s="19" t="s">
        <v>279</v>
      </c>
      <c r="F2116" s="19" t="s">
        <v>1131</v>
      </c>
      <c r="G2116" s="19" t="s">
        <v>1045</v>
      </c>
      <c r="H2116" s="19" t="s">
        <v>1001</v>
      </c>
      <c r="I2116" s="19" t="s">
        <v>1575</v>
      </c>
      <c r="J2116" s="20">
        <v>30</v>
      </c>
      <c r="K2116" t="s">
        <v>625</v>
      </c>
      <c r="L2116" t="s">
        <v>661</v>
      </c>
      <c r="M2116" t="s">
        <v>657</v>
      </c>
      <c r="N2116" t="s">
        <v>662</v>
      </c>
      <c r="O2116" t="s">
        <v>632</v>
      </c>
    </row>
    <row r="2117" spans="1:15" x14ac:dyDescent="0.35">
      <c r="A2117" s="77">
        <v>1.6630136986301369</v>
      </c>
      <c r="B2117" s="19">
        <v>92611</v>
      </c>
      <c r="C2117" s="19" t="s">
        <v>4429</v>
      </c>
      <c r="D2117" s="19" t="s">
        <v>401</v>
      </c>
      <c r="E2117" s="19" t="s">
        <v>402</v>
      </c>
      <c r="F2117" s="19" t="s">
        <v>1314</v>
      </c>
      <c r="G2117" s="19" t="s">
        <v>1046</v>
      </c>
      <c r="H2117" s="19" t="s">
        <v>1001</v>
      </c>
      <c r="I2117" s="19" t="s">
        <v>1575</v>
      </c>
      <c r="J2117" s="20">
        <v>22</v>
      </c>
      <c r="K2117" t="s">
        <v>668</v>
      </c>
      <c r="L2117" t="s">
        <v>691</v>
      </c>
      <c r="M2117" t="s">
        <v>657</v>
      </c>
      <c r="N2117" t="s">
        <v>658</v>
      </c>
      <c r="O2117" t="s">
        <v>632</v>
      </c>
    </row>
    <row r="2118" spans="1:15" x14ac:dyDescent="0.35">
      <c r="A2118" s="77">
        <v>1.6630136986301369</v>
      </c>
      <c r="B2118" s="19">
        <v>92615</v>
      </c>
      <c r="C2118" s="19" t="s">
        <v>4430</v>
      </c>
      <c r="D2118" s="19" t="s">
        <v>280</v>
      </c>
      <c r="E2118" s="19" t="s">
        <v>281</v>
      </c>
      <c r="F2118" s="19" t="s">
        <v>1223</v>
      </c>
      <c r="G2118" s="19" t="s">
        <v>1028</v>
      </c>
      <c r="H2118" s="19" t="s">
        <v>1020</v>
      </c>
      <c r="I2118" s="19" t="s">
        <v>1575</v>
      </c>
      <c r="J2118" s="20">
        <v>21</v>
      </c>
      <c r="K2118" t="s">
        <v>631</v>
      </c>
      <c r="L2118" t="s">
        <v>691</v>
      </c>
      <c r="M2118" t="s">
        <v>657</v>
      </c>
      <c r="N2118" t="s">
        <v>658</v>
      </c>
      <c r="O2118" t="s">
        <v>632</v>
      </c>
    </row>
    <row r="2119" spans="1:15" x14ac:dyDescent="0.35">
      <c r="A2119" s="77">
        <v>2.1917808219178082E-2</v>
      </c>
      <c r="B2119" s="19">
        <v>92621</v>
      </c>
      <c r="C2119" s="19" t="s">
        <v>4431</v>
      </c>
      <c r="D2119" s="19" t="s">
        <v>349</v>
      </c>
      <c r="E2119" s="19" t="s">
        <v>350</v>
      </c>
      <c r="F2119" s="19" t="s">
        <v>912</v>
      </c>
      <c r="G2119" s="19" t="s">
        <v>1008</v>
      </c>
      <c r="H2119" s="19" t="s">
        <v>1001</v>
      </c>
      <c r="I2119" s="19" t="s">
        <v>1575</v>
      </c>
      <c r="J2119" s="20">
        <v>19</v>
      </c>
      <c r="K2119" t="s">
        <v>625</v>
      </c>
      <c r="L2119" t="s">
        <v>648</v>
      </c>
      <c r="M2119" t="s">
        <v>623</v>
      </c>
      <c r="N2119" t="s">
        <v>624</v>
      </c>
      <c r="O2119" t="s">
        <v>649</v>
      </c>
    </row>
    <row r="2120" spans="1:15" x14ac:dyDescent="0.35">
      <c r="A2120" s="77">
        <v>1.6630136986301369</v>
      </c>
      <c r="B2120" s="19">
        <v>92627</v>
      </c>
      <c r="C2120" s="19" t="s">
        <v>4432</v>
      </c>
      <c r="D2120" s="19" t="s">
        <v>17</v>
      </c>
      <c r="E2120" s="19" t="s">
        <v>17</v>
      </c>
      <c r="F2120" s="19" t="s">
        <v>906</v>
      </c>
      <c r="G2120" s="19" t="s">
        <v>1084</v>
      </c>
      <c r="H2120" s="19" t="s">
        <v>1001</v>
      </c>
      <c r="I2120" s="19" t="s">
        <v>1599</v>
      </c>
      <c r="J2120" s="20">
        <v>26</v>
      </c>
      <c r="K2120" t="s">
        <v>636</v>
      </c>
      <c r="L2120" t="s">
        <v>648</v>
      </c>
      <c r="M2120" t="s">
        <v>623</v>
      </c>
      <c r="N2120" t="s">
        <v>624</v>
      </c>
      <c r="O2120" t="s">
        <v>649</v>
      </c>
    </row>
    <row r="2121" spans="1:15" x14ac:dyDescent="0.35">
      <c r="A2121" s="77">
        <v>1.6630136986301369</v>
      </c>
      <c r="B2121" s="19">
        <v>92628</v>
      </c>
      <c r="C2121" s="19" t="s">
        <v>4433</v>
      </c>
      <c r="D2121" s="19" t="s">
        <v>183</v>
      </c>
      <c r="E2121" s="19" t="s">
        <v>184</v>
      </c>
      <c r="F2121" s="19" t="s">
        <v>1532</v>
      </c>
      <c r="G2121" s="19" t="s">
        <v>1084</v>
      </c>
      <c r="H2121" s="19" t="s">
        <v>1001</v>
      </c>
      <c r="I2121" s="19" t="s">
        <v>1599</v>
      </c>
      <c r="J2121" s="20">
        <v>21</v>
      </c>
      <c r="K2121" t="s">
        <v>654</v>
      </c>
      <c r="L2121" t="s">
        <v>648</v>
      </c>
      <c r="M2121" t="s">
        <v>623</v>
      </c>
      <c r="N2121" t="s">
        <v>624</v>
      </c>
      <c r="O2121" t="s">
        <v>725</v>
      </c>
    </row>
    <row r="2122" spans="1:15" x14ac:dyDescent="0.35">
      <c r="A2122" s="77">
        <v>1.6630136986301369</v>
      </c>
      <c r="B2122" s="19">
        <v>92640</v>
      </c>
      <c r="C2122" s="19" t="s">
        <v>4434</v>
      </c>
      <c r="D2122" s="19" t="s">
        <v>84</v>
      </c>
      <c r="E2122" s="19" t="s">
        <v>85</v>
      </c>
      <c r="F2122" s="19" t="s">
        <v>2606</v>
      </c>
      <c r="G2122" s="19" t="s">
        <v>1028</v>
      </c>
      <c r="H2122" s="19" t="s">
        <v>1020</v>
      </c>
      <c r="I2122" s="19" t="s">
        <v>1575</v>
      </c>
      <c r="J2122" s="20">
        <v>25</v>
      </c>
      <c r="K2122" t="s">
        <v>642</v>
      </c>
      <c r="L2122" t="s">
        <v>622</v>
      </c>
      <c r="M2122" t="s">
        <v>623</v>
      </c>
      <c r="N2122" t="s">
        <v>624</v>
      </c>
      <c r="O2122" t="s">
        <v>730</v>
      </c>
    </row>
    <row r="2123" spans="1:15" x14ac:dyDescent="0.35">
      <c r="A2123" s="77">
        <v>1.6630136986301369</v>
      </c>
      <c r="B2123" s="19">
        <v>92664</v>
      </c>
      <c r="C2123" s="19" t="s">
        <v>4435</v>
      </c>
      <c r="D2123" s="19" t="s">
        <v>362</v>
      </c>
      <c r="E2123" s="19" t="s">
        <v>363</v>
      </c>
      <c r="F2123" s="19" t="s">
        <v>1056</v>
      </c>
      <c r="G2123" s="19" t="s">
        <v>1008</v>
      </c>
      <c r="H2123" s="19" t="s">
        <v>1001</v>
      </c>
      <c r="I2123" s="19" t="s">
        <v>1575</v>
      </c>
      <c r="J2123" s="20">
        <v>29</v>
      </c>
      <c r="K2123" t="s">
        <v>654</v>
      </c>
      <c r="L2123" t="s">
        <v>663</v>
      </c>
      <c r="M2123" t="s">
        <v>629</v>
      </c>
      <c r="N2123" t="s">
        <v>646</v>
      </c>
      <c r="O2123" t="s">
        <v>810</v>
      </c>
    </row>
    <row r="2124" spans="1:15" x14ac:dyDescent="0.35">
      <c r="A2124" s="77">
        <v>1.6630136986301369</v>
      </c>
      <c r="B2124" s="19">
        <v>92667</v>
      </c>
      <c r="C2124" s="19" t="s">
        <v>4436</v>
      </c>
      <c r="D2124" s="19" t="s">
        <v>11</v>
      </c>
      <c r="E2124" s="19" t="s">
        <v>11</v>
      </c>
      <c r="F2124" s="19" t="s">
        <v>627</v>
      </c>
      <c r="G2124" s="19" t="s">
        <v>1008</v>
      </c>
      <c r="H2124" s="19" t="s">
        <v>1001</v>
      </c>
      <c r="I2124" s="19" t="s">
        <v>1575</v>
      </c>
      <c r="J2124" s="20">
        <v>22</v>
      </c>
      <c r="K2124" t="s">
        <v>631</v>
      </c>
      <c r="L2124" t="s">
        <v>628</v>
      </c>
      <c r="M2124" t="s">
        <v>629</v>
      </c>
      <c r="N2124" t="s">
        <v>630</v>
      </c>
      <c r="O2124" t="s">
        <v>632</v>
      </c>
    </row>
    <row r="2125" spans="1:15" x14ac:dyDescent="0.35">
      <c r="A2125" s="77">
        <v>0.9123287671232877</v>
      </c>
      <c r="B2125" s="19">
        <v>92676</v>
      </c>
      <c r="C2125" s="19" t="s">
        <v>4437</v>
      </c>
      <c r="D2125" s="19" t="s">
        <v>284</v>
      </c>
      <c r="E2125" s="19" t="s">
        <v>285</v>
      </c>
      <c r="F2125" s="19" t="s">
        <v>1150</v>
      </c>
      <c r="G2125" s="19" t="s">
        <v>1084</v>
      </c>
      <c r="H2125" s="19" t="s">
        <v>1020</v>
      </c>
      <c r="I2125" s="19" t="s">
        <v>1599</v>
      </c>
      <c r="J2125" s="20">
        <v>18</v>
      </c>
      <c r="K2125" t="s">
        <v>625</v>
      </c>
      <c r="L2125" t="s">
        <v>661</v>
      </c>
      <c r="M2125" t="s">
        <v>657</v>
      </c>
      <c r="N2125" t="s">
        <v>662</v>
      </c>
      <c r="O2125" t="s">
        <v>632</v>
      </c>
    </row>
    <row r="2126" spans="1:15" x14ac:dyDescent="0.35">
      <c r="A2126" s="77">
        <v>1.6602739726027398</v>
      </c>
      <c r="B2126" s="19">
        <v>92685</v>
      </c>
      <c r="C2126" s="19" t="s">
        <v>4438</v>
      </c>
      <c r="D2126" s="19" t="s">
        <v>28</v>
      </c>
      <c r="E2126" s="19" t="s">
        <v>28</v>
      </c>
      <c r="F2126" s="19" t="s">
        <v>916</v>
      </c>
      <c r="G2126" s="19" t="s">
        <v>3508</v>
      </c>
      <c r="H2126" s="19" t="s">
        <v>1020</v>
      </c>
      <c r="I2126" s="19" t="s">
        <v>1599</v>
      </c>
      <c r="J2126" s="20">
        <v>17</v>
      </c>
      <c r="K2126" t="s">
        <v>654</v>
      </c>
      <c r="L2126" t="s">
        <v>670</v>
      </c>
      <c r="M2126" t="s">
        <v>657</v>
      </c>
      <c r="N2126" t="s">
        <v>641</v>
      </c>
      <c r="O2126" t="s">
        <v>671</v>
      </c>
    </row>
    <row r="2127" spans="1:15" x14ac:dyDescent="0.35">
      <c r="A2127" s="77">
        <v>1.6602739726027398</v>
      </c>
      <c r="B2127" s="19">
        <v>92686</v>
      </c>
      <c r="C2127" s="19" t="s">
        <v>4439</v>
      </c>
      <c r="D2127" s="19" t="s">
        <v>284</v>
      </c>
      <c r="E2127" s="19" t="s">
        <v>285</v>
      </c>
      <c r="F2127" s="19" t="s">
        <v>1150</v>
      </c>
      <c r="G2127" s="19" t="s">
        <v>1084</v>
      </c>
      <c r="H2127" s="19" t="s">
        <v>1001</v>
      </c>
      <c r="I2127" s="19" t="s">
        <v>1599</v>
      </c>
      <c r="J2127" s="20">
        <v>29</v>
      </c>
      <c r="K2127" t="s">
        <v>625</v>
      </c>
      <c r="L2127" t="s">
        <v>661</v>
      </c>
      <c r="M2127" t="s">
        <v>657</v>
      </c>
      <c r="N2127" t="s">
        <v>662</v>
      </c>
      <c r="O2127" t="s">
        <v>632</v>
      </c>
    </row>
    <row r="2128" spans="1:15" x14ac:dyDescent="0.35">
      <c r="A2128" s="77">
        <v>1.6602739726027398</v>
      </c>
      <c r="B2128" s="19">
        <v>92691</v>
      </c>
      <c r="C2128" s="19" t="s">
        <v>4440</v>
      </c>
      <c r="D2128" s="19" t="s">
        <v>411</v>
      </c>
      <c r="E2128" s="19" t="s">
        <v>412</v>
      </c>
      <c r="F2128" s="19" t="s">
        <v>1225</v>
      </c>
      <c r="G2128" s="19" t="s">
        <v>1045</v>
      </c>
      <c r="H2128" s="19" t="s">
        <v>1001</v>
      </c>
      <c r="I2128" s="19" t="s">
        <v>1599</v>
      </c>
      <c r="J2128" s="20">
        <v>37</v>
      </c>
      <c r="K2128" t="s">
        <v>636</v>
      </c>
      <c r="L2128" t="s">
        <v>691</v>
      </c>
      <c r="M2128" t="s">
        <v>657</v>
      </c>
      <c r="N2128" t="s">
        <v>658</v>
      </c>
      <c r="O2128" t="s">
        <v>632</v>
      </c>
    </row>
    <row r="2129" spans="1:15" x14ac:dyDescent="0.35">
      <c r="A2129" s="77">
        <v>1.6602739726027398</v>
      </c>
      <c r="B2129" s="19">
        <v>92692</v>
      </c>
      <c r="C2129" s="19" t="s">
        <v>4441</v>
      </c>
      <c r="D2129" s="19" t="s">
        <v>43</v>
      </c>
      <c r="E2129" s="19" t="s">
        <v>44</v>
      </c>
      <c r="F2129" s="19" t="s">
        <v>2355</v>
      </c>
      <c r="G2129" s="19" t="s">
        <v>1008</v>
      </c>
      <c r="H2129" s="19" t="s">
        <v>1001</v>
      </c>
      <c r="I2129" s="19" t="s">
        <v>1575</v>
      </c>
      <c r="J2129" s="20">
        <v>25</v>
      </c>
      <c r="K2129" t="s">
        <v>654</v>
      </c>
      <c r="L2129" t="s">
        <v>634</v>
      </c>
      <c r="M2129" t="s">
        <v>629</v>
      </c>
      <c r="N2129" t="s">
        <v>635</v>
      </c>
      <c r="O2129" t="s">
        <v>637</v>
      </c>
    </row>
    <row r="2130" spans="1:15" x14ac:dyDescent="0.35">
      <c r="A2130" s="77">
        <v>1.6602739726027398</v>
      </c>
      <c r="B2130" s="19">
        <v>92693</v>
      </c>
      <c r="C2130" s="19" t="s">
        <v>4442</v>
      </c>
      <c r="D2130" s="19" t="s">
        <v>43</v>
      </c>
      <c r="E2130" s="19" t="s">
        <v>44</v>
      </c>
      <c r="F2130" s="19" t="s">
        <v>2355</v>
      </c>
      <c r="G2130" s="19" t="s">
        <v>1008</v>
      </c>
      <c r="H2130" s="19" t="s">
        <v>1001</v>
      </c>
      <c r="I2130" s="19" t="s">
        <v>1575</v>
      </c>
      <c r="J2130" s="20">
        <v>23</v>
      </c>
      <c r="K2130" t="s">
        <v>654</v>
      </c>
      <c r="L2130" t="s">
        <v>634</v>
      </c>
      <c r="M2130" t="s">
        <v>629</v>
      </c>
      <c r="N2130" t="s">
        <v>635</v>
      </c>
      <c r="O2130" t="s">
        <v>637</v>
      </c>
    </row>
    <row r="2131" spans="1:15" x14ac:dyDescent="0.35">
      <c r="A2131" s="77">
        <v>1.6575342465753424</v>
      </c>
      <c r="B2131" s="19">
        <v>92722</v>
      </c>
      <c r="C2131" s="19" t="s">
        <v>4443</v>
      </c>
      <c r="D2131" s="19" t="s">
        <v>382</v>
      </c>
      <c r="E2131" s="19" t="s">
        <v>383</v>
      </c>
      <c r="F2131" s="19" t="s">
        <v>384</v>
      </c>
      <c r="G2131" s="19" t="s">
        <v>1019</v>
      </c>
      <c r="H2131" s="19" t="s">
        <v>1020</v>
      </c>
      <c r="I2131" s="19" t="s">
        <v>1575</v>
      </c>
      <c r="J2131" s="20">
        <v>25</v>
      </c>
      <c r="K2131" t="s">
        <v>636</v>
      </c>
      <c r="L2131" t="s">
        <v>656</v>
      </c>
      <c r="M2131" t="s">
        <v>657</v>
      </c>
      <c r="N2131" t="s">
        <v>658</v>
      </c>
      <c r="O2131" t="s">
        <v>843</v>
      </c>
    </row>
    <row r="2132" spans="1:15" x14ac:dyDescent="0.35">
      <c r="A2132" s="77">
        <v>2.1917808219178082E-2</v>
      </c>
      <c r="B2132" s="19">
        <v>92734</v>
      </c>
      <c r="C2132" s="19" t="s">
        <v>4444</v>
      </c>
      <c r="D2132" s="19" t="s">
        <v>328</v>
      </c>
      <c r="E2132" s="19" t="s">
        <v>329</v>
      </c>
      <c r="F2132" s="19" t="s">
        <v>838</v>
      </c>
      <c r="G2132" s="19" t="s">
        <v>1008</v>
      </c>
      <c r="H2132" s="19" t="s">
        <v>1001</v>
      </c>
      <c r="I2132" s="19" t="s">
        <v>1575</v>
      </c>
      <c r="J2132" s="20">
        <v>24</v>
      </c>
      <c r="K2132" t="s">
        <v>631</v>
      </c>
      <c r="L2132" t="s">
        <v>645</v>
      </c>
      <c r="M2132" t="s">
        <v>629</v>
      </c>
      <c r="N2132" t="s">
        <v>646</v>
      </c>
      <c r="O2132" t="s">
        <v>632</v>
      </c>
    </row>
    <row r="2133" spans="1:15" x14ac:dyDescent="0.35">
      <c r="A2133" s="77">
        <v>1.6547945205479453</v>
      </c>
      <c r="B2133" s="19">
        <v>92761</v>
      </c>
      <c r="C2133" s="19" t="s">
        <v>4445</v>
      </c>
      <c r="D2133" s="19" t="s">
        <v>181</v>
      </c>
      <c r="E2133" s="19" t="s">
        <v>182</v>
      </c>
      <c r="F2133" s="19" t="s">
        <v>1374</v>
      </c>
      <c r="G2133" s="19" t="s">
        <v>3508</v>
      </c>
      <c r="H2133" s="19" t="s">
        <v>1020</v>
      </c>
      <c r="I2133" s="19" t="s">
        <v>1575</v>
      </c>
      <c r="J2133" s="20">
        <v>20</v>
      </c>
      <c r="K2133" t="s">
        <v>625</v>
      </c>
      <c r="L2133" t="s">
        <v>678</v>
      </c>
      <c r="M2133" t="s">
        <v>623</v>
      </c>
      <c r="N2133" t="s">
        <v>624</v>
      </c>
      <c r="O2133" t="s">
        <v>679</v>
      </c>
    </row>
    <row r="2134" spans="1:15" x14ac:dyDescent="0.35">
      <c r="A2134" s="77">
        <v>1.6547945205479453</v>
      </c>
      <c r="B2134" s="19">
        <v>92764</v>
      </c>
      <c r="C2134" s="19" t="s">
        <v>4446</v>
      </c>
      <c r="D2134" s="19" t="s">
        <v>124</v>
      </c>
      <c r="E2134" s="19" t="s">
        <v>125</v>
      </c>
      <c r="F2134" s="19" t="s">
        <v>1398</v>
      </c>
      <c r="G2134" s="19" t="s">
        <v>1084</v>
      </c>
      <c r="H2134" s="19" t="s">
        <v>1001</v>
      </c>
      <c r="I2134" s="19" t="s">
        <v>1599</v>
      </c>
      <c r="J2134" s="20">
        <v>28</v>
      </c>
      <c r="K2134" t="s">
        <v>654</v>
      </c>
      <c r="L2134" t="s">
        <v>661</v>
      </c>
      <c r="M2134" t="s">
        <v>657</v>
      </c>
      <c r="N2134" t="s">
        <v>662</v>
      </c>
      <c r="O2134" t="s">
        <v>632</v>
      </c>
    </row>
    <row r="2135" spans="1:15" x14ac:dyDescent="0.35">
      <c r="A2135" s="77">
        <v>1.6547945205479453</v>
      </c>
      <c r="B2135" s="19">
        <v>92771</v>
      </c>
      <c r="C2135" s="19" t="s">
        <v>4447</v>
      </c>
      <c r="D2135" s="19" t="s">
        <v>232</v>
      </c>
      <c r="E2135" s="19" t="s">
        <v>233</v>
      </c>
      <c r="F2135" s="19" t="s">
        <v>1040</v>
      </c>
      <c r="G2135" s="19" t="s">
        <v>1028</v>
      </c>
      <c r="H2135" s="19" t="s">
        <v>1020</v>
      </c>
      <c r="I2135" s="19" t="s">
        <v>1575</v>
      </c>
      <c r="J2135" s="20">
        <v>29</v>
      </c>
      <c r="K2135" t="s">
        <v>654</v>
      </c>
      <c r="L2135" t="s">
        <v>684</v>
      </c>
      <c r="M2135" t="s">
        <v>623</v>
      </c>
      <c r="N2135" t="s">
        <v>662</v>
      </c>
      <c r="O2135" t="s">
        <v>795</v>
      </c>
    </row>
    <row r="2136" spans="1:15" x14ac:dyDescent="0.35">
      <c r="A2136" s="77">
        <v>1.6520547945205479</v>
      </c>
      <c r="B2136" s="19">
        <v>92776</v>
      </c>
      <c r="C2136" s="19" t="s">
        <v>4448</v>
      </c>
      <c r="D2136" s="19" t="s">
        <v>397</v>
      </c>
      <c r="E2136" s="19" t="s">
        <v>398</v>
      </c>
      <c r="F2136" s="19" t="s">
        <v>867</v>
      </c>
      <c r="G2136" s="19" t="s">
        <v>1008</v>
      </c>
      <c r="H2136" s="19" t="s">
        <v>1001</v>
      </c>
      <c r="I2136" s="19" t="s">
        <v>1575</v>
      </c>
      <c r="J2136" s="20">
        <v>26</v>
      </c>
      <c r="K2136" t="s">
        <v>625</v>
      </c>
      <c r="L2136" t="s">
        <v>634</v>
      </c>
      <c r="M2136" t="s">
        <v>629</v>
      </c>
      <c r="N2136" t="s">
        <v>635</v>
      </c>
      <c r="O2136" t="s">
        <v>637</v>
      </c>
    </row>
    <row r="2137" spans="1:15" x14ac:dyDescent="0.35">
      <c r="A2137" s="77">
        <v>1.6520547945205479</v>
      </c>
      <c r="B2137" s="19">
        <v>92781</v>
      </c>
      <c r="C2137" s="19" t="s">
        <v>4449</v>
      </c>
      <c r="D2137" s="19" t="s">
        <v>39</v>
      </c>
      <c r="E2137" s="19" t="s">
        <v>39</v>
      </c>
      <c r="F2137" s="19" t="s">
        <v>1168</v>
      </c>
      <c r="G2137" s="19" t="s">
        <v>1034</v>
      </c>
      <c r="H2137" s="19" t="s">
        <v>1001</v>
      </c>
      <c r="I2137" s="19" t="s">
        <v>1599</v>
      </c>
      <c r="J2137" s="20">
        <v>21</v>
      </c>
      <c r="K2137" t="s">
        <v>636</v>
      </c>
      <c r="L2137" t="s">
        <v>661</v>
      </c>
      <c r="M2137" t="s">
        <v>657</v>
      </c>
      <c r="N2137" t="s">
        <v>662</v>
      </c>
      <c r="O2137" t="s">
        <v>632</v>
      </c>
    </row>
    <row r="2138" spans="1:15" x14ac:dyDescent="0.35">
      <c r="A2138" s="77">
        <v>1.6520547945205479</v>
      </c>
      <c r="B2138" s="19">
        <v>92788</v>
      </c>
      <c r="C2138" s="19" t="s">
        <v>4450</v>
      </c>
      <c r="D2138" s="19" t="s">
        <v>284</v>
      </c>
      <c r="E2138" s="19" t="s">
        <v>285</v>
      </c>
      <c r="F2138" s="19" t="s">
        <v>1150</v>
      </c>
      <c r="G2138" s="19" t="s">
        <v>1028</v>
      </c>
      <c r="H2138" s="19" t="s">
        <v>1020</v>
      </c>
      <c r="I2138" s="19" t="s">
        <v>1575</v>
      </c>
      <c r="J2138" s="20">
        <v>21</v>
      </c>
      <c r="K2138" t="s">
        <v>625</v>
      </c>
      <c r="L2138" t="s">
        <v>661</v>
      </c>
      <c r="M2138" t="s">
        <v>657</v>
      </c>
      <c r="N2138" t="s">
        <v>662</v>
      </c>
      <c r="O2138" t="s">
        <v>632</v>
      </c>
    </row>
    <row r="2139" spans="1:15" x14ac:dyDescent="0.35">
      <c r="A2139" s="77">
        <v>1.6520547945205479</v>
      </c>
      <c r="B2139" s="19">
        <v>92797</v>
      </c>
      <c r="C2139" s="19" t="s">
        <v>4451</v>
      </c>
      <c r="D2139" s="19" t="s">
        <v>421</v>
      </c>
      <c r="E2139" s="19" t="s">
        <v>421</v>
      </c>
      <c r="F2139" s="19" t="s">
        <v>698</v>
      </c>
      <c r="G2139" s="19" t="s">
        <v>3508</v>
      </c>
      <c r="H2139" s="19" t="s">
        <v>1020</v>
      </c>
      <c r="I2139" s="19" t="s">
        <v>1599</v>
      </c>
      <c r="J2139" s="20">
        <v>20</v>
      </c>
      <c r="K2139" t="s">
        <v>636</v>
      </c>
      <c r="L2139" t="s">
        <v>678</v>
      </c>
      <c r="M2139" t="s">
        <v>623</v>
      </c>
      <c r="N2139" t="s">
        <v>624</v>
      </c>
      <c r="O2139" t="s">
        <v>679</v>
      </c>
    </row>
    <row r="2140" spans="1:15" x14ac:dyDescent="0.35">
      <c r="A2140" s="77">
        <v>1.6520547945205479</v>
      </c>
      <c r="B2140" s="19">
        <v>92798</v>
      </c>
      <c r="C2140" s="19" t="s">
        <v>4452</v>
      </c>
      <c r="D2140" s="19" t="s">
        <v>115</v>
      </c>
      <c r="E2140" s="19" t="s">
        <v>116</v>
      </c>
      <c r="F2140" s="19" t="s">
        <v>1383</v>
      </c>
      <c r="G2140" s="19" t="s">
        <v>3508</v>
      </c>
      <c r="H2140" s="19" t="s">
        <v>1020</v>
      </c>
      <c r="I2140" s="19" t="s">
        <v>1599</v>
      </c>
      <c r="J2140" s="20">
        <v>17</v>
      </c>
      <c r="K2140" t="s">
        <v>631</v>
      </c>
      <c r="L2140" t="s">
        <v>670</v>
      </c>
      <c r="M2140" t="s">
        <v>657</v>
      </c>
      <c r="N2140" t="s">
        <v>641</v>
      </c>
      <c r="O2140" t="s">
        <v>671</v>
      </c>
    </row>
    <row r="2141" spans="1:15" x14ac:dyDescent="0.35">
      <c r="A2141" s="77">
        <v>0.16438356164383561</v>
      </c>
      <c r="B2141" s="19">
        <v>92801</v>
      </c>
      <c r="C2141" s="19" t="s">
        <v>4453</v>
      </c>
      <c r="D2141" s="19" t="s">
        <v>245</v>
      </c>
      <c r="E2141" s="19" t="s">
        <v>246</v>
      </c>
      <c r="F2141" s="19" t="s">
        <v>1365</v>
      </c>
      <c r="G2141" s="19" t="s">
        <v>1028</v>
      </c>
      <c r="H2141" s="19" t="s">
        <v>1020</v>
      </c>
      <c r="I2141" s="19" t="s">
        <v>1575</v>
      </c>
      <c r="J2141" s="20">
        <v>19</v>
      </c>
      <c r="K2141" t="s">
        <v>654</v>
      </c>
      <c r="L2141" t="s">
        <v>678</v>
      </c>
      <c r="M2141" t="s">
        <v>623</v>
      </c>
      <c r="N2141" t="s">
        <v>624</v>
      </c>
      <c r="O2141" t="s">
        <v>679</v>
      </c>
    </row>
    <row r="2142" spans="1:15" x14ac:dyDescent="0.35">
      <c r="A2142" s="77">
        <v>1.6575342465753424</v>
      </c>
      <c r="B2142" s="19">
        <v>92820</v>
      </c>
      <c r="C2142" s="19" t="s">
        <v>1976</v>
      </c>
      <c r="D2142" s="19" t="s">
        <v>395</v>
      </c>
      <c r="E2142" s="19" t="s">
        <v>396</v>
      </c>
      <c r="F2142" s="19" t="s">
        <v>1147</v>
      </c>
      <c r="G2142" s="19" t="s">
        <v>1008</v>
      </c>
      <c r="H2142" s="19" t="s">
        <v>1001</v>
      </c>
      <c r="I2142" s="19" t="s">
        <v>1575</v>
      </c>
      <c r="J2142" s="20">
        <v>22</v>
      </c>
      <c r="K2142" t="s">
        <v>642</v>
      </c>
      <c r="L2142" t="s">
        <v>678</v>
      </c>
      <c r="M2142" t="s">
        <v>623</v>
      </c>
      <c r="N2142" t="s">
        <v>624</v>
      </c>
      <c r="O2142" t="s">
        <v>679</v>
      </c>
    </row>
    <row r="2143" spans="1:15" x14ac:dyDescent="0.35">
      <c r="A2143" s="77">
        <v>1.6547945205479453</v>
      </c>
      <c r="B2143" s="19">
        <v>92827</v>
      </c>
      <c r="C2143" s="19" t="s">
        <v>4454</v>
      </c>
      <c r="D2143" s="19" t="s">
        <v>149</v>
      </c>
      <c r="E2143" s="19" t="s">
        <v>150</v>
      </c>
      <c r="F2143" s="19" t="s">
        <v>1548</v>
      </c>
      <c r="G2143" s="19" t="s">
        <v>1028</v>
      </c>
      <c r="H2143" s="19" t="s">
        <v>1020</v>
      </c>
      <c r="I2143" s="19" t="s">
        <v>1575</v>
      </c>
      <c r="J2143" s="20">
        <v>26</v>
      </c>
      <c r="K2143" t="s">
        <v>654</v>
      </c>
      <c r="L2143" t="s">
        <v>648</v>
      </c>
      <c r="M2143" t="s">
        <v>623</v>
      </c>
      <c r="N2143" t="s">
        <v>624</v>
      </c>
      <c r="O2143" t="s">
        <v>725</v>
      </c>
    </row>
    <row r="2144" spans="1:15" x14ac:dyDescent="0.35">
      <c r="A2144" s="77">
        <v>1.6438356164383561</v>
      </c>
      <c r="B2144" s="19">
        <v>92835</v>
      </c>
      <c r="C2144" s="19" t="s">
        <v>4455</v>
      </c>
      <c r="D2144" s="19" t="s">
        <v>183</v>
      </c>
      <c r="E2144" s="19" t="s">
        <v>184</v>
      </c>
      <c r="F2144" s="19" t="s">
        <v>1532</v>
      </c>
      <c r="G2144" s="19" t="s">
        <v>1008</v>
      </c>
      <c r="H2144" s="19" t="s">
        <v>1001</v>
      </c>
      <c r="I2144" s="19" t="s">
        <v>1575</v>
      </c>
      <c r="J2144" s="20">
        <v>29</v>
      </c>
      <c r="K2144" t="s">
        <v>654</v>
      </c>
      <c r="L2144" t="s">
        <v>648</v>
      </c>
      <c r="M2144" t="s">
        <v>623</v>
      </c>
      <c r="N2144" t="s">
        <v>624</v>
      </c>
      <c r="O2144" t="s">
        <v>725</v>
      </c>
    </row>
    <row r="2145" spans="1:15" x14ac:dyDescent="0.35">
      <c r="A2145" s="77">
        <v>1.6438356164383561</v>
      </c>
      <c r="B2145" s="19">
        <v>92836</v>
      </c>
      <c r="C2145" s="19" t="s">
        <v>4456</v>
      </c>
      <c r="D2145" s="19" t="s">
        <v>37</v>
      </c>
      <c r="E2145" s="19" t="s">
        <v>37</v>
      </c>
      <c r="F2145" s="19" t="s">
        <v>1480</v>
      </c>
      <c r="G2145" s="19" t="s">
        <v>1019</v>
      </c>
      <c r="H2145" s="19" t="s">
        <v>1020</v>
      </c>
      <c r="I2145" s="19" t="s">
        <v>1575</v>
      </c>
      <c r="J2145" s="20">
        <v>22</v>
      </c>
      <c r="K2145" t="s">
        <v>654</v>
      </c>
      <c r="L2145" t="s">
        <v>648</v>
      </c>
      <c r="M2145" t="s">
        <v>623</v>
      </c>
      <c r="N2145" t="s">
        <v>624</v>
      </c>
      <c r="O2145" t="s">
        <v>649</v>
      </c>
    </row>
    <row r="2146" spans="1:15" x14ac:dyDescent="0.35">
      <c r="A2146" s="77">
        <v>1.6438356164383561</v>
      </c>
      <c r="B2146" s="19">
        <v>92839</v>
      </c>
      <c r="C2146" s="19" t="s">
        <v>4457</v>
      </c>
      <c r="D2146" s="19" t="s">
        <v>149</v>
      </c>
      <c r="E2146" s="19" t="s">
        <v>150</v>
      </c>
      <c r="F2146" s="19" t="s">
        <v>1548</v>
      </c>
      <c r="G2146" s="19" t="s">
        <v>1008</v>
      </c>
      <c r="H2146" s="19" t="s">
        <v>1001</v>
      </c>
      <c r="I2146" s="19" t="s">
        <v>1599</v>
      </c>
      <c r="J2146" s="20">
        <v>19</v>
      </c>
      <c r="K2146" t="s">
        <v>654</v>
      </c>
      <c r="L2146" t="s">
        <v>648</v>
      </c>
      <c r="M2146" t="s">
        <v>623</v>
      </c>
      <c r="N2146" t="s">
        <v>624</v>
      </c>
      <c r="O2146" t="s">
        <v>725</v>
      </c>
    </row>
    <row r="2147" spans="1:15" x14ac:dyDescent="0.35">
      <c r="A2147" s="77">
        <v>1.6410958904109589</v>
      </c>
      <c r="B2147" s="19">
        <v>92852</v>
      </c>
      <c r="C2147" s="19" t="s">
        <v>4458</v>
      </c>
      <c r="D2147" s="19" t="s">
        <v>206</v>
      </c>
      <c r="E2147" s="19" t="s">
        <v>207</v>
      </c>
      <c r="F2147" s="19" t="s">
        <v>2447</v>
      </c>
      <c r="G2147" s="19" t="s">
        <v>1057</v>
      </c>
      <c r="H2147" s="19" t="s">
        <v>1001</v>
      </c>
      <c r="I2147" s="19" t="s">
        <v>1575</v>
      </c>
      <c r="J2147" s="20">
        <v>24</v>
      </c>
      <c r="K2147" t="s">
        <v>668</v>
      </c>
      <c r="L2147" t="s">
        <v>666</v>
      </c>
      <c r="M2147" t="s">
        <v>629</v>
      </c>
      <c r="N2147" t="s">
        <v>630</v>
      </c>
      <c r="O2147" t="s">
        <v>652</v>
      </c>
    </row>
    <row r="2148" spans="1:15" x14ac:dyDescent="0.35">
      <c r="A2148" s="77">
        <v>0.22191780821917809</v>
      </c>
      <c r="B2148" s="19">
        <v>92863</v>
      </c>
      <c r="C2148" s="19" t="s">
        <v>4459</v>
      </c>
      <c r="D2148" s="19" t="s">
        <v>151</v>
      </c>
      <c r="E2148" s="19" t="s">
        <v>152</v>
      </c>
      <c r="F2148" s="19" t="s">
        <v>1557</v>
      </c>
      <c r="G2148" s="19" t="s">
        <v>1008</v>
      </c>
      <c r="H2148" s="19" t="s">
        <v>1001</v>
      </c>
      <c r="I2148" s="19" t="s">
        <v>1575</v>
      </c>
      <c r="J2148" s="20">
        <v>24</v>
      </c>
      <c r="K2148" t="s">
        <v>654</v>
      </c>
      <c r="L2148" t="s">
        <v>691</v>
      </c>
      <c r="M2148" t="s">
        <v>657</v>
      </c>
      <c r="N2148" t="s">
        <v>658</v>
      </c>
      <c r="O2148" t="s">
        <v>632</v>
      </c>
    </row>
    <row r="2149" spans="1:15" x14ac:dyDescent="0.35">
      <c r="A2149" s="77">
        <v>1.6438356164383561</v>
      </c>
      <c r="B2149" s="19">
        <v>92869</v>
      </c>
      <c r="C2149" s="19" t="s">
        <v>4460</v>
      </c>
      <c r="D2149" s="19" t="s">
        <v>266</v>
      </c>
      <c r="E2149" s="19" t="s">
        <v>267</v>
      </c>
      <c r="F2149" s="19" t="s">
        <v>2070</v>
      </c>
      <c r="G2149" s="19" t="s">
        <v>1008</v>
      </c>
      <c r="H2149" s="19" t="s">
        <v>1001</v>
      </c>
      <c r="I2149" s="19" t="s">
        <v>1575</v>
      </c>
      <c r="J2149" s="20">
        <v>26</v>
      </c>
      <c r="K2149" t="s">
        <v>636</v>
      </c>
      <c r="L2149" t="s">
        <v>634</v>
      </c>
      <c r="M2149" t="s">
        <v>629</v>
      </c>
      <c r="N2149" t="s">
        <v>635</v>
      </c>
      <c r="O2149" t="s">
        <v>637</v>
      </c>
    </row>
    <row r="2150" spans="1:15" x14ac:dyDescent="0.35">
      <c r="A2150" s="77">
        <v>1.6438356164383561</v>
      </c>
      <c r="B2150" s="19">
        <v>92870</v>
      </c>
      <c r="C2150" s="19" t="s">
        <v>4461</v>
      </c>
      <c r="D2150" s="19" t="s">
        <v>12</v>
      </c>
      <c r="E2150" s="19" t="s">
        <v>12</v>
      </c>
      <c r="F2150" s="19" t="s">
        <v>1145</v>
      </c>
      <c r="G2150" s="19" t="s">
        <v>1028</v>
      </c>
      <c r="H2150" s="19" t="s">
        <v>1020</v>
      </c>
      <c r="I2150" s="19" t="s">
        <v>1599</v>
      </c>
      <c r="J2150" s="20">
        <v>23</v>
      </c>
      <c r="K2150" t="s">
        <v>636</v>
      </c>
      <c r="L2150" t="s">
        <v>634</v>
      </c>
      <c r="M2150" t="s">
        <v>629</v>
      </c>
      <c r="N2150" t="s">
        <v>635</v>
      </c>
      <c r="O2150" t="s">
        <v>637</v>
      </c>
    </row>
    <row r="2151" spans="1:15" x14ac:dyDescent="0.35">
      <c r="A2151" s="77">
        <v>1.6410958904109589</v>
      </c>
      <c r="B2151" s="19">
        <v>92875</v>
      </c>
      <c r="C2151" s="19" t="s">
        <v>4462</v>
      </c>
      <c r="D2151" s="19" t="s">
        <v>432</v>
      </c>
      <c r="E2151" s="19" t="e">
        <v>#N/A</v>
      </c>
      <c r="F2151" s="19" t="s">
        <v>1037</v>
      </c>
      <c r="G2151" s="19" t="s">
        <v>1046</v>
      </c>
      <c r="H2151" s="19" t="s">
        <v>1001</v>
      </c>
      <c r="I2151" s="19" t="s">
        <v>1575</v>
      </c>
      <c r="J2151" s="20">
        <v>36</v>
      </c>
      <c r="K2151" t="s">
        <v>668</v>
      </c>
      <c r="L2151" t="s">
        <v>707</v>
      </c>
      <c r="M2151" t="s">
        <v>629</v>
      </c>
      <c r="N2151" t="s">
        <v>635</v>
      </c>
      <c r="O2151" t="s">
        <v>708</v>
      </c>
    </row>
    <row r="2152" spans="1:15" x14ac:dyDescent="0.35">
      <c r="A2152" s="77">
        <v>1.6410958904109589</v>
      </c>
      <c r="B2152" s="19">
        <v>92877</v>
      </c>
      <c r="C2152" s="19" t="s">
        <v>4463</v>
      </c>
      <c r="D2152" s="19" t="s">
        <v>197</v>
      </c>
      <c r="E2152" s="19" t="s">
        <v>198</v>
      </c>
      <c r="F2152" s="19" t="s">
        <v>1297</v>
      </c>
      <c r="G2152" s="19" t="s">
        <v>1028</v>
      </c>
      <c r="H2152" s="19" t="s">
        <v>1020</v>
      </c>
      <c r="I2152" s="19" t="s">
        <v>1575</v>
      </c>
      <c r="J2152" s="20">
        <v>22</v>
      </c>
      <c r="K2152" t="s">
        <v>654</v>
      </c>
      <c r="L2152" t="s">
        <v>645</v>
      </c>
      <c r="M2152" t="s">
        <v>629</v>
      </c>
      <c r="N2152" t="s">
        <v>646</v>
      </c>
      <c r="O2152" t="s">
        <v>632</v>
      </c>
    </row>
    <row r="2153" spans="1:15" x14ac:dyDescent="0.35">
      <c r="A2153" s="77">
        <v>1.6410958904109589</v>
      </c>
      <c r="B2153" s="19">
        <v>92878</v>
      </c>
      <c r="C2153" s="19" t="s">
        <v>4464</v>
      </c>
      <c r="D2153" s="19" t="s">
        <v>218</v>
      </c>
      <c r="E2153" s="19" t="s">
        <v>219</v>
      </c>
      <c r="F2153" s="19" t="s">
        <v>1372</v>
      </c>
      <c r="G2153" s="19" t="s">
        <v>1028</v>
      </c>
      <c r="H2153" s="19" t="s">
        <v>1020</v>
      </c>
      <c r="I2153" s="19" t="s">
        <v>1575</v>
      </c>
      <c r="J2153" s="20">
        <v>20</v>
      </c>
      <c r="K2153" t="s">
        <v>625</v>
      </c>
      <c r="L2153" t="s">
        <v>661</v>
      </c>
      <c r="M2153" t="s">
        <v>657</v>
      </c>
      <c r="N2153" t="s">
        <v>662</v>
      </c>
      <c r="O2153" t="s">
        <v>632</v>
      </c>
    </row>
    <row r="2154" spans="1:15" x14ac:dyDescent="0.35">
      <c r="A2154" s="77">
        <v>1.6383561643835616</v>
      </c>
      <c r="B2154" s="19">
        <v>92912</v>
      </c>
      <c r="C2154" s="19" t="s">
        <v>4465</v>
      </c>
      <c r="D2154" s="19" t="s">
        <v>181</v>
      </c>
      <c r="E2154" s="19" t="s">
        <v>182</v>
      </c>
      <c r="F2154" s="19" t="s">
        <v>1374</v>
      </c>
      <c r="G2154" s="19" t="s">
        <v>3508</v>
      </c>
      <c r="H2154" s="19" t="s">
        <v>1020</v>
      </c>
      <c r="I2154" s="19" t="s">
        <v>1575</v>
      </c>
      <c r="J2154" s="20">
        <v>17</v>
      </c>
      <c r="K2154" t="s">
        <v>625</v>
      </c>
      <c r="L2154" t="s">
        <v>678</v>
      </c>
      <c r="M2154" t="s">
        <v>623</v>
      </c>
      <c r="N2154" t="s">
        <v>624</v>
      </c>
      <c r="O2154" t="s">
        <v>679</v>
      </c>
    </row>
    <row r="2155" spans="1:15" x14ac:dyDescent="0.35">
      <c r="A2155" s="77">
        <v>1.6438356164383561</v>
      </c>
      <c r="B2155" s="19">
        <v>92969</v>
      </c>
      <c r="C2155" s="19" t="s">
        <v>4466</v>
      </c>
      <c r="D2155" s="19" t="s">
        <v>42</v>
      </c>
      <c r="E2155" s="19" t="s">
        <v>42</v>
      </c>
      <c r="F2155" s="19" t="s">
        <v>1262</v>
      </c>
      <c r="G2155" s="19" t="s">
        <v>1028</v>
      </c>
      <c r="H2155" s="19" t="s">
        <v>1020</v>
      </c>
      <c r="I2155" s="19" t="s">
        <v>1575</v>
      </c>
      <c r="J2155" s="20">
        <v>25</v>
      </c>
      <c r="K2155" t="s">
        <v>625</v>
      </c>
      <c r="L2155" t="s">
        <v>628</v>
      </c>
      <c r="M2155" t="s">
        <v>629</v>
      </c>
      <c r="N2155" t="s">
        <v>630</v>
      </c>
      <c r="O2155" t="s">
        <v>632</v>
      </c>
    </row>
    <row r="2156" spans="1:15" x14ac:dyDescent="0.35">
      <c r="A2156" s="77">
        <v>0.36986301369863012</v>
      </c>
      <c r="B2156" s="19">
        <v>92972</v>
      </c>
      <c r="C2156" s="19" t="s">
        <v>4467</v>
      </c>
      <c r="D2156" s="19" t="s">
        <v>290</v>
      </c>
      <c r="E2156" s="19" t="s">
        <v>291</v>
      </c>
      <c r="F2156" s="19" t="s">
        <v>1182</v>
      </c>
      <c r="G2156" s="19" t="s">
        <v>1028</v>
      </c>
      <c r="H2156" s="19" t="s">
        <v>1020</v>
      </c>
      <c r="I2156" s="19" t="s">
        <v>1575</v>
      </c>
      <c r="J2156" s="20">
        <v>21</v>
      </c>
      <c r="K2156" t="s">
        <v>668</v>
      </c>
      <c r="L2156" t="s">
        <v>663</v>
      </c>
      <c r="M2156" t="s">
        <v>629</v>
      </c>
      <c r="N2156" t="s">
        <v>646</v>
      </c>
      <c r="O2156" t="s">
        <v>639</v>
      </c>
    </row>
    <row r="2157" spans="1:15" x14ac:dyDescent="0.35">
      <c r="A2157" s="77">
        <v>1.6328767123287671</v>
      </c>
      <c r="B2157" s="19">
        <v>92988</v>
      </c>
      <c r="C2157" s="19" t="s">
        <v>4468</v>
      </c>
      <c r="D2157" s="19" t="s">
        <v>91</v>
      </c>
      <c r="E2157" s="19" t="s">
        <v>92</v>
      </c>
      <c r="F2157" s="19" t="s">
        <v>1113</v>
      </c>
      <c r="G2157" s="19" t="s">
        <v>1008</v>
      </c>
      <c r="H2157" s="19" t="s">
        <v>1001</v>
      </c>
      <c r="I2157" s="19" t="s">
        <v>1575</v>
      </c>
      <c r="J2157" s="20">
        <v>23</v>
      </c>
      <c r="K2157" t="s">
        <v>636</v>
      </c>
      <c r="L2157" t="s">
        <v>634</v>
      </c>
      <c r="M2157" t="s">
        <v>629</v>
      </c>
      <c r="N2157" t="s">
        <v>630</v>
      </c>
      <c r="O2157" t="s">
        <v>734</v>
      </c>
    </row>
    <row r="2158" spans="1:15" x14ac:dyDescent="0.35">
      <c r="A2158" s="77">
        <v>1.6328767123287671</v>
      </c>
      <c r="B2158" s="19">
        <v>92991</v>
      </c>
      <c r="C2158" s="19" t="s">
        <v>4469</v>
      </c>
      <c r="D2158" s="19" t="s">
        <v>600</v>
      </c>
      <c r="E2158" s="19" t="e">
        <v>#N/A</v>
      </c>
      <c r="F2158" s="19" t="s">
        <v>1201</v>
      </c>
      <c r="G2158" s="19" t="s">
        <v>1028</v>
      </c>
      <c r="H2158" s="19" t="s">
        <v>1020</v>
      </c>
      <c r="I2158" s="19" t="s">
        <v>1575</v>
      </c>
      <c r="J2158" s="20">
        <v>27</v>
      </c>
      <c r="K2158" t="s">
        <v>668</v>
      </c>
      <c r="L2158" t="s">
        <v>622</v>
      </c>
      <c r="M2158" t="s">
        <v>623</v>
      </c>
      <c r="N2158" t="s">
        <v>624</v>
      </c>
      <c r="O2158" t="s">
        <v>649</v>
      </c>
    </row>
    <row r="2159" spans="1:15" x14ac:dyDescent="0.35">
      <c r="A2159" s="77">
        <v>1.6328767123287671</v>
      </c>
      <c r="B2159" s="19">
        <v>92995</v>
      </c>
      <c r="C2159" s="19" t="s">
        <v>4470</v>
      </c>
      <c r="D2159" s="19" t="s">
        <v>256</v>
      </c>
      <c r="E2159" s="19" t="s">
        <v>257</v>
      </c>
      <c r="F2159" s="19" t="s">
        <v>1005</v>
      </c>
      <c r="G2159" s="19" t="s">
        <v>1057</v>
      </c>
      <c r="H2159" s="19" t="s">
        <v>1001</v>
      </c>
      <c r="I2159" s="19" t="s">
        <v>1599</v>
      </c>
      <c r="J2159" s="20">
        <v>24</v>
      </c>
      <c r="K2159" t="s">
        <v>668</v>
      </c>
      <c r="L2159" t="s">
        <v>651</v>
      </c>
      <c r="M2159" t="s">
        <v>629</v>
      </c>
      <c r="N2159" t="s">
        <v>630</v>
      </c>
      <c r="O2159" t="s">
        <v>705</v>
      </c>
    </row>
    <row r="2160" spans="1:15" x14ac:dyDescent="0.35">
      <c r="A2160" s="77">
        <v>1.6328767123287671</v>
      </c>
      <c r="B2160" s="19">
        <v>93001</v>
      </c>
      <c r="C2160" s="19" t="s">
        <v>4471</v>
      </c>
      <c r="D2160" s="19" t="s">
        <v>169</v>
      </c>
      <c r="E2160" s="19" t="s">
        <v>170</v>
      </c>
      <c r="F2160" s="19" t="s">
        <v>1274</v>
      </c>
      <c r="G2160" s="19" t="s">
        <v>1008</v>
      </c>
      <c r="H2160" s="19" t="s">
        <v>1001</v>
      </c>
      <c r="I2160" s="19" t="s">
        <v>1575</v>
      </c>
      <c r="J2160" s="20">
        <v>21</v>
      </c>
      <c r="K2160" t="s">
        <v>631</v>
      </c>
      <c r="L2160" t="s">
        <v>670</v>
      </c>
      <c r="M2160" t="s">
        <v>657</v>
      </c>
      <c r="N2160" t="s">
        <v>641</v>
      </c>
      <c r="O2160" t="s">
        <v>772</v>
      </c>
    </row>
    <row r="2161" spans="1:15" x14ac:dyDescent="0.35">
      <c r="A2161" s="77">
        <v>1.6246575342465754</v>
      </c>
      <c r="B2161" s="19">
        <v>93014</v>
      </c>
      <c r="C2161" s="19" t="s">
        <v>4472</v>
      </c>
      <c r="D2161" s="19" t="s">
        <v>385</v>
      </c>
      <c r="E2161" s="19" t="s">
        <v>386</v>
      </c>
      <c r="F2161" s="19" t="s">
        <v>1059</v>
      </c>
      <c r="G2161" s="19" t="s">
        <v>1057</v>
      </c>
      <c r="H2161" s="19" t="s">
        <v>1001</v>
      </c>
      <c r="I2161" s="19" t="s">
        <v>1575</v>
      </c>
      <c r="J2161" s="20">
        <v>21</v>
      </c>
      <c r="K2161" t="s">
        <v>631</v>
      </c>
      <c r="L2161" t="s">
        <v>663</v>
      </c>
      <c r="M2161" t="s">
        <v>629</v>
      </c>
      <c r="N2161" t="s">
        <v>646</v>
      </c>
      <c r="O2161" t="s">
        <v>810</v>
      </c>
    </row>
    <row r="2162" spans="1:15" x14ac:dyDescent="0.35">
      <c r="A2162" s="77">
        <v>1.6219178082191781</v>
      </c>
      <c r="B2162" s="19">
        <v>93039</v>
      </c>
      <c r="C2162" s="19" t="s">
        <v>4473</v>
      </c>
      <c r="D2162" s="19" t="s">
        <v>211</v>
      </c>
      <c r="E2162" s="19" t="s">
        <v>212</v>
      </c>
      <c r="F2162" s="19" t="s">
        <v>1049</v>
      </c>
      <c r="G2162" s="19" t="s">
        <v>1028</v>
      </c>
      <c r="H2162" s="19" t="s">
        <v>1020</v>
      </c>
      <c r="I2162" s="19" t="s">
        <v>1599</v>
      </c>
      <c r="J2162" s="20">
        <v>20</v>
      </c>
      <c r="K2162" t="s">
        <v>654</v>
      </c>
      <c r="L2162" t="s">
        <v>691</v>
      </c>
      <c r="M2162" t="s">
        <v>657</v>
      </c>
      <c r="N2162" t="s">
        <v>658</v>
      </c>
      <c r="O2162" t="s">
        <v>632</v>
      </c>
    </row>
    <row r="2163" spans="1:15" x14ac:dyDescent="0.35">
      <c r="A2163" s="77">
        <v>1.6219178082191781</v>
      </c>
      <c r="B2163" s="19">
        <v>93054</v>
      </c>
      <c r="C2163" s="19" t="s">
        <v>4474</v>
      </c>
      <c r="D2163" s="19" t="s">
        <v>76</v>
      </c>
      <c r="E2163" s="19" t="s">
        <v>77</v>
      </c>
      <c r="F2163" s="19" t="s">
        <v>899</v>
      </c>
      <c r="G2163" s="19" t="s">
        <v>1008</v>
      </c>
      <c r="H2163" s="19" t="s">
        <v>1001</v>
      </c>
      <c r="I2163" s="19" t="s">
        <v>1599</v>
      </c>
      <c r="J2163" s="20">
        <v>28</v>
      </c>
      <c r="K2163" t="s">
        <v>636</v>
      </c>
      <c r="L2163" t="s">
        <v>645</v>
      </c>
      <c r="M2163" t="s">
        <v>629</v>
      </c>
      <c r="N2163" t="s">
        <v>646</v>
      </c>
      <c r="O2163" t="s">
        <v>632</v>
      </c>
    </row>
    <row r="2164" spans="1:15" x14ac:dyDescent="0.35">
      <c r="A2164" s="77">
        <v>1.6191780821917807</v>
      </c>
      <c r="B2164" s="19">
        <v>93063</v>
      </c>
      <c r="C2164" s="19" t="s">
        <v>4475</v>
      </c>
      <c r="D2164" s="19" t="s">
        <v>53</v>
      </c>
      <c r="E2164" s="19" t="s">
        <v>54</v>
      </c>
      <c r="F2164" s="19" t="s">
        <v>1308</v>
      </c>
      <c r="G2164" s="19" t="s">
        <v>1046</v>
      </c>
      <c r="H2164" s="19" t="s">
        <v>1001</v>
      </c>
      <c r="I2164" s="19" t="s">
        <v>1599</v>
      </c>
      <c r="J2164" s="20">
        <v>22</v>
      </c>
      <c r="K2164" t="s">
        <v>668</v>
      </c>
      <c r="L2164" t="s">
        <v>691</v>
      </c>
      <c r="M2164" t="s">
        <v>657</v>
      </c>
      <c r="N2164" t="s">
        <v>658</v>
      </c>
      <c r="O2164" t="s">
        <v>632</v>
      </c>
    </row>
    <row r="2165" spans="1:15" x14ac:dyDescent="0.35">
      <c r="A2165" s="77">
        <v>1.5972602739726027</v>
      </c>
      <c r="B2165" s="19">
        <v>93068</v>
      </c>
      <c r="C2165" s="19" t="s">
        <v>4476</v>
      </c>
      <c r="D2165" s="19" t="s">
        <v>425</v>
      </c>
      <c r="E2165" s="19" t="s">
        <v>425</v>
      </c>
      <c r="F2165" s="19" t="s">
        <v>1330</v>
      </c>
      <c r="G2165" s="19" t="s">
        <v>1028</v>
      </c>
      <c r="H2165" s="19" t="s">
        <v>1020</v>
      </c>
      <c r="I2165" s="19" t="s">
        <v>1599</v>
      </c>
      <c r="J2165" s="20">
        <v>24</v>
      </c>
      <c r="K2165" t="s">
        <v>654</v>
      </c>
      <c r="L2165" t="s">
        <v>678</v>
      </c>
      <c r="M2165" t="s">
        <v>623</v>
      </c>
      <c r="N2165" t="s">
        <v>624</v>
      </c>
      <c r="O2165" t="s">
        <v>689</v>
      </c>
    </row>
    <row r="2166" spans="1:15" x14ac:dyDescent="0.35">
      <c r="A2166" s="77">
        <v>3.0136986301369864E-2</v>
      </c>
      <c r="B2166" s="19">
        <v>93123</v>
      </c>
      <c r="C2166" s="19" t="s">
        <v>4477</v>
      </c>
      <c r="D2166" s="19" t="s">
        <v>333</v>
      </c>
      <c r="E2166" s="19" t="s">
        <v>334</v>
      </c>
      <c r="F2166" s="19" t="s">
        <v>1333</v>
      </c>
      <c r="G2166" s="19" t="s">
        <v>1084</v>
      </c>
      <c r="H2166" s="19" t="s">
        <v>1001</v>
      </c>
      <c r="I2166" s="19" t="s">
        <v>1575</v>
      </c>
      <c r="J2166" s="20">
        <v>43</v>
      </c>
      <c r="K2166" t="s">
        <v>636</v>
      </c>
      <c r="L2166" t="s">
        <v>666</v>
      </c>
      <c r="M2166" t="s">
        <v>629</v>
      </c>
      <c r="N2166" t="s">
        <v>630</v>
      </c>
      <c r="O2166" t="s">
        <v>652</v>
      </c>
    </row>
    <row r="2167" spans="1:15" x14ac:dyDescent="0.35">
      <c r="A2167" s="77">
        <v>1.6164383561643836</v>
      </c>
      <c r="B2167" s="19">
        <v>93128</v>
      </c>
      <c r="C2167" s="19" t="s">
        <v>4478</v>
      </c>
      <c r="D2167" s="19" t="s">
        <v>28</v>
      </c>
      <c r="E2167" s="19" t="s">
        <v>28</v>
      </c>
      <c r="F2167" s="19" t="s">
        <v>916</v>
      </c>
      <c r="G2167" s="19" t="s">
        <v>1008</v>
      </c>
      <c r="H2167" s="19" t="s">
        <v>1001</v>
      </c>
      <c r="I2167" s="19" t="s">
        <v>1575</v>
      </c>
      <c r="J2167" s="20">
        <v>26</v>
      </c>
      <c r="K2167" t="s">
        <v>654</v>
      </c>
      <c r="L2167" t="s">
        <v>670</v>
      </c>
      <c r="M2167" t="s">
        <v>657</v>
      </c>
      <c r="N2167" t="s">
        <v>641</v>
      </c>
      <c r="O2167" t="s">
        <v>671</v>
      </c>
    </row>
    <row r="2168" spans="1:15" x14ac:dyDescent="0.35">
      <c r="A2168" s="77">
        <v>1.6136986301369862</v>
      </c>
      <c r="B2168" s="19">
        <v>93133</v>
      </c>
      <c r="C2168" s="19" t="s">
        <v>4479</v>
      </c>
      <c r="D2168" s="19" t="s">
        <v>181</v>
      </c>
      <c r="E2168" s="19" t="s">
        <v>182</v>
      </c>
      <c r="F2168" s="19" t="s">
        <v>1374</v>
      </c>
      <c r="G2168" s="19" t="s">
        <v>3508</v>
      </c>
      <c r="H2168" s="19" t="s">
        <v>1020</v>
      </c>
      <c r="I2168" s="19" t="s">
        <v>1599</v>
      </c>
      <c r="J2168" s="20">
        <v>16</v>
      </c>
      <c r="K2168" t="s">
        <v>625</v>
      </c>
      <c r="L2168" t="s">
        <v>678</v>
      </c>
      <c r="M2168" t="s">
        <v>623</v>
      </c>
      <c r="N2168" t="s">
        <v>624</v>
      </c>
      <c r="O2168" t="s">
        <v>679</v>
      </c>
    </row>
    <row r="2169" spans="1:15" x14ac:dyDescent="0.35">
      <c r="A2169" s="77">
        <v>1.6054794520547946</v>
      </c>
      <c r="B2169" s="19">
        <v>93165</v>
      </c>
      <c r="C2169" s="19" t="s">
        <v>4480</v>
      </c>
      <c r="D2169" s="19" t="s">
        <v>266</v>
      </c>
      <c r="E2169" s="19" t="s">
        <v>267</v>
      </c>
      <c r="F2169" s="19" t="s">
        <v>2070</v>
      </c>
      <c r="G2169" s="19" t="s">
        <v>1028</v>
      </c>
      <c r="H2169" s="19" t="s">
        <v>1020</v>
      </c>
      <c r="I2169" s="19" t="s">
        <v>1599</v>
      </c>
      <c r="J2169" s="20">
        <v>20</v>
      </c>
      <c r="K2169" t="s">
        <v>636</v>
      </c>
      <c r="L2169" t="s">
        <v>634</v>
      </c>
      <c r="M2169" t="s">
        <v>629</v>
      </c>
      <c r="N2169" t="s">
        <v>635</v>
      </c>
      <c r="O2169" t="s">
        <v>637</v>
      </c>
    </row>
    <row r="2170" spans="1:15" x14ac:dyDescent="0.35">
      <c r="A2170" s="77">
        <v>0.14246575342465753</v>
      </c>
      <c r="B2170" s="19">
        <v>93171</v>
      </c>
      <c r="C2170" s="19" t="s">
        <v>4481</v>
      </c>
      <c r="D2170" s="19" t="s">
        <v>100</v>
      </c>
      <c r="E2170" s="19" t="s">
        <v>101</v>
      </c>
      <c r="F2170" s="19" t="s">
        <v>2786</v>
      </c>
      <c r="G2170" s="19" t="s">
        <v>1028</v>
      </c>
      <c r="H2170" s="19" t="s">
        <v>1020</v>
      </c>
      <c r="I2170" s="19" t="s">
        <v>1575</v>
      </c>
      <c r="J2170" s="20">
        <v>24</v>
      </c>
      <c r="K2170" t="s">
        <v>654</v>
      </c>
      <c r="L2170" t="s">
        <v>651</v>
      </c>
      <c r="M2170" t="s">
        <v>629</v>
      </c>
      <c r="N2170" t="s">
        <v>630</v>
      </c>
      <c r="O2170" t="s">
        <v>705</v>
      </c>
    </row>
    <row r="2171" spans="1:15" x14ac:dyDescent="0.35">
      <c r="A2171" s="77">
        <v>0.61095890410958908</v>
      </c>
      <c r="B2171" s="19">
        <v>93172</v>
      </c>
      <c r="C2171" s="19" t="s">
        <v>4482</v>
      </c>
      <c r="D2171" s="19" t="s">
        <v>128</v>
      </c>
      <c r="E2171" s="19" t="s">
        <v>129</v>
      </c>
      <c r="F2171" s="19" t="s">
        <v>1075</v>
      </c>
      <c r="G2171" s="19" t="s">
        <v>1028</v>
      </c>
      <c r="H2171" s="19" t="s">
        <v>1020</v>
      </c>
      <c r="I2171" s="19" t="s">
        <v>1575</v>
      </c>
      <c r="J2171" s="20">
        <v>24</v>
      </c>
      <c r="K2171" t="s">
        <v>636</v>
      </c>
      <c r="L2171" t="s">
        <v>678</v>
      </c>
      <c r="M2171" t="s">
        <v>623</v>
      </c>
      <c r="N2171" t="s">
        <v>624</v>
      </c>
      <c r="O2171" t="s">
        <v>679</v>
      </c>
    </row>
    <row r="2172" spans="1:15" x14ac:dyDescent="0.35">
      <c r="A2172" s="77">
        <v>1.6027397260273972</v>
      </c>
      <c r="B2172" s="19">
        <v>93180</v>
      </c>
      <c r="C2172" s="19" t="s">
        <v>4483</v>
      </c>
      <c r="D2172" s="19" t="s">
        <v>425</v>
      </c>
      <c r="E2172" s="19" t="s">
        <v>425</v>
      </c>
      <c r="F2172" s="19" t="s">
        <v>1330</v>
      </c>
      <c r="G2172" s="19" t="s">
        <v>3508</v>
      </c>
      <c r="H2172" s="19" t="s">
        <v>1020</v>
      </c>
      <c r="I2172" s="19" t="s">
        <v>1575</v>
      </c>
      <c r="J2172" s="20">
        <v>23</v>
      </c>
      <c r="K2172" t="s">
        <v>654</v>
      </c>
      <c r="L2172" t="s">
        <v>678</v>
      </c>
      <c r="M2172" t="s">
        <v>623</v>
      </c>
      <c r="N2172" t="s">
        <v>624</v>
      </c>
      <c r="O2172" t="s">
        <v>689</v>
      </c>
    </row>
    <row r="2173" spans="1:15" x14ac:dyDescent="0.35">
      <c r="A2173" s="77">
        <v>1.6027397260273972</v>
      </c>
      <c r="B2173" s="19">
        <v>93208</v>
      </c>
      <c r="C2173" s="19" t="s">
        <v>4484</v>
      </c>
      <c r="D2173" s="19" t="s">
        <v>8</v>
      </c>
      <c r="E2173" s="19" t="s">
        <v>8</v>
      </c>
      <c r="F2173" s="19" t="s">
        <v>1176</v>
      </c>
      <c r="G2173" s="19" t="s">
        <v>1008</v>
      </c>
      <c r="H2173" s="19" t="s">
        <v>1001</v>
      </c>
      <c r="I2173" s="19" t="s">
        <v>1575</v>
      </c>
      <c r="J2173" s="20">
        <v>25</v>
      </c>
      <c r="K2173" t="s">
        <v>625</v>
      </c>
      <c r="L2173" t="s">
        <v>622</v>
      </c>
      <c r="M2173" t="s">
        <v>623</v>
      </c>
      <c r="N2173" t="s">
        <v>624</v>
      </c>
      <c r="O2173" t="s">
        <v>626</v>
      </c>
    </row>
    <row r="2174" spans="1:15" x14ac:dyDescent="0.35">
      <c r="A2174" s="77">
        <v>1.6027397260273972</v>
      </c>
      <c r="B2174" s="19">
        <v>93209</v>
      </c>
      <c r="C2174" s="19" t="s">
        <v>4485</v>
      </c>
      <c r="D2174" s="19" t="s">
        <v>73</v>
      </c>
      <c r="E2174" s="19" t="s">
        <v>74</v>
      </c>
      <c r="F2174" s="19" t="s">
        <v>1178</v>
      </c>
      <c r="G2174" s="19" t="s">
        <v>1008</v>
      </c>
      <c r="H2174" s="19" t="s">
        <v>1001</v>
      </c>
      <c r="I2174" s="19" t="s">
        <v>1575</v>
      </c>
      <c r="J2174" s="20">
        <v>28</v>
      </c>
      <c r="K2174" t="s">
        <v>654</v>
      </c>
      <c r="L2174" t="s">
        <v>648</v>
      </c>
      <c r="M2174" t="s">
        <v>623</v>
      </c>
      <c r="N2174" t="s">
        <v>624</v>
      </c>
      <c r="O2174" t="s">
        <v>725</v>
      </c>
    </row>
    <row r="2175" spans="1:15" x14ac:dyDescent="0.35">
      <c r="A2175" s="77">
        <v>5.4794520547945202E-2</v>
      </c>
      <c r="B2175" s="19">
        <v>93215</v>
      </c>
      <c r="C2175" s="19" t="s">
        <v>4486</v>
      </c>
      <c r="D2175" s="19" t="s">
        <v>276</v>
      </c>
      <c r="E2175" s="19" t="s">
        <v>277</v>
      </c>
      <c r="F2175" s="19" t="s">
        <v>893</v>
      </c>
      <c r="G2175" s="19" t="s">
        <v>1008</v>
      </c>
      <c r="H2175" s="19" t="s">
        <v>1001</v>
      </c>
      <c r="I2175" s="19" t="s">
        <v>1575</v>
      </c>
      <c r="J2175" s="20">
        <v>37</v>
      </c>
      <c r="K2175" t="s">
        <v>631</v>
      </c>
      <c r="L2175" t="s">
        <v>707</v>
      </c>
      <c r="M2175" t="s">
        <v>629</v>
      </c>
      <c r="N2175" t="s">
        <v>635</v>
      </c>
      <c r="O2175" t="s">
        <v>710</v>
      </c>
    </row>
    <row r="2176" spans="1:15" x14ac:dyDescent="0.35">
      <c r="A2176" s="77">
        <v>1.5945205479452054</v>
      </c>
      <c r="B2176" s="19">
        <v>93224</v>
      </c>
      <c r="C2176" s="19" t="s">
        <v>4487</v>
      </c>
      <c r="D2176" s="19" t="s">
        <v>181</v>
      </c>
      <c r="E2176" s="19" t="s">
        <v>182</v>
      </c>
      <c r="F2176" s="19" t="s">
        <v>1374</v>
      </c>
      <c r="G2176" s="19" t="s">
        <v>3508</v>
      </c>
      <c r="H2176" s="19" t="s">
        <v>1020</v>
      </c>
      <c r="I2176" s="19" t="s">
        <v>1575</v>
      </c>
      <c r="J2176" s="20">
        <v>17</v>
      </c>
      <c r="K2176" t="s">
        <v>625</v>
      </c>
      <c r="L2176" t="s">
        <v>678</v>
      </c>
      <c r="M2176" t="s">
        <v>623</v>
      </c>
      <c r="N2176" t="s">
        <v>624</v>
      </c>
      <c r="O2176" t="s">
        <v>679</v>
      </c>
    </row>
    <row r="2177" spans="1:15" x14ac:dyDescent="0.35">
      <c r="A2177" s="77">
        <v>1.5945205479452054</v>
      </c>
      <c r="B2177" s="19">
        <v>93231</v>
      </c>
      <c r="C2177" s="19" t="s">
        <v>4488</v>
      </c>
      <c r="D2177" s="19" t="s">
        <v>53</v>
      </c>
      <c r="E2177" s="19" t="s">
        <v>54</v>
      </c>
      <c r="F2177" s="19" t="s">
        <v>1308</v>
      </c>
      <c r="G2177" s="19" t="s">
        <v>1057</v>
      </c>
      <c r="H2177" s="19" t="s">
        <v>1001</v>
      </c>
      <c r="I2177" s="19" t="s">
        <v>1575</v>
      </c>
      <c r="J2177" s="20">
        <v>22</v>
      </c>
      <c r="K2177" t="s">
        <v>668</v>
      </c>
      <c r="L2177" t="s">
        <v>691</v>
      </c>
      <c r="M2177" t="s">
        <v>657</v>
      </c>
      <c r="N2177" t="s">
        <v>658</v>
      </c>
      <c r="O2177" t="s">
        <v>632</v>
      </c>
    </row>
    <row r="2178" spans="1:15" x14ac:dyDescent="0.35">
      <c r="A2178" s="77">
        <v>1.5945205479452054</v>
      </c>
      <c r="B2178" s="19">
        <v>93233</v>
      </c>
      <c r="C2178" s="19" t="s">
        <v>4489</v>
      </c>
      <c r="D2178" s="19" t="s">
        <v>278</v>
      </c>
      <c r="E2178" s="19" t="s">
        <v>279</v>
      </c>
      <c r="F2178" s="19" t="s">
        <v>1131</v>
      </c>
      <c r="G2178" s="19" t="s">
        <v>1057</v>
      </c>
      <c r="H2178" s="19" t="s">
        <v>1001</v>
      </c>
      <c r="I2178" s="19" t="s">
        <v>1599</v>
      </c>
      <c r="J2178" s="20">
        <v>25</v>
      </c>
      <c r="K2178" t="s">
        <v>625</v>
      </c>
      <c r="L2178" t="s">
        <v>661</v>
      </c>
      <c r="M2178" t="s">
        <v>657</v>
      </c>
      <c r="N2178" t="s">
        <v>662</v>
      </c>
      <c r="O2178" t="s">
        <v>632</v>
      </c>
    </row>
    <row r="2179" spans="1:15" x14ac:dyDescent="0.35">
      <c r="A2179" s="77">
        <v>1.5945205479452054</v>
      </c>
      <c r="B2179" s="19">
        <v>93234</v>
      </c>
      <c r="C2179" s="19" t="s">
        <v>4490</v>
      </c>
      <c r="D2179" s="19" t="s">
        <v>278</v>
      </c>
      <c r="E2179" s="19" t="s">
        <v>279</v>
      </c>
      <c r="F2179" s="19" t="s">
        <v>1131</v>
      </c>
      <c r="G2179" s="19" t="s">
        <v>1057</v>
      </c>
      <c r="H2179" s="19" t="s">
        <v>1001</v>
      </c>
      <c r="I2179" s="19" t="s">
        <v>1599</v>
      </c>
      <c r="J2179" s="20">
        <v>20</v>
      </c>
      <c r="K2179" t="s">
        <v>625</v>
      </c>
      <c r="L2179" t="s">
        <v>661</v>
      </c>
      <c r="M2179" t="s">
        <v>657</v>
      </c>
      <c r="N2179" t="s">
        <v>662</v>
      </c>
      <c r="O2179" t="s">
        <v>632</v>
      </c>
    </row>
    <row r="2180" spans="1:15" x14ac:dyDescent="0.35">
      <c r="A2180" s="77">
        <v>1.5890410958904109</v>
      </c>
      <c r="B2180" s="19">
        <v>93239</v>
      </c>
      <c r="C2180" s="19" t="s">
        <v>4491</v>
      </c>
      <c r="D2180" s="19" t="s">
        <v>18</v>
      </c>
      <c r="E2180" s="19" t="s">
        <v>18</v>
      </c>
      <c r="F2180" s="19" t="s">
        <v>650</v>
      </c>
      <c r="G2180" s="19" t="s">
        <v>1028</v>
      </c>
      <c r="H2180" s="19" t="s">
        <v>1020</v>
      </c>
      <c r="I2180" s="19" t="s">
        <v>1575</v>
      </c>
      <c r="J2180" s="20">
        <v>48</v>
      </c>
      <c r="K2180" t="s">
        <v>636</v>
      </c>
      <c r="L2180" t="s">
        <v>651</v>
      </c>
      <c r="M2180" t="s">
        <v>629</v>
      </c>
      <c r="N2180" t="s">
        <v>630</v>
      </c>
      <c r="O2180" t="s">
        <v>652</v>
      </c>
    </row>
    <row r="2181" spans="1:15" x14ac:dyDescent="0.35">
      <c r="A2181" s="77">
        <v>0.91506849315068495</v>
      </c>
      <c r="B2181" s="19">
        <v>93249</v>
      </c>
      <c r="C2181" s="19" t="s">
        <v>4492</v>
      </c>
      <c r="D2181" s="19" t="s">
        <v>155</v>
      </c>
      <c r="E2181" s="19" t="s">
        <v>156</v>
      </c>
      <c r="F2181" s="19" t="s">
        <v>896</v>
      </c>
      <c r="G2181" s="19" t="s">
        <v>1057</v>
      </c>
      <c r="H2181" s="19" t="s">
        <v>1001</v>
      </c>
      <c r="I2181" s="19" t="s">
        <v>1599</v>
      </c>
      <c r="J2181" s="20">
        <v>22</v>
      </c>
      <c r="K2181" t="s">
        <v>636</v>
      </c>
      <c r="L2181" t="s">
        <v>663</v>
      </c>
      <c r="M2181" t="s">
        <v>629</v>
      </c>
      <c r="N2181" t="s">
        <v>646</v>
      </c>
      <c r="O2181" t="s">
        <v>639</v>
      </c>
    </row>
    <row r="2182" spans="1:15" x14ac:dyDescent="0.35">
      <c r="A2182" s="77">
        <v>1.5780821917808219</v>
      </c>
      <c r="B2182" s="19">
        <v>93275</v>
      </c>
      <c r="C2182" s="19" t="s">
        <v>4493</v>
      </c>
      <c r="D2182" s="19" t="s">
        <v>328</v>
      </c>
      <c r="E2182" s="19" t="s">
        <v>329</v>
      </c>
      <c r="F2182" s="19" t="s">
        <v>838</v>
      </c>
      <c r="G2182" s="19" t="s">
        <v>1008</v>
      </c>
      <c r="H2182" s="19" t="s">
        <v>1001</v>
      </c>
      <c r="I2182" s="19" t="s">
        <v>1575</v>
      </c>
      <c r="J2182" s="20">
        <v>19</v>
      </c>
      <c r="K2182" t="s">
        <v>631</v>
      </c>
      <c r="L2182" t="s">
        <v>645</v>
      </c>
      <c r="M2182" t="s">
        <v>629</v>
      </c>
      <c r="N2182" t="s">
        <v>646</v>
      </c>
      <c r="O2182" t="s">
        <v>632</v>
      </c>
    </row>
    <row r="2183" spans="1:15" x14ac:dyDescent="0.35">
      <c r="A2183" s="77">
        <v>1.5780821917808219</v>
      </c>
      <c r="B2183" s="19">
        <v>93278</v>
      </c>
      <c r="C2183" s="19" t="s">
        <v>4494</v>
      </c>
      <c r="D2183" s="19" t="s">
        <v>62</v>
      </c>
      <c r="E2183" s="19" t="s">
        <v>63</v>
      </c>
      <c r="F2183" s="19" t="s">
        <v>1228</v>
      </c>
      <c r="G2183" s="19" t="s">
        <v>1008</v>
      </c>
      <c r="H2183" s="19" t="s">
        <v>1001</v>
      </c>
      <c r="I2183" s="19" t="s">
        <v>1575</v>
      </c>
      <c r="J2183" s="20">
        <v>21</v>
      </c>
      <c r="K2183" t="s">
        <v>636</v>
      </c>
      <c r="L2183" t="s">
        <v>645</v>
      </c>
      <c r="M2183" t="s">
        <v>629</v>
      </c>
      <c r="N2183" t="s">
        <v>646</v>
      </c>
      <c r="O2183" t="s">
        <v>632</v>
      </c>
    </row>
    <row r="2184" spans="1:15" x14ac:dyDescent="0.35">
      <c r="A2184" s="77">
        <v>1.5780821917808219</v>
      </c>
      <c r="B2184" s="19">
        <v>93291</v>
      </c>
      <c r="C2184" s="19" t="s">
        <v>4495</v>
      </c>
      <c r="D2184" s="19" t="s">
        <v>260</v>
      </c>
      <c r="E2184" s="19" t="s">
        <v>261</v>
      </c>
      <c r="F2184" s="19" t="s">
        <v>1109</v>
      </c>
      <c r="G2184" s="19" t="s">
        <v>1008</v>
      </c>
      <c r="H2184" s="19" t="s">
        <v>1001</v>
      </c>
      <c r="I2184" s="19" t="s">
        <v>1575</v>
      </c>
      <c r="J2184" s="20">
        <v>23</v>
      </c>
      <c r="K2184" t="s">
        <v>636</v>
      </c>
      <c r="L2184" t="s">
        <v>656</v>
      </c>
      <c r="M2184" t="s">
        <v>657</v>
      </c>
      <c r="N2184" t="s">
        <v>658</v>
      </c>
      <c r="O2184" t="s">
        <v>808</v>
      </c>
    </row>
    <row r="2185" spans="1:15" x14ac:dyDescent="0.35">
      <c r="A2185" s="77">
        <v>0.22191780821917809</v>
      </c>
      <c r="B2185" s="19">
        <v>93308</v>
      </c>
      <c r="C2185" s="19" t="s">
        <v>4496</v>
      </c>
      <c r="D2185" s="19" t="s">
        <v>175</v>
      </c>
      <c r="E2185" s="19" t="s">
        <v>176</v>
      </c>
      <c r="F2185" s="19" t="s">
        <v>1538</v>
      </c>
      <c r="G2185" s="19" t="s">
        <v>1028</v>
      </c>
      <c r="H2185" s="19" t="s">
        <v>1020</v>
      </c>
      <c r="I2185" s="19" t="s">
        <v>1575</v>
      </c>
      <c r="J2185" s="20">
        <v>19</v>
      </c>
      <c r="K2185" t="s">
        <v>668</v>
      </c>
      <c r="L2185" t="s">
        <v>707</v>
      </c>
      <c r="M2185" t="s">
        <v>629</v>
      </c>
      <c r="N2185" t="s">
        <v>635</v>
      </c>
      <c r="O2185" t="s">
        <v>710</v>
      </c>
    </row>
    <row r="2186" spans="1:15" x14ac:dyDescent="0.35">
      <c r="A2186" s="77">
        <v>1.5780821917808219</v>
      </c>
      <c r="B2186" s="19">
        <v>93316</v>
      </c>
      <c r="C2186" s="19" t="s">
        <v>4497</v>
      </c>
      <c r="D2186" s="19" t="s">
        <v>318</v>
      </c>
      <c r="E2186" s="19" t="s">
        <v>319</v>
      </c>
      <c r="F2186" s="19" t="s">
        <v>1266</v>
      </c>
      <c r="G2186" s="19" t="s">
        <v>1158</v>
      </c>
      <c r="H2186" s="19" t="s">
        <v>1001</v>
      </c>
      <c r="I2186" s="19" t="s">
        <v>1575</v>
      </c>
      <c r="J2186" s="20">
        <v>20</v>
      </c>
      <c r="K2186" t="s">
        <v>625</v>
      </c>
      <c r="L2186" t="s">
        <v>678</v>
      </c>
      <c r="M2186" t="s">
        <v>623</v>
      </c>
      <c r="N2186" t="s">
        <v>624</v>
      </c>
      <c r="O2186" t="s">
        <v>679</v>
      </c>
    </row>
    <row r="2187" spans="1:15" x14ac:dyDescent="0.35">
      <c r="A2187" s="77">
        <v>1.5780821917808219</v>
      </c>
      <c r="B2187" s="19">
        <v>93319</v>
      </c>
      <c r="C2187" s="19" t="s">
        <v>4498</v>
      </c>
      <c r="D2187" s="19" t="s">
        <v>295</v>
      </c>
      <c r="E2187" s="19" t="s">
        <v>296</v>
      </c>
      <c r="F2187" s="19" t="s">
        <v>1095</v>
      </c>
      <c r="G2187" s="19" t="s">
        <v>1008</v>
      </c>
      <c r="H2187" s="19" t="s">
        <v>1001</v>
      </c>
      <c r="I2187" s="19" t="s">
        <v>1575</v>
      </c>
      <c r="J2187" s="20">
        <v>27</v>
      </c>
      <c r="K2187" t="s">
        <v>654</v>
      </c>
      <c r="L2187" t="s">
        <v>651</v>
      </c>
      <c r="M2187" t="s">
        <v>629</v>
      </c>
      <c r="N2187" t="s">
        <v>630</v>
      </c>
      <c r="O2187" t="s">
        <v>705</v>
      </c>
    </row>
    <row r="2188" spans="1:15" x14ac:dyDescent="0.35">
      <c r="A2188" s="77">
        <v>1.5780821917808219</v>
      </c>
      <c r="B2188" s="19">
        <v>93320</v>
      </c>
      <c r="C2188" s="19" t="s">
        <v>4499</v>
      </c>
      <c r="D2188" s="19" t="s">
        <v>295</v>
      </c>
      <c r="E2188" s="19" t="s">
        <v>296</v>
      </c>
      <c r="F2188" s="19" t="s">
        <v>1095</v>
      </c>
      <c r="G2188" s="19" t="s">
        <v>1057</v>
      </c>
      <c r="H2188" s="19" t="s">
        <v>1001</v>
      </c>
      <c r="I2188" s="19" t="s">
        <v>1575</v>
      </c>
      <c r="J2188" s="20">
        <v>29</v>
      </c>
      <c r="K2188" t="s">
        <v>654</v>
      </c>
      <c r="L2188" t="s">
        <v>651</v>
      </c>
      <c r="M2188" t="s">
        <v>629</v>
      </c>
      <c r="N2188" t="s">
        <v>630</v>
      </c>
      <c r="O2188" t="s">
        <v>705</v>
      </c>
    </row>
    <row r="2189" spans="1:15" x14ac:dyDescent="0.35">
      <c r="A2189" s="77">
        <v>1.5753424657534247</v>
      </c>
      <c r="B2189" s="19">
        <v>93322</v>
      </c>
      <c r="C2189" s="19" t="s">
        <v>4500</v>
      </c>
      <c r="D2189" s="19" t="s">
        <v>60</v>
      </c>
      <c r="E2189" s="19" t="s">
        <v>61</v>
      </c>
      <c r="F2189" s="19" t="s">
        <v>1119</v>
      </c>
      <c r="G2189" s="19" t="s">
        <v>1034</v>
      </c>
      <c r="H2189" s="19" t="s">
        <v>1001</v>
      </c>
      <c r="I2189" s="19" t="s">
        <v>1575</v>
      </c>
      <c r="J2189" s="20">
        <v>19</v>
      </c>
      <c r="K2189" t="s">
        <v>654</v>
      </c>
      <c r="L2189" t="s">
        <v>651</v>
      </c>
      <c r="M2189" t="s">
        <v>629</v>
      </c>
      <c r="N2189" t="s">
        <v>630</v>
      </c>
      <c r="O2189" t="s">
        <v>705</v>
      </c>
    </row>
    <row r="2190" spans="1:15" x14ac:dyDescent="0.35">
      <c r="A2190" s="77">
        <v>1.5753424657534247</v>
      </c>
      <c r="B2190" s="19">
        <v>93339</v>
      </c>
      <c r="C2190" s="19" t="s">
        <v>4501</v>
      </c>
      <c r="D2190" s="19" t="s">
        <v>20</v>
      </c>
      <c r="E2190" s="19" t="s">
        <v>20</v>
      </c>
      <c r="F2190" s="19" t="s">
        <v>1133</v>
      </c>
      <c r="G2190" s="19" t="s">
        <v>1008</v>
      </c>
      <c r="H2190" s="19" t="s">
        <v>1001</v>
      </c>
      <c r="I2190" s="19" t="s">
        <v>1575</v>
      </c>
      <c r="J2190" s="20">
        <v>26</v>
      </c>
      <c r="K2190" t="s">
        <v>654</v>
      </c>
      <c r="L2190" t="s">
        <v>634</v>
      </c>
      <c r="M2190" t="s">
        <v>629</v>
      </c>
      <c r="N2190" t="s">
        <v>635</v>
      </c>
      <c r="O2190" t="s">
        <v>637</v>
      </c>
    </row>
    <row r="2191" spans="1:15" x14ac:dyDescent="0.35">
      <c r="A2191" s="77">
        <v>1.5753424657534247</v>
      </c>
      <c r="B2191" s="19">
        <v>93342</v>
      </c>
      <c r="C2191" s="19" t="s">
        <v>4502</v>
      </c>
      <c r="D2191" s="19" t="s">
        <v>409</v>
      </c>
      <c r="E2191" s="19" t="s">
        <v>410</v>
      </c>
      <c r="F2191" s="19" t="s">
        <v>874</v>
      </c>
      <c r="G2191" s="19" t="s">
        <v>1028</v>
      </c>
      <c r="H2191" s="19" t="s">
        <v>1020</v>
      </c>
      <c r="I2191" s="19" t="s">
        <v>1599</v>
      </c>
      <c r="J2191" s="20">
        <v>20</v>
      </c>
      <c r="K2191" t="s">
        <v>631</v>
      </c>
      <c r="L2191" t="s">
        <v>666</v>
      </c>
      <c r="M2191" t="s">
        <v>629</v>
      </c>
      <c r="N2191" t="s">
        <v>635</v>
      </c>
      <c r="O2191" t="s">
        <v>637</v>
      </c>
    </row>
    <row r="2192" spans="1:15" x14ac:dyDescent="0.35">
      <c r="A2192" s="77">
        <v>1.5753424657534247</v>
      </c>
      <c r="B2192" s="19">
        <v>93343</v>
      </c>
      <c r="C2192" s="19" t="s">
        <v>4503</v>
      </c>
      <c r="D2192" s="19" t="s">
        <v>409</v>
      </c>
      <c r="E2192" s="19" t="s">
        <v>410</v>
      </c>
      <c r="F2192" s="19" t="s">
        <v>874</v>
      </c>
      <c r="G2192" s="19" t="s">
        <v>1028</v>
      </c>
      <c r="H2192" s="19" t="s">
        <v>1020</v>
      </c>
      <c r="I2192" s="19" t="s">
        <v>1575</v>
      </c>
      <c r="J2192" s="20">
        <v>32</v>
      </c>
      <c r="K2192" t="s">
        <v>631</v>
      </c>
      <c r="L2192" t="s">
        <v>666</v>
      </c>
      <c r="M2192" t="s">
        <v>629</v>
      </c>
      <c r="N2192" t="s">
        <v>635</v>
      </c>
      <c r="O2192" t="s">
        <v>637</v>
      </c>
    </row>
    <row r="2193" spans="1:15" x14ac:dyDescent="0.35">
      <c r="A2193" s="77">
        <v>1.5753424657534247</v>
      </c>
      <c r="B2193" s="19">
        <v>93346</v>
      </c>
      <c r="C2193" s="19" t="s">
        <v>4504</v>
      </c>
      <c r="D2193" s="19" t="s">
        <v>49</v>
      </c>
      <c r="E2193" s="19" t="s">
        <v>50</v>
      </c>
      <c r="F2193" s="19" t="s">
        <v>1213</v>
      </c>
      <c r="G2193" s="19" t="s">
        <v>1598</v>
      </c>
      <c r="H2193" s="19" t="s">
        <v>1001</v>
      </c>
      <c r="I2193" s="19" t="s">
        <v>1599</v>
      </c>
      <c r="J2193" s="20">
        <v>27</v>
      </c>
      <c r="K2193" t="s">
        <v>625</v>
      </c>
      <c r="L2193" t="s">
        <v>648</v>
      </c>
      <c r="M2193" t="s">
        <v>623</v>
      </c>
      <c r="N2193" t="s">
        <v>624</v>
      </c>
      <c r="O2193" t="s">
        <v>649</v>
      </c>
    </row>
    <row r="2194" spans="1:15" x14ac:dyDescent="0.35">
      <c r="A2194" s="77">
        <v>1.5671232876712329</v>
      </c>
      <c r="B2194" s="19">
        <v>93354</v>
      </c>
      <c r="C2194" s="19" t="s">
        <v>4505</v>
      </c>
      <c r="D2194" s="19" t="s">
        <v>193</v>
      </c>
      <c r="E2194" s="19" t="s">
        <v>194</v>
      </c>
      <c r="F2194" s="19" t="s">
        <v>2422</v>
      </c>
      <c r="G2194" s="19" t="s">
        <v>1028</v>
      </c>
      <c r="H2194" s="19" t="s">
        <v>1020</v>
      </c>
      <c r="I2194" s="19" t="s">
        <v>1575</v>
      </c>
      <c r="J2194" s="20">
        <v>21</v>
      </c>
      <c r="K2194" t="s">
        <v>654</v>
      </c>
      <c r="L2194" t="s">
        <v>670</v>
      </c>
      <c r="M2194" t="s">
        <v>657</v>
      </c>
      <c r="N2194" t="s">
        <v>641</v>
      </c>
      <c r="O2194" t="s">
        <v>676</v>
      </c>
    </row>
    <row r="2195" spans="1:15" x14ac:dyDescent="0.35">
      <c r="A2195" s="77">
        <v>1.5643835616438355</v>
      </c>
      <c r="B2195" s="19">
        <v>93366</v>
      </c>
      <c r="C2195" s="19" t="s">
        <v>4506</v>
      </c>
      <c r="D2195" s="19" t="s">
        <v>360</v>
      </c>
      <c r="E2195" s="19" t="s">
        <v>361</v>
      </c>
      <c r="F2195" s="19" t="s">
        <v>2312</v>
      </c>
      <c r="G2195" s="19" t="s">
        <v>1028</v>
      </c>
      <c r="H2195" s="19" t="s">
        <v>1020</v>
      </c>
      <c r="I2195" s="19" t="s">
        <v>1575</v>
      </c>
      <c r="J2195" s="20">
        <v>40</v>
      </c>
      <c r="K2195" t="s">
        <v>642</v>
      </c>
      <c r="L2195" t="s">
        <v>670</v>
      </c>
      <c r="M2195" t="s">
        <v>657</v>
      </c>
      <c r="N2195" t="s">
        <v>641</v>
      </c>
      <c r="O2195" t="s">
        <v>671</v>
      </c>
    </row>
    <row r="2196" spans="1:15" x14ac:dyDescent="0.35">
      <c r="A2196" s="77">
        <v>1.5780821917808219</v>
      </c>
      <c r="B2196" s="19">
        <v>93376</v>
      </c>
      <c r="C2196" s="19" t="s">
        <v>4507</v>
      </c>
      <c r="D2196" s="19" t="s">
        <v>41</v>
      </c>
      <c r="E2196" s="19" t="s">
        <v>41</v>
      </c>
      <c r="F2196" s="19" t="s">
        <v>1157</v>
      </c>
      <c r="G2196" s="19" t="s">
        <v>1057</v>
      </c>
      <c r="H2196" s="19" t="s">
        <v>1001</v>
      </c>
      <c r="I2196" s="19" t="s">
        <v>1575</v>
      </c>
      <c r="J2196" s="20">
        <v>21</v>
      </c>
      <c r="K2196" t="s">
        <v>625</v>
      </c>
      <c r="L2196" t="s">
        <v>691</v>
      </c>
      <c r="M2196" t="s">
        <v>657</v>
      </c>
      <c r="N2196" t="s">
        <v>658</v>
      </c>
      <c r="O2196" t="s">
        <v>632</v>
      </c>
    </row>
    <row r="2197" spans="1:15" x14ac:dyDescent="0.35">
      <c r="A2197" s="77">
        <v>1.5780821917808219</v>
      </c>
      <c r="B2197" s="19">
        <v>93384</v>
      </c>
      <c r="C2197" s="19" t="s">
        <v>4508</v>
      </c>
      <c r="D2197" s="19" t="s">
        <v>218</v>
      </c>
      <c r="E2197" s="19" t="s">
        <v>219</v>
      </c>
      <c r="F2197" s="19" t="s">
        <v>1372</v>
      </c>
      <c r="G2197" s="19" t="s">
        <v>1057</v>
      </c>
      <c r="H2197" s="19" t="s">
        <v>1001</v>
      </c>
      <c r="I2197" s="19" t="s">
        <v>1599</v>
      </c>
      <c r="J2197" s="20">
        <v>20</v>
      </c>
      <c r="K2197" t="s">
        <v>625</v>
      </c>
      <c r="L2197" t="s">
        <v>661</v>
      </c>
      <c r="M2197" t="s">
        <v>657</v>
      </c>
      <c r="N2197" t="s">
        <v>662</v>
      </c>
      <c r="O2197" t="s">
        <v>632</v>
      </c>
    </row>
    <row r="2198" spans="1:15" x14ac:dyDescent="0.35">
      <c r="A2198" s="77">
        <v>1.5780821917808219</v>
      </c>
      <c r="B2198" s="19">
        <v>93388</v>
      </c>
      <c r="C2198" s="19" t="s">
        <v>4509</v>
      </c>
      <c r="D2198" s="19" t="s">
        <v>315</v>
      </c>
      <c r="E2198" s="19" t="s">
        <v>316</v>
      </c>
      <c r="F2198" s="19" t="s">
        <v>1322</v>
      </c>
      <c r="G2198" s="19" t="s">
        <v>1008</v>
      </c>
      <c r="H2198" s="19" t="s">
        <v>1001</v>
      </c>
      <c r="I2198" s="19" t="s">
        <v>1599</v>
      </c>
      <c r="J2198" s="20">
        <v>28</v>
      </c>
      <c r="K2198" t="s">
        <v>654</v>
      </c>
      <c r="L2198" t="s">
        <v>684</v>
      </c>
      <c r="M2198" t="s">
        <v>623</v>
      </c>
      <c r="N2198" t="s">
        <v>662</v>
      </c>
      <c r="O2198" t="s">
        <v>831</v>
      </c>
    </row>
    <row r="2199" spans="1:15" x14ac:dyDescent="0.35">
      <c r="A2199" s="77">
        <v>1.5780821917808219</v>
      </c>
      <c r="B2199" s="19">
        <v>93393</v>
      </c>
      <c r="C2199" s="19" t="s">
        <v>4510</v>
      </c>
      <c r="D2199" s="19" t="s">
        <v>377</v>
      </c>
      <c r="E2199" s="19" t="s">
        <v>378</v>
      </c>
      <c r="F2199" s="19" t="s">
        <v>862</v>
      </c>
      <c r="G2199" s="19" t="s">
        <v>1084</v>
      </c>
      <c r="H2199" s="19" t="s">
        <v>1020</v>
      </c>
      <c r="I2199" s="19" t="s">
        <v>1575</v>
      </c>
      <c r="J2199" s="20">
        <v>31</v>
      </c>
      <c r="K2199" t="s">
        <v>631</v>
      </c>
      <c r="L2199" t="s">
        <v>661</v>
      </c>
      <c r="M2199" t="s">
        <v>657</v>
      </c>
      <c r="N2199" t="s">
        <v>662</v>
      </c>
      <c r="O2199" t="s">
        <v>632</v>
      </c>
    </row>
    <row r="2200" spans="1:15" x14ac:dyDescent="0.35">
      <c r="A2200" s="77">
        <v>1.5753424657534247</v>
      </c>
      <c r="B2200" s="19">
        <v>93401</v>
      </c>
      <c r="C2200" s="19" t="s">
        <v>4511</v>
      </c>
      <c r="D2200" s="19" t="s">
        <v>278</v>
      </c>
      <c r="E2200" s="19" t="s">
        <v>279</v>
      </c>
      <c r="F2200" s="19" t="s">
        <v>1131</v>
      </c>
      <c r="G2200" s="19" t="s">
        <v>1019</v>
      </c>
      <c r="H2200" s="19" t="s">
        <v>1020</v>
      </c>
      <c r="I2200" s="19" t="s">
        <v>1599</v>
      </c>
      <c r="J2200" s="20">
        <v>19</v>
      </c>
      <c r="K2200" t="s">
        <v>625</v>
      </c>
      <c r="L2200" t="s">
        <v>661</v>
      </c>
      <c r="M2200" t="s">
        <v>657</v>
      </c>
      <c r="N2200" t="s">
        <v>662</v>
      </c>
      <c r="O2200" t="s">
        <v>632</v>
      </c>
    </row>
    <row r="2201" spans="1:15" x14ac:dyDescent="0.35">
      <c r="A2201" s="77">
        <v>1.5643835616438355</v>
      </c>
      <c r="B2201" s="19">
        <v>93422</v>
      </c>
      <c r="C2201" s="19" t="s">
        <v>4512</v>
      </c>
      <c r="D2201" s="19" t="s">
        <v>201</v>
      </c>
      <c r="E2201" s="19" t="s">
        <v>202</v>
      </c>
      <c r="F2201" s="19" t="s">
        <v>1061</v>
      </c>
      <c r="G2201" s="19" t="s">
        <v>1057</v>
      </c>
      <c r="H2201" s="19" t="s">
        <v>1001</v>
      </c>
      <c r="I2201" s="19" t="s">
        <v>1575</v>
      </c>
      <c r="J2201" s="20">
        <v>21</v>
      </c>
      <c r="K2201" t="s">
        <v>631</v>
      </c>
      <c r="L2201" t="s">
        <v>628</v>
      </c>
      <c r="M2201" t="s">
        <v>629</v>
      </c>
      <c r="N2201" t="s">
        <v>630</v>
      </c>
      <c r="O2201" t="s">
        <v>784</v>
      </c>
    </row>
    <row r="2202" spans="1:15" x14ac:dyDescent="0.35">
      <c r="A2202" s="77">
        <v>1.5643835616438355</v>
      </c>
      <c r="B2202" s="19">
        <v>93428</v>
      </c>
      <c r="C2202" s="19" t="s">
        <v>4513</v>
      </c>
      <c r="D2202" s="19" t="s">
        <v>97</v>
      </c>
      <c r="E2202" s="19" t="s">
        <v>98</v>
      </c>
      <c r="F2202" s="19" t="s">
        <v>2395</v>
      </c>
      <c r="G2202" s="19" t="s">
        <v>1057</v>
      </c>
      <c r="H2202" s="19" t="s">
        <v>1001</v>
      </c>
      <c r="I2202" s="19" t="s">
        <v>1575</v>
      </c>
      <c r="J2202" s="20">
        <v>22</v>
      </c>
      <c r="K2202" t="s">
        <v>654</v>
      </c>
      <c r="L2202" t="s">
        <v>666</v>
      </c>
      <c r="M2202" t="s">
        <v>629</v>
      </c>
      <c r="N2202" t="s">
        <v>635</v>
      </c>
      <c r="O2202" t="s">
        <v>739</v>
      </c>
    </row>
    <row r="2203" spans="1:15" x14ac:dyDescent="0.35">
      <c r="A2203" s="77">
        <v>1.5616438356164384</v>
      </c>
      <c r="B2203" s="19">
        <v>93441</v>
      </c>
      <c r="C2203" s="19" t="s">
        <v>4514</v>
      </c>
      <c r="D2203" s="19" t="s">
        <v>228</v>
      </c>
      <c r="E2203" s="19" t="s">
        <v>229</v>
      </c>
      <c r="F2203" s="19" t="s">
        <v>1643</v>
      </c>
      <c r="G2203" s="19" t="s">
        <v>1028</v>
      </c>
      <c r="H2203" s="19" t="s">
        <v>1020</v>
      </c>
      <c r="I2203" s="19" t="s">
        <v>1575</v>
      </c>
      <c r="J2203" s="20">
        <v>21</v>
      </c>
      <c r="K2203" t="s">
        <v>668</v>
      </c>
      <c r="L2203" t="s">
        <v>762</v>
      </c>
      <c r="M2203" t="s">
        <v>629</v>
      </c>
      <c r="N2203" t="s">
        <v>646</v>
      </c>
      <c r="O2203" t="s">
        <v>763</v>
      </c>
    </row>
    <row r="2204" spans="1:15" x14ac:dyDescent="0.35">
      <c r="A2204" s="77">
        <v>1.558904109589041</v>
      </c>
      <c r="B2204" s="19">
        <v>93451</v>
      </c>
      <c r="C2204" s="19" t="s">
        <v>4515</v>
      </c>
      <c r="D2204" s="19" t="s">
        <v>76</v>
      </c>
      <c r="E2204" s="19" t="s">
        <v>77</v>
      </c>
      <c r="F2204" s="19" t="s">
        <v>899</v>
      </c>
      <c r="G2204" s="19" t="s">
        <v>1019</v>
      </c>
      <c r="H2204" s="19" t="s">
        <v>1020</v>
      </c>
      <c r="I2204" s="19" t="s">
        <v>1599</v>
      </c>
      <c r="J2204" s="20">
        <v>21</v>
      </c>
      <c r="K2204" t="s">
        <v>636</v>
      </c>
      <c r="L2204" t="s">
        <v>645</v>
      </c>
      <c r="M2204" t="s">
        <v>629</v>
      </c>
      <c r="N2204" t="s">
        <v>646</v>
      </c>
      <c r="O2204" t="s">
        <v>632</v>
      </c>
    </row>
    <row r="2205" spans="1:15" x14ac:dyDescent="0.35">
      <c r="A2205" s="77">
        <v>0.82191780821917804</v>
      </c>
      <c r="B2205" s="19">
        <v>93484</v>
      </c>
      <c r="C2205" s="19" t="s">
        <v>4516</v>
      </c>
      <c r="D2205" s="19" t="s">
        <v>73</v>
      </c>
      <c r="E2205" s="19" t="s">
        <v>74</v>
      </c>
      <c r="F2205" s="19" t="s">
        <v>1178</v>
      </c>
      <c r="G2205" s="19" t="s">
        <v>1008</v>
      </c>
      <c r="H2205" s="19" t="s">
        <v>1001</v>
      </c>
      <c r="I2205" s="19" t="s">
        <v>1575</v>
      </c>
      <c r="J2205" s="20">
        <v>45</v>
      </c>
      <c r="K2205" t="s">
        <v>654</v>
      </c>
      <c r="L2205" t="s">
        <v>648</v>
      </c>
      <c r="M2205" t="s">
        <v>623</v>
      </c>
      <c r="N2205" t="s">
        <v>624</v>
      </c>
      <c r="O2205" t="s">
        <v>725</v>
      </c>
    </row>
    <row r="2206" spans="1:15" x14ac:dyDescent="0.35">
      <c r="A2206" s="77">
        <v>1.558904109589041</v>
      </c>
      <c r="B2206" s="19">
        <v>93498</v>
      </c>
      <c r="C2206" s="19" t="s">
        <v>4517</v>
      </c>
      <c r="D2206" s="19" t="s">
        <v>237</v>
      </c>
      <c r="E2206" s="19" t="s">
        <v>238</v>
      </c>
      <c r="F2206" s="19" t="s">
        <v>1070</v>
      </c>
      <c r="G2206" s="19" t="s">
        <v>1028</v>
      </c>
      <c r="H2206" s="19" t="s">
        <v>1020</v>
      </c>
      <c r="I2206" s="19" t="s">
        <v>1575</v>
      </c>
      <c r="J2206" s="20">
        <v>27</v>
      </c>
      <c r="K2206" t="s">
        <v>631</v>
      </c>
      <c r="L2206" t="s">
        <v>661</v>
      </c>
      <c r="M2206" t="s">
        <v>657</v>
      </c>
      <c r="N2206" t="s">
        <v>662</v>
      </c>
      <c r="O2206" t="s">
        <v>632</v>
      </c>
    </row>
    <row r="2207" spans="1:15" x14ac:dyDescent="0.35">
      <c r="A2207" s="77">
        <v>1.5452054794520549</v>
      </c>
      <c r="B2207" s="19">
        <v>93539</v>
      </c>
      <c r="C2207" s="19" t="s">
        <v>4518</v>
      </c>
      <c r="D2207" s="19" t="s">
        <v>68</v>
      </c>
      <c r="E2207" s="19" t="s">
        <v>69</v>
      </c>
      <c r="F2207" s="19" t="s">
        <v>1078</v>
      </c>
      <c r="G2207" s="19" t="s">
        <v>1057</v>
      </c>
      <c r="H2207" s="19" t="s">
        <v>1001</v>
      </c>
      <c r="I2207" s="19" t="s">
        <v>1575</v>
      </c>
      <c r="J2207" s="20">
        <v>25</v>
      </c>
      <c r="K2207" t="s">
        <v>636</v>
      </c>
      <c r="L2207" t="s">
        <v>670</v>
      </c>
      <c r="M2207" t="s">
        <v>657</v>
      </c>
      <c r="N2207" t="s">
        <v>641</v>
      </c>
      <c r="O2207" t="s">
        <v>671</v>
      </c>
    </row>
    <row r="2208" spans="1:15" x14ac:dyDescent="0.35">
      <c r="A2208" s="77">
        <v>4.9315068493150684E-2</v>
      </c>
      <c r="B2208" s="19">
        <v>93558</v>
      </c>
      <c r="C2208" s="19" t="s">
        <v>4519</v>
      </c>
      <c r="D2208" s="19" t="s">
        <v>27</v>
      </c>
      <c r="E2208" s="19" t="s">
        <v>27</v>
      </c>
      <c r="F2208" s="19" t="s">
        <v>1250</v>
      </c>
      <c r="G2208" s="19" t="s">
        <v>1028</v>
      </c>
      <c r="H2208" s="19" t="s">
        <v>1020</v>
      </c>
      <c r="I2208" s="19" t="s">
        <v>1575</v>
      </c>
      <c r="J2208" s="20">
        <v>20</v>
      </c>
      <c r="K2208" t="s">
        <v>668</v>
      </c>
      <c r="L2208" t="s">
        <v>645</v>
      </c>
      <c r="M2208" t="s">
        <v>629</v>
      </c>
      <c r="N2208" t="s">
        <v>646</v>
      </c>
      <c r="O2208" t="s">
        <v>632</v>
      </c>
    </row>
    <row r="2209" spans="1:15" x14ac:dyDescent="0.35">
      <c r="A2209" s="77">
        <v>1.5452054794520549</v>
      </c>
      <c r="B2209" s="19">
        <v>93570</v>
      </c>
      <c r="C2209" s="19" t="s">
        <v>4520</v>
      </c>
      <c r="D2209" s="19" t="s">
        <v>367</v>
      </c>
      <c r="E2209" s="19" t="s">
        <v>368</v>
      </c>
      <c r="F2209" s="19" t="s">
        <v>1604</v>
      </c>
      <c r="G2209" s="19" t="s">
        <v>1008</v>
      </c>
      <c r="H2209" s="19" t="s">
        <v>1001</v>
      </c>
      <c r="I2209" s="19" t="s">
        <v>1575</v>
      </c>
      <c r="J2209" s="20">
        <v>37</v>
      </c>
      <c r="K2209" t="s">
        <v>636</v>
      </c>
      <c r="L2209" t="s">
        <v>737</v>
      </c>
      <c r="M2209" t="s">
        <v>657</v>
      </c>
      <c r="N2209" t="s">
        <v>641</v>
      </c>
      <c r="O2209" t="s">
        <v>738</v>
      </c>
    </row>
    <row r="2210" spans="1:15" x14ac:dyDescent="0.35">
      <c r="A2210" s="77">
        <v>0.69589041095890414</v>
      </c>
      <c r="B2210" s="19">
        <v>93592</v>
      </c>
      <c r="C2210" s="19" t="s">
        <v>4521</v>
      </c>
      <c r="D2210" s="19" t="s">
        <v>305</v>
      </c>
      <c r="E2210" s="19" t="s">
        <v>306</v>
      </c>
      <c r="F2210" s="19" t="s">
        <v>1086</v>
      </c>
      <c r="G2210" s="19" t="s">
        <v>1057</v>
      </c>
      <c r="H2210" s="19" t="s">
        <v>1001</v>
      </c>
      <c r="I2210" s="19" t="s">
        <v>1575</v>
      </c>
      <c r="J2210" s="20">
        <v>30</v>
      </c>
      <c r="K2210" t="s">
        <v>654</v>
      </c>
      <c r="L2210" t="s">
        <v>622</v>
      </c>
      <c r="M2210" t="s">
        <v>623</v>
      </c>
      <c r="N2210" t="s">
        <v>624</v>
      </c>
      <c r="O2210" t="s">
        <v>826</v>
      </c>
    </row>
    <row r="2211" spans="1:15" x14ac:dyDescent="0.35">
      <c r="A2211" s="77">
        <v>1.5452054794520549</v>
      </c>
      <c r="B2211" s="19">
        <v>93595</v>
      </c>
      <c r="C2211" s="19" t="s">
        <v>4522</v>
      </c>
      <c r="D2211" s="19" t="s">
        <v>38</v>
      </c>
      <c r="E2211" s="19" t="s">
        <v>38</v>
      </c>
      <c r="F2211" s="19" t="s">
        <v>711</v>
      </c>
      <c r="G2211" s="19" t="s">
        <v>1019</v>
      </c>
      <c r="H2211" s="19" t="s">
        <v>1020</v>
      </c>
      <c r="I2211" s="19" t="s">
        <v>1575</v>
      </c>
      <c r="J2211" s="20">
        <v>21</v>
      </c>
      <c r="K2211" t="s">
        <v>668</v>
      </c>
      <c r="L2211" t="s">
        <v>691</v>
      </c>
      <c r="M2211" t="s">
        <v>657</v>
      </c>
      <c r="N2211" t="s">
        <v>658</v>
      </c>
      <c r="O2211" t="s">
        <v>632</v>
      </c>
    </row>
    <row r="2212" spans="1:15" x14ac:dyDescent="0.35">
      <c r="A2212" s="77">
        <v>1.5424657534246575</v>
      </c>
      <c r="B2212" s="19">
        <v>93600</v>
      </c>
      <c r="C2212" s="19" t="s">
        <v>4523</v>
      </c>
      <c r="D2212" s="19" t="s">
        <v>278</v>
      </c>
      <c r="E2212" s="19" t="s">
        <v>279</v>
      </c>
      <c r="F2212" s="19" t="s">
        <v>1131</v>
      </c>
      <c r="G2212" s="19" t="s">
        <v>1008</v>
      </c>
      <c r="H2212" s="19" t="s">
        <v>1001</v>
      </c>
      <c r="I2212" s="19" t="s">
        <v>1575</v>
      </c>
      <c r="J2212" s="20">
        <v>27</v>
      </c>
      <c r="K2212" t="s">
        <v>625</v>
      </c>
      <c r="L2212" t="s">
        <v>661</v>
      </c>
      <c r="M2212" t="s">
        <v>657</v>
      </c>
      <c r="N2212" t="s">
        <v>662</v>
      </c>
      <c r="O2212" t="s">
        <v>632</v>
      </c>
    </row>
    <row r="2213" spans="1:15" x14ac:dyDescent="0.35">
      <c r="A2213" s="77">
        <v>1.5397260273972602</v>
      </c>
      <c r="B2213" s="19">
        <v>93607</v>
      </c>
      <c r="C2213" s="19" t="s">
        <v>4524</v>
      </c>
      <c r="D2213" s="19" t="s">
        <v>178</v>
      </c>
      <c r="E2213" s="19" t="s">
        <v>179</v>
      </c>
      <c r="F2213" s="19" t="s">
        <v>2407</v>
      </c>
      <c r="G2213" s="19" t="s">
        <v>1057</v>
      </c>
      <c r="H2213" s="19" t="s">
        <v>1001</v>
      </c>
      <c r="I2213" s="19" t="s">
        <v>1575</v>
      </c>
      <c r="J2213" s="20">
        <v>35</v>
      </c>
      <c r="K2213" t="s">
        <v>636</v>
      </c>
      <c r="L2213" t="s">
        <v>684</v>
      </c>
      <c r="M2213" t="s">
        <v>623</v>
      </c>
      <c r="N2213" t="s">
        <v>662</v>
      </c>
      <c r="O2213" t="s">
        <v>775</v>
      </c>
    </row>
    <row r="2214" spans="1:15" x14ac:dyDescent="0.35">
      <c r="A2214" s="77">
        <v>1.5397260273972602</v>
      </c>
      <c r="B2214" s="19">
        <v>93608</v>
      </c>
      <c r="C2214" s="19" t="s">
        <v>4525</v>
      </c>
      <c r="D2214" s="19" t="s">
        <v>173</v>
      </c>
      <c r="E2214" s="19" t="s">
        <v>174</v>
      </c>
      <c r="F2214" s="19" t="s">
        <v>901</v>
      </c>
      <c r="G2214" s="19" t="s">
        <v>1028</v>
      </c>
      <c r="H2214" s="19" t="s">
        <v>1020</v>
      </c>
      <c r="I2214" s="19" t="s">
        <v>1575</v>
      </c>
      <c r="J2214" s="20">
        <v>22</v>
      </c>
      <c r="K2214" t="s">
        <v>668</v>
      </c>
      <c r="L2214" t="s">
        <v>656</v>
      </c>
      <c r="M2214" t="s">
        <v>657</v>
      </c>
      <c r="N2214" t="s">
        <v>658</v>
      </c>
      <c r="O2214" t="s">
        <v>632</v>
      </c>
    </row>
    <row r="2215" spans="1:15" x14ac:dyDescent="0.35">
      <c r="A2215" s="77">
        <v>1.536986301369863</v>
      </c>
      <c r="B2215" s="19">
        <v>93616</v>
      </c>
      <c r="C2215" s="19" t="s">
        <v>4526</v>
      </c>
      <c r="D2215" s="19" t="s">
        <v>165</v>
      </c>
      <c r="E2215" s="19" t="s">
        <v>166</v>
      </c>
      <c r="F2215" s="19" t="s">
        <v>1238</v>
      </c>
      <c r="G2215" s="19" t="s">
        <v>1000</v>
      </c>
      <c r="H2215" s="19" t="s">
        <v>1001</v>
      </c>
      <c r="I2215" s="19" t="s">
        <v>1599</v>
      </c>
      <c r="J2215" s="20">
        <v>36</v>
      </c>
      <c r="K2215" t="s">
        <v>636</v>
      </c>
      <c r="L2215" t="s">
        <v>648</v>
      </c>
      <c r="M2215" t="s">
        <v>623</v>
      </c>
      <c r="N2215" t="s">
        <v>624</v>
      </c>
      <c r="O2215" t="s">
        <v>649</v>
      </c>
    </row>
    <row r="2216" spans="1:15" x14ac:dyDescent="0.35">
      <c r="A2216" s="77">
        <v>2.1917808219178082E-2</v>
      </c>
      <c r="B2216" s="19">
        <v>93631</v>
      </c>
      <c r="C2216" s="19" t="s">
        <v>4527</v>
      </c>
      <c r="D2216" s="19" t="s">
        <v>266</v>
      </c>
      <c r="E2216" s="19" t="s">
        <v>267</v>
      </c>
      <c r="F2216" s="19" t="s">
        <v>2070</v>
      </c>
      <c r="G2216" s="19" t="s">
        <v>1008</v>
      </c>
      <c r="H2216" s="19" t="s">
        <v>1001</v>
      </c>
      <c r="I2216" s="19" t="s">
        <v>1575</v>
      </c>
      <c r="J2216" s="20">
        <v>23</v>
      </c>
      <c r="K2216" t="s">
        <v>636</v>
      </c>
      <c r="L2216" t="s">
        <v>634</v>
      </c>
      <c r="M2216" t="s">
        <v>629</v>
      </c>
      <c r="N2216" t="s">
        <v>635</v>
      </c>
      <c r="O2216" t="s">
        <v>637</v>
      </c>
    </row>
    <row r="2217" spans="1:15" x14ac:dyDescent="0.35">
      <c r="A2217" s="77">
        <v>1.5287671232876712</v>
      </c>
      <c r="B2217" s="19">
        <v>93635</v>
      </c>
      <c r="C2217" s="19" t="s">
        <v>4528</v>
      </c>
      <c r="D2217" s="19" t="s">
        <v>84</v>
      </c>
      <c r="E2217" s="19" t="s">
        <v>85</v>
      </c>
      <c r="F2217" s="19" t="s">
        <v>2606</v>
      </c>
      <c r="G2217" s="19" t="s">
        <v>1008</v>
      </c>
      <c r="H2217" s="19" t="s">
        <v>1001</v>
      </c>
      <c r="I2217" s="19" t="s">
        <v>1575</v>
      </c>
      <c r="J2217" s="20">
        <v>25</v>
      </c>
      <c r="K2217" t="s">
        <v>642</v>
      </c>
      <c r="L2217" t="s">
        <v>622</v>
      </c>
      <c r="M2217" t="s">
        <v>623</v>
      </c>
      <c r="N2217" t="s">
        <v>624</v>
      </c>
      <c r="O2217" t="s">
        <v>730</v>
      </c>
    </row>
    <row r="2218" spans="1:15" x14ac:dyDescent="0.35">
      <c r="A2218" s="77">
        <v>1.536986301369863</v>
      </c>
      <c r="B2218" s="19">
        <v>93641</v>
      </c>
      <c r="C2218" s="19" t="s">
        <v>4529</v>
      </c>
      <c r="D2218" s="19" t="s">
        <v>155</v>
      </c>
      <c r="E2218" s="19" t="s">
        <v>156</v>
      </c>
      <c r="F2218" s="19" t="s">
        <v>896</v>
      </c>
      <c r="G2218" s="19" t="s">
        <v>1028</v>
      </c>
      <c r="H2218" s="19" t="s">
        <v>1020</v>
      </c>
      <c r="I2218" s="19" t="s">
        <v>1575</v>
      </c>
      <c r="J2218" s="20">
        <v>20</v>
      </c>
      <c r="K2218" t="s">
        <v>636</v>
      </c>
      <c r="L2218" t="s">
        <v>663</v>
      </c>
      <c r="M2218" t="s">
        <v>629</v>
      </c>
      <c r="N2218" t="s">
        <v>646</v>
      </c>
      <c r="O2218" t="s">
        <v>639</v>
      </c>
    </row>
    <row r="2219" spans="1:15" x14ac:dyDescent="0.35">
      <c r="A2219" s="77">
        <v>1.5287671232876712</v>
      </c>
      <c r="B2219" s="19">
        <v>93651</v>
      </c>
      <c r="C2219" s="19" t="s">
        <v>4530</v>
      </c>
      <c r="D2219" s="19" t="s">
        <v>252</v>
      </c>
      <c r="E2219" s="19" t="s">
        <v>253</v>
      </c>
      <c r="F2219" s="19" t="s">
        <v>914</v>
      </c>
      <c r="G2219" s="19" t="s">
        <v>1008</v>
      </c>
      <c r="H2219" s="19" t="s">
        <v>1001</v>
      </c>
      <c r="I2219" s="19" t="s">
        <v>1575</v>
      </c>
      <c r="J2219" s="20">
        <v>22</v>
      </c>
      <c r="K2219" t="s">
        <v>636</v>
      </c>
      <c r="L2219" t="s">
        <v>656</v>
      </c>
      <c r="M2219" t="s">
        <v>657</v>
      </c>
      <c r="N2219" t="s">
        <v>658</v>
      </c>
      <c r="O2219" t="s">
        <v>718</v>
      </c>
    </row>
    <row r="2220" spans="1:15" x14ac:dyDescent="0.35">
      <c r="A2220" s="77">
        <v>1.5287671232876712</v>
      </c>
      <c r="B2220" s="19">
        <v>93656</v>
      </c>
      <c r="C2220" s="19" t="s">
        <v>4531</v>
      </c>
      <c r="D2220" s="19" t="s">
        <v>16</v>
      </c>
      <c r="E2220" s="19" t="s">
        <v>16</v>
      </c>
      <c r="F2220" s="19" t="s">
        <v>1211</v>
      </c>
      <c r="G2220" s="19" t="s">
        <v>1008</v>
      </c>
      <c r="H2220" s="19" t="s">
        <v>1001</v>
      </c>
      <c r="I2220" s="19" t="s">
        <v>1575</v>
      </c>
      <c r="J2220" s="20">
        <v>20</v>
      </c>
      <c r="K2220" t="s">
        <v>631</v>
      </c>
      <c r="L2220" t="s">
        <v>645</v>
      </c>
      <c r="M2220" t="s">
        <v>629</v>
      </c>
      <c r="N2220" t="s">
        <v>646</v>
      </c>
      <c r="O2220" t="s">
        <v>632</v>
      </c>
    </row>
    <row r="2221" spans="1:15" x14ac:dyDescent="0.35">
      <c r="A2221" s="77">
        <v>1.5397260273972602</v>
      </c>
      <c r="B2221" s="19">
        <v>93661</v>
      </c>
      <c r="C2221" s="19" t="s">
        <v>4532</v>
      </c>
      <c r="D2221" s="19" t="s">
        <v>228</v>
      </c>
      <c r="E2221" s="19" t="s">
        <v>229</v>
      </c>
      <c r="F2221" s="19" t="s">
        <v>1643</v>
      </c>
      <c r="G2221" s="19" t="s">
        <v>1057</v>
      </c>
      <c r="H2221" s="19" t="s">
        <v>1001</v>
      </c>
      <c r="I2221" s="19" t="s">
        <v>1575</v>
      </c>
      <c r="J2221" s="20">
        <v>25</v>
      </c>
      <c r="K2221" t="s">
        <v>668</v>
      </c>
      <c r="L2221" t="s">
        <v>762</v>
      </c>
      <c r="M2221" t="s">
        <v>629</v>
      </c>
      <c r="N2221" t="s">
        <v>646</v>
      </c>
      <c r="O2221" t="s">
        <v>763</v>
      </c>
    </row>
    <row r="2222" spans="1:15" x14ac:dyDescent="0.35">
      <c r="A2222" s="77">
        <v>1.526027397260274</v>
      </c>
      <c r="B2222" s="19">
        <v>93668</v>
      </c>
      <c r="C2222" s="19" t="s">
        <v>4533</v>
      </c>
      <c r="D2222" s="19" t="s">
        <v>181</v>
      </c>
      <c r="E2222" s="19" t="s">
        <v>182</v>
      </c>
      <c r="F2222" s="19" t="s">
        <v>1374</v>
      </c>
      <c r="G2222" s="19" t="s">
        <v>1019</v>
      </c>
      <c r="H2222" s="19" t="s">
        <v>1020</v>
      </c>
      <c r="I2222" s="19" t="s">
        <v>1575</v>
      </c>
      <c r="J2222" s="20">
        <v>22</v>
      </c>
      <c r="K2222" t="s">
        <v>625</v>
      </c>
      <c r="L2222" t="s">
        <v>678</v>
      </c>
      <c r="M2222" t="s">
        <v>623</v>
      </c>
      <c r="N2222" t="s">
        <v>624</v>
      </c>
      <c r="O2222" t="s">
        <v>679</v>
      </c>
    </row>
    <row r="2223" spans="1:15" x14ac:dyDescent="0.35">
      <c r="A2223" s="77">
        <v>3.287671232876712E-2</v>
      </c>
      <c r="B2223" s="19">
        <v>93674</v>
      </c>
      <c r="C2223" s="19" t="s">
        <v>4534</v>
      </c>
      <c r="D2223" s="19" t="s">
        <v>320</v>
      </c>
      <c r="E2223" s="19" t="s">
        <v>321</v>
      </c>
      <c r="F2223" s="19" t="s">
        <v>1205</v>
      </c>
      <c r="G2223" s="19" t="s">
        <v>1057</v>
      </c>
      <c r="H2223" s="19" t="s">
        <v>1001</v>
      </c>
      <c r="I2223" s="19" t="s">
        <v>1575</v>
      </c>
      <c r="J2223" s="20">
        <v>21</v>
      </c>
      <c r="K2223" t="s">
        <v>668</v>
      </c>
      <c r="L2223" t="s">
        <v>707</v>
      </c>
      <c r="M2223" t="s">
        <v>629</v>
      </c>
      <c r="N2223" t="s">
        <v>635</v>
      </c>
      <c r="O2223" t="s">
        <v>708</v>
      </c>
    </row>
    <row r="2224" spans="1:15" x14ac:dyDescent="0.35">
      <c r="A2224" s="77">
        <v>1.5232876712328767</v>
      </c>
      <c r="B2224" s="19">
        <v>93678</v>
      </c>
      <c r="C2224" s="19" t="s">
        <v>4535</v>
      </c>
      <c r="D2224" s="19" t="s">
        <v>309</v>
      </c>
      <c r="E2224" s="19" t="s">
        <v>310</v>
      </c>
      <c r="F2224" s="19" t="s">
        <v>1234</v>
      </c>
      <c r="G2224" s="19" t="s">
        <v>1034</v>
      </c>
      <c r="H2224" s="19" t="s">
        <v>1001</v>
      </c>
      <c r="I2224" s="19" t="s">
        <v>1575</v>
      </c>
      <c r="J2224" s="20">
        <v>23</v>
      </c>
      <c r="K2224" t="s">
        <v>668</v>
      </c>
      <c r="L2224" t="s">
        <v>666</v>
      </c>
      <c r="M2224" t="s">
        <v>629</v>
      </c>
      <c r="N2224" t="s">
        <v>635</v>
      </c>
      <c r="O2224" t="s">
        <v>637</v>
      </c>
    </row>
    <row r="2225" spans="1:15" x14ac:dyDescent="0.35">
      <c r="A2225" s="77">
        <v>1.5205479452054795</v>
      </c>
      <c r="B2225" s="19">
        <v>93680</v>
      </c>
      <c r="C2225" s="19" t="s">
        <v>4536</v>
      </c>
      <c r="D2225" s="19" t="s">
        <v>243</v>
      </c>
      <c r="E2225" s="19" t="s">
        <v>244</v>
      </c>
      <c r="F2225" s="19" t="s">
        <v>1318</v>
      </c>
      <c r="G2225" s="19" t="s">
        <v>1028</v>
      </c>
      <c r="H2225" s="19" t="s">
        <v>1020</v>
      </c>
      <c r="I2225" s="19" t="s">
        <v>1575</v>
      </c>
      <c r="J2225" s="20">
        <v>22</v>
      </c>
      <c r="K2225" t="s">
        <v>631</v>
      </c>
      <c r="L2225" t="s">
        <v>707</v>
      </c>
      <c r="M2225" t="s">
        <v>629</v>
      </c>
      <c r="N2225" t="s">
        <v>635</v>
      </c>
      <c r="O2225" t="s">
        <v>710</v>
      </c>
    </row>
    <row r="2226" spans="1:15" x14ac:dyDescent="0.35">
      <c r="A2226" s="77">
        <v>1.536986301369863</v>
      </c>
      <c r="B2226" s="19">
        <v>93686</v>
      </c>
      <c r="C2226" s="19" t="s">
        <v>4537</v>
      </c>
      <c r="D2226" s="19" t="s">
        <v>278</v>
      </c>
      <c r="E2226" s="19" t="s">
        <v>279</v>
      </c>
      <c r="F2226" s="19" t="s">
        <v>1131</v>
      </c>
      <c r="G2226" s="19" t="s">
        <v>1008</v>
      </c>
      <c r="H2226" s="19" t="s">
        <v>1001</v>
      </c>
      <c r="I2226" s="19" t="s">
        <v>1599</v>
      </c>
      <c r="J2226" s="20">
        <v>27</v>
      </c>
      <c r="K2226" t="s">
        <v>625</v>
      </c>
      <c r="L2226" t="s">
        <v>661</v>
      </c>
      <c r="M2226" t="s">
        <v>657</v>
      </c>
      <c r="N2226" t="s">
        <v>662</v>
      </c>
      <c r="O2226" t="s">
        <v>632</v>
      </c>
    </row>
    <row r="2227" spans="1:15" x14ac:dyDescent="0.35">
      <c r="A2227" s="77">
        <v>1.5232876712328767</v>
      </c>
      <c r="B2227" s="19">
        <v>93687</v>
      </c>
      <c r="C2227" s="19" t="s">
        <v>4538</v>
      </c>
      <c r="D2227" s="19" t="s">
        <v>278</v>
      </c>
      <c r="E2227" s="19" t="s">
        <v>279</v>
      </c>
      <c r="F2227" s="19" t="s">
        <v>1131</v>
      </c>
      <c r="G2227" s="19" t="s">
        <v>1028</v>
      </c>
      <c r="H2227" s="19" t="s">
        <v>1020</v>
      </c>
      <c r="I2227" s="19" t="s">
        <v>1599</v>
      </c>
      <c r="J2227" s="20">
        <v>21</v>
      </c>
      <c r="K2227" t="s">
        <v>625</v>
      </c>
      <c r="L2227" t="s">
        <v>661</v>
      </c>
      <c r="M2227" t="s">
        <v>657</v>
      </c>
      <c r="N2227" t="s">
        <v>662</v>
      </c>
      <c r="O2227" t="s">
        <v>632</v>
      </c>
    </row>
    <row r="2228" spans="1:15" x14ac:dyDescent="0.35">
      <c r="A2228" s="77">
        <v>1.5205479452054795</v>
      </c>
      <c r="B2228" s="19">
        <v>93690</v>
      </c>
      <c r="C2228" s="19" t="s">
        <v>4539</v>
      </c>
      <c r="D2228" s="19" t="s">
        <v>243</v>
      </c>
      <c r="E2228" s="19" t="s">
        <v>244</v>
      </c>
      <c r="F2228" s="19" t="s">
        <v>1318</v>
      </c>
      <c r="G2228" s="19" t="s">
        <v>1008</v>
      </c>
      <c r="H2228" s="19" t="s">
        <v>1001</v>
      </c>
      <c r="I2228" s="19" t="s">
        <v>1575</v>
      </c>
      <c r="J2228" s="20">
        <v>19</v>
      </c>
      <c r="K2228" t="s">
        <v>631</v>
      </c>
      <c r="L2228" t="s">
        <v>707</v>
      </c>
      <c r="M2228" t="s">
        <v>629</v>
      </c>
      <c r="N2228" t="s">
        <v>635</v>
      </c>
      <c r="O2228" t="s">
        <v>710</v>
      </c>
    </row>
    <row r="2229" spans="1:15" x14ac:dyDescent="0.35">
      <c r="A2229" s="77">
        <v>0.24109589041095891</v>
      </c>
      <c r="B2229" s="19">
        <v>93691</v>
      </c>
      <c r="C2229" s="19" t="s">
        <v>4540</v>
      </c>
      <c r="D2229" s="19" t="s">
        <v>403</v>
      </c>
      <c r="E2229" s="19" t="s">
        <v>404</v>
      </c>
      <c r="F2229" s="19" t="s">
        <v>870</v>
      </c>
      <c r="G2229" s="19" t="s">
        <v>1057</v>
      </c>
      <c r="H2229" s="19" t="s">
        <v>1001</v>
      </c>
      <c r="I2229" s="19" t="s">
        <v>1599</v>
      </c>
      <c r="J2229" s="20">
        <v>22</v>
      </c>
      <c r="K2229" t="s">
        <v>631</v>
      </c>
      <c r="L2229" t="s">
        <v>691</v>
      </c>
      <c r="M2229" t="s">
        <v>657</v>
      </c>
      <c r="N2229" t="s">
        <v>658</v>
      </c>
      <c r="O2229" t="s">
        <v>632</v>
      </c>
    </row>
    <row r="2230" spans="1:15" x14ac:dyDescent="0.35">
      <c r="A2230" s="77">
        <v>0.68219178082191778</v>
      </c>
      <c r="B2230" s="19">
        <v>93696</v>
      </c>
      <c r="C2230" s="19" t="s">
        <v>4541</v>
      </c>
      <c r="D2230" s="19" t="s">
        <v>397</v>
      </c>
      <c r="E2230" s="19" t="s">
        <v>398</v>
      </c>
      <c r="F2230" s="19" t="s">
        <v>867</v>
      </c>
      <c r="G2230" s="19" t="s">
        <v>1019</v>
      </c>
      <c r="H2230" s="19" t="s">
        <v>1020</v>
      </c>
      <c r="I2230" s="19" t="s">
        <v>1575</v>
      </c>
      <c r="J2230" s="20">
        <v>27</v>
      </c>
      <c r="K2230" t="s">
        <v>625</v>
      </c>
      <c r="L2230" t="s">
        <v>634</v>
      </c>
      <c r="M2230" t="s">
        <v>629</v>
      </c>
      <c r="N2230" t="s">
        <v>635</v>
      </c>
      <c r="O2230" t="s">
        <v>637</v>
      </c>
    </row>
    <row r="2231" spans="1:15" x14ac:dyDescent="0.35">
      <c r="A2231" s="77">
        <v>1.5205479452054795</v>
      </c>
      <c r="B2231" s="19">
        <v>93700</v>
      </c>
      <c r="C2231" s="19" t="s">
        <v>4542</v>
      </c>
      <c r="D2231" s="19" t="s">
        <v>24</v>
      </c>
      <c r="E2231" s="19" t="s">
        <v>24</v>
      </c>
      <c r="F2231" s="19" t="s">
        <v>2097</v>
      </c>
      <c r="G2231" s="19" t="s">
        <v>1008</v>
      </c>
      <c r="H2231" s="19" t="s">
        <v>1001</v>
      </c>
      <c r="I2231" s="19" t="s">
        <v>1575</v>
      </c>
      <c r="J2231" s="20">
        <v>23</v>
      </c>
      <c r="K2231" t="s">
        <v>664</v>
      </c>
      <c r="L2231" t="s">
        <v>663</v>
      </c>
      <c r="M2231" t="s">
        <v>629</v>
      </c>
      <c r="N2231" t="s">
        <v>646</v>
      </c>
      <c r="O2231" t="s">
        <v>639</v>
      </c>
    </row>
    <row r="2232" spans="1:15" x14ac:dyDescent="0.35">
      <c r="A2232" s="77">
        <v>1.5205479452054795</v>
      </c>
      <c r="B2232" s="19">
        <v>93705</v>
      </c>
      <c r="C2232" s="19" t="s">
        <v>4543</v>
      </c>
      <c r="D2232" s="19" t="s">
        <v>324</v>
      </c>
      <c r="E2232" s="19" t="s">
        <v>325</v>
      </c>
      <c r="F2232" s="19" t="s">
        <v>1284</v>
      </c>
      <c r="G2232" s="19" t="s">
        <v>1019</v>
      </c>
      <c r="H2232" s="19" t="s">
        <v>1020</v>
      </c>
      <c r="I2232" s="19" t="s">
        <v>1599</v>
      </c>
      <c r="J2232" s="20">
        <v>19</v>
      </c>
      <c r="K2232" t="s">
        <v>631</v>
      </c>
      <c r="L2232" t="s">
        <v>663</v>
      </c>
      <c r="M2232" t="s">
        <v>629</v>
      </c>
      <c r="N2232" t="s">
        <v>646</v>
      </c>
      <c r="O2232" t="s">
        <v>639</v>
      </c>
    </row>
    <row r="2233" spans="1:15" x14ac:dyDescent="0.35">
      <c r="A2233" s="77">
        <v>1.5178082191780822</v>
      </c>
      <c r="B2233" s="19">
        <v>93732</v>
      </c>
      <c r="C2233" s="19" t="s">
        <v>4544</v>
      </c>
      <c r="D2233" s="19" t="s">
        <v>369</v>
      </c>
      <c r="E2233" s="19" t="s">
        <v>370</v>
      </c>
      <c r="F2233" s="19" t="s">
        <v>856</v>
      </c>
      <c r="G2233" s="19" t="s">
        <v>1008</v>
      </c>
      <c r="H2233" s="19" t="s">
        <v>1001</v>
      </c>
      <c r="I2233" s="19" t="s">
        <v>1575</v>
      </c>
      <c r="J2233" s="20">
        <v>26</v>
      </c>
      <c r="K2233" t="s">
        <v>654</v>
      </c>
      <c r="L2233" t="s">
        <v>684</v>
      </c>
      <c r="M2233" t="s">
        <v>623</v>
      </c>
      <c r="N2233" t="s">
        <v>662</v>
      </c>
      <c r="O2233" t="s">
        <v>857</v>
      </c>
    </row>
    <row r="2234" spans="1:15" x14ac:dyDescent="0.35">
      <c r="A2234" s="77">
        <v>1.5178082191780822</v>
      </c>
      <c r="B2234" s="19">
        <v>93738</v>
      </c>
      <c r="C2234" s="19" t="s">
        <v>4545</v>
      </c>
      <c r="D2234" s="19" t="s">
        <v>409</v>
      </c>
      <c r="E2234" s="19" t="s">
        <v>410</v>
      </c>
      <c r="F2234" s="19" t="s">
        <v>874</v>
      </c>
      <c r="G2234" s="19" t="s">
        <v>1008</v>
      </c>
      <c r="H2234" s="19" t="s">
        <v>1001</v>
      </c>
      <c r="I2234" s="19" t="s">
        <v>1575</v>
      </c>
      <c r="J2234" s="20">
        <v>37</v>
      </c>
      <c r="K2234" t="s">
        <v>631</v>
      </c>
      <c r="L2234" t="s">
        <v>666</v>
      </c>
      <c r="M2234" t="s">
        <v>629</v>
      </c>
      <c r="N2234" t="s">
        <v>635</v>
      </c>
      <c r="O2234" t="s">
        <v>637</v>
      </c>
    </row>
    <row r="2235" spans="1:15" x14ac:dyDescent="0.35">
      <c r="A2235" s="77">
        <v>1.5123287671232877</v>
      </c>
      <c r="B2235" s="19">
        <v>93741</v>
      </c>
      <c r="C2235" s="19" t="s">
        <v>4546</v>
      </c>
      <c r="D2235" s="19" t="s">
        <v>186</v>
      </c>
      <c r="E2235" s="19" t="s">
        <v>187</v>
      </c>
      <c r="F2235" s="19" t="s">
        <v>1164</v>
      </c>
      <c r="G2235" s="19" t="s">
        <v>1046</v>
      </c>
      <c r="H2235" s="19" t="s">
        <v>1001</v>
      </c>
      <c r="I2235" s="19" t="s">
        <v>1575</v>
      </c>
      <c r="J2235" s="20">
        <v>29</v>
      </c>
      <c r="K2235" t="s">
        <v>642</v>
      </c>
      <c r="L2235" t="s">
        <v>648</v>
      </c>
      <c r="M2235" t="s">
        <v>623</v>
      </c>
      <c r="N2235" t="s">
        <v>624</v>
      </c>
      <c r="O2235" t="s">
        <v>649</v>
      </c>
    </row>
    <row r="2236" spans="1:15" x14ac:dyDescent="0.35">
      <c r="A2236" s="77">
        <v>1.5095890410958903</v>
      </c>
      <c r="B2236" s="19">
        <v>93743</v>
      </c>
      <c r="C2236" s="19" t="s">
        <v>4547</v>
      </c>
      <c r="D2236" s="19" t="s">
        <v>387</v>
      </c>
      <c r="E2236" s="19" t="s">
        <v>388</v>
      </c>
      <c r="F2236" s="19" t="s">
        <v>1142</v>
      </c>
      <c r="G2236" s="19" t="s">
        <v>1046</v>
      </c>
      <c r="H2236" s="19" t="s">
        <v>1001</v>
      </c>
      <c r="I2236" s="19" t="s">
        <v>1599</v>
      </c>
      <c r="J2236" s="20">
        <v>29</v>
      </c>
      <c r="K2236" t="s">
        <v>642</v>
      </c>
      <c r="L2236" t="s">
        <v>634</v>
      </c>
      <c r="M2236" t="s">
        <v>629</v>
      </c>
      <c r="N2236" t="s">
        <v>630</v>
      </c>
      <c r="O2236" t="s">
        <v>734</v>
      </c>
    </row>
    <row r="2237" spans="1:15" x14ac:dyDescent="0.35">
      <c r="A2237" s="77">
        <v>1.5095890410958903</v>
      </c>
      <c r="B2237" s="19">
        <v>93768</v>
      </c>
      <c r="C2237" s="19" t="s">
        <v>4548</v>
      </c>
      <c r="D2237" s="19" t="s">
        <v>43</v>
      </c>
      <c r="E2237" s="19" t="s">
        <v>44</v>
      </c>
      <c r="F2237" s="19" t="s">
        <v>2355</v>
      </c>
      <c r="G2237" s="19" t="s">
        <v>1028</v>
      </c>
      <c r="H2237" s="19" t="s">
        <v>1020</v>
      </c>
      <c r="I2237" s="19" t="s">
        <v>1575</v>
      </c>
      <c r="J2237" s="20">
        <v>27</v>
      </c>
      <c r="K2237" t="s">
        <v>654</v>
      </c>
      <c r="L2237" t="s">
        <v>634</v>
      </c>
      <c r="M2237" t="s">
        <v>629</v>
      </c>
      <c r="N2237" t="s">
        <v>635</v>
      </c>
      <c r="O2237" t="s">
        <v>637</v>
      </c>
    </row>
    <row r="2238" spans="1:15" x14ac:dyDescent="0.35">
      <c r="A2238" s="77">
        <v>1.5095890410958903</v>
      </c>
      <c r="B2238" s="19">
        <v>93789</v>
      </c>
      <c r="C2238" s="19" t="s">
        <v>4549</v>
      </c>
      <c r="D2238" s="19" t="s">
        <v>11</v>
      </c>
      <c r="E2238" s="19" t="s">
        <v>11</v>
      </c>
      <c r="F2238" s="19" t="s">
        <v>627</v>
      </c>
      <c r="G2238" s="19" t="s">
        <v>1034</v>
      </c>
      <c r="H2238" s="19" t="s">
        <v>1001</v>
      </c>
      <c r="I2238" s="19" t="s">
        <v>1575</v>
      </c>
      <c r="J2238" s="20">
        <v>21</v>
      </c>
      <c r="K2238" t="s">
        <v>631</v>
      </c>
      <c r="L2238" t="s">
        <v>628</v>
      </c>
      <c r="M2238" t="s">
        <v>629</v>
      </c>
      <c r="N2238" t="s">
        <v>630</v>
      </c>
      <c r="O2238" t="s">
        <v>632</v>
      </c>
    </row>
    <row r="2239" spans="1:15" x14ac:dyDescent="0.35">
      <c r="A2239" s="77">
        <v>1.5068493150684932</v>
      </c>
      <c r="B2239" s="19">
        <v>93793</v>
      </c>
      <c r="C2239" s="19" t="s">
        <v>4550</v>
      </c>
      <c r="D2239" s="19" t="s">
        <v>353</v>
      </c>
      <c r="E2239" s="19" t="s">
        <v>354</v>
      </c>
      <c r="F2239" s="19" t="s">
        <v>850</v>
      </c>
      <c r="G2239" s="19" t="s">
        <v>1008</v>
      </c>
      <c r="H2239" s="19" t="s">
        <v>1001</v>
      </c>
      <c r="I2239" s="19" t="s">
        <v>1599</v>
      </c>
      <c r="J2239" s="20">
        <v>20</v>
      </c>
      <c r="K2239" t="s">
        <v>654</v>
      </c>
      <c r="L2239" t="s">
        <v>640</v>
      </c>
      <c r="M2239" t="s">
        <v>623</v>
      </c>
      <c r="N2239" t="s">
        <v>624</v>
      </c>
      <c r="O2239" t="s">
        <v>789</v>
      </c>
    </row>
    <row r="2240" spans="1:15" x14ac:dyDescent="0.35">
      <c r="A2240" s="77">
        <v>1.3561643835616439</v>
      </c>
      <c r="B2240" s="19">
        <v>93804</v>
      </c>
      <c r="C2240" s="19" t="s">
        <v>4551</v>
      </c>
      <c r="D2240" s="19" t="s">
        <v>300</v>
      </c>
      <c r="E2240" s="19" t="s">
        <v>301</v>
      </c>
      <c r="F2240" s="19" t="s">
        <v>1719</v>
      </c>
      <c r="G2240" s="19" t="s">
        <v>1057</v>
      </c>
      <c r="H2240" s="19" t="s">
        <v>1001</v>
      </c>
      <c r="I2240" s="19" t="s">
        <v>1575</v>
      </c>
      <c r="J2240" s="20">
        <v>35</v>
      </c>
      <c r="K2240" t="s">
        <v>668</v>
      </c>
      <c r="L2240" t="s">
        <v>737</v>
      </c>
      <c r="M2240" t="s">
        <v>657</v>
      </c>
      <c r="N2240" t="s">
        <v>641</v>
      </c>
      <c r="O2240" t="s">
        <v>738</v>
      </c>
    </row>
    <row r="2241" spans="1:15" x14ac:dyDescent="0.35">
      <c r="A2241" s="77">
        <v>1.4958904109589042</v>
      </c>
      <c r="B2241" s="19">
        <v>93808</v>
      </c>
      <c r="C2241" s="19" t="s">
        <v>4552</v>
      </c>
      <c r="D2241" s="19" t="s">
        <v>260</v>
      </c>
      <c r="E2241" s="19" t="s">
        <v>261</v>
      </c>
      <c r="F2241" s="19" t="s">
        <v>1109</v>
      </c>
      <c r="G2241" s="19" t="s">
        <v>1057</v>
      </c>
      <c r="H2241" s="19" t="s">
        <v>1001</v>
      </c>
      <c r="I2241" s="19" t="s">
        <v>1575</v>
      </c>
      <c r="J2241" s="20">
        <v>25</v>
      </c>
      <c r="K2241" t="s">
        <v>636</v>
      </c>
      <c r="L2241" t="s">
        <v>656</v>
      </c>
      <c r="M2241" t="s">
        <v>657</v>
      </c>
      <c r="N2241" t="s">
        <v>658</v>
      </c>
      <c r="O2241" t="s">
        <v>808</v>
      </c>
    </row>
    <row r="2242" spans="1:15" x14ac:dyDescent="0.35">
      <c r="A2242" s="77">
        <v>1.4986301369863013</v>
      </c>
      <c r="B2242" s="19">
        <v>93812</v>
      </c>
      <c r="C2242" s="19" t="s">
        <v>4553</v>
      </c>
      <c r="D2242" s="19" t="s">
        <v>295</v>
      </c>
      <c r="E2242" s="19" t="s">
        <v>296</v>
      </c>
      <c r="F2242" s="19" t="s">
        <v>1095</v>
      </c>
      <c r="G2242" s="19" t="s">
        <v>1084</v>
      </c>
      <c r="H2242" s="19" t="s">
        <v>1001</v>
      </c>
      <c r="I2242" s="19" t="s">
        <v>1599</v>
      </c>
      <c r="J2242" s="20">
        <v>26</v>
      </c>
      <c r="K2242" t="s">
        <v>654</v>
      </c>
      <c r="L2242" t="s">
        <v>651</v>
      </c>
      <c r="M2242" t="s">
        <v>629</v>
      </c>
      <c r="N2242" t="s">
        <v>630</v>
      </c>
      <c r="O2242" t="s">
        <v>705</v>
      </c>
    </row>
    <row r="2243" spans="1:15" x14ac:dyDescent="0.35">
      <c r="A2243" s="77">
        <v>1.4931506849315068</v>
      </c>
      <c r="B2243" s="19">
        <v>93825</v>
      </c>
      <c r="C2243" s="19" t="s">
        <v>4554</v>
      </c>
      <c r="D2243" s="19" t="s">
        <v>239</v>
      </c>
      <c r="E2243" s="19" t="s">
        <v>240</v>
      </c>
      <c r="F2243" s="19" t="s">
        <v>798</v>
      </c>
      <c r="G2243" s="19" t="s">
        <v>1000</v>
      </c>
      <c r="H2243" s="19" t="s">
        <v>1001</v>
      </c>
      <c r="I2243" s="19" t="s">
        <v>1599</v>
      </c>
      <c r="J2243" s="20">
        <v>34</v>
      </c>
      <c r="K2243" t="s">
        <v>636</v>
      </c>
      <c r="L2243" t="s">
        <v>628</v>
      </c>
      <c r="M2243" t="s">
        <v>629</v>
      </c>
      <c r="N2243" t="s">
        <v>646</v>
      </c>
      <c r="O2243" t="s">
        <v>632</v>
      </c>
    </row>
    <row r="2244" spans="1:15" x14ac:dyDescent="0.35">
      <c r="A2244" s="77">
        <v>1.4958904109589042</v>
      </c>
      <c r="B2244" s="19">
        <v>93829</v>
      </c>
      <c r="C2244" s="19" t="s">
        <v>4555</v>
      </c>
      <c r="D2244" s="19" t="s">
        <v>120</v>
      </c>
      <c r="E2244" s="19" t="s">
        <v>121</v>
      </c>
      <c r="F2244" s="19" t="s">
        <v>1236</v>
      </c>
      <c r="G2244" s="19" t="s">
        <v>1008</v>
      </c>
      <c r="H2244" s="19" t="s">
        <v>1001</v>
      </c>
      <c r="I2244" s="19" t="s">
        <v>1575</v>
      </c>
      <c r="J2244" s="20">
        <v>21</v>
      </c>
      <c r="K2244" t="s">
        <v>636</v>
      </c>
      <c r="L2244" t="s">
        <v>673</v>
      </c>
      <c r="M2244" t="s">
        <v>623</v>
      </c>
      <c r="N2244" t="s">
        <v>641</v>
      </c>
      <c r="O2244" t="s">
        <v>748</v>
      </c>
    </row>
    <row r="2245" spans="1:15" x14ac:dyDescent="0.35">
      <c r="A2245" s="77">
        <v>1.4958904109589042</v>
      </c>
      <c r="B2245" s="19">
        <v>93833</v>
      </c>
      <c r="C2245" s="19" t="s">
        <v>4556</v>
      </c>
      <c r="D2245" s="19" t="s">
        <v>151</v>
      </c>
      <c r="E2245" s="19" t="s">
        <v>152</v>
      </c>
      <c r="F2245" s="19" t="s">
        <v>1557</v>
      </c>
      <c r="G2245" s="19" t="s">
        <v>1019</v>
      </c>
      <c r="H2245" s="19" t="s">
        <v>1020</v>
      </c>
      <c r="I2245" s="19" t="s">
        <v>1575</v>
      </c>
      <c r="J2245" s="20">
        <v>21</v>
      </c>
      <c r="K2245" t="s">
        <v>654</v>
      </c>
      <c r="L2245" t="s">
        <v>691</v>
      </c>
      <c r="M2245" t="s">
        <v>657</v>
      </c>
      <c r="N2245" t="s">
        <v>658</v>
      </c>
      <c r="O2245" t="s">
        <v>632</v>
      </c>
    </row>
    <row r="2246" spans="1:15" x14ac:dyDescent="0.35">
      <c r="A2246" s="77">
        <v>1.4958904109589042</v>
      </c>
      <c r="B2246" s="19">
        <v>93834</v>
      </c>
      <c r="C2246" s="19" t="s">
        <v>4557</v>
      </c>
      <c r="D2246" s="19" t="s">
        <v>403</v>
      </c>
      <c r="E2246" s="19" t="s">
        <v>404</v>
      </c>
      <c r="F2246" s="19" t="s">
        <v>870</v>
      </c>
      <c r="G2246" s="19" t="s">
        <v>1028</v>
      </c>
      <c r="H2246" s="19" t="s">
        <v>1020</v>
      </c>
      <c r="I2246" s="19" t="s">
        <v>1575</v>
      </c>
      <c r="J2246" s="20">
        <v>25</v>
      </c>
      <c r="K2246" t="s">
        <v>631</v>
      </c>
      <c r="L2246" t="s">
        <v>691</v>
      </c>
      <c r="M2246" t="s">
        <v>657</v>
      </c>
      <c r="N2246" t="s">
        <v>658</v>
      </c>
      <c r="O2246" t="s">
        <v>632</v>
      </c>
    </row>
    <row r="2247" spans="1:15" x14ac:dyDescent="0.35">
      <c r="A2247" s="77">
        <v>1.9178082191780823E-2</v>
      </c>
      <c r="B2247" s="19">
        <v>93840</v>
      </c>
      <c r="C2247" s="19" t="s">
        <v>4558</v>
      </c>
      <c r="D2247" s="19" t="s">
        <v>235</v>
      </c>
      <c r="E2247" s="19" t="s">
        <v>236</v>
      </c>
      <c r="F2247" s="19" t="s">
        <v>1457</v>
      </c>
      <c r="G2247" s="19" t="s">
        <v>1008</v>
      </c>
      <c r="H2247" s="19" t="s">
        <v>1001</v>
      </c>
      <c r="I2247" s="19" t="s">
        <v>1575</v>
      </c>
      <c r="J2247" s="20">
        <v>19</v>
      </c>
      <c r="K2247" t="s">
        <v>654</v>
      </c>
      <c r="L2247" t="s">
        <v>707</v>
      </c>
      <c r="M2247" t="s">
        <v>629</v>
      </c>
      <c r="N2247" t="s">
        <v>635</v>
      </c>
      <c r="O2247" t="s">
        <v>710</v>
      </c>
    </row>
    <row r="2248" spans="1:15" x14ac:dyDescent="0.35">
      <c r="A2248" s="77">
        <v>1.4904109589041097</v>
      </c>
      <c r="B2248" s="19">
        <v>93848</v>
      </c>
      <c r="C2248" s="19" t="s">
        <v>4559</v>
      </c>
      <c r="D2248" s="19" t="s">
        <v>201</v>
      </c>
      <c r="E2248" s="19" t="s">
        <v>202</v>
      </c>
      <c r="F2248" s="19" t="s">
        <v>1061</v>
      </c>
      <c r="G2248" s="19" t="s">
        <v>1028</v>
      </c>
      <c r="H2248" s="19" t="s">
        <v>1020</v>
      </c>
      <c r="I2248" s="19" t="s">
        <v>1575</v>
      </c>
      <c r="J2248" s="20">
        <v>24</v>
      </c>
      <c r="K2248" t="s">
        <v>631</v>
      </c>
      <c r="L2248" t="s">
        <v>628</v>
      </c>
      <c r="M2248" t="s">
        <v>629</v>
      </c>
      <c r="N2248" t="s">
        <v>630</v>
      </c>
      <c r="O2248" t="s">
        <v>784</v>
      </c>
    </row>
    <row r="2249" spans="1:15" x14ac:dyDescent="0.35">
      <c r="A2249" s="77">
        <v>1.4904109589041097</v>
      </c>
      <c r="B2249" s="19">
        <v>93849</v>
      </c>
      <c r="C2249" s="19" t="s">
        <v>4560</v>
      </c>
      <c r="D2249" s="19" t="s">
        <v>403</v>
      </c>
      <c r="E2249" s="19" t="s">
        <v>404</v>
      </c>
      <c r="F2249" s="19" t="s">
        <v>870</v>
      </c>
      <c r="G2249" s="19" t="s">
        <v>1057</v>
      </c>
      <c r="H2249" s="19" t="s">
        <v>1001</v>
      </c>
      <c r="I2249" s="19" t="s">
        <v>1575</v>
      </c>
      <c r="J2249" s="20">
        <v>22</v>
      </c>
      <c r="K2249" t="s">
        <v>631</v>
      </c>
      <c r="L2249" t="s">
        <v>691</v>
      </c>
      <c r="M2249" t="s">
        <v>657</v>
      </c>
      <c r="N2249" t="s">
        <v>658</v>
      </c>
      <c r="O2249" t="s">
        <v>632</v>
      </c>
    </row>
    <row r="2250" spans="1:15" x14ac:dyDescent="0.35">
      <c r="A2250" s="77">
        <v>1.4904109589041097</v>
      </c>
      <c r="B2250" s="19">
        <v>93867</v>
      </c>
      <c r="C2250" s="19" t="s">
        <v>4561</v>
      </c>
      <c r="D2250" s="19" t="s">
        <v>49</v>
      </c>
      <c r="E2250" s="19" t="s">
        <v>50</v>
      </c>
      <c r="F2250" s="19" t="s">
        <v>1213</v>
      </c>
      <c r="G2250" s="19" t="s">
        <v>1019</v>
      </c>
      <c r="H2250" s="19" t="s">
        <v>1020</v>
      </c>
      <c r="I2250" s="19" t="s">
        <v>1575</v>
      </c>
      <c r="J2250" s="20">
        <v>20</v>
      </c>
      <c r="K2250" t="s">
        <v>625</v>
      </c>
      <c r="L2250" t="s">
        <v>648</v>
      </c>
      <c r="M2250" t="s">
        <v>623</v>
      </c>
      <c r="N2250" t="s">
        <v>624</v>
      </c>
      <c r="O2250" t="s">
        <v>649</v>
      </c>
    </row>
    <row r="2251" spans="1:15" x14ac:dyDescent="0.35">
      <c r="A2251" s="77">
        <v>1.4876712328767123</v>
      </c>
      <c r="B2251" s="19">
        <v>93879</v>
      </c>
      <c r="C2251" s="19" t="s">
        <v>4562</v>
      </c>
      <c r="D2251" s="19" t="s">
        <v>411</v>
      </c>
      <c r="E2251" s="19" t="s">
        <v>412</v>
      </c>
      <c r="F2251" s="19" t="s">
        <v>1225</v>
      </c>
      <c r="G2251" s="19" t="s">
        <v>1008</v>
      </c>
      <c r="H2251" s="19" t="s">
        <v>1001</v>
      </c>
      <c r="I2251" s="19" t="s">
        <v>1575</v>
      </c>
      <c r="J2251" s="20">
        <v>22</v>
      </c>
      <c r="K2251" t="s">
        <v>636</v>
      </c>
      <c r="L2251" t="s">
        <v>691</v>
      </c>
      <c r="M2251" t="s">
        <v>657</v>
      </c>
      <c r="N2251" t="s">
        <v>658</v>
      </c>
      <c r="O2251" t="s">
        <v>632</v>
      </c>
    </row>
    <row r="2252" spans="1:15" x14ac:dyDescent="0.35">
      <c r="A2252" s="77">
        <v>1.4904109589041097</v>
      </c>
      <c r="B2252" s="19">
        <v>93893</v>
      </c>
      <c r="C2252" s="19" t="s">
        <v>4563</v>
      </c>
      <c r="D2252" s="19" t="s">
        <v>118</v>
      </c>
      <c r="E2252" s="19" t="s">
        <v>119</v>
      </c>
      <c r="F2252" s="19" t="s">
        <v>1360</v>
      </c>
      <c r="G2252" s="19" t="s">
        <v>1084</v>
      </c>
      <c r="H2252" s="19" t="s">
        <v>1001</v>
      </c>
      <c r="I2252" s="19" t="s">
        <v>1575</v>
      </c>
      <c r="J2252" s="20">
        <v>44</v>
      </c>
      <c r="K2252" t="s">
        <v>625</v>
      </c>
      <c r="L2252" t="s">
        <v>656</v>
      </c>
      <c r="M2252" t="s">
        <v>657</v>
      </c>
      <c r="N2252" t="s">
        <v>658</v>
      </c>
      <c r="O2252" t="s">
        <v>632</v>
      </c>
    </row>
    <row r="2253" spans="1:15" x14ac:dyDescent="0.35">
      <c r="A2253" s="77">
        <v>1.4958904109589042</v>
      </c>
      <c r="B2253" s="19">
        <v>93899</v>
      </c>
      <c r="C2253" s="19" t="s">
        <v>4564</v>
      </c>
      <c r="D2253" s="19" t="s">
        <v>27</v>
      </c>
      <c r="E2253" s="19" t="s">
        <v>27</v>
      </c>
      <c r="F2253" s="19" t="s">
        <v>1250</v>
      </c>
      <c r="G2253" s="19" t="s">
        <v>1034</v>
      </c>
      <c r="H2253" s="19" t="s">
        <v>1001</v>
      </c>
      <c r="I2253" s="19" t="s">
        <v>1599</v>
      </c>
      <c r="J2253" s="20">
        <v>22</v>
      </c>
      <c r="K2253" t="s">
        <v>668</v>
      </c>
      <c r="L2253" t="s">
        <v>645</v>
      </c>
      <c r="M2253" t="s">
        <v>629</v>
      </c>
      <c r="N2253" t="s">
        <v>646</v>
      </c>
      <c r="O2253" t="s">
        <v>632</v>
      </c>
    </row>
    <row r="2254" spans="1:15" x14ac:dyDescent="0.35">
      <c r="A2254" s="77">
        <v>0.41095890410958902</v>
      </c>
      <c r="B2254" s="19">
        <v>93909</v>
      </c>
      <c r="C2254" s="19" t="s">
        <v>4565</v>
      </c>
      <c r="D2254" s="19" t="s">
        <v>16</v>
      </c>
      <c r="E2254" s="19" t="s">
        <v>16</v>
      </c>
      <c r="F2254" s="19" t="s">
        <v>1211</v>
      </c>
      <c r="G2254" s="19" t="s">
        <v>1028</v>
      </c>
      <c r="H2254" s="19" t="s">
        <v>1020</v>
      </c>
      <c r="I2254" s="19" t="s">
        <v>1599</v>
      </c>
      <c r="J2254" s="20">
        <v>20</v>
      </c>
      <c r="K2254" t="s">
        <v>631</v>
      </c>
      <c r="L2254" t="s">
        <v>645</v>
      </c>
      <c r="M2254" t="s">
        <v>629</v>
      </c>
      <c r="N2254" t="s">
        <v>646</v>
      </c>
      <c r="O2254" t="s">
        <v>632</v>
      </c>
    </row>
    <row r="2255" spans="1:15" x14ac:dyDescent="0.35">
      <c r="A2255" s="77">
        <v>1.484931506849315</v>
      </c>
      <c r="B2255" s="19">
        <v>93922</v>
      </c>
      <c r="C2255" s="19" t="s">
        <v>4566</v>
      </c>
      <c r="D2255" s="19" t="s">
        <v>181</v>
      </c>
      <c r="E2255" s="19" t="s">
        <v>182</v>
      </c>
      <c r="F2255" s="19" t="s">
        <v>1374</v>
      </c>
      <c r="G2255" s="19" t="s">
        <v>1028</v>
      </c>
      <c r="H2255" s="19" t="s">
        <v>1020</v>
      </c>
      <c r="I2255" s="19" t="s">
        <v>1599</v>
      </c>
      <c r="J2255" s="20">
        <v>23</v>
      </c>
      <c r="K2255" t="s">
        <v>625</v>
      </c>
      <c r="L2255" t="s">
        <v>678</v>
      </c>
      <c r="M2255" t="s">
        <v>623</v>
      </c>
      <c r="N2255" t="s">
        <v>624</v>
      </c>
      <c r="O2255" t="s">
        <v>679</v>
      </c>
    </row>
    <row r="2256" spans="1:15" x14ac:dyDescent="0.35">
      <c r="A2256" s="77">
        <v>1.484931506849315</v>
      </c>
      <c r="B2256" s="19">
        <v>93923</v>
      </c>
      <c r="C2256" s="19" t="s">
        <v>4567</v>
      </c>
      <c r="D2256" s="19" t="s">
        <v>193</v>
      </c>
      <c r="E2256" s="19" t="s">
        <v>194</v>
      </c>
      <c r="F2256" s="19" t="s">
        <v>2422</v>
      </c>
      <c r="G2256" s="19" t="s">
        <v>1008</v>
      </c>
      <c r="H2256" s="19" t="s">
        <v>1001</v>
      </c>
      <c r="I2256" s="19" t="s">
        <v>1575</v>
      </c>
      <c r="J2256" s="20">
        <v>23</v>
      </c>
      <c r="K2256" t="s">
        <v>654</v>
      </c>
      <c r="L2256" t="s">
        <v>670</v>
      </c>
      <c r="M2256" t="s">
        <v>657</v>
      </c>
      <c r="N2256" t="s">
        <v>641</v>
      </c>
      <c r="O2256" t="s">
        <v>676</v>
      </c>
    </row>
    <row r="2257" spans="1:15" x14ac:dyDescent="0.35">
      <c r="A2257" s="77">
        <v>1.4684931506849315</v>
      </c>
      <c r="B2257" s="19">
        <v>93946</v>
      </c>
      <c r="C2257" s="19" t="s">
        <v>4568</v>
      </c>
      <c r="D2257" s="19" t="s">
        <v>367</v>
      </c>
      <c r="E2257" s="19" t="s">
        <v>368</v>
      </c>
      <c r="F2257" s="19" t="s">
        <v>1604</v>
      </c>
      <c r="G2257" s="19" t="s">
        <v>1028</v>
      </c>
      <c r="H2257" s="19" t="s">
        <v>1020</v>
      </c>
      <c r="I2257" s="19" t="s">
        <v>1599</v>
      </c>
      <c r="J2257" s="20">
        <v>23</v>
      </c>
      <c r="K2257" t="s">
        <v>636</v>
      </c>
      <c r="L2257" t="s">
        <v>737</v>
      </c>
      <c r="M2257" t="s">
        <v>657</v>
      </c>
      <c r="N2257" t="s">
        <v>641</v>
      </c>
      <c r="O2257" t="s">
        <v>738</v>
      </c>
    </row>
    <row r="2258" spans="1:15" x14ac:dyDescent="0.35">
      <c r="A2258" s="77">
        <v>1.4657534246575343</v>
      </c>
      <c r="B2258" s="19">
        <v>93975</v>
      </c>
      <c r="C2258" s="19" t="s">
        <v>4569</v>
      </c>
      <c r="D2258" s="19" t="s">
        <v>11</v>
      </c>
      <c r="E2258" s="19" t="s">
        <v>11</v>
      </c>
      <c r="F2258" s="19" t="s">
        <v>627</v>
      </c>
      <c r="G2258" s="19" t="s">
        <v>1038</v>
      </c>
      <c r="H2258" s="19" t="s">
        <v>1020</v>
      </c>
      <c r="I2258" s="19" t="s">
        <v>1575</v>
      </c>
      <c r="J2258" s="20">
        <v>19</v>
      </c>
      <c r="K2258" t="s">
        <v>631</v>
      </c>
      <c r="L2258" t="s">
        <v>628</v>
      </c>
      <c r="M2258" t="s">
        <v>629</v>
      </c>
      <c r="N2258" t="s">
        <v>630</v>
      </c>
      <c r="O2258" t="s">
        <v>632</v>
      </c>
    </row>
    <row r="2259" spans="1:15" x14ac:dyDescent="0.35">
      <c r="A2259" s="77">
        <v>1.4684931506849315</v>
      </c>
      <c r="B2259" s="19">
        <v>93985</v>
      </c>
      <c r="C2259" s="19" t="s">
        <v>4570</v>
      </c>
      <c r="D2259" s="19" t="s">
        <v>11</v>
      </c>
      <c r="E2259" s="19" t="s">
        <v>11</v>
      </c>
      <c r="F2259" s="19" t="s">
        <v>627</v>
      </c>
      <c r="G2259" s="19" t="s">
        <v>1057</v>
      </c>
      <c r="H2259" s="19" t="s">
        <v>1001</v>
      </c>
      <c r="I2259" s="19" t="s">
        <v>1599</v>
      </c>
      <c r="J2259" s="20">
        <v>22</v>
      </c>
      <c r="K2259" t="s">
        <v>631</v>
      </c>
      <c r="L2259" t="s">
        <v>628</v>
      </c>
      <c r="M2259" t="s">
        <v>629</v>
      </c>
      <c r="N2259" t="s">
        <v>630</v>
      </c>
      <c r="O2259" t="s">
        <v>632</v>
      </c>
    </row>
    <row r="2260" spans="1:15" x14ac:dyDescent="0.35">
      <c r="A2260" s="77">
        <v>1.4684931506849315</v>
      </c>
      <c r="B2260" s="19">
        <v>93995</v>
      </c>
      <c r="C2260" s="19" t="s">
        <v>4571</v>
      </c>
      <c r="D2260" s="19" t="s">
        <v>409</v>
      </c>
      <c r="E2260" s="19" t="s">
        <v>410</v>
      </c>
      <c r="F2260" s="19" t="s">
        <v>874</v>
      </c>
      <c r="G2260" s="19" t="s">
        <v>1034</v>
      </c>
      <c r="H2260" s="19" t="s">
        <v>1001</v>
      </c>
      <c r="I2260" s="19" t="s">
        <v>1575</v>
      </c>
      <c r="J2260" s="20">
        <v>32</v>
      </c>
      <c r="K2260" t="s">
        <v>631</v>
      </c>
      <c r="L2260" t="s">
        <v>666</v>
      </c>
      <c r="M2260" t="s">
        <v>629</v>
      </c>
      <c r="N2260" t="s">
        <v>635</v>
      </c>
      <c r="O2260" t="s">
        <v>637</v>
      </c>
    </row>
    <row r="2261" spans="1:15" x14ac:dyDescent="0.35">
      <c r="A2261" s="77">
        <v>0.14794520547945206</v>
      </c>
      <c r="B2261" s="19">
        <v>94002</v>
      </c>
      <c r="C2261" s="19" t="s">
        <v>4572</v>
      </c>
      <c r="D2261" s="19" t="s">
        <v>186</v>
      </c>
      <c r="E2261" s="19" t="s">
        <v>187</v>
      </c>
      <c r="F2261" s="19" t="s">
        <v>1164</v>
      </c>
      <c r="G2261" s="19" t="s">
        <v>1028</v>
      </c>
      <c r="H2261" s="19" t="s">
        <v>1020</v>
      </c>
      <c r="I2261" s="19" t="s">
        <v>1575</v>
      </c>
      <c r="J2261" s="20">
        <v>22</v>
      </c>
      <c r="K2261" t="s">
        <v>642</v>
      </c>
      <c r="L2261" t="s">
        <v>648</v>
      </c>
      <c r="M2261" t="s">
        <v>623</v>
      </c>
      <c r="N2261" t="s">
        <v>624</v>
      </c>
      <c r="O2261" t="s">
        <v>649</v>
      </c>
    </row>
    <row r="2262" spans="1:15" x14ac:dyDescent="0.35">
      <c r="A2262" s="77">
        <v>0.14794520547945206</v>
      </c>
      <c r="B2262" s="19">
        <v>94011</v>
      </c>
      <c r="C2262" s="19" t="s">
        <v>4573</v>
      </c>
      <c r="D2262" s="19" t="s">
        <v>186</v>
      </c>
      <c r="E2262" s="19" t="s">
        <v>187</v>
      </c>
      <c r="F2262" s="19" t="s">
        <v>1164</v>
      </c>
      <c r="G2262" s="19" t="s">
        <v>1019</v>
      </c>
      <c r="H2262" s="19" t="s">
        <v>1020</v>
      </c>
      <c r="I2262" s="19" t="s">
        <v>1575</v>
      </c>
      <c r="J2262" s="20">
        <v>22</v>
      </c>
      <c r="K2262" t="s">
        <v>642</v>
      </c>
      <c r="L2262" t="s">
        <v>648</v>
      </c>
      <c r="M2262" t="s">
        <v>623</v>
      </c>
      <c r="N2262" t="s">
        <v>624</v>
      </c>
      <c r="O2262" t="s">
        <v>649</v>
      </c>
    </row>
    <row r="2263" spans="1:15" x14ac:dyDescent="0.35">
      <c r="A2263" s="77">
        <v>1.4794520547945205</v>
      </c>
      <c r="B2263" s="19">
        <v>94021</v>
      </c>
      <c r="C2263" s="19" t="s">
        <v>4574</v>
      </c>
      <c r="D2263" s="19" t="s">
        <v>107</v>
      </c>
      <c r="E2263" s="19" t="s">
        <v>108</v>
      </c>
      <c r="F2263" s="19" t="s">
        <v>2702</v>
      </c>
      <c r="G2263" s="19" t="s">
        <v>1019</v>
      </c>
      <c r="H2263" s="19" t="s">
        <v>1020</v>
      </c>
      <c r="I2263" s="19" t="s">
        <v>1575</v>
      </c>
      <c r="J2263" s="20">
        <v>20</v>
      </c>
      <c r="K2263" t="s">
        <v>668</v>
      </c>
      <c r="L2263" t="s">
        <v>691</v>
      </c>
      <c r="M2263" t="s">
        <v>657</v>
      </c>
      <c r="N2263" t="s">
        <v>658</v>
      </c>
      <c r="O2263" t="s">
        <v>632</v>
      </c>
    </row>
    <row r="2264" spans="1:15" x14ac:dyDescent="0.35">
      <c r="A2264" s="77">
        <v>1.4712328767123288</v>
      </c>
      <c r="B2264" s="19">
        <v>94025</v>
      </c>
      <c r="C2264" s="19" t="s">
        <v>4575</v>
      </c>
      <c r="D2264" s="19" t="s">
        <v>284</v>
      </c>
      <c r="E2264" s="19" t="s">
        <v>285</v>
      </c>
      <c r="F2264" s="19" t="s">
        <v>1150</v>
      </c>
      <c r="G2264" s="19" t="s">
        <v>1045</v>
      </c>
      <c r="H2264" s="19" t="s">
        <v>1001</v>
      </c>
      <c r="I2264" s="19" t="s">
        <v>1599</v>
      </c>
      <c r="J2264" s="20">
        <v>24</v>
      </c>
      <c r="K2264" t="s">
        <v>625</v>
      </c>
      <c r="L2264" t="s">
        <v>661</v>
      </c>
      <c r="M2264" t="s">
        <v>657</v>
      </c>
      <c r="N2264" t="s">
        <v>662</v>
      </c>
      <c r="O2264" t="s">
        <v>632</v>
      </c>
    </row>
    <row r="2265" spans="1:15" x14ac:dyDescent="0.35">
      <c r="A2265" s="77">
        <v>1.463013698630137</v>
      </c>
      <c r="B2265" s="19">
        <v>94034</v>
      </c>
      <c r="C2265" s="19" t="s">
        <v>4576</v>
      </c>
      <c r="D2265" s="19" t="s">
        <v>107</v>
      </c>
      <c r="E2265" s="19" t="s">
        <v>108</v>
      </c>
      <c r="F2265" s="19" t="s">
        <v>2702</v>
      </c>
      <c r="G2265" s="19" t="s">
        <v>1028</v>
      </c>
      <c r="H2265" s="19" t="s">
        <v>1020</v>
      </c>
      <c r="I2265" s="19" t="s">
        <v>1575</v>
      </c>
      <c r="J2265" s="20">
        <v>22</v>
      </c>
      <c r="K2265" t="s">
        <v>668</v>
      </c>
      <c r="L2265" t="s">
        <v>691</v>
      </c>
      <c r="M2265" t="s">
        <v>657</v>
      </c>
      <c r="N2265" t="s">
        <v>658</v>
      </c>
      <c r="O2265" t="s">
        <v>632</v>
      </c>
    </row>
    <row r="2266" spans="1:15" x14ac:dyDescent="0.35">
      <c r="A2266" s="77">
        <v>0.77534246575342469</v>
      </c>
      <c r="B2266" s="19">
        <v>94036</v>
      </c>
      <c r="C2266" s="19" t="s">
        <v>4577</v>
      </c>
      <c r="D2266" s="19" t="s">
        <v>118</v>
      </c>
      <c r="E2266" s="19" t="s">
        <v>119</v>
      </c>
      <c r="F2266" s="19" t="s">
        <v>1360</v>
      </c>
      <c r="G2266" s="19" t="s">
        <v>1028</v>
      </c>
      <c r="H2266" s="19" t="s">
        <v>1020</v>
      </c>
      <c r="I2266" s="19" t="s">
        <v>1575</v>
      </c>
      <c r="J2266" s="20">
        <v>22</v>
      </c>
      <c r="K2266" t="s">
        <v>625</v>
      </c>
      <c r="L2266" t="s">
        <v>656</v>
      </c>
      <c r="M2266" t="s">
        <v>657</v>
      </c>
      <c r="N2266" t="s">
        <v>658</v>
      </c>
      <c r="O2266" t="s">
        <v>632</v>
      </c>
    </row>
    <row r="2267" spans="1:15" x14ac:dyDescent="0.35">
      <c r="A2267" s="77">
        <v>1.4602739726027398</v>
      </c>
      <c r="B2267" s="19">
        <v>94040</v>
      </c>
      <c r="C2267" s="19" t="s">
        <v>4578</v>
      </c>
      <c r="D2267" s="19" t="s">
        <v>278</v>
      </c>
      <c r="E2267" s="19" t="s">
        <v>279</v>
      </c>
      <c r="F2267" s="19" t="s">
        <v>1131</v>
      </c>
      <c r="G2267" s="19" t="s">
        <v>1028</v>
      </c>
      <c r="H2267" s="19" t="s">
        <v>1020</v>
      </c>
      <c r="I2267" s="19" t="s">
        <v>1575</v>
      </c>
      <c r="J2267" s="20">
        <v>19</v>
      </c>
      <c r="K2267" t="s">
        <v>625</v>
      </c>
      <c r="L2267" t="s">
        <v>661</v>
      </c>
      <c r="M2267" t="s">
        <v>657</v>
      </c>
      <c r="N2267" t="s">
        <v>662</v>
      </c>
      <c r="O2267" t="s">
        <v>632</v>
      </c>
    </row>
    <row r="2268" spans="1:15" x14ac:dyDescent="0.35">
      <c r="A2268" s="77">
        <v>1.452054794520548</v>
      </c>
      <c r="B2268" s="19">
        <v>94047</v>
      </c>
      <c r="C2268" s="19" t="s">
        <v>4579</v>
      </c>
      <c r="D2268" s="19" t="s">
        <v>377</v>
      </c>
      <c r="E2268" s="19" t="s">
        <v>378</v>
      </c>
      <c r="F2268" s="19" t="s">
        <v>862</v>
      </c>
      <c r="G2268" s="19" t="s">
        <v>1028</v>
      </c>
      <c r="H2268" s="19" t="s">
        <v>1020</v>
      </c>
      <c r="I2268" s="19" t="s">
        <v>1575</v>
      </c>
      <c r="J2268" s="20">
        <v>39</v>
      </c>
      <c r="K2268" t="s">
        <v>631</v>
      </c>
      <c r="L2268" t="s">
        <v>661</v>
      </c>
      <c r="M2268" t="s">
        <v>657</v>
      </c>
      <c r="N2268" t="s">
        <v>662</v>
      </c>
      <c r="O2268" t="s">
        <v>632</v>
      </c>
    </row>
    <row r="2269" spans="1:15" x14ac:dyDescent="0.35">
      <c r="A2269" s="77">
        <v>1.452054794520548</v>
      </c>
      <c r="B2269" s="19">
        <v>94052</v>
      </c>
      <c r="C2269" s="19" t="s">
        <v>4580</v>
      </c>
      <c r="D2269" s="19" t="s">
        <v>41</v>
      </c>
      <c r="E2269" s="19" t="s">
        <v>41</v>
      </c>
      <c r="F2269" s="19" t="s">
        <v>1157</v>
      </c>
      <c r="G2269" s="19" t="s">
        <v>1028</v>
      </c>
      <c r="H2269" s="19" t="s">
        <v>1020</v>
      </c>
      <c r="I2269" s="19" t="s">
        <v>1575</v>
      </c>
      <c r="J2269" s="20">
        <v>25</v>
      </c>
      <c r="K2269" t="s">
        <v>625</v>
      </c>
      <c r="L2269" t="s">
        <v>691</v>
      </c>
      <c r="M2269" t="s">
        <v>657</v>
      </c>
      <c r="N2269" t="s">
        <v>658</v>
      </c>
      <c r="O2269" t="s">
        <v>632</v>
      </c>
    </row>
    <row r="2270" spans="1:15" x14ac:dyDescent="0.35">
      <c r="A2270" s="77">
        <v>1.4493150684931506</v>
      </c>
      <c r="B2270" s="19">
        <v>94055</v>
      </c>
      <c r="C2270" s="19" t="s">
        <v>4581</v>
      </c>
      <c r="D2270" s="19" t="s">
        <v>415</v>
      </c>
      <c r="E2270" s="19" t="s">
        <v>416</v>
      </c>
      <c r="F2270" s="19" t="s">
        <v>1199</v>
      </c>
      <c r="G2270" s="19" t="s">
        <v>1034</v>
      </c>
      <c r="H2270" s="19" t="s">
        <v>1001</v>
      </c>
      <c r="I2270" s="19" t="s">
        <v>1575</v>
      </c>
      <c r="J2270" s="20">
        <v>20</v>
      </c>
      <c r="K2270" t="s">
        <v>668</v>
      </c>
      <c r="L2270" t="s">
        <v>666</v>
      </c>
      <c r="M2270" t="s">
        <v>629</v>
      </c>
      <c r="N2270" t="s">
        <v>635</v>
      </c>
      <c r="O2270" t="s">
        <v>637</v>
      </c>
    </row>
    <row r="2271" spans="1:15" x14ac:dyDescent="0.35">
      <c r="A2271" s="77">
        <v>0.48767123287671232</v>
      </c>
      <c r="B2271" s="19">
        <v>94069</v>
      </c>
      <c r="C2271" s="19" t="s">
        <v>4582</v>
      </c>
      <c r="D2271" s="19" t="s">
        <v>175</v>
      </c>
      <c r="E2271" s="19" t="s">
        <v>176</v>
      </c>
      <c r="F2271" s="19" t="s">
        <v>1538</v>
      </c>
      <c r="G2271" s="19" t="s">
        <v>1057</v>
      </c>
      <c r="H2271" s="19" t="s">
        <v>1001</v>
      </c>
      <c r="I2271" s="19" t="s">
        <v>1575</v>
      </c>
      <c r="J2271" s="20">
        <v>20</v>
      </c>
      <c r="K2271" t="s">
        <v>668</v>
      </c>
      <c r="L2271" t="s">
        <v>707</v>
      </c>
      <c r="M2271" t="s">
        <v>629</v>
      </c>
      <c r="N2271" t="s">
        <v>635</v>
      </c>
      <c r="O2271" t="s">
        <v>710</v>
      </c>
    </row>
    <row r="2272" spans="1:15" x14ac:dyDescent="0.35">
      <c r="A2272" s="77">
        <v>1.4493150684931506</v>
      </c>
      <c r="B2272" s="19">
        <v>94077</v>
      </c>
      <c r="C2272" s="19" t="s">
        <v>4583</v>
      </c>
      <c r="D2272" s="19" t="s">
        <v>355</v>
      </c>
      <c r="E2272" s="19" t="s">
        <v>356</v>
      </c>
      <c r="F2272" s="19" t="s">
        <v>1100</v>
      </c>
      <c r="G2272" s="19" t="s">
        <v>1084</v>
      </c>
      <c r="H2272" s="19" t="s">
        <v>1020</v>
      </c>
      <c r="I2272" s="19" t="s">
        <v>1599</v>
      </c>
      <c r="J2272" s="20">
        <v>22</v>
      </c>
      <c r="K2272" t="s">
        <v>625</v>
      </c>
      <c r="L2272" t="s">
        <v>622</v>
      </c>
      <c r="M2272" t="s">
        <v>623</v>
      </c>
      <c r="N2272" t="s">
        <v>624</v>
      </c>
      <c r="O2272" t="s">
        <v>649</v>
      </c>
    </row>
    <row r="2273" spans="1:15" x14ac:dyDescent="0.35">
      <c r="A2273" s="77">
        <v>1.4465753424657535</v>
      </c>
      <c r="B2273" s="19">
        <v>94087</v>
      </c>
      <c r="C2273" s="19" t="s">
        <v>4584</v>
      </c>
      <c r="D2273" s="19" t="s">
        <v>245</v>
      </c>
      <c r="E2273" s="19" t="s">
        <v>246</v>
      </c>
      <c r="F2273" s="19" t="s">
        <v>1365</v>
      </c>
      <c r="G2273" s="19" t="s">
        <v>1008</v>
      </c>
      <c r="H2273" s="19" t="s">
        <v>1001</v>
      </c>
      <c r="I2273" s="19" t="s">
        <v>1575</v>
      </c>
      <c r="J2273" s="20">
        <v>27</v>
      </c>
      <c r="K2273" t="s">
        <v>654</v>
      </c>
      <c r="L2273" t="s">
        <v>678</v>
      </c>
      <c r="M2273" t="s">
        <v>623</v>
      </c>
      <c r="N2273" t="s">
        <v>624</v>
      </c>
      <c r="O2273" t="s">
        <v>679</v>
      </c>
    </row>
    <row r="2274" spans="1:15" x14ac:dyDescent="0.35">
      <c r="A2274" s="77">
        <v>1.4465753424657535</v>
      </c>
      <c r="B2274" s="19">
        <v>94093</v>
      </c>
      <c r="C2274" s="19" t="s">
        <v>4585</v>
      </c>
      <c r="D2274" s="19" t="s">
        <v>278</v>
      </c>
      <c r="E2274" s="19" t="s">
        <v>279</v>
      </c>
      <c r="F2274" s="19" t="s">
        <v>1131</v>
      </c>
      <c r="G2274" s="19" t="s">
        <v>1034</v>
      </c>
      <c r="H2274" s="19" t="s">
        <v>1001</v>
      </c>
      <c r="I2274" s="19" t="s">
        <v>1599</v>
      </c>
      <c r="J2274" s="20">
        <v>25</v>
      </c>
      <c r="K2274" t="s">
        <v>625</v>
      </c>
      <c r="L2274" t="s">
        <v>661</v>
      </c>
      <c r="M2274" t="s">
        <v>657</v>
      </c>
      <c r="N2274" t="s">
        <v>662</v>
      </c>
      <c r="O2274" t="s">
        <v>632</v>
      </c>
    </row>
    <row r="2275" spans="1:15" x14ac:dyDescent="0.35">
      <c r="A2275" s="77">
        <v>1.4465753424657535</v>
      </c>
      <c r="B2275" s="19">
        <v>94097</v>
      </c>
      <c r="C2275" s="19" t="s">
        <v>4586</v>
      </c>
      <c r="D2275" s="19" t="s">
        <v>426</v>
      </c>
      <c r="E2275" s="19" t="s">
        <v>426</v>
      </c>
      <c r="F2275" s="19" t="s">
        <v>1220</v>
      </c>
      <c r="G2275" s="19" t="s">
        <v>1046</v>
      </c>
      <c r="H2275" s="19" t="s">
        <v>1001</v>
      </c>
      <c r="I2275" s="19" t="s">
        <v>1575</v>
      </c>
      <c r="J2275" s="20">
        <v>34</v>
      </c>
      <c r="K2275" t="s">
        <v>654</v>
      </c>
      <c r="L2275" t="s">
        <v>622</v>
      </c>
      <c r="M2275" t="s">
        <v>623</v>
      </c>
      <c r="N2275" t="s">
        <v>624</v>
      </c>
      <c r="O2275" t="s">
        <v>649</v>
      </c>
    </row>
    <row r="2276" spans="1:15" x14ac:dyDescent="0.35">
      <c r="A2276" s="77">
        <v>1.441095890410959</v>
      </c>
      <c r="B2276" s="19">
        <v>94106</v>
      </c>
      <c r="C2276" s="19" t="s">
        <v>4587</v>
      </c>
      <c r="D2276" s="19" t="s">
        <v>424</v>
      </c>
      <c r="E2276" s="19" t="s">
        <v>424</v>
      </c>
      <c r="F2276" s="19" t="s">
        <v>699</v>
      </c>
      <c r="G2276" s="19" t="s">
        <v>1008</v>
      </c>
      <c r="H2276" s="19" t="s">
        <v>1001</v>
      </c>
      <c r="I2276" s="19" t="s">
        <v>1575</v>
      </c>
      <c r="J2276" s="20">
        <v>53</v>
      </c>
      <c r="K2276" t="s">
        <v>642</v>
      </c>
      <c r="L2276" t="s">
        <v>628</v>
      </c>
      <c r="M2276" t="s">
        <v>629</v>
      </c>
      <c r="N2276" t="s">
        <v>646</v>
      </c>
      <c r="O2276" t="s">
        <v>632</v>
      </c>
    </row>
    <row r="2277" spans="1:15" x14ac:dyDescent="0.35">
      <c r="A2277" s="77">
        <v>1.4438356164383561</v>
      </c>
      <c r="B2277" s="19">
        <v>94111</v>
      </c>
      <c r="C2277" s="19" t="s">
        <v>4588</v>
      </c>
      <c r="D2277" s="19" t="s">
        <v>326</v>
      </c>
      <c r="E2277" s="19" t="s">
        <v>327</v>
      </c>
      <c r="F2277" s="19" t="s">
        <v>1051</v>
      </c>
      <c r="G2277" s="19" t="s">
        <v>1038</v>
      </c>
      <c r="H2277" s="19" t="s">
        <v>1020</v>
      </c>
      <c r="I2277" s="19" t="s">
        <v>1575</v>
      </c>
      <c r="J2277" s="20">
        <v>38</v>
      </c>
      <c r="K2277" t="s">
        <v>631</v>
      </c>
      <c r="L2277" t="s">
        <v>648</v>
      </c>
      <c r="M2277" t="s">
        <v>623</v>
      </c>
      <c r="N2277" t="s">
        <v>624</v>
      </c>
      <c r="O2277" t="s">
        <v>837</v>
      </c>
    </row>
    <row r="2278" spans="1:15" x14ac:dyDescent="0.35">
      <c r="A2278" s="77">
        <v>1.441095890410959</v>
      </c>
      <c r="B2278" s="19">
        <v>94113</v>
      </c>
      <c r="C2278" s="19" t="s">
        <v>4589</v>
      </c>
      <c r="D2278" s="19" t="s">
        <v>49</v>
      </c>
      <c r="E2278" s="19" t="s">
        <v>50</v>
      </c>
      <c r="F2278" s="19" t="s">
        <v>1213</v>
      </c>
      <c r="G2278" s="19" t="s">
        <v>1057</v>
      </c>
      <c r="H2278" s="19" t="s">
        <v>1001</v>
      </c>
      <c r="I2278" s="19" t="s">
        <v>1575</v>
      </c>
      <c r="J2278" s="20">
        <v>20</v>
      </c>
      <c r="K2278" t="s">
        <v>625</v>
      </c>
      <c r="L2278" t="s">
        <v>648</v>
      </c>
      <c r="M2278" t="s">
        <v>623</v>
      </c>
      <c r="N2278" t="s">
        <v>624</v>
      </c>
      <c r="O2278" t="s">
        <v>649</v>
      </c>
    </row>
    <row r="2279" spans="1:15" x14ac:dyDescent="0.35">
      <c r="A2279" s="77">
        <v>1.4328767123287671</v>
      </c>
      <c r="B2279" s="19">
        <v>94115</v>
      </c>
      <c r="C2279" s="19" t="s">
        <v>4590</v>
      </c>
      <c r="D2279" s="19" t="s">
        <v>324</v>
      </c>
      <c r="E2279" s="19" t="s">
        <v>325</v>
      </c>
      <c r="F2279" s="19" t="s">
        <v>1284</v>
      </c>
      <c r="G2279" s="19" t="s">
        <v>1008</v>
      </c>
      <c r="H2279" s="19" t="s">
        <v>1001</v>
      </c>
      <c r="I2279" s="19" t="s">
        <v>1575</v>
      </c>
      <c r="J2279" s="20">
        <v>26</v>
      </c>
      <c r="K2279" t="s">
        <v>631</v>
      </c>
      <c r="L2279" t="s">
        <v>663</v>
      </c>
      <c r="M2279" t="s">
        <v>629</v>
      </c>
      <c r="N2279" t="s">
        <v>646</v>
      </c>
      <c r="O2279" t="s">
        <v>639</v>
      </c>
    </row>
    <row r="2280" spans="1:15" x14ac:dyDescent="0.35">
      <c r="A2280" s="77">
        <v>1.441095890410959</v>
      </c>
      <c r="B2280" s="19">
        <v>94116</v>
      </c>
      <c r="C2280" s="19" t="s">
        <v>4591</v>
      </c>
      <c r="D2280" s="19" t="s">
        <v>97</v>
      </c>
      <c r="E2280" s="19" t="s">
        <v>98</v>
      </c>
      <c r="F2280" s="19" t="s">
        <v>2395</v>
      </c>
      <c r="G2280" s="19" t="s">
        <v>1084</v>
      </c>
      <c r="H2280" s="19" t="s">
        <v>1001</v>
      </c>
      <c r="I2280" s="19" t="s">
        <v>1575</v>
      </c>
      <c r="J2280" s="20">
        <v>38</v>
      </c>
      <c r="K2280" t="s">
        <v>654</v>
      </c>
      <c r="L2280" t="s">
        <v>666</v>
      </c>
      <c r="M2280" t="s">
        <v>629</v>
      </c>
      <c r="N2280" t="s">
        <v>635</v>
      </c>
      <c r="O2280" t="s">
        <v>739</v>
      </c>
    </row>
    <row r="2281" spans="1:15" x14ac:dyDescent="0.35">
      <c r="A2281" s="77">
        <v>1.441095890410959</v>
      </c>
      <c r="B2281" s="19">
        <v>94118</v>
      </c>
      <c r="C2281" s="19" t="s">
        <v>4592</v>
      </c>
      <c r="D2281" s="19" t="s">
        <v>191</v>
      </c>
      <c r="E2281" s="19" t="s">
        <v>192</v>
      </c>
      <c r="F2281" s="19" t="s">
        <v>1626</v>
      </c>
      <c r="G2281" s="19" t="s">
        <v>1028</v>
      </c>
      <c r="H2281" s="19" t="s">
        <v>1020</v>
      </c>
      <c r="I2281" s="19" t="s">
        <v>1575</v>
      </c>
      <c r="J2281" s="20">
        <v>20</v>
      </c>
      <c r="K2281" t="s">
        <v>654</v>
      </c>
      <c r="L2281" t="s">
        <v>673</v>
      </c>
      <c r="M2281" t="s">
        <v>623</v>
      </c>
      <c r="N2281" t="s">
        <v>641</v>
      </c>
      <c r="O2281" t="s">
        <v>779</v>
      </c>
    </row>
    <row r="2282" spans="1:15" x14ac:dyDescent="0.35">
      <c r="A2282" s="77">
        <v>1.4438356164383561</v>
      </c>
      <c r="B2282" s="19">
        <v>94132</v>
      </c>
      <c r="C2282" s="19" t="s">
        <v>4593</v>
      </c>
      <c r="D2282" s="19" t="s">
        <v>284</v>
      </c>
      <c r="E2282" s="19" t="s">
        <v>285</v>
      </c>
      <c r="F2282" s="19" t="s">
        <v>1150</v>
      </c>
      <c r="G2282" s="19" t="s">
        <v>1057</v>
      </c>
      <c r="H2282" s="19" t="s">
        <v>1001</v>
      </c>
      <c r="I2282" s="19" t="s">
        <v>1575</v>
      </c>
      <c r="J2282" s="20">
        <v>48</v>
      </c>
      <c r="K2282" t="s">
        <v>625</v>
      </c>
      <c r="L2282" t="s">
        <v>661</v>
      </c>
      <c r="M2282" t="s">
        <v>657</v>
      </c>
      <c r="N2282" t="s">
        <v>662</v>
      </c>
      <c r="O2282" t="s">
        <v>632</v>
      </c>
    </row>
    <row r="2283" spans="1:15" x14ac:dyDescent="0.35">
      <c r="A2283" s="77">
        <v>1.4438356164383561</v>
      </c>
      <c r="B2283" s="19">
        <v>94133</v>
      </c>
      <c r="C2283" s="19" t="s">
        <v>4594</v>
      </c>
      <c r="D2283" s="19" t="s">
        <v>401</v>
      </c>
      <c r="E2283" s="19" t="s">
        <v>402</v>
      </c>
      <c r="F2283" s="19" t="s">
        <v>1314</v>
      </c>
      <c r="G2283" s="19" t="s">
        <v>1028</v>
      </c>
      <c r="H2283" s="19" t="s">
        <v>1020</v>
      </c>
      <c r="I2283" s="19" t="s">
        <v>1575</v>
      </c>
      <c r="J2283" s="20">
        <v>19</v>
      </c>
      <c r="K2283" t="s">
        <v>668</v>
      </c>
      <c r="L2283" t="s">
        <v>691</v>
      </c>
      <c r="M2283" t="s">
        <v>657</v>
      </c>
      <c r="N2283" t="s">
        <v>658</v>
      </c>
      <c r="O2283" t="s">
        <v>632</v>
      </c>
    </row>
    <row r="2284" spans="1:15" x14ac:dyDescent="0.35">
      <c r="A2284" s="77">
        <v>1.4301369863013698</v>
      </c>
      <c r="B2284" s="19">
        <v>94145</v>
      </c>
      <c r="C2284" s="19" t="s">
        <v>4595</v>
      </c>
      <c r="D2284" s="19" t="s">
        <v>349</v>
      </c>
      <c r="E2284" s="19" t="s">
        <v>350</v>
      </c>
      <c r="F2284" s="19" t="s">
        <v>912</v>
      </c>
      <c r="G2284" s="19" t="s">
        <v>1084</v>
      </c>
      <c r="H2284" s="19" t="s">
        <v>1001</v>
      </c>
      <c r="I2284" s="19" t="s">
        <v>1575</v>
      </c>
      <c r="J2284" s="20">
        <v>47</v>
      </c>
      <c r="K2284" t="s">
        <v>625</v>
      </c>
      <c r="L2284" t="s">
        <v>648</v>
      </c>
      <c r="M2284" t="s">
        <v>623</v>
      </c>
      <c r="N2284" t="s">
        <v>624</v>
      </c>
      <c r="O2284" t="s">
        <v>649</v>
      </c>
    </row>
    <row r="2285" spans="1:15" x14ac:dyDescent="0.35">
      <c r="A2285" s="77">
        <v>1.4273972602739726</v>
      </c>
      <c r="B2285" s="19">
        <v>94157</v>
      </c>
      <c r="C2285" s="19" t="s">
        <v>4596</v>
      </c>
      <c r="D2285" s="19" t="s">
        <v>120</v>
      </c>
      <c r="E2285" s="19" t="s">
        <v>121</v>
      </c>
      <c r="F2285" s="19" t="s">
        <v>1236</v>
      </c>
      <c r="G2285" s="19" t="s">
        <v>3508</v>
      </c>
      <c r="H2285" s="19" t="s">
        <v>1020</v>
      </c>
      <c r="I2285" s="19" t="s">
        <v>1599</v>
      </c>
      <c r="J2285" s="20">
        <v>16</v>
      </c>
      <c r="K2285" t="s">
        <v>636</v>
      </c>
      <c r="L2285" t="s">
        <v>673</v>
      </c>
      <c r="M2285" t="s">
        <v>623</v>
      </c>
      <c r="N2285" t="s">
        <v>641</v>
      </c>
      <c r="O2285" t="s">
        <v>748</v>
      </c>
    </row>
    <row r="2286" spans="1:15" x14ac:dyDescent="0.35">
      <c r="A2286" s="77">
        <v>1.4273972602739726</v>
      </c>
      <c r="B2286" s="19">
        <v>94158</v>
      </c>
      <c r="C2286" s="19" t="s">
        <v>4597</v>
      </c>
      <c r="D2286" s="19" t="s">
        <v>120</v>
      </c>
      <c r="E2286" s="19" t="s">
        <v>121</v>
      </c>
      <c r="F2286" s="19" t="s">
        <v>1236</v>
      </c>
      <c r="G2286" s="19" t="s">
        <v>3508</v>
      </c>
      <c r="H2286" s="19" t="s">
        <v>1020</v>
      </c>
      <c r="I2286" s="19" t="s">
        <v>1599</v>
      </c>
      <c r="J2286" s="20">
        <v>16</v>
      </c>
      <c r="K2286" t="s">
        <v>636</v>
      </c>
      <c r="L2286" t="s">
        <v>673</v>
      </c>
      <c r="M2286" t="s">
        <v>623</v>
      </c>
      <c r="N2286" t="s">
        <v>641</v>
      </c>
      <c r="O2286" t="s">
        <v>748</v>
      </c>
    </row>
    <row r="2287" spans="1:15" x14ac:dyDescent="0.35">
      <c r="A2287" s="77">
        <v>1.4273972602739726</v>
      </c>
      <c r="B2287" s="19">
        <v>94165</v>
      </c>
      <c r="C2287" s="19" t="s">
        <v>4598</v>
      </c>
      <c r="D2287" s="19" t="s">
        <v>349</v>
      </c>
      <c r="E2287" s="19" t="s">
        <v>350</v>
      </c>
      <c r="F2287" s="19" t="s">
        <v>912</v>
      </c>
      <c r="G2287" s="19" t="s">
        <v>1598</v>
      </c>
      <c r="H2287" s="19" t="s">
        <v>1001</v>
      </c>
      <c r="I2287" s="19" t="s">
        <v>1599</v>
      </c>
      <c r="J2287" s="20">
        <v>23</v>
      </c>
      <c r="K2287" t="s">
        <v>625</v>
      </c>
      <c r="L2287" t="s">
        <v>648</v>
      </c>
      <c r="M2287" t="s">
        <v>623</v>
      </c>
      <c r="N2287" t="s">
        <v>624</v>
      </c>
      <c r="O2287" t="s">
        <v>649</v>
      </c>
    </row>
    <row r="2288" spans="1:15" x14ac:dyDescent="0.35">
      <c r="A2288" s="77">
        <v>2.1917808219178082E-2</v>
      </c>
      <c r="B2288" s="19">
        <v>94166</v>
      </c>
      <c r="C2288" s="19" t="s">
        <v>4599</v>
      </c>
      <c r="D2288" s="19" t="s">
        <v>397</v>
      </c>
      <c r="E2288" s="19" t="s">
        <v>398</v>
      </c>
      <c r="F2288" s="19" t="s">
        <v>867</v>
      </c>
      <c r="G2288" s="19" t="s">
        <v>1028</v>
      </c>
      <c r="H2288" s="19" t="s">
        <v>1020</v>
      </c>
      <c r="I2288" s="19" t="s">
        <v>1599</v>
      </c>
      <c r="J2288" s="20">
        <v>23</v>
      </c>
      <c r="K2288" t="s">
        <v>625</v>
      </c>
      <c r="L2288" t="s">
        <v>634</v>
      </c>
      <c r="M2288" t="s">
        <v>629</v>
      </c>
      <c r="N2288" t="s">
        <v>635</v>
      </c>
      <c r="O2288" t="s">
        <v>637</v>
      </c>
    </row>
    <row r="2289" spans="1:15" x14ac:dyDescent="0.35">
      <c r="A2289" s="77">
        <v>1.4273972602739726</v>
      </c>
      <c r="B2289" s="19">
        <v>94170</v>
      </c>
      <c r="C2289" s="19" t="s">
        <v>4600</v>
      </c>
      <c r="D2289" s="19" t="s">
        <v>420</v>
      </c>
      <c r="E2289" s="19" t="s">
        <v>420</v>
      </c>
      <c r="F2289" s="19" t="s">
        <v>686</v>
      </c>
      <c r="G2289" s="19" t="s">
        <v>1057</v>
      </c>
      <c r="H2289" s="19" t="s">
        <v>1001</v>
      </c>
      <c r="I2289" s="19" t="s">
        <v>1575</v>
      </c>
      <c r="J2289" s="20">
        <v>28</v>
      </c>
      <c r="K2289" t="s">
        <v>631</v>
      </c>
      <c r="L2289" t="s">
        <v>634</v>
      </c>
      <c r="M2289" t="s">
        <v>629</v>
      </c>
      <c r="N2289" t="s">
        <v>635</v>
      </c>
      <c r="O2289" t="s">
        <v>637</v>
      </c>
    </row>
    <row r="2290" spans="1:15" x14ac:dyDescent="0.35">
      <c r="A2290" s="77">
        <v>0.30136986301369861</v>
      </c>
      <c r="B2290" s="19">
        <v>94189</v>
      </c>
      <c r="C2290" s="19" t="s">
        <v>4601</v>
      </c>
      <c r="D2290" s="19" t="s">
        <v>60</v>
      </c>
      <c r="E2290" s="19" t="s">
        <v>61</v>
      </c>
      <c r="F2290" s="19" t="s">
        <v>1119</v>
      </c>
      <c r="G2290" s="19" t="s">
        <v>1008</v>
      </c>
      <c r="H2290" s="19" t="s">
        <v>1001</v>
      </c>
      <c r="I2290" s="19" t="s">
        <v>1599</v>
      </c>
      <c r="J2290" s="20">
        <v>26</v>
      </c>
      <c r="K2290" t="s">
        <v>654</v>
      </c>
      <c r="L2290" t="s">
        <v>651</v>
      </c>
      <c r="M2290" t="s">
        <v>629</v>
      </c>
      <c r="N2290" t="s">
        <v>630</v>
      </c>
      <c r="O2290" t="s">
        <v>705</v>
      </c>
    </row>
    <row r="2291" spans="1:15" x14ac:dyDescent="0.35">
      <c r="A2291" s="77">
        <v>1.4109589041095891</v>
      </c>
      <c r="B2291" s="19">
        <v>94198</v>
      </c>
      <c r="C2291" s="19" t="s">
        <v>4602</v>
      </c>
      <c r="D2291" s="19" t="s">
        <v>282</v>
      </c>
      <c r="E2291" s="19" t="s">
        <v>283</v>
      </c>
      <c r="F2291" s="19" t="s">
        <v>1417</v>
      </c>
      <c r="G2291" s="19" t="s">
        <v>1028</v>
      </c>
      <c r="H2291" s="19" t="s">
        <v>1020</v>
      </c>
      <c r="I2291" s="19" t="s">
        <v>1575</v>
      </c>
      <c r="J2291" s="20">
        <v>20</v>
      </c>
      <c r="K2291" t="s">
        <v>668</v>
      </c>
      <c r="L2291" t="s">
        <v>645</v>
      </c>
      <c r="M2291" t="s">
        <v>629</v>
      </c>
      <c r="N2291" t="s">
        <v>646</v>
      </c>
      <c r="O2291" t="s">
        <v>632</v>
      </c>
    </row>
    <row r="2292" spans="1:15" x14ac:dyDescent="0.35">
      <c r="A2292" s="77">
        <v>1.4027397260273973</v>
      </c>
      <c r="B2292" s="19">
        <v>94226</v>
      </c>
      <c r="C2292" s="19" t="s">
        <v>4603</v>
      </c>
      <c r="D2292" s="19" t="s">
        <v>315</v>
      </c>
      <c r="E2292" s="19" t="s">
        <v>316</v>
      </c>
      <c r="F2292" s="19" t="s">
        <v>1322</v>
      </c>
      <c r="G2292" s="19" t="s">
        <v>1057</v>
      </c>
      <c r="H2292" s="19" t="s">
        <v>1001</v>
      </c>
      <c r="I2292" s="19" t="s">
        <v>1599</v>
      </c>
      <c r="J2292" s="20">
        <v>26</v>
      </c>
      <c r="K2292" t="s">
        <v>654</v>
      </c>
      <c r="L2292" t="s">
        <v>684</v>
      </c>
      <c r="M2292" t="s">
        <v>623</v>
      </c>
      <c r="N2292" t="s">
        <v>662</v>
      </c>
      <c r="O2292" t="s">
        <v>831</v>
      </c>
    </row>
    <row r="2293" spans="1:15" x14ac:dyDescent="0.35">
      <c r="A2293" s="77">
        <v>1.9178082191780823E-2</v>
      </c>
      <c r="B2293" s="19">
        <v>94235</v>
      </c>
      <c r="C2293" s="19" t="s">
        <v>4604</v>
      </c>
      <c r="D2293" s="19" t="s">
        <v>80</v>
      </c>
      <c r="E2293" s="19" t="s">
        <v>81</v>
      </c>
      <c r="F2293" s="19" t="s">
        <v>1022</v>
      </c>
      <c r="G2293" s="19" t="s">
        <v>1008</v>
      </c>
      <c r="H2293" s="19" t="s">
        <v>1001</v>
      </c>
      <c r="I2293" s="19" t="s">
        <v>1575</v>
      </c>
      <c r="J2293" s="20">
        <v>21</v>
      </c>
      <c r="K2293" t="s">
        <v>654</v>
      </c>
      <c r="L2293" t="s">
        <v>628</v>
      </c>
      <c r="M2293" t="s">
        <v>629</v>
      </c>
      <c r="N2293" t="s">
        <v>630</v>
      </c>
      <c r="O2293" t="s">
        <v>632</v>
      </c>
    </row>
    <row r="2294" spans="1:15" x14ac:dyDescent="0.35">
      <c r="A2294" s="77">
        <v>1.3917808219178083</v>
      </c>
      <c r="B2294" s="19">
        <v>94240</v>
      </c>
      <c r="C2294" s="19" t="s">
        <v>4605</v>
      </c>
      <c r="D2294" s="19" t="s">
        <v>379</v>
      </c>
      <c r="E2294" s="19" t="s">
        <v>380</v>
      </c>
      <c r="F2294" s="19" t="s">
        <v>381</v>
      </c>
      <c r="G2294" s="19" t="s">
        <v>1046</v>
      </c>
      <c r="H2294" s="19" t="s">
        <v>1001</v>
      </c>
      <c r="I2294" s="19" t="s">
        <v>1599</v>
      </c>
      <c r="J2294" s="20">
        <v>21</v>
      </c>
      <c r="K2294" t="s">
        <v>636</v>
      </c>
      <c r="L2294" t="s">
        <v>628</v>
      </c>
      <c r="M2294" t="s">
        <v>629</v>
      </c>
      <c r="N2294" t="s">
        <v>630</v>
      </c>
      <c r="O2294" t="s">
        <v>632</v>
      </c>
    </row>
    <row r="2295" spans="1:15" x14ac:dyDescent="0.35">
      <c r="A2295" s="77">
        <v>2.1917808219178082E-2</v>
      </c>
      <c r="B2295" s="19">
        <v>94248</v>
      </c>
      <c r="C2295" s="19" t="s">
        <v>4606</v>
      </c>
      <c r="D2295" s="19" t="s">
        <v>427</v>
      </c>
      <c r="E2295" s="19" t="s">
        <v>427</v>
      </c>
      <c r="F2295" s="19" t="s">
        <v>1290</v>
      </c>
      <c r="G2295" s="19" t="s">
        <v>1008</v>
      </c>
      <c r="H2295" s="19" t="s">
        <v>1001</v>
      </c>
      <c r="I2295" s="19" t="s">
        <v>1575</v>
      </c>
      <c r="J2295" s="20">
        <v>22</v>
      </c>
      <c r="K2295" t="s">
        <v>654</v>
      </c>
      <c r="L2295" t="s">
        <v>651</v>
      </c>
      <c r="M2295" t="s">
        <v>629</v>
      </c>
      <c r="N2295" t="s">
        <v>630</v>
      </c>
      <c r="O2295" t="s">
        <v>652</v>
      </c>
    </row>
    <row r="2296" spans="1:15" x14ac:dyDescent="0.35">
      <c r="A2296" s="77">
        <v>1.3863013698630138</v>
      </c>
      <c r="B2296" s="19">
        <v>94256</v>
      </c>
      <c r="C2296" s="19" t="s">
        <v>4607</v>
      </c>
      <c r="D2296" s="19" t="s">
        <v>409</v>
      </c>
      <c r="E2296" s="19" t="s">
        <v>410</v>
      </c>
      <c r="F2296" s="19" t="s">
        <v>874</v>
      </c>
      <c r="G2296" s="19" t="s">
        <v>1008</v>
      </c>
      <c r="H2296" s="19" t="s">
        <v>1001</v>
      </c>
      <c r="I2296" s="19" t="s">
        <v>1575</v>
      </c>
      <c r="J2296" s="20">
        <v>28</v>
      </c>
      <c r="K2296" t="s">
        <v>631</v>
      </c>
      <c r="L2296" t="s">
        <v>666</v>
      </c>
      <c r="M2296" t="s">
        <v>629</v>
      </c>
      <c r="N2296" t="s">
        <v>635</v>
      </c>
      <c r="O2296" t="s">
        <v>637</v>
      </c>
    </row>
    <row r="2297" spans="1:15" x14ac:dyDescent="0.35">
      <c r="A2297" s="77">
        <v>1.3835616438356164</v>
      </c>
      <c r="B2297" s="19">
        <v>94270</v>
      </c>
      <c r="C2297" s="19" t="s">
        <v>4608</v>
      </c>
      <c r="D2297" s="19" t="s">
        <v>28</v>
      </c>
      <c r="E2297" s="19" t="s">
        <v>28</v>
      </c>
      <c r="F2297" s="19" t="s">
        <v>916</v>
      </c>
      <c r="G2297" s="19" t="s">
        <v>1008</v>
      </c>
      <c r="H2297" s="19" t="s">
        <v>1001</v>
      </c>
      <c r="I2297" s="19" t="s">
        <v>1575</v>
      </c>
      <c r="J2297" s="20">
        <v>19</v>
      </c>
      <c r="K2297" t="s">
        <v>654</v>
      </c>
      <c r="L2297" t="s">
        <v>670</v>
      </c>
      <c r="M2297" t="s">
        <v>657</v>
      </c>
      <c r="N2297" t="s">
        <v>641</v>
      </c>
      <c r="O2297" t="s">
        <v>671</v>
      </c>
    </row>
    <row r="2298" spans="1:15" x14ac:dyDescent="0.35">
      <c r="A2298" s="77">
        <v>1.3698630136986301</v>
      </c>
      <c r="B2298" s="19">
        <v>94303</v>
      </c>
      <c r="C2298" s="19" t="s">
        <v>4609</v>
      </c>
      <c r="D2298" s="19" t="s">
        <v>385</v>
      </c>
      <c r="E2298" s="19" t="s">
        <v>386</v>
      </c>
      <c r="F2298" s="19" t="s">
        <v>1059</v>
      </c>
      <c r="G2298" s="19" t="s">
        <v>1057</v>
      </c>
      <c r="H2298" s="19" t="s">
        <v>1001</v>
      </c>
      <c r="I2298" s="19" t="s">
        <v>1575</v>
      </c>
      <c r="J2298" s="20">
        <v>28</v>
      </c>
      <c r="K2298" t="s">
        <v>631</v>
      </c>
      <c r="L2298" t="s">
        <v>663</v>
      </c>
      <c r="M2298" t="s">
        <v>629</v>
      </c>
      <c r="N2298" t="s">
        <v>646</v>
      </c>
      <c r="O2298" t="s">
        <v>810</v>
      </c>
    </row>
    <row r="2299" spans="1:15" x14ac:dyDescent="0.35">
      <c r="A2299" s="77">
        <v>1.3643835616438356</v>
      </c>
      <c r="B2299" s="19">
        <v>94326</v>
      </c>
      <c r="C2299" s="19" t="s">
        <v>4610</v>
      </c>
      <c r="D2299" s="19" t="s">
        <v>601</v>
      </c>
      <c r="E2299" s="19" t="e">
        <v>#N/A</v>
      </c>
      <c r="F2299" s="19" t="s">
        <v>1136</v>
      </c>
      <c r="G2299" s="19" t="s">
        <v>1008</v>
      </c>
      <c r="H2299" s="19" t="s">
        <v>1001</v>
      </c>
      <c r="I2299" s="19" t="s">
        <v>1575</v>
      </c>
      <c r="J2299" s="20">
        <v>25</v>
      </c>
      <c r="K2299" t="s">
        <v>654</v>
      </c>
      <c r="L2299" t="s">
        <v>651</v>
      </c>
      <c r="M2299" t="s">
        <v>629</v>
      </c>
      <c r="N2299" t="s">
        <v>630</v>
      </c>
      <c r="O2299" t="s">
        <v>715</v>
      </c>
    </row>
    <row r="2300" spans="1:15" x14ac:dyDescent="0.35">
      <c r="A2300" s="77">
        <v>1.3561643835616439</v>
      </c>
      <c r="B2300" s="19">
        <v>94337</v>
      </c>
      <c r="C2300" s="19" t="s">
        <v>4611</v>
      </c>
      <c r="D2300" s="19" t="s">
        <v>278</v>
      </c>
      <c r="E2300" s="19" t="s">
        <v>279</v>
      </c>
      <c r="F2300" s="19" t="s">
        <v>1131</v>
      </c>
      <c r="G2300" s="19" t="s">
        <v>1008</v>
      </c>
      <c r="H2300" s="19" t="s">
        <v>1001</v>
      </c>
      <c r="I2300" s="19" t="s">
        <v>1575</v>
      </c>
      <c r="J2300" s="20">
        <v>26</v>
      </c>
      <c r="K2300" t="s">
        <v>625</v>
      </c>
      <c r="L2300" t="s">
        <v>661</v>
      </c>
      <c r="M2300" t="s">
        <v>657</v>
      </c>
      <c r="N2300" t="s">
        <v>662</v>
      </c>
      <c r="O2300" t="s">
        <v>632</v>
      </c>
    </row>
    <row r="2301" spans="1:15" x14ac:dyDescent="0.35">
      <c r="A2301" s="77">
        <v>1.3452054794520547</v>
      </c>
      <c r="B2301" s="19">
        <v>94371</v>
      </c>
      <c r="C2301" s="19" t="s">
        <v>4612</v>
      </c>
      <c r="D2301" s="19" t="s">
        <v>431</v>
      </c>
      <c r="E2301" s="19" t="e">
        <v>#N/A</v>
      </c>
      <c r="F2301" s="19" t="s">
        <v>709</v>
      </c>
      <c r="G2301" s="19" t="s">
        <v>1000</v>
      </c>
      <c r="H2301" s="19" t="s">
        <v>1001</v>
      </c>
      <c r="I2301" s="19" t="s">
        <v>1599</v>
      </c>
      <c r="J2301" s="20">
        <v>40</v>
      </c>
      <c r="K2301" t="s">
        <v>654</v>
      </c>
      <c r="L2301" t="s">
        <v>707</v>
      </c>
      <c r="M2301" t="s">
        <v>629</v>
      </c>
      <c r="N2301" t="s">
        <v>635</v>
      </c>
      <c r="O2301" t="s">
        <v>710</v>
      </c>
    </row>
    <row r="2302" spans="1:15" x14ac:dyDescent="0.35">
      <c r="A2302" s="77">
        <v>1.3506849315068492</v>
      </c>
      <c r="B2302" s="19">
        <v>94376</v>
      </c>
      <c r="C2302" s="19" t="s">
        <v>4613</v>
      </c>
      <c r="D2302" s="19" t="s">
        <v>169</v>
      </c>
      <c r="E2302" s="19" t="s">
        <v>170</v>
      </c>
      <c r="F2302" s="19" t="s">
        <v>1274</v>
      </c>
      <c r="G2302" s="19" t="s">
        <v>1028</v>
      </c>
      <c r="H2302" s="19" t="s">
        <v>1020</v>
      </c>
      <c r="I2302" s="19" t="s">
        <v>1599</v>
      </c>
      <c r="J2302" s="20">
        <v>23</v>
      </c>
      <c r="K2302" t="s">
        <v>631</v>
      </c>
      <c r="L2302" t="s">
        <v>670</v>
      </c>
      <c r="M2302" t="s">
        <v>657</v>
      </c>
      <c r="N2302" t="s">
        <v>641</v>
      </c>
      <c r="O2302" t="s">
        <v>772</v>
      </c>
    </row>
    <row r="2303" spans="1:15" x14ac:dyDescent="0.35">
      <c r="A2303" s="77">
        <v>1.3452054794520547</v>
      </c>
      <c r="B2303" s="19">
        <v>94383</v>
      </c>
      <c r="C2303" s="19" t="s">
        <v>4614</v>
      </c>
      <c r="D2303" s="19" t="s">
        <v>239</v>
      </c>
      <c r="E2303" s="19" t="s">
        <v>240</v>
      </c>
      <c r="F2303" s="19" t="s">
        <v>798</v>
      </c>
      <c r="G2303" s="19" t="s">
        <v>1008</v>
      </c>
      <c r="H2303" s="19" t="s">
        <v>1001</v>
      </c>
      <c r="I2303" s="19" t="s">
        <v>1575</v>
      </c>
      <c r="J2303" s="20">
        <v>29</v>
      </c>
      <c r="K2303" t="s">
        <v>636</v>
      </c>
      <c r="L2303" t="s">
        <v>628</v>
      </c>
      <c r="M2303" t="s">
        <v>629</v>
      </c>
      <c r="N2303" t="s">
        <v>646</v>
      </c>
      <c r="O2303" t="s">
        <v>632</v>
      </c>
    </row>
    <row r="2304" spans="1:15" x14ac:dyDescent="0.35">
      <c r="A2304" s="77">
        <v>1.4109589041095891</v>
      </c>
      <c r="B2304" s="19">
        <v>94388</v>
      </c>
      <c r="C2304" s="19" t="s">
        <v>4615</v>
      </c>
      <c r="D2304" s="19" t="s">
        <v>266</v>
      </c>
      <c r="E2304" s="19" t="s">
        <v>267</v>
      </c>
      <c r="F2304" s="19" t="s">
        <v>2070</v>
      </c>
      <c r="G2304" s="19" t="s">
        <v>3508</v>
      </c>
      <c r="H2304" s="19" t="s">
        <v>1020</v>
      </c>
      <c r="I2304" s="19" t="s">
        <v>1599</v>
      </c>
      <c r="J2304" s="20">
        <v>16</v>
      </c>
      <c r="K2304" t="s">
        <v>636</v>
      </c>
      <c r="L2304" t="s">
        <v>634</v>
      </c>
      <c r="M2304" t="s">
        <v>629</v>
      </c>
      <c r="N2304" t="s">
        <v>635</v>
      </c>
      <c r="O2304" t="s">
        <v>637</v>
      </c>
    </row>
    <row r="2305" spans="1:15" x14ac:dyDescent="0.35">
      <c r="A2305" s="77">
        <v>0.21369863013698631</v>
      </c>
      <c r="B2305" s="19">
        <v>94393</v>
      </c>
      <c r="C2305" s="19" t="s">
        <v>4616</v>
      </c>
      <c r="D2305" s="19" t="s">
        <v>163</v>
      </c>
      <c r="E2305" s="19" t="s">
        <v>164</v>
      </c>
      <c r="F2305" s="19" t="s">
        <v>1174</v>
      </c>
      <c r="G2305" s="19" t="s">
        <v>1028</v>
      </c>
      <c r="H2305" s="19" t="s">
        <v>1020</v>
      </c>
      <c r="I2305" s="19" t="s">
        <v>1575</v>
      </c>
      <c r="J2305" s="20">
        <v>24</v>
      </c>
      <c r="K2305" t="s">
        <v>654</v>
      </c>
      <c r="L2305" t="s">
        <v>634</v>
      </c>
      <c r="M2305" t="s">
        <v>629</v>
      </c>
      <c r="N2305" t="s">
        <v>635</v>
      </c>
      <c r="O2305" t="s">
        <v>637</v>
      </c>
    </row>
    <row r="2306" spans="1:15" x14ac:dyDescent="0.35">
      <c r="A2306" s="77">
        <v>1.3369863013698631</v>
      </c>
      <c r="B2306" s="19">
        <v>94400</v>
      </c>
      <c r="C2306" s="19" t="s">
        <v>4617</v>
      </c>
      <c r="D2306" s="19" t="s">
        <v>419</v>
      </c>
      <c r="E2306" s="19" t="s">
        <v>419</v>
      </c>
      <c r="F2306" s="19" t="s">
        <v>695</v>
      </c>
      <c r="G2306" s="19" t="s">
        <v>1057</v>
      </c>
      <c r="H2306" s="19" t="s">
        <v>1001</v>
      </c>
      <c r="I2306" s="19" t="s">
        <v>1575</v>
      </c>
      <c r="J2306" s="20">
        <v>19</v>
      </c>
      <c r="K2306" t="s">
        <v>654</v>
      </c>
      <c r="L2306" t="s">
        <v>628</v>
      </c>
      <c r="M2306" t="s">
        <v>629</v>
      </c>
      <c r="N2306" t="s">
        <v>630</v>
      </c>
      <c r="O2306" t="s">
        <v>632</v>
      </c>
    </row>
    <row r="2307" spans="1:15" x14ac:dyDescent="0.35">
      <c r="A2307" s="77">
        <v>1.3369863013698631</v>
      </c>
      <c r="B2307" s="19">
        <v>94401</v>
      </c>
      <c r="C2307" s="19" t="s">
        <v>4618</v>
      </c>
      <c r="D2307" s="19" t="s">
        <v>315</v>
      </c>
      <c r="E2307" s="19" t="s">
        <v>316</v>
      </c>
      <c r="F2307" s="19" t="s">
        <v>1322</v>
      </c>
      <c r="G2307" s="19" t="s">
        <v>1028</v>
      </c>
      <c r="H2307" s="19" t="s">
        <v>1020</v>
      </c>
      <c r="I2307" s="19" t="s">
        <v>1575</v>
      </c>
      <c r="J2307" s="20">
        <v>26</v>
      </c>
      <c r="K2307" t="s">
        <v>654</v>
      </c>
      <c r="L2307" t="s">
        <v>684</v>
      </c>
      <c r="M2307" t="s">
        <v>623</v>
      </c>
      <c r="N2307" t="s">
        <v>662</v>
      </c>
      <c r="O2307" t="s">
        <v>831</v>
      </c>
    </row>
    <row r="2308" spans="1:15" x14ac:dyDescent="0.35">
      <c r="A2308" s="77">
        <v>1.3260273972602741</v>
      </c>
      <c r="B2308" s="19">
        <v>94420</v>
      </c>
      <c r="C2308" s="19" t="s">
        <v>4619</v>
      </c>
      <c r="D2308" s="19" t="s">
        <v>377</v>
      </c>
      <c r="E2308" s="19" t="s">
        <v>378</v>
      </c>
      <c r="F2308" s="19" t="s">
        <v>862</v>
      </c>
      <c r="G2308" s="19" t="s">
        <v>1028</v>
      </c>
      <c r="H2308" s="19" t="s">
        <v>1020</v>
      </c>
      <c r="I2308" s="19" t="s">
        <v>1575</v>
      </c>
      <c r="J2308" s="20">
        <v>19</v>
      </c>
      <c r="K2308" t="s">
        <v>631</v>
      </c>
      <c r="L2308" t="s">
        <v>661</v>
      </c>
      <c r="M2308" t="s">
        <v>657</v>
      </c>
      <c r="N2308" t="s">
        <v>662</v>
      </c>
      <c r="O2308" t="s">
        <v>632</v>
      </c>
    </row>
    <row r="2309" spans="1:15" x14ac:dyDescent="0.35">
      <c r="A2309" s="77">
        <v>1.3260273972602741</v>
      </c>
      <c r="B2309" s="19">
        <v>94427</v>
      </c>
      <c r="C2309" s="19" t="s">
        <v>4620</v>
      </c>
      <c r="D2309" s="19" t="s">
        <v>271</v>
      </c>
      <c r="E2309" s="19" t="s">
        <v>272</v>
      </c>
      <c r="F2309" s="19" t="s">
        <v>2611</v>
      </c>
      <c r="G2309" s="19" t="s">
        <v>1057</v>
      </c>
      <c r="H2309" s="19" t="s">
        <v>1001</v>
      </c>
      <c r="I2309" s="19" t="s">
        <v>1575</v>
      </c>
      <c r="J2309" s="20">
        <v>21</v>
      </c>
      <c r="K2309" t="s">
        <v>654</v>
      </c>
      <c r="L2309" t="s">
        <v>666</v>
      </c>
      <c r="M2309" t="s">
        <v>629</v>
      </c>
      <c r="N2309" t="s">
        <v>635</v>
      </c>
      <c r="O2309" t="s">
        <v>739</v>
      </c>
    </row>
    <row r="2310" spans="1:15" x14ac:dyDescent="0.35">
      <c r="A2310" s="77">
        <v>1.3150684931506849</v>
      </c>
      <c r="B2310" s="19">
        <v>94434</v>
      </c>
      <c r="C2310" s="19" t="s">
        <v>4621</v>
      </c>
      <c r="D2310" s="19" t="s">
        <v>403</v>
      </c>
      <c r="E2310" s="19" t="s">
        <v>404</v>
      </c>
      <c r="F2310" s="19" t="s">
        <v>870</v>
      </c>
      <c r="G2310" s="19" t="s">
        <v>1008</v>
      </c>
      <c r="H2310" s="19" t="s">
        <v>1001</v>
      </c>
      <c r="I2310" s="19" t="s">
        <v>1575</v>
      </c>
      <c r="J2310" s="20">
        <v>21</v>
      </c>
      <c r="K2310" t="s">
        <v>631</v>
      </c>
      <c r="L2310" t="s">
        <v>691</v>
      </c>
      <c r="M2310" t="s">
        <v>657</v>
      </c>
      <c r="N2310" t="s">
        <v>658</v>
      </c>
      <c r="O2310" t="s">
        <v>632</v>
      </c>
    </row>
    <row r="2311" spans="1:15" x14ac:dyDescent="0.35">
      <c r="A2311" s="77">
        <v>1.3150684931506849</v>
      </c>
      <c r="B2311" s="19">
        <v>94439</v>
      </c>
      <c r="C2311" s="19" t="s">
        <v>4622</v>
      </c>
      <c r="D2311" s="19" t="s">
        <v>377</v>
      </c>
      <c r="E2311" s="19" t="s">
        <v>378</v>
      </c>
      <c r="F2311" s="19" t="s">
        <v>862</v>
      </c>
      <c r="G2311" s="19" t="s">
        <v>1084</v>
      </c>
      <c r="H2311" s="19" t="s">
        <v>1001</v>
      </c>
      <c r="I2311" s="19" t="s">
        <v>1599</v>
      </c>
      <c r="J2311" s="20">
        <v>24</v>
      </c>
      <c r="K2311" t="s">
        <v>631</v>
      </c>
      <c r="L2311" t="s">
        <v>661</v>
      </c>
      <c r="M2311" t="s">
        <v>657</v>
      </c>
      <c r="N2311" t="s">
        <v>662</v>
      </c>
      <c r="O2311" t="s">
        <v>632</v>
      </c>
    </row>
    <row r="2312" spans="1:15" x14ac:dyDescent="0.35">
      <c r="A2312" s="77">
        <v>1.3150684931506849</v>
      </c>
      <c r="B2312" s="19">
        <v>94440</v>
      </c>
      <c r="C2312" s="19" t="s">
        <v>4623</v>
      </c>
      <c r="D2312" s="19" t="s">
        <v>278</v>
      </c>
      <c r="E2312" s="19" t="s">
        <v>279</v>
      </c>
      <c r="F2312" s="19" t="s">
        <v>1131</v>
      </c>
      <c r="G2312" s="19" t="s">
        <v>1057</v>
      </c>
      <c r="H2312" s="19" t="s">
        <v>1001</v>
      </c>
      <c r="I2312" s="19" t="s">
        <v>1599</v>
      </c>
      <c r="J2312" s="20">
        <v>20</v>
      </c>
      <c r="K2312" t="s">
        <v>625</v>
      </c>
      <c r="L2312" t="s">
        <v>661</v>
      </c>
      <c r="M2312" t="s">
        <v>657</v>
      </c>
      <c r="N2312" t="s">
        <v>662</v>
      </c>
      <c r="O2312" t="s">
        <v>632</v>
      </c>
    </row>
    <row r="2313" spans="1:15" x14ac:dyDescent="0.35">
      <c r="A2313" s="77">
        <v>1.3150684931506849</v>
      </c>
      <c r="B2313" s="19">
        <v>94442</v>
      </c>
      <c r="C2313" s="19" t="s">
        <v>4624</v>
      </c>
      <c r="D2313" s="19" t="s">
        <v>355</v>
      </c>
      <c r="E2313" s="19" t="s">
        <v>356</v>
      </c>
      <c r="F2313" s="19" t="s">
        <v>1100</v>
      </c>
      <c r="G2313" s="19" t="s">
        <v>1028</v>
      </c>
      <c r="H2313" s="19" t="s">
        <v>1020</v>
      </c>
      <c r="I2313" s="19" t="s">
        <v>1575</v>
      </c>
      <c r="J2313" s="20">
        <v>27</v>
      </c>
      <c r="K2313" t="s">
        <v>625</v>
      </c>
      <c r="L2313" t="s">
        <v>622</v>
      </c>
      <c r="M2313" t="s">
        <v>623</v>
      </c>
      <c r="N2313" t="s">
        <v>624</v>
      </c>
      <c r="O2313" t="s">
        <v>649</v>
      </c>
    </row>
    <row r="2314" spans="1:15" x14ac:dyDescent="0.35">
      <c r="A2314" s="77">
        <v>1.3150684931506849</v>
      </c>
      <c r="B2314" s="19">
        <v>94445</v>
      </c>
      <c r="C2314" s="19" t="s">
        <v>4625</v>
      </c>
      <c r="D2314" s="19" t="s">
        <v>20</v>
      </c>
      <c r="E2314" s="19" t="s">
        <v>20</v>
      </c>
      <c r="F2314" s="19" t="s">
        <v>1133</v>
      </c>
      <c r="G2314" s="19" t="s">
        <v>1057</v>
      </c>
      <c r="H2314" s="19" t="s">
        <v>1001</v>
      </c>
      <c r="I2314" s="19" t="s">
        <v>1575</v>
      </c>
      <c r="J2314" s="20">
        <v>19</v>
      </c>
      <c r="K2314" t="s">
        <v>654</v>
      </c>
      <c r="L2314" t="s">
        <v>634</v>
      </c>
      <c r="M2314" t="s">
        <v>629</v>
      </c>
      <c r="N2314" t="s">
        <v>635</v>
      </c>
      <c r="O2314" t="s">
        <v>637</v>
      </c>
    </row>
    <row r="2315" spans="1:15" x14ac:dyDescent="0.35">
      <c r="A2315" s="77">
        <v>1.3095890410958904</v>
      </c>
      <c r="B2315" s="19">
        <v>94459</v>
      </c>
      <c r="C2315" s="19" t="s">
        <v>4626</v>
      </c>
      <c r="D2315" s="19" t="s">
        <v>181</v>
      </c>
      <c r="E2315" s="19" t="s">
        <v>182</v>
      </c>
      <c r="F2315" s="19" t="s">
        <v>1374</v>
      </c>
      <c r="G2315" s="19" t="s">
        <v>3508</v>
      </c>
      <c r="H2315" s="19" t="s">
        <v>1020</v>
      </c>
      <c r="I2315" s="19" t="s">
        <v>1599</v>
      </c>
      <c r="J2315" s="20">
        <v>15</v>
      </c>
      <c r="K2315" t="s">
        <v>625</v>
      </c>
      <c r="L2315" t="s">
        <v>678</v>
      </c>
      <c r="M2315" t="s">
        <v>623</v>
      </c>
      <c r="N2315" t="s">
        <v>624</v>
      </c>
      <c r="O2315" t="s">
        <v>679</v>
      </c>
    </row>
    <row r="2316" spans="1:15" x14ac:dyDescent="0.35">
      <c r="A2316" s="77">
        <v>1.3095890410958904</v>
      </c>
      <c r="B2316" s="19">
        <v>94463</v>
      </c>
      <c r="C2316" s="19" t="s">
        <v>4627</v>
      </c>
      <c r="D2316" s="19" t="s">
        <v>49</v>
      </c>
      <c r="E2316" s="19" t="s">
        <v>50</v>
      </c>
      <c r="F2316" s="19" t="s">
        <v>1213</v>
      </c>
      <c r="G2316" s="19" t="s">
        <v>1019</v>
      </c>
      <c r="H2316" s="19" t="s">
        <v>1020</v>
      </c>
      <c r="I2316" s="19" t="s">
        <v>1575</v>
      </c>
      <c r="J2316" s="20">
        <v>22</v>
      </c>
      <c r="K2316" t="s">
        <v>625</v>
      </c>
      <c r="L2316" t="s">
        <v>648</v>
      </c>
      <c r="M2316" t="s">
        <v>623</v>
      </c>
      <c r="N2316" t="s">
        <v>624</v>
      </c>
      <c r="O2316" t="s">
        <v>649</v>
      </c>
    </row>
    <row r="2317" spans="1:15" x14ac:dyDescent="0.35">
      <c r="A2317" s="77">
        <v>1.3013698630136987</v>
      </c>
      <c r="B2317" s="19">
        <v>94467</v>
      </c>
      <c r="C2317" s="19" t="s">
        <v>4628</v>
      </c>
      <c r="D2317" s="19" t="s">
        <v>175</v>
      </c>
      <c r="E2317" s="19" t="s">
        <v>176</v>
      </c>
      <c r="F2317" s="19" t="s">
        <v>1538</v>
      </c>
      <c r="G2317" s="19" t="s">
        <v>1045</v>
      </c>
      <c r="H2317" s="19" t="s">
        <v>1001</v>
      </c>
      <c r="I2317" s="19" t="s">
        <v>1575</v>
      </c>
      <c r="J2317" s="20">
        <v>27</v>
      </c>
      <c r="K2317" t="s">
        <v>668</v>
      </c>
      <c r="L2317" t="s">
        <v>707</v>
      </c>
      <c r="M2317" t="s">
        <v>629</v>
      </c>
      <c r="N2317" t="s">
        <v>635</v>
      </c>
      <c r="O2317" t="s">
        <v>710</v>
      </c>
    </row>
    <row r="2318" spans="1:15" x14ac:dyDescent="0.35">
      <c r="A2318" s="77">
        <v>1.3068493150684932</v>
      </c>
      <c r="B2318" s="19">
        <v>94483</v>
      </c>
      <c r="C2318" s="19" t="s">
        <v>4629</v>
      </c>
      <c r="D2318" s="19" t="s">
        <v>601</v>
      </c>
      <c r="E2318" s="19" t="e">
        <v>#N/A</v>
      </c>
      <c r="F2318" s="19" t="s">
        <v>1136</v>
      </c>
      <c r="G2318" s="19" t="s">
        <v>1028</v>
      </c>
      <c r="H2318" s="19" t="s">
        <v>1020</v>
      </c>
      <c r="I2318" s="19" t="s">
        <v>1575</v>
      </c>
      <c r="J2318" s="20">
        <v>25</v>
      </c>
      <c r="K2318" t="s">
        <v>654</v>
      </c>
      <c r="L2318" t="s">
        <v>651</v>
      </c>
      <c r="M2318" t="s">
        <v>629</v>
      </c>
      <c r="N2318" t="s">
        <v>630</v>
      </c>
      <c r="O2318" t="s">
        <v>715</v>
      </c>
    </row>
    <row r="2319" spans="1:15" x14ac:dyDescent="0.35">
      <c r="A2319" s="77">
        <v>3.287671232876712E-2</v>
      </c>
      <c r="B2319" s="19">
        <v>94485</v>
      </c>
      <c r="C2319" s="19" t="s">
        <v>4630</v>
      </c>
      <c r="D2319" s="19" t="s">
        <v>403</v>
      </c>
      <c r="E2319" s="19" t="s">
        <v>404</v>
      </c>
      <c r="F2319" s="19" t="s">
        <v>870</v>
      </c>
      <c r="G2319" s="19" t="s">
        <v>1008</v>
      </c>
      <c r="H2319" s="19" t="s">
        <v>1001</v>
      </c>
      <c r="I2319" s="19" t="s">
        <v>1575</v>
      </c>
      <c r="J2319" s="20">
        <v>19</v>
      </c>
      <c r="K2319" t="s">
        <v>631</v>
      </c>
      <c r="L2319" t="s">
        <v>691</v>
      </c>
      <c r="M2319" t="s">
        <v>657</v>
      </c>
      <c r="N2319" t="s">
        <v>658</v>
      </c>
      <c r="O2319" t="s">
        <v>632</v>
      </c>
    </row>
    <row r="2320" spans="1:15" x14ac:dyDescent="0.35">
      <c r="A2320" s="77">
        <v>0.17808219178082191</v>
      </c>
      <c r="B2320" s="19">
        <v>94487</v>
      </c>
      <c r="C2320" s="19" t="s">
        <v>4631</v>
      </c>
      <c r="D2320" s="19" t="s">
        <v>215</v>
      </c>
      <c r="E2320" s="19" t="s">
        <v>216</v>
      </c>
      <c r="F2320" s="19" t="s">
        <v>1081</v>
      </c>
      <c r="G2320" s="19" t="s">
        <v>1028</v>
      </c>
      <c r="H2320" s="19" t="s">
        <v>1020</v>
      </c>
      <c r="I2320" s="19" t="s">
        <v>1575</v>
      </c>
      <c r="J2320" s="20">
        <v>21</v>
      </c>
      <c r="K2320" t="s">
        <v>654</v>
      </c>
      <c r="L2320" t="s">
        <v>640</v>
      </c>
      <c r="M2320" t="s">
        <v>623</v>
      </c>
      <c r="N2320" t="s">
        <v>624</v>
      </c>
      <c r="O2320" t="s">
        <v>789</v>
      </c>
    </row>
    <row r="2321" spans="1:15" x14ac:dyDescent="0.35">
      <c r="A2321" s="77">
        <v>1.3068493150684932</v>
      </c>
      <c r="B2321" s="19">
        <v>94496</v>
      </c>
      <c r="C2321" s="19" t="s">
        <v>4632</v>
      </c>
      <c r="D2321" s="19" t="s">
        <v>155</v>
      </c>
      <c r="E2321" s="19" t="s">
        <v>156</v>
      </c>
      <c r="F2321" s="19" t="s">
        <v>896</v>
      </c>
      <c r="G2321" s="19" t="s">
        <v>1028</v>
      </c>
      <c r="H2321" s="19" t="s">
        <v>1020</v>
      </c>
      <c r="I2321" s="19" t="s">
        <v>1599</v>
      </c>
      <c r="J2321" s="20">
        <v>19</v>
      </c>
      <c r="K2321" t="s">
        <v>636</v>
      </c>
      <c r="L2321" t="s">
        <v>663</v>
      </c>
      <c r="M2321" t="s">
        <v>629</v>
      </c>
      <c r="N2321" t="s">
        <v>646</v>
      </c>
      <c r="O2321" t="s">
        <v>639</v>
      </c>
    </row>
    <row r="2322" spans="1:15" x14ac:dyDescent="0.35">
      <c r="A2322" s="77">
        <v>1.3068493150684932</v>
      </c>
      <c r="B2322" s="19">
        <v>94497</v>
      </c>
      <c r="C2322" s="19" t="s">
        <v>4633</v>
      </c>
      <c r="D2322" s="19" t="s">
        <v>201</v>
      </c>
      <c r="E2322" s="19" t="s">
        <v>202</v>
      </c>
      <c r="F2322" s="19" t="s">
        <v>1061</v>
      </c>
      <c r="G2322" s="19" t="s">
        <v>1028</v>
      </c>
      <c r="H2322" s="19" t="s">
        <v>1020</v>
      </c>
      <c r="I2322" s="19" t="s">
        <v>1575</v>
      </c>
      <c r="J2322" s="20">
        <v>32</v>
      </c>
      <c r="K2322" t="s">
        <v>631</v>
      </c>
      <c r="L2322" t="s">
        <v>628</v>
      </c>
      <c r="M2322" t="s">
        <v>629</v>
      </c>
      <c r="N2322" t="s">
        <v>630</v>
      </c>
      <c r="O2322" t="s">
        <v>784</v>
      </c>
    </row>
    <row r="2323" spans="1:15" x14ac:dyDescent="0.35">
      <c r="A2323" s="77">
        <v>1.2986301369863014</v>
      </c>
      <c r="B2323" s="19">
        <v>94507</v>
      </c>
      <c r="C2323" s="19" t="s">
        <v>4634</v>
      </c>
      <c r="D2323" s="19" t="s">
        <v>375</v>
      </c>
      <c r="E2323" s="19" t="s">
        <v>376</v>
      </c>
      <c r="F2323" s="19" t="s">
        <v>1270</v>
      </c>
      <c r="G2323" s="19" t="s">
        <v>3508</v>
      </c>
      <c r="H2323" s="19" t="s">
        <v>1020</v>
      </c>
      <c r="I2323" s="19" t="s">
        <v>1599</v>
      </c>
      <c r="J2323" s="20">
        <v>16</v>
      </c>
      <c r="K2323" t="s">
        <v>636</v>
      </c>
      <c r="L2323" t="s">
        <v>678</v>
      </c>
      <c r="M2323" t="s">
        <v>623</v>
      </c>
      <c r="N2323" t="s">
        <v>624</v>
      </c>
      <c r="O2323" t="s">
        <v>679</v>
      </c>
    </row>
    <row r="2324" spans="1:15" x14ac:dyDescent="0.35">
      <c r="A2324" s="77">
        <v>0.94246575342465755</v>
      </c>
      <c r="B2324" s="19">
        <v>94521</v>
      </c>
      <c r="C2324" s="19" t="s">
        <v>4635</v>
      </c>
      <c r="D2324" s="19" t="s">
        <v>243</v>
      </c>
      <c r="E2324" s="19" t="s">
        <v>244</v>
      </c>
      <c r="F2324" s="19" t="s">
        <v>1318</v>
      </c>
      <c r="G2324" s="19" t="s">
        <v>1008</v>
      </c>
      <c r="H2324" s="19" t="s">
        <v>1001</v>
      </c>
      <c r="I2324" s="19" t="s">
        <v>1575</v>
      </c>
      <c r="J2324" s="20">
        <v>28</v>
      </c>
      <c r="K2324" t="s">
        <v>631</v>
      </c>
      <c r="L2324" t="s">
        <v>707</v>
      </c>
      <c r="M2324" t="s">
        <v>629</v>
      </c>
      <c r="N2324" t="s">
        <v>635</v>
      </c>
      <c r="O2324" t="s">
        <v>710</v>
      </c>
    </row>
    <row r="2325" spans="1:15" x14ac:dyDescent="0.35">
      <c r="A2325" s="77">
        <v>1.295890410958904</v>
      </c>
      <c r="B2325" s="19">
        <v>94530</v>
      </c>
      <c r="C2325" s="19" t="s">
        <v>4636</v>
      </c>
      <c r="D2325" s="19" t="s">
        <v>407</v>
      </c>
      <c r="E2325" s="19" t="s">
        <v>408</v>
      </c>
      <c r="F2325" s="19" t="s">
        <v>1230</v>
      </c>
      <c r="G2325" s="19" t="s">
        <v>1008</v>
      </c>
      <c r="H2325" s="19" t="s">
        <v>1001</v>
      </c>
      <c r="I2325" s="19" t="s">
        <v>1575</v>
      </c>
      <c r="J2325" s="20">
        <v>25</v>
      </c>
      <c r="K2325" t="s">
        <v>636</v>
      </c>
      <c r="L2325" t="s">
        <v>622</v>
      </c>
      <c r="M2325" t="s">
        <v>623</v>
      </c>
      <c r="N2325" t="s">
        <v>624</v>
      </c>
      <c r="O2325" t="s">
        <v>730</v>
      </c>
    </row>
    <row r="2326" spans="1:15" x14ac:dyDescent="0.35">
      <c r="A2326" s="77">
        <v>1.2986301369863014</v>
      </c>
      <c r="B2326" s="19">
        <v>94536</v>
      </c>
      <c r="C2326" s="19" t="s">
        <v>4637</v>
      </c>
      <c r="D2326" s="19" t="s">
        <v>195</v>
      </c>
      <c r="E2326" s="19" t="s">
        <v>196</v>
      </c>
      <c r="F2326" s="19" t="s">
        <v>908</v>
      </c>
      <c r="G2326" s="19" t="s">
        <v>1057</v>
      </c>
      <c r="H2326" s="19" t="s">
        <v>1001</v>
      </c>
      <c r="I2326" s="19" t="s">
        <v>1575</v>
      </c>
      <c r="J2326" s="20">
        <v>21</v>
      </c>
      <c r="K2326" t="s">
        <v>636</v>
      </c>
      <c r="L2326" t="s">
        <v>670</v>
      </c>
      <c r="M2326" t="s">
        <v>657</v>
      </c>
      <c r="N2326" t="s">
        <v>641</v>
      </c>
      <c r="O2326" t="s">
        <v>676</v>
      </c>
    </row>
    <row r="2327" spans="1:15" x14ac:dyDescent="0.35">
      <c r="A2327" s="77">
        <v>1.295890410958904</v>
      </c>
      <c r="B2327" s="19">
        <v>94539</v>
      </c>
      <c r="C2327" s="19" t="s">
        <v>4638</v>
      </c>
      <c r="D2327" s="19" t="s">
        <v>328</v>
      </c>
      <c r="E2327" s="19" t="s">
        <v>329</v>
      </c>
      <c r="F2327" s="19" t="s">
        <v>838</v>
      </c>
      <c r="G2327" s="19" t="s">
        <v>1057</v>
      </c>
      <c r="H2327" s="19" t="s">
        <v>1001</v>
      </c>
      <c r="I2327" s="19" t="s">
        <v>1575</v>
      </c>
      <c r="J2327" s="20">
        <v>21</v>
      </c>
      <c r="K2327" t="s">
        <v>631</v>
      </c>
      <c r="L2327" t="s">
        <v>645</v>
      </c>
      <c r="M2327" t="s">
        <v>629</v>
      </c>
      <c r="N2327" t="s">
        <v>646</v>
      </c>
      <c r="O2327" t="s">
        <v>632</v>
      </c>
    </row>
    <row r="2328" spans="1:15" x14ac:dyDescent="0.35">
      <c r="A2328" s="77">
        <v>1.2931506849315069</v>
      </c>
      <c r="B2328" s="19">
        <v>94545</v>
      </c>
      <c r="C2328" s="19" t="s">
        <v>4639</v>
      </c>
      <c r="D2328" s="19" t="s">
        <v>183</v>
      </c>
      <c r="E2328" s="19" t="s">
        <v>184</v>
      </c>
      <c r="F2328" s="19" t="s">
        <v>1532</v>
      </c>
      <c r="G2328" s="19" t="s">
        <v>1057</v>
      </c>
      <c r="H2328" s="19" t="s">
        <v>1001</v>
      </c>
      <c r="I2328" s="19" t="s">
        <v>1575</v>
      </c>
      <c r="J2328" s="20">
        <v>25</v>
      </c>
      <c r="K2328" t="s">
        <v>654</v>
      </c>
      <c r="L2328" t="s">
        <v>648</v>
      </c>
      <c r="M2328" t="s">
        <v>623</v>
      </c>
      <c r="N2328" t="s">
        <v>624</v>
      </c>
      <c r="O2328" t="s">
        <v>725</v>
      </c>
    </row>
    <row r="2329" spans="1:15" x14ac:dyDescent="0.35">
      <c r="A2329" s="77">
        <v>1.2904109589041095</v>
      </c>
      <c r="B2329" s="19">
        <v>94556</v>
      </c>
      <c r="C2329" s="19" t="s">
        <v>4640</v>
      </c>
      <c r="D2329" s="19" t="s">
        <v>397</v>
      </c>
      <c r="E2329" s="19" t="s">
        <v>398</v>
      </c>
      <c r="F2329" s="19" t="s">
        <v>867</v>
      </c>
      <c r="G2329" s="19" t="s">
        <v>1019</v>
      </c>
      <c r="H2329" s="19" t="s">
        <v>1020</v>
      </c>
      <c r="I2329" s="19" t="s">
        <v>1575</v>
      </c>
      <c r="J2329" s="20">
        <v>20</v>
      </c>
      <c r="K2329" t="s">
        <v>625</v>
      </c>
      <c r="L2329" t="s">
        <v>634</v>
      </c>
      <c r="M2329" t="s">
        <v>629</v>
      </c>
      <c r="N2329" t="s">
        <v>635</v>
      </c>
      <c r="O2329" t="s">
        <v>637</v>
      </c>
    </row>
    <row r="2330" spans="1:15" x14ac:dyDescent="0.35">
      <c r="A2330" s="77">
        <v>1.2904109589041095</v>
      </c>
      <c r="B2330" s="19">
        <v>94559</v>
      </c>
      <c r="C2330" s="19" t="s">
        <v>4641</v>
      </c>
      <c r="D2330" s="19" t="s">
        <v>309</v>
      </c>
      <c r="E2330" s="19" t="s">
        <v>310</v>
      </c>
      <c r="F2330" s="19" t="s">
        <v>1234</v>
      </c>
      <c r="G2330" s="19" t="s">
        <v>1008</v>
      </c>
      <c r="H2330" s="19" t="s">
        <v>1001</v>
      </c>
      <c r="I2330" s="19" t="s">
        <v>1599</v>
      </c>
      <c r="J2330" s="20">
        <v>23</v>
      </c>
      <c r="K2330" t="s">
        <v>668</v>
      </c>
      <c r="L2330" t="s">
        <v>666</v>
      </c>
      <c r="M2330" t="s">
        <v>629</v>
      </c>
      <c r="N2330" t="s">
        <v>635</v>
      </c>
      <c r="O2330" t="s">
        <v>637</v>
      </c>
    </row>
    <row r="2331" spans="1:15" x14ac:dyDescent="0.35">
      <c r="A2331" s="77">
        <v>1.2931506849315069</v>
      </c>
      <c r="B2331" s="19">
        <v>94561</v>
      </c>
      <c r="C2331" s="19" t="s">
        <v>4642</v>
      </c>
      <c r="D2331" s="19" t="s">
        <v>282</v>
      </c>
      <c r="E2331" s="19" t="s">
        <v>283</v>
      </c>
      <c r="F2331" s="19" t="s">
        <v>1417</v>
      </c>
      <c r="G2331" s="19" t="s">
        <v>1019</v>
      </c>
      <c r="H2331" s="19" t="s">
        <v>1020</v>
      </c>
      <c r="I2331" s="19" t="s">
        <v>1599</v>
      </c>
      <c r="J2331" s="20">
        <v>24</v>
      </c>
      <c r="K2331" t="s">
        <v>668</v>
      </c>
      <c r="L2331" t="s">
        <v>645</v>
      </c>
      <c r="M2331" t="s">
        <v>629</v>
      </c>
      <c r="N2331" t="s">
        <v>646</v>
      </c>
      <c r="O2331" t="s">
        <v>632</v>
      </c>
    </row>
    <row r="2332" spans="1:15" x14ac:dyDescent="0.35">
      <c r="A2332" s="77">
        <v>0.18356164383561643</v>
      </c>
      <c r="B2332" s="19">
        <v>94570</v>
      </c>
      <c r="C2332" s="19" t="s">
        <v>4643</v>
      </c>
      <c r="D2332" s="19" t="s">
        <v>34</v>
      </c>
      <c r="E2332" s="19" t="s">
        <v>34</v>
      </c>
      <c r="F2332" s="19" t="s">
        <v>1066</v>
      </c>
      <c r="G2332" s="19" t="s">
        <v>1028</v>
      </c>
      <c r="H2332" s="19" t="s">
        <v>1020</v>
      </c>
      <c r="I2332" s="19" t="s">
        <v>1575</v>
      </c>
      <c r="J2332" s="20">
        <v>19</v>
      </c>
      <c r="K2332" t="s">
        <v>654</v>
      </c>
      <c r="L2332" t="s">
        <v>656</v>
      </c>
      <c r="M2332" t="s">
        <v>657</v>
      </c>
      <c r="N2332" t="s">
        <v>658</v>
      </c>
      <c r="O2332" t="s">
        <v>632</v>
      </c>
    </row>
    <row r="2333" spans="1:15" x14ac:dyDescent="0.35">
      <c r="A2333" s="77">
        <v>1.2821917808219179</v>
      </c>
      <c r="B2333" s="19">
        <v>94593</v>
      </c>
      <c r="C2333" s="19" t="s">
        <v>4644</v>
      </c>
      <c r="D2333" s="19" t="s">
        <v>322</v>
      </c>
      <c r="E2333" s="19" t="s">
        <v>323</v>
      </c>
      <c r="F2333" s="19" t="s">
        <v>834</v>
      </c>
      <c r="G2333" s="19" t="s">
        <v>1000</v>
      </c>
      <c r="H2333" s="19" t="s">
        <v>1001</v>
      </c>
      <c r="I2333" s="19" t="s">
        <v>1599</v>
      </c>
      <c r="J2333" s="20">
        <v>34</v>
      </c>
      <c r="K2333" t="s">
        <v>668</v>
      </c>
      <c r="L2333" t="s">
        <v>628</v>
      </c>
      <c r="M2333" t="s">
        <v>629</v>
      </c>
      <c r="N2333" t="s">
        <v>630</v>
      </c>
      <c r="O2333" t="s">
        <v>632</v>
      </c>
    </row>
    <row r="2334" spans="1:15" x14ac:dyDescent="0.35">
      <c r="A2334" s="77">
        <v>1.2794520547945205</v>
      </c>
      <c r="B2334" s="19">
        <v>94596</v>
      </c>
      <c r="C2334" s="19" t="s">
        <v>4645</v>
      </c>
      <c r="D2334" s="19" t="s">
        <v>169</v>
      </c>
      <c r="E2334" s="19" t="s">
        <v>170</v>
      </c>
      <c r="F2334" s="19" t="s">
        <v>1274</v>
      </c>
      <c r="G2334" s="19" t="s">
        <v>1019</v>
      </c>
      <c r="H2334" s="19" t="s">
        <v>1020</v>
      </c>
      <c r="I2334" s="19" t="s">
        <v>1575</v>
      </c>
      <c r="J2334" s="20">
        <v>28</v>
      </c>
      <c r="K2334" t="s">
        <v>631</v>
      </c>
      <c r="L2334" t="s">
        <v>670</v>
      </c>
      <c r="M2334" t="s">
        <v>657</v>
      </c>
      <c r="N2334" t="s">
        <v>641</v>
      </c>
      <c r="O2334" t="s">
        <v>772</v>
      </c>
    </row>
    <row r="2335" spans="1:15" x14ac:dyDescent="0.35">
      <c r="A2335" s="77">
        <v>1.2767123287671234</v>
      </c>
      <c r="B2335" s="19">
        <v>94604</v>
      </c>
      <c r="C2335" s="19" t="s">
        <v>4646</v>
      </c>
      <c r="D2335" s="19" t="s">
        <v>290</v>
      </c>
      <c r="E2335" s="19" t="s">
        <v>291</v>
      </c>
      <c r="F2335" s="19" t="s">
        <v>1182</v>
      </c>
      <c r="G2335" s="19" t="s">
        <v>1084</v>
      </c>
      <c r="H2335" s="19" t="s">
        <v>1020</v>
      </c>
      <c r="I2335" s="19" t="s">
        <v>1599</v>
      </c>
      <c r="J2335" s="20">
        <v>22</v>
      </c>
      <c r="K2335" t="s">
        <v>668</v>
      </c>
      <c r="L2335" t="s">
        <v>663</v>
      </c>
      <c r="M2335" t="s">
        <v>629</v>
      </c>
      <c r="N2335" t="s">
        <v>646</v>
      </c>
      <c r="O2335" t="s">
        <v>639</v>
      </c>
    </row>
    <row r="2336" spans="1:15" x14ac:dyDescent="0.35">
      <c r="A2336" s="77">
        <v>1.2767123287671234</v>
      </c>
      <c r="B2336" s="19">
        <v>94611</v>
      </c>
      <c r="C2336" s="19" t="s">
        <v>4647</v>
      </c>
      <c r="D2336" s="19" t="s">
        <v>422</v>
      </c>
      <c r="E2336" s="19" t="s">
        <v>422</v>
      </c>
      <c r="F2336" s="19" t="s">
        <v>423</v>
      </c>
      <c r="G2336" s="19" t="s">
        <v>1084</v>
      </c>
      <c r="H2336" s="19" t="s">
        <v>1001</v>
      </c>
      <c r="I2336" s="19" t="s">
        <v>1599</v>
      </c>
      <c r="J2336" s="20">
        <v>22</v>
      </c>
      <c r="K2336" t="s">
        <v>654</v>
      </c>
      <c r="L2336" t="s">
        <v>673</v>
      </c>
      <c r="M2336" t="s">
        <v>623</v>
      </c>
      <c r="N2336" t="s">
        <v>641</v>
      </c>
      <c r="O2336" t="s">
        <v>697</v>
      </c>
    </row>
    <row r="2337" spans="1:15" x14ac:dyDescent="0.35">
      <c r="A2337" s="77">
        <v>1.2712328767123289</v>
      </c>
      <c r="B2337" s="19">
        <v>94616</v>
      </c>
      <c r="C2337" s="19" t="s">
        <v>4648</v>
      </c>
      <c r="D2337" s="19" t="s">
        <v>335</v>
      </c>
      <c r="E2337" s="19" t="s">
        <v>336</v>
      </c>
      <c r="F2337" s="19" t="s">
        <v>841</v>
      </c>
      <c r="G2337" s="19" t="s">
        <v>1028</v>
      </c>
      <c r="H2337" s="19" t="s">
        <v>1020</v>
      </c>
      <c r="I2337" s="19" t="s">
        <v>1575</v>
      </c>
      <c r="J2337" s="20">
        <v>24</v>
      </c>
      <c r="K2337" t="s">
        <v>636</v>
      </c>
      <c r="L2337" t="s">
        <v>622</v>
      </c>
      <c r="M2337" t="s">
        <v>623</v>
      </c>
      <c r="N2337" t="s">
        <v>624</v>
      </c>
      <c r="O2337" t="s">
        <v>649</v>
      </c>
    </row>
    <row r="2338" spans="1:15" x14ac:dyDescent="0.35">
      <c r="A2338" s="77">
        <v>0.65479452054794518</v>
      </c>
      <c r="B2338" s="19">
        <v>94634</v>
      </c>
      <c r="C2338" s="19" t="s">
        <v>4649</v>
      </c>
      <c r="D2338" s="19" t="s">
        <v>324</v>
      </c>
      <c r="E2338" s="19" t="s">
        <v>325</v>
      </c>
      <c r="F2338" s="19" t="s">
        <v>1284</v>
      </c>
      <c r="G2338" s="19" t="s">
        <v>1028</v>
      </c>
      <c r="H2338" s="19" t="s">
        <v>1020</v>
      </c>
      <c r="I2338" s="19" t="s">
        <v>1575</v>
      </c>
      <c r="J2338" s="20">
        <v>22</v>
      </c>
      <c r="K2338" t="s">
        <v>631</v>
      </c>
      <c r="L2338" t="s">
        <v>663</v>
      </c>
      <c r="M2338" t="s">
        <v>629</v>
      </c>
      <c r="N2338" t="s">
        <v>646</v>
      </c>
      <c r="O2338" t="s">
        <v>639</v>
      </c>
    </row>
    <row r="2339" spans="1:15" x14ac:dyDescent="0.35">
      <c r="A2339" s="77">
        <v>0.21369863013698631</v>
      </c>
      <c r="B2339" s="19">
        <v>94640</v>
      </c>
      <c r="C2339" s="19" t="s">
        <v>4650</v>
      </c>
      <c r="D2339" s="19" t="s">
        <v>273</v>
      </c>
      <c r="E2339" s="19" t="s">
        <v>274</v>
      </c>
      <c r="F2339" s="19" t="s">
        <v>1093</v>
      </c>
      <c r="G2339" s="19" t="s">
        <v>1019</v>
      </c>
      <c r="H2339" s="19" t="s">
        <v>1020</v>
      </c>
      <c r="I2339" s="19" t="s">
        <v>1575</v>
      </c>
      <c r="J2339" s="20">
        <v>20</v>
      </c>
      <c r="K2339" t="s">
        <v>636</v>
      </c>
      <c r="L2339" t="s">
        <v>663</v>
      </c>
      <c r="M2339" t="s">
        <v>629</v>
      </c>
      <c r="N2339" t="s">
        <v>646</v>
      </c>
      <c r="O2339" t="s">
        <v>639</v>
      </c>
    </row>
    <row r="2340" spans="1:15" x14ac:dyDescent="0.35">
      <c r="A2340" s="77">
        <v>1.2602739726027397</v>
      </c>
      <c r="B2340" s="19">
        <v>94648</v>
      </c>
      <c r="C2340" s="19" t="s">
        <v>4651</v>
      </c>
      <c r="D2340" s="19" t="s">
        <v>377</v>
      </c>
      <c r="E2340" s="19" t="s">
        <v>378</v>
      </c>
      <c r="F2340" s="19" t="s">
        <v>862</v>
      </c>
      <c r="G2340" s="19" t="s">
        <v>1158</v>
      </c>
      <c r="H2340" s="19" t="s">
        <v>1001</v>
      </c>
      <c r="I2340" s="19" t="s">
        <v>1575</v>
      </c>
      <c r="J2340" s="20">
        <v>21</v>
      </c>
      <c r="K2340" t="s">
        <v>631</v>
      </c>
      <c r="L2340" t="s">
        <v>661</v>
      </c>
      <c r="M2340" t="s">
        <v>657</v>
      </c>
      <c r="N2340" t="s">
        <v>662</v>
      </c>
      <c r="O2340" t="s">
        <v>632</v>
      </c>
    </row>
    <row r="2341" spans="1:15" x14ac:dyDescent="0.35">
      <c r="A2341" s="77">
        <v>0.60273972602739723</v>
      </c>
      <c r="B2341" s="19">
        <v>94649</v>
      </c>
      <c r="C2341" s="19" t="s">
        <v>4652</v>
      </c>
      <c r="D2341" s="19" t="s">
        <v>237</v>
      </c>
      <c r="E2341" s="19" t="s">
        <v>238</v>
      </c>
      <c r="F2341" s="19" t="s">
        <v>1070</v>
      </c>
      <c r="G2341" s="19" t="s">
        <v>1028</v>
      </c>
      <c r="H2341" s="19" t="s">
        <v>1020</v>
      </c>
      <c r="I2341" s="19" t="s">
        <v>1575</v>
      </c>
      <c r="J2341" s="20">
        <v>21</v>
      </c>
      <c r="K2341" t="s">
        <v>631</v>
      </c>
      <c r="L2341" t="s">
        <v>661</v>
      </c>
      <c r="M2341" t="s">
        <v>657</v>
      </c>
      <c r="N2341" t="s">
        <v>662</v>
      </c>
      <c r="O2341" t="s">
        <v>632</v>
      </c>
    </row>
    <row r="2342" spans="1:15" x14ac:dyDescent="0.35">
      <c r="A2342" s="77">
        <v>1.2602739726027397</v>
      </c>
      <c r="B2342" s="19">
        <v>94657</v>
      </c>
      <c r="C2342" s="19" t="s">
        <v>4653</v>
      </c>
      <c r="D2342" s="19" t="s">
        <v>309</v>
      </c>
      <c r="E2342" s="19" t="s">
        <v>310</v>
      </c>
      <c r="F2342" s="19" t="s">
        <v>1234</v>
      </c>
      <c r="G2342" s="19" t="s">
        <v>1019</v>
      </c>
      <c r="H2342" s="19" t="s">
        <v>1020</v>
      </c>
      <c r="I2342" s="19" t="s">
        <v>1575</v>
      </c>
      <c r="J2342" s="20">
        <v>20</v>
      </c>
      <c r="K2342" t="s">
        <v>668</v>
      </c>
      <c r="L2342" t="s">
        <v>666</v>
      </c>
      <c r="M2342" t="s">
        <v>629</v>
      </c>
      <c r="N2342" t="s">
        <v>635</v>
      </c>
      <c r="O2342" t="s">
        <v>637</v>
      </c>
    </row>
    <row r="2343" spans="1:15" x14ac:dyDescent="0.35">
      <c r="A2343" s="77">
        <v>6.3013698630136991E-2</v>
      </c>
      <c r="B2343" s="19">
        <v>94658</v>
      </c>
      <c r="C2343" s="19" t="s">
        <v>4654</v>
      </c>
      <c r="D2343" s="19" t="s">
        <v>20</v>
      </c>
      <c r="E2343" s="19" t="s">
        <v>20</v>
      </c>
      <c r="F2343" s="19" t="s">
        <v>1133</v>
      </c>
      <c r="G2343" s="19" t="s">
        <v>1028</v>
      </c>
      <c r="H2343" s="19" t="s">
        <v>1020</v>
      </c>
      <c r="I2343" s="19" t="s">
        <v>1575</v>
      </c>
      <c r="J2343" s="20">
        <v>21</v>
      </c>
      <c r="K2343" t="s">
        <v>654</v>
      </c>
      <c r="L2343" t="s">
        <v>634</v>
      </c>
      <c r="M2343" t="s">
        <v>629</v>
      </c>
      <c r="N2343" t="s">
        <v>635</v>
      </c>
      <c r="O2343" t="s">
        <v>637</v>
      </c>
    </row>
    <row r="2344" spans="1:15" x14ac:dyDescent="0.35">
      <c r="A2344" s="77">
        <v>1.2493150684931507</v>
      </c>
      <c r="B2344" s="19">
        <v>94662</v>
      </c>
      <c r="C2344" s="19" t="s">
        <v>4655</v>
      </c>
      <c r="D2344" s="19" t="s">
        <v>318</v>
      </c>
      <c r="E2344" s="19" t="s">
        <v>319</v>
      </c>
      <c r="F2344" s="19" t="s">
        <v>1266</v>
      </c>
      <c r="G2344" s="19" t="s">
        <v>1019</v>
      </c>
      <c r="H2344" s="19" t="s">
        <v>1020</v>
      </c>
      <c r="I2344" s="19" t="s">
        <v>1575</v>
      </c>
      <c r="J2344" s="20">
        <v>20</v>
      </c>
      <c r="K2344" t="s">
        <v>625</v>
      </c>
      <c r="L2344" t="s">
        <v>678</v>
      </c>
      <c r="M2344" t="s">
        <v>623</v>
      </c>
      <c r="N2344" t="s">
        <v>624</v>
      </c>
      <c r="O2344" t="s">
        <v>679</v>
      </c>
    </row>
    <row r="2345" spans="1:15" x14ac:dyDescent="0.35">
      <c r="A2345" s="77">
        <v>0.29315068493150687</v>
      </c>
      <c r="B2345" s="19">
        <v>94663</v>
      </c>
      <c r="C2345" s="19" t="s">
        <v>4656</v>
      </c>
      <c r="D2345" s="19" t="s">
        <v>49</v>
      </c>
      <c r="E2345" s="19" t="s">
        <v>50</v>
      </c>
      <c r="F2345" s="19" t="s">
        <v>1213</v>
      </c>
      <c r="G2345" s="19" t="s">
        <v>1028</v>
      </c>
      <c r="H2345" s="19" t="s">
        <v>1020</v>
      </c>
      <c r="I2345" s="19" t="s">
        <v>1599</v>
      </c>
      <c r="J2345" s="20">
        <v>21</v>
      </c>
      <c r="K2345" t="s">
        <v>625</v>
      </c>
      <c r="L2345" t="s">
        <v>648</v>
      </c>
      <c r="M2345" t="s">
        <v>623</v>
      </c>
      <c r="N2345" t="s">
        <v>624</v>
      </c>
      <c r="O2345" t="s">
        <v>649</v>
      </c>
    </row>
    <row r="2346" spans="1:15" x14ac:dyDescent="0.35">
      <c r="A2346" s="77">
        <v>1.2493150684931507</v>
      </c>
      <c r="B2346" s="19">
        <v>94679</v>
      </c>
      <c r="C2346" s="19" t="s">
        <v>4657</v>
      </c>
      <c r="D2346" s="19" t="s">
        <v>171</v>
      </c>
      <c r="E2346" s="19" t="s">
        <v>172</v>
      </c>
      <c r="F2346" s="19" t="s">
        <v>2239</v>
      </c>
      <c r="G2346" s="19" t="s">
        <v>1057</v>
      </c>
      <c r="H2346" s="19" t="s">
        <v>1001</v>
      </c>
      <c r="I2346" s="19" t="s">
        <v>1575</v>
      </c>
      <c r="J2346" s="20">
        <v>20</v>
      </c>
      <c r="K2346" t="s">
        <v>654</v>
      </c>
      <c r="L2346" t="s">
        <v>661</v>
      </c>
      <c r="M2346" t="s">
        <v>657</v>
      </c>
      <c r="N2346" t="s">
        <v>662</v>
      </c>
      <c r="O2346" t="s">
        <v>632</v>
      </c>
    </row>
    <row r="2347" spans="1:15" x14ac:dyDescent="0.35">
      <c r="A2347" s="77">
        <v>0.38904109589041097</v>
      </c>
      <c r="B2347" s="19">
        <v>94681</v>
      </c>
      <c r="C2347" s="19" t="s">
        <v>4658</v>
      </c>
      <c r="D2347" s="19" t="s">
        <v>382</v>
      </c>
      <c r="E2347" s="19" t="s">
        <v>383</v>
      </c>
      <c r="F2347" s="19" t="s">
        <v>384</v>
      </c>
      <c r="G2347" s="19" t="s">
        <v>1028</v>
      </c>
      <c r="H2347" s="19" t="s">
        <v>1020</v>
      </c>
      <c r="I2347" s="19" t="s">
        <v>1575</v>
      </c>
      <c r="J2347" s="20">
        <v>21</v>
      </c>
      <c r="K2347" t="s">
        <v>636</v>
      </c>
      <c r="L2347" t="s">
        <v>656</v>
      </c>
      <c r="M2347" t="s">
        <v>657</v>
      </c>
      <c r="N2347" t="s">
        <v>658</v>
      </c>
      <c r="O2347" t="s">
        <v>843</v>
      </c>
    </row>
    <row r="2348" spans="1:15" x14ac:dyDescent="0.35">
      <c r="A2348" s="77">
        <v>1.2493150684931507</v>
      </c>
      <c r="B2348" s="19">
        <v>94687</v>
      </c>
      <c r="C2348" s="19" t="s">
        <v>4659</v>
      </c>
      <c r="D2348" s="19" t="s">
        <v>278</v>
      </c>
      <c r="E2348" s="19" t="s">
        <v>279</v>
      </c>
      <c r="F2348" s="19" t="s">
        <v>1131</v>
      </c>
      <c r="G2348" s="19" t="s">
        <v>1008</v>
      </c>
      <c r="H2348" s="19" t="s">
        <v>1001</v>
      </c>
      <c r="I2348" s="19" t="s">
        <v>1575</v>
      </c>
      <c r="J2348" s="20">
        <v>22</v>
      </c>
      <c r="K2348" t="s">
        <v>625</v>
      </c>
      <c r="L2348" t="s">
        <v>661</v>
      </c>
      <c r="M2348" t="s">
        <v>657</v>
      </c>
      <c r="N2348" t="s">
        <v>662</v>
      </c>
      <c r="O2348" t="s">
        <v>632</v>
      </c>
    </row>
    <row r="2349" spans="1:15" x14ac:dyDescent="0.35">
      <c r="A2349" s="77">
        <v>1.2493150684931507</v>
      </c>
      <c r="B2349" s="19">
        <v>94688</v>
      </c>
      <c r="C2349" s="19" t="s">
        <v>4660</v>
      </c>
      <c r="D2349" s="19" t="s">
        <v>8</v>
      </c>
      <c r="E2349" s="19" t="s">
        <v>8</v>
      </c>
      <c r="F2349" s="19" t="s">
        <v>1176</v>
      </c>
      <c r="G2349" s="19" t="s">
        <v>1019</v>
      </c>
      <c r="H2349" s="19" t="s">
        <v>1020</v>
      </c>
      <c r="I2349" s="19" t="s">
        <v>1575</v>
      </c>
      <c r="J2349" s="20">
        <v>24</v>
      </c>
      <c r="K2349" t="s">
        <v>625</v>
      </c>
      <c r="L2349" t="s">
        <v>622</v>
      </c>
      <c r="M2349" t="s">
        <v>623</v>
      </c>
      <c r="N2349" t="s">
        <v>624</v>
      </c>
      <c r="O2349" t="s">
        <v>626</v>
      </c>
    </row>
    <row r="2350" spans="1:15" x14ac:dyDescent="0.35">
      <c r="A2350" s="77">
        <v>1.2493150684931507</v>
      </c>
      <c r="B2350" s="19">
        <v>94700</v>
      </c>
      <c r="C2350" s="19" t="s">
        <v>4661</v>
      </c>
      <c r="D2350" s="19" t="s">
        <v>401</v>
      </c>
      <c r="E2350" s="19" t="s">
        <v>402</v>
      </c>
      <c r="F2350" s="19" t="s">
        <v>1314</v>
      </c>
      <c r="G2350" s="19" t="s">
        <v>1019</v>
      </c>
      <c r="H2350" s="19" t="s">
        <v>1020</v>
      </c>
      <c r="I2350" s="19" t="s">
        <v>1575</v>
      </c>
      <c r="J2350" s="20">
        <v>22</v>
      </c>
      <c r="K2350" t="s">
        <v>668</v>
      </c>
      <c r="L2350" t="s">
        <v>691</v>
      </c>
      <c r="M2350" t="s">
        <v>657</v>
      </c>
      <c r="N2350" t="s">
        <v>658</v>
      </c>
      <c r="O2350" t="s">
        <v>632</v>
      </c>
    </row>
    <row r="2351" spans="1:15" x14ac:dyDescent="0.35">
      <c r="A2351" s="77">
        <v>0.13972602739726028</v>
      </c>
      <c r="B2351" s="19">
        <v>94713</v>
      </c>
      <c r="C2351" s="19" t="s">
        <v>4662</v>
      </c>
      <c r="D2351" s="19" t="s">
        <v>87</v>
      </c>
      <c r="E2351" s="19" t="s">
        <v>88</v>
      </c>
      <c r="F2351" s="19" t="s">
        <v>1324</v>
      </c>
      <c r="G2351" s="19" t="s">
        <v>1028</v>
      </c>
      <c r="H2351" s="19" t="s">
        <v>1020</v>
      </c>
      <c r="I2351" s="19" t="s">
        <v>1599</v>
      </c>
      <c r="J2351" s="20">
        <v>20</v>
      </c>
      <c r="K2351" t="s">
        <v>642</v>
      </c>
      <c r="L2351" t="s">
        <v>661</v>
      </c>
      <c r="M2351" t="s">
        <v>657</v>
      </c>
      <c r="N2351" t="s">
        <v>662</v>
      </c>
      <c r="O2351" t="s">
        <v>632</v>
      </c>
    </row>
    <row r="2352" spans="1:15" x14ac:dyDescent="0.35">
      <c r="A2352" s="77">
        <v>1.2410958904109588</v>
      </c>
      <c r="B2352" s="19">
        <v>94720</v>
      </c>
      <c r="C2352" s="19" t="s">
        <v>4663</v>
      </c>
      <c r="D2352" s="19" t="s">
        <v>401</v>
      </c>
      <c r="E2352" s="19" t="s">
        <v>402</v>
      </c>
      <c r="F2352" s="19" t="s">
        <v>1314</v>
      </c>
      <c r="G2352" s="19" t="s">
        <v>1038</v>
      </c>
      <c r="H2352" s="19" t="s">
        <v>1020</v>
      </c>
      <c r="I2352" s="19" t="s">
        <v>1575</v>
      </c>
      <c r="J2352" s="20">
        <v>42</v>
      </c>
      <c r="K2352" t="s">
        <v>668</v>
      </c>
      <c r="L2352" t="s">
        <v>691</v>
      </c>
      <c r="M2352" t="s">
        <v>657</v>
      </c>
      <c r="N2352" t="s">
        <v>658</v>
      </c>
      <c r="O2352" t="s">
        <v>632</v>
      </c>
    </row>
    <row r="2353" spans="1:15" x14ac:dyDescent="0.35">
      <c r="A2353" s="77">
        <v>1.2383561643835617</v>
      </c>
      <c r="B2353" s="19">
        <v>94742</v>
      </c>
      <c r="C2353" s="19" t="s">
        <v>4664</v>
      </c>
      <c r="D2353" s="19" t="s">
        <v>355</v>
      </c>
      <c r="E2353" s="19" t="s">
        <v>356</v>
      </c>
      <c r="F2353" s="19" t="s">
        <v>1100</v>
      </c>
      <c r="G2353" s="19" t="s">
        <v>1028</v>
      </c>
      <c r="H2353" s="19" t="s">
        <v>1020</v>
      </c>
      <c r="I2353" s="19" t="s">
        <v>1599</v>
      </c>
      <c r="J2353" s="20">
        <v>29</v>
      </c>
      <c r="K2353" t="s">
        <v>625</v>
      </c>
      <c r="L2353" t="s">
        <v>622</v>
      </c>
      <c r="M2353" t="s">
        <v>623</v>
      </c>
      <c r="N2353" t="s">
        <v>624</v>
      </c>
      <c r="O2353" t="s">
        <v>649</v>
      </c>
    </row>
    <row r="2354" spans="1:15" x14ac:dyDescent="0.35">
      <c r="A2354" s="77">
        <v>1.2356164383561643</v>
      </c>
      <c r="B2354" s="19">
        <v>94752</v>
      </c>
      <c r="C2354" s="19" t="s">
        <v>4665</v>
      </c>
      <c r="D2354" s="19" t="s">
        <v>284</v>
      </c>
      <c r="E2354" s="19" t="s">
        <v>285</v>
      </c>
      <c r="F2354" s="19" t="s">
        <v>1150</v>
      </c>
      <c r="G2354" s="19" t="s">
        <v>1028</v>
      </c>
      <c r="H2354" s="19" t="s">
        <v>1020</v>
      </c>
      <c r="I2354" s="19" t="s">
        <v>1599</v>
      </c>
      <c r="J2354" s="20">
        <v>20</v>
      </c>
      <c r="K2354" t="s">
        <v>625</v>
      </c>
      <c r="L2354" t="s">
        <v>661</v>
      </c>
      <c r="M2354" t="s">
        <v>657</v>
      </c>
      <c r="N2354" t="s">
        <v>662</v>
      </c>
      <c r="O2354" t="s">
        <v>632</v>
      </c>
    </row>
    <row r="2355" spans="1:15" x14ac:dyDescent="0.35">
      <c r="A2355" s="77">
        <v>1.2410958904109588</v>
      </c>
      <c r="B2355" s="19">
        <v>94773</v>
      </c>
      <c r="C2355" s="19" t="s">
        <v>4666</v>
      </c>
      <c r="D2355" s="19" t="s">
        <v>379</v>
      </c>
      <c r="E2355" s="19" t="s">
        <v>380</v>
      </c>
      <c r="F2355" s="19" t="s">
        <v>381</v>
      </c>
      <c r="G2355" s="19" t="s">
        <v>1028</v>
      </c>
      <c r="H2355" s="19" t="s">
        <v>1020</v>
      </c>
      <c r="I2355" s="19" t="s">
        <v>1575</v>
      </c>
      <c r="J2355" s="20">
        <v>21</v>
      </c>
      <c r="K2355" t="s">
        <v>636</v>
      </c>
      <c r="L2355" t="s">
        <v>628</v>
      </c>
      <c r="M2355" t="s">
        <v>629</v>
      </c>
      <c r="N2355" t="s">
        <v>630</v>
      </c>
      <c r="O2355" t="s">
        <v>632</v>
      </c>
    </row>
    <row r="2356" spans="1:15" x14ac:dyDescent="0.35">
      <c r="A2356" s="77">
        <v>1.2328767123287672</v>
      </c>
      <c r="B2356" s="19">
        <v>94777</v>
      </c>
      <c r="C2356" s="19" t="s">
        <v>4667</v>
      </c>
      <c r="D2356" s="19" t="s">
        <v>421</v>
      </c>
      <c r="E2356" s="19" t="s">
        <v>421</v>
      </c>
      <c r="F2356" s="19" t="s">
        <v>698</v>
      </c>
      <c r="G2356" s="19" t="s">
        <v>1008</v>
      </c>
      <c r="H2356" s="19" t="s">
        <v>1001</v>
      </c>
      <c r="I2356" s="19" t="s">
        <v>1599</v>
      </c>
      <c r="J2356" s="20">
        <v>24</v>
      </c>
      <c r="K2356" t="s">
        <v>636</v>
      </c>
      <c r="L2356" t="s">
        <v>678</v>
      </c>
      <c r="M2356" t="s">
        <v>623</v>
      </c>
      <c r="N2356" t="s">
        <v>624</v>
      </c>
      <c r="O2356" t="s">
        <v>679</v>
      </c>
    </row>
    <row r="2357" spans="1:15" x14ac:dyDescent="0.35">
      <c r="A2357" s="77">
        <v>1.2410958904109588</v>
      </c>
      <c r="B2357" s="19">
        <v>94782</v>
      </c>
      <c r="C2357" s="19" t="s">
        <v>678</v>
      </c>
      <c r="D2357" s="19" t="s">
        <v>239</v>
      </c>
      <c r="E2357" s="19" t="s">
        <v>240</v>
      </c>
      <c r="F2357" s="19" t="s">
        <v>798</v>
      </c>
      <c r="G2357" s="19" t="s">
        <v>1084</v>
      </c>
      <c r="H2357" s="19" t="s">
        <v>1020</v>
      </c>
      <c r="I2357" s="19" t="s">
        <v>1575</v>
      </c>
      <c r="J2357" s="20">
        <v>38</v>
      </c>
      <c r="K2357" t="s">
        <v>636</v>
      </c>
      <c r="L2357" t="s">
        <v>628</v>
      </c>
      <c r="M2357" t="s">
        <v>629</v>
      </c>
      <c r="N2357" t="s">
        <v>646</v>
      </c>
      <c r="O2357" t="s">
        <v>632</v>
      </c>
    </row>
    <row r="2358" spans="1:15" x14ac:dyDescent="0.35">
      <c r="A2358" s="77">
        <v>1.2383561643835617</v>
      </c>
      <c r="B2358" s="19">
        <v>94783</v>
      </c>
      <c r="C2358" s="19" t="s">
        <v>4668</v>
      </c>
      <c r="D2358" s="19" t="s">
        <v>201</v>
      </c>
      <c r="E2358" s="19" t="s">
        <v>202</v>
      </c>
      <c r="F2358" s="19" t="s">
        <v>1061</v>
      </c>
      <c r="G2358" s="19" t="s">
        <v>1028</v>
      </c>
      <c r="H2358" s="19" t="s">
        <v>1020</v>
      </c>
      <c r="I2358" s="19" t="s">
        <v>1575</v>
      </c>
      <c r="J2358" s="20">
        <v>22</v>
      </c>
      <c r="K2358" t="s">
        <v>631</v>
      </c>
      <c r="L2358" t="s">
        <v>628</v>
      </c>
      <c r="M2358" t="s">
        <v>629</v>
      </c>
      <c r="N2358" t="s">
        <v>630</v>
      </c>
      <c r="O2358" t="s">
        <v>784</v>
      </c>
    </row>
    <row r="2359" spans="1:15" x14ac:dyDescent="0.35">
      <c r="A2359" s="77">
        <v>1.2328767123287672</v>
      </c>
      <c r="B2359" s="19">
        <v>94815</v>
      </c>
      <c r="C2359" s="19" t="s">
        <v>4669</v>
      </c>
      <c r="D2359" s="19" t="s">
        <v>169</v>
      </c>
      <c r="E2359" s="19" t="s">
        <v>170</v>
      </c>
      <c r="F2359" s="19" t="s">
        <v>1274</v>
      </c>
      <c r="G2359" s="19" t="s">
        <v>1028</v>
      </c>
      <c r="H2359" s="19" t="s">
        <v>1020</v>
      </c>
      <c r="I2359" s="19" t="s">
        <v>1575</v>
      </c>
      <c r="J2359" s="20">
        <v>29</v>
      </c>
      <c r="K2359" t="s">
        <v>631</v>
      </c>
      <c r="L2359" t="s">
        <v>670</v>
      </c>
      <c r="M2359" t="s">
        <v>657</v>
      </c>
      <c r="N2359" t="s">
        <v>641</v>
      </c>
      <c r="O2359" t="s">
        <v>772</v>
      </c>
    </row>
    <row r="2360" spans="1:15" x14ac:dyDescent="0.35">
      <c r="A2360" s="77">
        <v>1.2301369863013698</v>
      </c>
      <c r="B2360" s="19">
        <v>94818</v>
      </c>
      <c r="C2360" s="19" t="s">
        <v>4670</v>
      </c>
      <c r="D2360" s="19" t="s">
        <v>343</v>
      </c>
      <c r="E2360" s="19" t="s">
        <v>344</v>
      </c>
      <c r="F2360" s="19" t="s">
        <v>846</v>
      </c>
      <c r="G2360" s="19" t="s">
        <v>1028</v>
      </c>
      <c r="H2360" s="19" t="s">
        <v>1020</v>
      </c>
      <c r="I2360" s="19" t="s">
        <v>1575</v>
      </c>
      <c r="J2360" s="20">
        <v>22</v>
      </c>
      <c r="K2360" t="s">
        <v>642</v>
      </c>
      <c r="L2360" t="s">
        <v>645</v>
      </c>
      <c r="M2360" t="s">
        <v>629</v>
      </c>
      <c r="N2360" t="s">
        <v>646</v>
      </c>
      <c r="O2360" t="s">
        <v>632</v>
      </c>
    </row>
    <row r="2361" spans="1:15" x14ac:dyDescent="0.35">
      <c r="A2361" s="77">
        <v>1.2219178082191782</v>
      </c>
      <c r="B2361" s="19">
        <v>94827</v>
      </c>
      <c r="C2361" s="19" t="s">
        <v>4671</v>
      </c>
      <c r="D2361" s="19" t="s">
        <v>305</v>
      </c>
      <c r="E2361" s="19" t="s">
        <v>306</v>
      </c>
      <c r="F2361" s="19" t="s">
        <v>1086</v>
      </c>
      <c r="G2361" s="19" t="s">
        <v>1057</v>
      </c>
      <c r="H2361" s="19" t="s">
        <v>1001</v>
      </c>
      <c r="I2361" s="19" t="s">
        <v>1575</v>
      </c>
      <c r="J2361" s="20">
        <v>31</v>
      </c>
      <c r="K2361" t="s">
        <v>654</v>
      </c>
      <c r="L2361" t="s">
        <v>622</v>
      </c>
      <c r="M2361" t="s">
        <v>623</v>
      </c>
      <c r="N2361" t="s">
        <v>624</v>
      </c>
      <c r="O2361" t="s">
        <v>826</v>
      </c>
    </row>
    <row r="2362" spans="1:15" x14ac:dyDescent="0.35">
      <c r="A2362" s="77">
        <v>1.2164383561643837</v>
      </c>
      <c r="B2362" s="19">
        <v>94844</v>
      </c>
      <c r="C2362" s="19" t="s">
        <v>4672</v>
      </c>
      <c r="D2362" s="19" t="s">
        <v>41</v>
      </c>
      <c r="E2362" s="19" t="s">
        <v>41</v>
      </c>
      <c r="F2362" s="19" t="s">
        <v>1157</v>
      </c>
      <c r="G2362" s="19" t="s">
        <v>1008</v>
      </c>
      <c r="H2362" s="19" t="s">
        <v>1001</v>
      </c>
      <c r="I2362" s="19" t="s">
        <v>1575</v>
      </c>
      <c r="J2362" s="20">
        <v>20</v>
      </c>
      <c r="K2362" t="s">
        <v>625</v>
      </c>
      <c r="L2362" t="s">
        <v>691</v>
      </c>
      <c r="M2362" t="s">
        <v>657</v>
      </c>
      <c r="N2362" t="s">
        <v>658</v>
      </c>
      <c r="O2362" t="s">
        <v>632</v>
      </c>
    </row>
    <row r="2363" spans="1:15" x14ac:dyDescent="0.35">
      <c r="A2363" s="77">
        <v>1.2164383561643837</v>
      </c>
      <c r="B2363" s="19">
        <v>94845</v>
      </c>
      <c r="C2363" s="19" t="s">
        <v>4673</v>
      </c>
      <c r="D2363" s="19" t="s">
        <v>41</v>
      </c>
      <c r="E2363" s="19" t="s">
        <v>41</v>
      </c>
      <c r="F2363" s="19" t="s">
        <v>1157</v>
      </c>
      <c r="G2363" s="19" t="s">
        <v>1028</v>
      </c>
      <c r="H2363" s="19" t="s">
        <v>1020</v>
      </c>
      <c r="I2363" s="19" t="s">
        <v>1575</v>
      </c>
      <c r="J2363" s="20">
        <v>18</v>
      </c>
      <c r="K2363" t="s">
        <v>625</v>
      </c>
      <c r="L2363" t="s">
        <v>691</v>
      </c>
      <c r="M2363" t="s">
        <v>657</v>
      </c>
      <c r="N2363" t="s">
        <v>658</v>
      </c>
      <c r="O2363" t="s">
        <v>632</v>
      </c>
    </row>
    <row r="2364" spans="1:15" x14ac:dyDescent="0.35">
      <c r="A2364" s="77">
        <v>9.8630136986301367E-2</v>
      </c>
      <c r="B2364" s="19">
        <v>94849</v>
      </c>
      <c r="C2364" s="19" t="s">
        <v>4674</v>
      </c>
      <c r="D2364" s="19" t="s">
        <v>41</v>
      </c>
      <c r="E2364" s="19" t="s">
        <v>41</v>
      </c>
      <c r="F2364" s="19" t="s">
        <v>1157</v>
      </c>
      <c r="G2364" s="19" t="s">
        <v>1028</v>
      </c>
      <c r="H2364" s="19" t="s">
        <v>1020</v>
      </c>
      <c r="I2364" s="19" t="s">
        <v>1575</v>
      </c>
      <c r="J2364" s="20">
        <v>20</v>
      </c>
      <c r="K2364" t="s">
        <v>625</v>
      </c>
      <c r="L2364" t="s">
        <v>691</v>
      </c>
      <c r="M2364" t="s">
        <v>657</v>
      </c>
      <c r="N2364" t="s">
        <v>658</v>
      </c>
      <c r="O2364" t="s">
        <v>632</v>
      </c>
    </row>
    <row r="2365" spans="1:15" x14ac:dyDescent="0.35">
      <c r="A2365" s="77">
        <v>1.2136986301369863</v>
      </c>
      <c r="B2365" s="19">
        <v>94878</v>
      </c>
      <c r="C2365" s="19" t="s">
        <v>4675</v>
      </c>
      <c r="D2365" s="19" t="s">
        <v>290</v>
      </c>
      <c r="E2365" s="19" t="s">
        <v>291</v>
      </c>
      <c r="F2365" s="19" t="s">
        <v>1182</v>
      </c>
      <c r="G2365" s="19" t="s">
        <v>1028</v>
      </c>
      <c r="H2365" s="19" t="s">
        <v>1020</v>
      </c>
      <c r="I2365" s="19" t="s">
        <v>1575</v>
      </c>
      <c r="J2365" s="20">
        <v>25</v>
      </c>
      <c r="K2365" t="s">
        <v>668</v>
      </c>
      <c r="L2365" t="s">
        <v>663</v>
      </c>
      <c r="M2365" t="s">
        <v>629</v>
      </c>
      <c r="N2365" t="s">
        <v>646</v>
      </c>
      <c r="O2365" t="s">
        <v>639</v>
      </c>
    </row>
    <row r="2366" spans="1:15" x14ac:dyDescent="0.35">
      <c r="A2366" s="77">
        <v>1.2136986301369863</v>
      </c>
      <c r="B2366" s="19">
        <v>94882</v>
      </c>
      <c r="C2366" s="19" t="s">
        <v>4676</v>
      </c>
      <c r="D2366" s="19" t="s">
        <v>153</v>
      </c>
      <c r="E2366" s="19" t="s">
        <v>154</v>
      </c>
      <c r="F2366" s="19" t="s">
        <v>2384</v>
      </c>
      <c r="G2366" s="19" t="s">
        <v>1008</v>
      </c>
      <c r="H2366" s="19" t="s">
        <v>1001</v>
      </c>
      <c r="I2366" s="19" t="s">
        <v>1575</v>
      </c>
      <c r="J2366" s="20">
        <v>23</v>
      </c>
      <c r="K2366" t="s">
        <v>654</v>
      </c>
      <c r="L2366" t="s">
        <v>762</v>
      </c>
      <c r="M2366" t="s">
        <v>629</v>
      </c>
      <c r="N2366" t="s">
        <v>646</v>
      </c>
      <c r="O2366" t="s">
        <v>763</v>
      </c>
    </row>
    <row r="2367" spans="1:15" x14ac:dyDescent="0.35">
      <c r="A2367" s="77">
        <v>1.2136986301369863</v>
      </c>
      <c r="B2367" s="19">
        <v>94884</v>
      </c>
      <c r="C2367" s="19" t="s">
        <v>4677</v>
      </c>
      <c r="D2367" s="19" t="s">
        <v>95</v>
      </c>
      <c r="E2367" s="19" t="s">
        <v>96</v>
      </c>
      <c r="F2367" s="19" t="s">
        <v>1188</v>
      </c>
      <c r="G2367" s="19" t="s">
        <v>1028</v>
      </c>
      <c r="H2367" s="19" t="s">
        <v>1020</v>
      </c>
      <c r="I2367" s="19" t="s">
        <v>1575</v>
      </c>
      <c r="J2367" s="20">
        <v>26</v>
      </c>
      <c r="K2367" t="s">
        <v>636</v>
      </c>
      <c r="L2367" t="s">
        <v>737</v>
      </c>
      <c r="M2367" t="s">
        <v>657</v>
      </c>
      <c r="N2367" t="s">
        <v>641</v>
      </c>
      <c r="O2367" t="s">
        <v>738</v>
      </c>
    </row>
    <row r="2368" spans="1:15" x14ac:dyDescent="0.35">
      <c r="A2368" s="77">
        <v>1.2027397260273973</v>
      </c>
      <c r="B2368" s="19">
        <v>94892</v>
      </c>
      <c r="C2368" s="19" t="s">
        <v>4678</v>
      </c>
      <c r="D2368" s="19" t="s">
        <v>178</v>
      </c>
      <c r="E2368" s="19" t="s">
        <v>179</v>
      </c>
      <c r="F2368" s="19" t="s">
        <v>2407</v>
      </c>
      <c r="G2368" s="19" t="s">
        <v>1028</v>
      </c>
      <c r="H2368" s="19" t="s">
        <v>1020</v>
      </c>
      <c r="I2368" s="19" t="s">
        <v>1575</v>
      </c>
      <c r="J2368" s="20">
        <v>33</v>
      </c>
      <c r="K2368" t="s">
        <v>636</v>
      </c>
      <c r="L2368" t="s">
        <v>684</v>
      </c>
      <c r="M2368" t="s">
        <v>623</v>
      </c>
      <c r="N2368" t="s">
        <v>662</v>
      </c>
      <c r="O2368" t="s">
        <v>775</v>
      </c>
    </row>
    <row r="2369" spans="1:15" x14ac:dyDescent="0.35">
      <c r="A2369" s="77">
        <v>1.2</v>
      </c>
      <c r="B2369" s="19">
        <v>94895</v>
      </c>
      <c r="C2369" s="19" t="s">
        <v>4679</v>
      </c>
      <c r="D2369" s="19" t="s">
        <v>73</v>
      </c>
      <c r="E2369" s="19" t="s">
        <v>74</v>
      </c>
      <c r="F2369" s="19" t="s">
        <v>1178</v>
      </c>
      <c r="G2369" s="19" t="s">
        <v>1028</v>
      </c>
      <c r="H2369" s="19" t="s">
        <v>1020</v>
      </c>
      <c r="I2369" s="19" t="s">
        <v>1599</v>
      </c>
      <c r="J2369" s="20">
        <v>21</v>
      </c>
      <c r="K2369" t="s">
        <v>654</v>
      </c>
      <c r="L2369" t="s">
        <v>648</v>
      </c>
      <c r="M2369" t="s">
        <v>623</v>
      </c>
      <c r="N2369" t="s">
        <v>624</v>
      </c>
      <c r="O2369" t="s">
        <v>725</v>
      </c>
    </row>
    <row r="2370" spans="1:15" x14ac:dyDescent="0.35">
      <c r="A2370" s="77">
        <v>1.1972602739726028</v>
      </c>
      <c r="B2370" s="19">
        <v>94907</v>
      </c>
      <c r="C2370" s="19" t="s">
        <v>4680</v>
      </c>
      <c r="D2370" s="19" t="s">
        <v>357</v>
      </c>
      <c r="E2370" s="19" t="s">
        <v>358</v>
      </c>
      <c r="F2370" s="19" t="s">
        <v>1161</v>
      </c>
      <c r="G2370" s="19" t="s">
        <v>1008</v>
      </c>
      <c r="H2370" s="19" t="s">
        <v>1001</v>
      </c>
      <c r="I2370" s="19" t="s">
        <v>1575</v>
      </c>
      <c r="J2370" s="20">
        <v>24</v>
      </c>
      <c r="K2370" t="s">
        <v>668</v>
      </c>
      <c r="L2370" t="s">
        <v>640</v>
      </c>
      <c r="M2370" t="s">
        <v>623</v>
      </c>
      <c r="N2370" t="s">
        <v>641</v>
      </c>
      <c r="O2370" t="s">
        <v>852</v>
      </c>
    </row>
    <row r="2371" spans="1:15" x14ac:dyDescent="0.35">
      <c r="A2371" s="77">
        <v>1.1945205479452055</v>
      </c>
      <c r="B2371" s="19">
        <v>94927</v>
      </c>
      <c r="C2371" s="19" t="s">
        <v>4681</v>
      </c>
      <c r="D2371" s="19" t="s">
        <v>357</v>
      </c>
      <c r="E2371" s="19" t="s">
        <v>358</v>
      </c>
      <c r="F2371" s="19" t="s">
        <v>1161</v>
      </c>
      <c r="G2371" s="19" t="s">
        <v>1028</v>
      </c>
      <c r="H2371" s="19" t="s">
        <v>1020</v>
      </c>
      <c r="I2371" s="19" t="s">
        <v>1575</v>
      </c>
      <c r="J2371" s="20">
        <v>20</v>
      </c>
      <c r="K2371" t="s">
        <v>668</v>
      </c>
      <c r="L2371" t="s">
        <v>640</v>
      </c>
      <c r="M2371" t="s">
        <v>623</v>
      </c>
      <c r="N2371" t="s">
        <v>641</v>
      </c>
      <c r="O2371" t="s">
        <v>852</v>
      </c>
    </row>
    <row r="2372" spans="1:15" x14ac:dyDescent="0.35">
      <c r="A2372" s="77">
        <v>1.1917808219178083</v>
      </c>
      <c r="B2372" s="19">
        <v>94946</v>
      </c>
      <c r="C2372" s="19" t="s">
        <v>4682</v>
      </c>
      <c r="D2372" s="19" t="s">
        <v>247</v>
      </c>
      <c r="E2372" s="19" t="s">
        <v>248</v>
      </c>
      <c r="F2372" s="19" t="s">
        <v>1726</v>
      </c>
      <c r="G2372" s="19" t="s">
        <v>1019</v>
      </c>
      <c r="H2372" s="19" t="s">
        <v>1020</v>
      </c>
      <c r="I2372" s="19" t="s">
        <v>1575</v>
      </c>
      <c r="J2372" s="20">
        <v>20</v>
      </c>
      <c r="K2372" t="s">
        <v>668</v>
      </c>
      <c r="L2372" t="s">
        <v>634</v>
      </c>
      <c r="M2372" t="s">
        <v>629</v>
      </c>
      <c r="N2372" t="s">
        <v>635</v>
      </c>
      <c r="O2372" t="s">
        <v>637</v>
      </c>
    </row>
    <row r="2373" spans="1:15" x14ac:dyDescent="0.35">
      <c r="A2373" s="77">
        <v>1.1917808219178083</v>
      </c>
      <c r="B2373" s="19">
        <v>94947</v>
      </c>
      <c r="C2373" s="19" t="s">
        <v>4683</v>
      </c>
      <c r="D2373" s="19" t="s">
        <v>247</v>
      </c>
      <c r="E2373" s="19" t="s">
        <v>248</v>
      </c>
      <c r="F2373" s="19" t="s">
        <v>1726</v>
      </c>
      <c r="G2373" s="19" t="s">
        <v>1008</v>
      </c>
      <c r="H2373" s="19" t="s">
        <v>1001</v>
      </c>
      <c r="I2373" s="19" t="s">
        <v>1575</v>
      </c>
      <c r="J2373" s="20">
        <v>25</v>
      </c>
      <c r="K2373" t="s">
        <v>668</v>
      </c>
      <c r="L2373" t="s">
        <v>634</v>
      </c>
      <c r="M2373" t="s">
        <v>629</v>
      </c>
      <c r="N2373" t="s">
        <v>635</v>
      </c>
      <c r="O2373" t="s">
        <v>637</v>
      </c>
    </row>
    <row r="2374" spans="1:15" x14ac:dyDescent="0.35">
      <c r="A2374" s="77">
        <v>1.1945205479452055</v>
      </c>
      <c r="B2374" s="19">
        <v>94955</v>
      </c>
      <c r="C2374" s="19" t="s">
        <v>4684</v>
      </c>
      <c r="D2374" s="19" t="s">
        <v>42</v>
      </c>
      <c r="E2374" s="19" t="s">
        <v>42</v>
      </c>
      <c r="F2374" s="19" t="s">
        <v>1262</v>
      </c>
      <c r="G2374" s="19" t="s">
        <v>1028</v>
      </c>
      <c r="H2374" s="19" t="s">
        <v>1020</v>
      </c>
      <c r="I2374" s="19" t="s">
        <v>1575</v>
      </c>
      <c r="J2374" s="20">
        <v>22</v>
      </c>
      <c r="K2374" t="s">
        <v>625</v>
      </c>
      <c r="L2374" t="s">
        <v>628</v>
      </c>
      <c r="M2374" t="s">
        <v>629</v>
      </c>
      <c r="N2374" t="s">
        <v>630</v>
      </c>
      <c r="O2374" t="s">
        <v>632</v>
      </c>
    </row>
    <row r="2375" spans="1:15" x14ac:dyDescent="0.35">
      <c r="A2375" s="77">
        <v>1.1945205479452055</v>
      </c>
      <c r="B2375" s="19">
        <v>94957</v>
      </c>
      <c r="C2375" s="19" t="s">
        <v>4685</v>
      </c>
      <c r="D2375" s="19" t="s">
        <v>42</v>
      </c>
      <c r="E2375" s="19" t="s">
        <v>42</v>
      </c>
      <c r="F2375" s="19" t="s">
        <v>1262</v>
      </c>
      <c r="G2375" s="19" t="s">
        <v>1019</v>
      </c>
      <c r="H2375" s="19" t="s">
        <v>1020</v>
      </c>
      <c r="I2375" s="19" t="s">
        <v>1575</v>
      </c>
      <c r="J2375" s="20">
        <v>22</v>
      </c>
      <c r="K2375" t="s">
        <v>625</v>
      </c>
      <c r="L2375" t="s">
        <v>628</v>
      </c>
      <c r="M2375" t="s">
        <v>629</v>
      </c>
      <c r="N2375" t="s">
        <v>630</v>
      </c>
      <c r="O2375" t="s">
        <v>632</v>
      </c>
    </row>
    <row r="2376" spans="1:15" x14ac:dyDescent="0.35">
      <c r="A2376" s="77">
        <v>1.1945205479452055</v>
      </c>
      <c r="B2376" s="19">
        <v>94959</v>
      </c>
      <c r="C2376" s="19" t="s">
        <v>4686</v>
      </c>
      <c r="D2376" s="19" t="s">
        <v>324</v>
      </c>
      <c r="E2376" s="19" t="s">
        <v>325</v>
      </c>
      <c r="F2376" s="19" t="s">
        <v>1284</v>
      </c>
      <c r="G2376" s="19" t="s">
        <v>1045</v>
      </c>
      <c r="H2376" s="19" t="s">
        <v>1001</v>
      </c>
      <c r="I2376" s="19" t="s">
        <v>1599</v>
      </c>
      <c r="J2376" s="20">
        <v>30</v>
      </c>
      <c r="K2376" t="s">
        <v>631</v>
      </c>
      <c r="L2376" t="s">
        <v>663</v>
      </c>
      <c r="M2376" t="s">
        <v>629</v>
      </c>
      <c r="N2376" t="s">
        <v>646</v>
      </c>
      <c r="O2376" t="s">
        <v>639</v>
      </c>
    </row>
    <row r="2377" spans="1:15" x14ac:dyDescent="0.35">
      <c r="A2377" s="77">
        <v>1.189041095890411</v>
      </c>
      <c r="B2377" s="19">
        <v>94968</v>
      </c>
      <c r="C2377" s="19" t="s">
        <v>4687</v>
      </c>
      <c r="D2377" s="19" t="s">
        <v>30</v>
      </c>
      <c r="E2377" s="19" t="s">
        <v>30</v>
      </c>
      <c r="F2377" s="19" t="s">
        <v>672</v>
      </c>
      <c r="G2377" s="19" t="s">
        <v>1028</v>
      </c>
      <c r="H2377" s="19" t="s">
        <v>1020</v>
      </c>
      <c r="I2377" s="19" t="s">
        <v>1599</v>
      </c>
      <c r="J2377" s="20">
        <v>20</v>
      </c>
      <c r="K2377" t="s">
        <v>636</v>
      </c>
      <c r="L2377" t="s">
        <v>673</v>
      </c>
      <c r="M2377" t="s">
        <v>623</v>
      </c>
      <c r="N2377" t="s">
        <v>641</v>
      </c>
      <c r="O2377" t="s">
        <v>674</v>
      </c>
    </row>
    <row r="2378" spans="1:15" x14ac:dyDescent="0.35">
      <c r="A2378" s="77">
        <v>1.1835616438356165</v>
      </c>
      <c r="B2378" s="19">
        <v>94970</v>
      </c>
      <c r="C2378" s="19" t="s">
        <v>4688</v>
      </c>
      <c r="D2378" s="19" t="s">
        <v>113</v>
      </c>
      <c r="E2378" s="19" t="s">
        <v>114</v>
      </c>
      <c r="F2378" s="19" t="s">
        <v>1871</v>
      </c>
      <c r="G2378" s="19" t="s">
        <v>1057</v>
      </c>
      <c r="H2378" s="19" t="s">
        <v>1001</v>
      </c>
      <c r="I2378" s="19" t="s">
        <v>1575</v>
      </c>
      <c r="J2378" s="20">
        <v>22</v>
      </c>
      <c r="K2378" t="s">
        <v>654</v>
      </c>
      <c r="L2378" t="s">
        <v>661</v>
      </c>
      <c r="M2378" t="s">
        <v>657</v>
      </c>
      <c r="N2378" t="s">
        <v>662</v>
      </c>
      <c r="O2378" t="s">
        <v>632</v>
      </c>
    </row>
    <row r="2379" spans="1:15" x14ac:dyDescent="0.35">
      <c r="A2379" s="77">
        <v>1.189041095890411</v>
      </c>
      <c r="B2379" s="19">
        <v>94975</v>
      </c>
      <c r="C2379" s="19" t="s">
        <v>4689</v>
      </c>
      <c r="D2379" s="19" t="s">
        <v>30</v>
      </c>
      <c r="E2379" s="19" t="s">
        <v>30</v>
      </c>
      <c r="F2379" s="19" t="s">
        <v>672</v>
      </c>
      <c r="G2379" s="19" t="s">
        <v>1028</v>
      </c>
      <c r="H2379" s="19" t="s">
        <v>1020</v>
      </c>
      <c r="I2379" s="19" t="s">
        <v>1575</v>
      </c>
      <c r="J2379" s="20">
        <v>23</v>
      </c>
      <c r="K2379" t="s">
        <v>636</v>
      </c>
      <c r="L2379" t="s">
        <v>673</v>
      </c>
      <c r="M2379" t="s">
        <v>623</v>
      </c>
      <c r="N2379" t="s">
        <v>641</v>
      </c>
      <c r="O2379" t="s">
        <v>674</v>
      </c>
    </row>
    <row r="2380" spans="1:15" x14ac:dyDescent="0.35">
      <c r="A2380" s="77">
        <v>1.178082191780822</v>
      </c>
      <c r="B2380" s="19">
        <v>95004</v>
      </c>
      <c r="C2380" s="19" t="s">
        <v>4690</v>
      </c>
      <c r="D2380" s="19" t="s">
        <v>24</v>
      </c>
      <c r="E2380" s="19" t="s">
        <v>24</v>
      </c>
      <c r="F2380" s="19" t="s">
        <v>2097</v>
      </c>
      <c r="G2380" s="19" t="s">
        <v>1028</v>
      </c>
      <c r="H2380" s="19" t="s">
        <v>1020</v>
      </c>
      <c r="I2380" s="19" t="s">
        <v>1575</v>
      </c>
      <c r="J2380" s="20">
        <v>24</v>
      </c>
      <c r="K2380" t="s">
        <v>664</v>
      </c>
      <c r="L2380" t="s">
        <v>663</v>
      </c>
      <c r="M2380" t="s">
        <v>629</v>
      </c>
      <c r="N2380" t="s">
        <v>646</v>
      </c>
      <c r="O2380" t="s">
        <v>639</v>
      </c>
    </row>
    <row r="2381" spans="1:15" x14ac:dyDescent="0.35">
      <c r="A2381" s="77">
        <v>1.1835616438356165</v>
      </c>
      <c r="B2381" s="19">
        <v>95010</v>
      </c>
      <c r="C2381" s="19" t="s">
        <v>4691</v>
      </c>
      <c r="D2381" s="19" t="s">
        <v>58</v>
      </c>
      <c r="E2381" s="19" t="s">
        <v>59</v>
      </c>
      <c r="F2381" s="19" t="s">
        <v>1650</v>
      </c>
      <c r="G2381" s="19" t="s">
        <v>1045</v>
      </c>
      <c r="H2381" s="19" t="s">
        <v>1001</v>
      </c>
      <c r="I2381" s="19" t="s">
        <v>1599</v>
      </c>
      <c r="J2381" s="20">
        <v>28</v>
      </c>
      <c r="K2381" t="s">
        <v>668</v>
      </c>
      <c r="L2381" t="s">
        <v>651</v>
      </c>
      <c r="M2381" t="s">
        <v>629</v>
      </c>
      <c r="N2381" t="s">
        <v>630</v>
      </c>
      <c r="O2381" t="s">
        <v>705</v>
      </c>
    </row>
    <row r="2382" spans="1:15" x14ac:dyDescent="0.35">
      <c r="A2382" s="77">
        <v>1.1753424657534246</v>
      </c>
      <c r="B2382" s="19">
        <v>95017</v>
      </c>
      <c r="C2382" s="19" t="s">
        <v>4692</v>
      </c>
      <c r="D2382" s="19" t="s">
        <v>102</v>
      </c>
      <c r="E2382" s="19" t="s">
        <v>103</v>
      </c>
      <c r="F2382" s="19" t="s">
        <v>1306</v>
      </c>
      <c r="G2382" s="19" t="s">
        <v>1084</v>
      </c>
      <c r="H2382" s="19" t="s">
        <v>1001</v>
      </c>
      <c r="I2382" s="19" t="s">
        <v>1599</v>
      </c>
      <c r="J2382" s="20">
        <v>26</v>
      </c>
      <c r="K2382" t="s">
        <v>654</v>
      </c>
      <c r="L2382" t="s">
        <v>707</v>
      </c>
      <c r="M2382" t="s">
        <v>629</v>
      </c>
      <c r="N2382" t="s">
        <v>635</v>
      </c>
      <c r="O2382" t="s">
        <v>708</v>
      </c>
    </row>
    <row r="2383" spans="1:15" x14ac:dyDescent="0.35">
      <c r="A2383" s="77">
        <v>0.24383561643835616</v>
      </c>
      <c r="B2383" s="19">
        <v>95021</v>
      </c>
      <c r="C2383" s="19" t="s">
        <v>4693</v>
      </c>
      <c r="D2383" s="19" t="s">
        <v>126</v>
      </c>
      <c r="E2383" s="19" t="s">
        <v>127</v>
      </c>
      <c r="F2383" s="19" t="s">
        <v>1152</v>
      </c>
      <c r="G2383" s="19" t="s">
        <v>1008</v>
      </c>
      <c r="H2383" s="19" t="s">
        <v>1001</v>
      </c>
      <c r="I2383" s="19" t="s">
        <v>1575</v>
      </c>
      <c r="J2383" s="20">
        <v>23</v>
      </c>
      <c r="K2383" t="s">
        <v>654</v>
      </c>
      <c r="L2383" t="s">
        <v>628</v>
      </c>
      <c r="M2383" t="s">
        <v>629</v>
      </c>
      <c r="N2383" t="s">
        <v>630</v>
      </c>
      <c r="O2383" t="s">
        <v>632</v>
      </c>
    </row>
    <row r="2384" spans="1:15" x14ac:dyDescent="0.35">
      <c r="A2384" s="77">
        <v>1.1616438356164382</v>
      </c>
      <c r="B2384" s="19">
        <v>95039</v>
      </c>
      <c r="C2384" s="19" t="s">
        <v>4694</v>
      </c>
      <c r="D2384" s="19" t="s">
        <v>379</v>
      </c>
      <c r="E2384" s="19" t="s">
        <v>380</v>
      </c>
      <c r="F2384" s="19" t="s">
        <v>381</v>
      </c>
      <c r="G2384" s="19" t="s">
        <v>1034</v>
      </c>
      <c r="H2384" s="19" t="s">
        <v>1001</v>
      </c>
      <c r="I2384" s="19" t="s">
        <v>1599</v>
      </c>
      <c r="J2384" s="20">
        <v>27</v>
      </c>
      <c r="K2384" t="s">
        <v>636</v>
      </c>
      <c r="L2384" t="s">
        <v>628</v>
      </c>
      <c r="M2384" t="s">
        <v>629</v>
      </c>
      <c r="N2384" t="s">
        <v>630</v>
      </c>
      <c r="O2384" t="s">
        <v>632</v>
      </c>
    </row>
    <row r="2385" spans="1:15" x14ac:dyDescent="0.35">
      <c r="A2385" s="77">
        <v>1.1534246575342466</v>
      </c>
      <c r="B2385" s="19">
        <v>95046</v>
      </c>
      <c r="C2385" s="19" t="s">
        <v>4695</v>
      </c>
      <c r="D2385" s="19" t="s">
        <v>411</v>
      </c>
      <c r="E2385" s="19" t="s">
        <v>412</v>
      </c>
      <c r="F2385" s="19" t="s">
        <v>1225</v>
      </c>
      <c r="G2385" s="19" t="s">
        <v>1028</v>
      </c>
      <c r="H2385" s="19" t="s">
        <v>1020</v>
      </c>
      <c r="I2385" s="19" t="s">
        <v>1575</v>
      </c>
      <c r="J2385" s="20">
        <v>22</v>
      </c>
      <c r="K2385" t="s">
        <v>636</v>
      </c>
      <c r="L2385" t="s">
        <v>691</v>
      </c>
      <c r="M2385" t="s">
        <v>657</v>
      </c>
      <c r="N2385" t="s">
        <v>658</v>
      </c>
      <c r="O2385" t="s">
        <v>632</v>
      </c>
    </row>
    <row r="2386" spans="1:15" x14ac:dyDescent="0.35">
      <c r="A2386" s="77">
        <v>1.1561643835616437</v>
      </c>
      <c r="B2386" s="19">
        <v>95048</v>
      </c>
      <c r="C2386" s="19" t="s">
        <v>4696</v>
      </c>
      <c r="D2386" s="19" t="s">
        <v>62</v>
      </c>
      <c r="E2386" s="19" t="s">
        <v>63</v>
      </c>
      <c r="F2386" s="19" t="s">
        <v>1228</v>
      </c>
      <c r="G2386" s="19" t="s">
        <v>1008</v>
      </c>
      <c r="H2386" s="19" t="s">
        <v>1001</v>
      </c>
      <c r="I2386" s="19" t="s">
        <v>1575</v>
      </c>
      <c r="J2386" s="20">
        <v>22</v>
      </c>
      <c r="K2386" t="s">
        <v>636</v>
      </c>
      <c r="L2386" t="s">
        <v>645</v>
      </c>
      <c r="M2386" t="s">
        <v>629</v>
      </c>
      <c r="N2386" t="s">
        <v>646</v>
      </c>
      <c r="O2386" t="s">
        <v>632</v>
      </c>
    </row>
    <row r="2387" spans="1:15" x14ac:dyDescent="0.35">
      <c r="A2387" s="77">
        <v>1.1479452054794521</v>
      </c>
      <c r="B2387" s="19">
        <v>95066</v>
      </c>
      <c r="C2387" s="19" t="s">
        <v>4697</v>
      </c>
      <c r="D2387" s="19" t="s">
        <v>35</v>
      </c>
      <c r="E2387" s="19" t="s">
        <v>35</v>
      </c>
      <c r="F2387" s="19" t="s">
        <v>1657</v>
      </c>
      <c r="G2387" s="19" t="s">
        <v>1008</v>
      </c>
      <c r="H2387" s="19" t="s">
        <v>1001</v>
      </c>
      <c r="I2387" s="19" t="s">
        <v>1575</v>
      </c>
      <c r="J2387" s="20">
        <v>25</v>
      </c>
      <c r="K2387" t="s">
        <v>654</v>
      </c>
      <c r="L2387" t="s">
        <v>684</v>
      </c>
      <c r="M2387" t="s">
        <v>623</v>
      </c>
      <c r="N2387" t="s">
        <v>662</v>
      </c>
      <c r="O2387" t="s">
        <v>685</v>
      </c>
    </row>
    <row r="2388" spans="1:15" x14ac:dyDescent="0.35">
      <c r="A2388" s="77">
        <v>1.1424657534246576</v>
      </c>
      <c r="B2388" s="19">
        <v>95067</v>
      </c>
      <c r="C2388" s="19" t="s">
        <v>4698</v>
      </c>
      <c r="D2388" s="19" t="s">
        <v>80</v>
      </c>
      <c r="E2388" s="19" t="s">
        <v>81</v>
      </c>
      <c r="F2388" s="19" t="s">
        <v>1022</v>
      </c>
      <c r="G2388" s="19" t="s">
        <v>1028</v>
      </c>
      <c r="H2388" s="19" t="s">
        <v>1020</v>
      </c>
      <c r="I2388" s="19" t="s">
        <v>1575</v>
      </c>
      <c r="J2388" s="20">
        <v>21</v>
      </c>
      <c r="K2388" t="s">
        <v>654</v>
      </c>
      <c r="L2388" t="s">
        <v>628</v>
      </c>
      <c r="M2388" t="s">
        <v>629</v>
      </c>
      <c r="N2388" t="s">
        <v>630</v>
      </c>
      <c r="O2388" t="s">
        <v>632</v>
      </c>
    </row>
    <row r="2389" spans="1:15" x14ac:dyDescent="0.35">
      <c r="A2389" s="77">
        <v>0.14520547945205478</v>
      </c>
      <c r="B2389" s="19">
        <v>95078</v>
      </c>
      <c r="C2389" s="19" t="s">
        <v>4699</v>
      </c>
      <c r="D2389" s="19" t="s">
        <v>118</v>
      </c>
      <c r="E2389" s="19" t="s">
        <v>119</v>
      </c>
      <c r="F2389" s="19" t="s">
        <v>1360</v>
      </c>
      <c r="G2389" s="19" t="s">
        <v>1028</v>
      </c>
      <c r="H2389" s="19" t="s">
        <v>1020</v>
      </c>
      <c r="I2389" s="19" t="s">
        <v>1599</v>
      </c>
      <c r="J2389" s="20">
        <v>21</v>
      </c>
      <c r="K2389" t="s">
        <v>625</v>
      </c>
      <c r="L2389" t="s">
        <v>656</v>
      </c>
      <c r="M2389" t="s">
        <v>657</v>
      </c>
      <c r="N2389" t="s">
        <v>658</v>
      </c>
      <c r="O2389" t="s">
        <v>632</v>
      </c>
    </row>
    <row r="2390" spans="1:15" x14ac:dyDescent="0.35">
      <c r="A2390" s="77">
        <v>1.1424657534246576</v>
      </c>
      <c r="B2390" s="19">
        <v>95079</v>
      </c>
      <c r="C2390" s="19" t="s">
        <v>4700</v>
      </c>
      <c r="D2390" s="19" t="s">
        <v>118</v>
      </c>
      <c r="E2390" s="19" t="s">
        <v>119</v>
      </c>
      <c r="F2390" s="19" t="s">
        <v>1360</v>
      </c>
      <c r="G2390" s="19" t="s">
        <v>1008</v>
      </c>
      <c r="H2390" s="19" t="s">
        <v>1001</v>
      </c>
      <c r="I2390" s="19" t="s">
        <v>1599</v>
      </c>
      <c r="J2390" s="20">
        <v>24</v>
      </c>
      <c r="K2390" t="s">
        <v>625</v>
      </c>
      <c r="L2390" t="s">
        <v>656</v>
      </c>
      <c r="M2390" t="s">
        <v>657</v>
      </c>
      <c r="N2390" t="s">
        <v>658</v>
      </c>
      <c r="O2390" t="s">
        <v>632</v>
      </c>
    </row>
    <row r="2391" spans="1:15" x14ac:dyDescent="0.35">
      <c r="A2391" s="77">
        <v>1.1835616438356165</v>
      </c>
      <c r="B2391" s="19">
        <v>95089</v>
      </c>
      <c r="C2391" s="19" t="s">
        <v>4701</v>
      </c>
      <c r="D2391" s="19" t="s">
        <v>208</v>
      </c>
      <c r="E2391" s="19" t="s">
        <v>209</v>
      </c>
      <c r="F2391" s="19" t="s">
        <v>1444</v>
      </c>
      <c r="G2391" s="19" t="s">
        <v>1028</v>
      </c>
      <c r="H2391" s="19" t="s">
        <v>1020</v>
      </c>
      <c r="I2391" s="19" t="s">
        <v>1575</v>
      </c>
      <c r="J2391" s="20">
        <v>26</v>
      </c>
      <c r="K2391" t="s">
        <v>636</v>
      </c>
      <c r="L2391" t="s">
        <v>640</v>
      </c>
      <c r="M2391" t="s">
        <v>623</v>
      </c>
      <c r="N2391" t="s">
        <v>624</v>
      </c>
      <c r="O2391" t="s">
        <v>787</v>
      </c>
    </row>
    <row r="2392" spans="1:15" x14ac:dyDescent="0.35">
      <c r="A2392" s="77">
        <v>1.1424657534246576</v>
      </c>
      <c r="B2392" s="19">
        <v>95102</v>
      </c>
      <c r="C2392" s="19" t="s">
        <v>4702</v>
      </c>
      <c r="D2392" s="19" t="s">
        <v>405</v>
      </c>
      <c r="E2392" s="19" t="s">
        <v>406</v>
      </c>
      <c r="F2392" s="19" t="s">
        <v>594</v>
      </c>
      <c r="G2392" s="19" t="s">
        <v>1028</v>
      </c>
      <c r="H2392" s="19" t="s">
        <v>1020</v>
      </c>
      <c r="I2392" s="19" t="s">
        <v>1575</v>
      </c>
      <c r="J2392" s="20">
        <v>22</v>
      </c>
      <c r="K2392" t="s">
        <v>654</v>
      </c>
      <c r="L2392" t="s">
        <v>684</v>
      </c>
      <c r="M2392" t="s">
        <v>623</v>
      </c>
      <c r="N2392" t="s">
        <v>662</v>
      </c>
      <c r="O2392" t="s">
        <v>872</v>
      </c>
    </row>
    <row r="2393" spans="1:15" x14ac:dyDescent="0.35">
      <c r="A2393" s="77">
        <v>1.1424657534246576</v>
      </c>
      <c r="B2393" s="19">
        <v>95104</v>
      </c>
      <c r="C2393" s="19" t="s">
        <v>4703</v>
      </c>
      <c r="D2393" s="19" t="s">
        <v>42</v>
      </c>
      <c r="E2393" s="19" t="s">
        <v>42</v>
      </c>
      <c r="F2393" s="19" t="s">
        <v>1262</v>
      </c>
      <c r="G2393" s="19" t="s">
        <v>1008</v>
      </c>
      <c r="H2393" s="19" t="s">
        <v>1001</v>
      </c>
      <c r="I2393" s="19" t="s">
        <v>1575</v>
      </c>
      <c r="J2393" s="20">
        <v>39</v>
      </c>
      <c r="K2393" t="s">
        <v>625</v>
      </c>
      <c r="L2393" t="s">
        <v>628</v>
      </c>
      <c r="M2393" t="s">
        <v>629</v>
      </c>
      <c r="N2393" t="s">
        <v>630</v>
      </c>
      <c r="O2393" t="s">
        <v>632</v>
      </c>
    </row>
    <row r="2394" spans="1:15" x14ac:dyDescent="0.35">
      <c r="A2394" s="77">
        <v>2.1917808219178082E-2</v>
      </c>
      <c r="B2394" s="19">
        <v>95120</v>
      </c>
      <c r="C2394" s="19" t="s">
        <v>4704</v>
      </c>
      <c r="D2394" s="19" t="s">
        <v>18</v>
      </c>
      <c r="E2394" s="19" t="s">
        <v>18</v>
      </c>
      <c r="F2394" s="19" t="s">
        <v>650</v>
      </c>
      <c r="G2394" s="19" t="s">
        <v>1008</v>
      </c>
      <c r="H2394" s="19" t="s">
        <v>1001</v>
      </c>
      <c r="I2394" s="19" t="s">
        <v>1599</v>
      </c>
      <c r="J2394" s="20">
        <v>21</v>
      </c>
      <c r="K2394" t="s">
        <v>636</v>
      </c>
      <c r="L2394" t="s">
        <v>651</v>
      </c>
      <c r="M2394" t="s">
        <v>629</v>
      </c>
      <c r="N2394" t="s">
        <v>630</v>
      </c>
      <c r="O2394" t="s">
        <v>652</v>
      </c>
    </row>
    <row r="2395" spans="1:15" x14ac:dyDescent="0.35">
      <c r="A2395" s="77">
        <v>0.34794520547945207</v>
      </c>
      <c r="B2395" s="19">
        <v>95147</v>
      </c>
      <c r="C2395" s="19" t="s">
        <v>4705</v>
      </c>
      <c r="D2395" s="19" t="s">
        <v>427</v>
      </c>
      <c r="E2395" s="19" t="s">
        <v>427</v>
      </c>
      <c r="F2395" s="19" t="s">
        <v>1290</v>
      </c>
      <c r="G2395" s="19" t="s">
        <v>1028</v>
      </c>
      <c r="H2395" s="19" t="s">
        <v>1020</v>
      </c>
      <c r="I2395" s="19" t="s">
        <v>1575</v>
      </c>
      <c r="J2395" s="20">
        <v>22</v>
      </c>
      <c r="K2395" t="s">
        <v>654</v>
      </c>
      <c r="L2395" t="s">
        <v>651</v>
      </c>
      <c r="M2395" t="s">
        <v>629</v>
      </c>
      <c r="N2395" t="s">
        <v>630</v>
      </c>
      <c r="O2395" t="s">
        <v>652</v>
      </c>
    </row>
    <row r="2396" spans="1:15" x14ac:dyDescent="0.35">
      <c r="A2396" s="77">
        <v>2.4657534246575342E-2</v>
      </c>
      <c r="B2396" s="19">
        <v>95241</v>
      </c>
      <c r="C2396" s="19" t="s">
        <v>4706</v>
      </c>
      <c r="D2396" s="19" t="s">
        <v>239</v>
      </c>
      <c r="E2396" s="19" t="s">
        <v>240</v>
      </c>
      <c r="F2396" s="19" t="s">
        <v>798</v>
      </c>
      <c r="G2396" s="19" t="s">
        <v>1008</v>
      </c>
      <c r="H2396" s="19" t="s">
        <v>1001</v>
      </c>
      <c r="I2396" s="19" t="s">
        <v>1575</v>
      </c>
      <c r="J2396" s="20">
        <v>20</v>
      </c>
      <c r="K2396" t="s">
        <v>636</v>
      </c>
      <c r="L2396" t="s">
        <v>628</v>
      </c>
      <c r="M2396" t="s">
        <v>629</v>
      </c>
      <c r="N2396" t="s">
        <v>646</v>
      </c>
      <c r="O2396" t="s">
        <v>632</v>
      </c>
    </row>
    <row r="2397" spans="1:15" x14ac:dyDescent="0.35">
      <c r="A2397" s="77">
        <v>2.1917808219178082E-2</v>
      </c>
      <c r="B2397" s="19">
        <v>95246</v>
      </c>
      <c r="C2397" s="19" t="s">
        <v>4707</v>
      </c>
      <c r="D2397" s="19" t="s">
        <v>385</v>
      </c>
      <c r="E2397" s="19" t="s">
        <v>386</v>
      </c>
      <c r="F2397" s="19" t="s">
        <v>1059</v>
      </c>
      <c r="G2397" s="19" t="s">
        <v>1008</v>
      </c>
      <c r="H2397" s="19" t="s">
        <v>1001</v>
      </c>
      <c r="I2397" s="19" t="s">
        <v>1575</v>
      </c>
      <c r="J2397" s="20">
        <v>20</v>
      </c>
      <c r="K2397" t="s">
        <v>631</v>
      </c>
      <c r="L2397" t="s">
        <v>663</v>
      </c>
      <c r="M2397" t="s">
        <v>629</v>
      </c>
      <c r="N2397" t="s">
        <v>646</v>
      </c>
      <c r="O2397" t="s">
        <v>810</v>
      </c>
    </row>
    <row r="2398" spans="1:15" x14ac:dyDescent="0.35">
      <c r="A2398" s="77">
        <v>1.1342465753424658</v>
      </c>
      <c r="B2398" s="19">
        <v>95290</v>
      </c>
      <c r="C2398" s="19" t="s">
        <v>4708</v>
      </c>
      <c r="D2398" s="19" t="s">
        <v>87</v>
      </c>
      <c r="E2398" s="19" t="s">
        <v>88</v>
      </c>
      <c r="F2398" s="19" t="s">
        <v>1324</v>
      </c>
      <c r="G2398" s="19" t="s">
        <v>1028</v>
      </c>
      <c r="H2398" s="19" t="s">
        <v>1020</v>
      </c>
      <c r="I2398" s="19" t="s">
        <v>1575</v>
      </c>
      <c r="J2398" s="20">
        <v>20</v>
      </c>
      <c r="K2398" t="s">
        <v>642</v>
      </c>
      <c r="L2398" t="s">
        <v>661</v>
      </c>
      <c r="M2398" t="s">
        <v>657</v>
      </c>
      <c r="N2398" t="s">
        <v>662</v>
      </c>
      <c r="O2398" t="s">
        <v>632</v>
      </c>
    </row>
    <row r="2399" spans="1:15" x14ac:dyDescent="0.35">
      <c r="A2399" s="77">
        <v>1.1342465753424658</v>
      </c>
      <c r="B2399" s="19">
        <v>95292</v>
      </c>
      <c r="C2399" s="19" t="s">
        <v>4709</v>
      </c>
      <c r="D2399" s="19" t="s">
        <v>26</v>
      </c>
      <c r="E2399" s="19" t="s">
        <v>26</v>
      </c>
      <c r="F2399" s="19" t="s">
        <v>1124</v>
      </c>
      <c r="G2399" s="19" t="s">
        <v>1008</v>
      </c>
      <c r="H2399" s="19" t="s">
        <v>1001</v>
      </c>
      <c r="I2399" s="19" t="s">
        <v>1575</v>
      </c>
      <c r="J2399" s="20">
        <v>28</v>
      </c>
      <c r="K2399" t="s">
        <v>636</v>
      </c>
      <c r="L2399" t="s">
        <v>666</v>
      </c>
      <c r="M2399" t="s">
        <v>629</v>
      </c>
      <c r="N2399" t="s">
        <v>635</v>
      </c>
      <c r="O2399" t="s">
        <v>637</v>
      </c>
    </row>
    <row r="2400" spans="1:15" x14ac:dyDescent="0.35">
      <c r="A2400" s="77">
        <v>1.1369863013698631</v>
      </c>
      <c r="B2400" s="19">
        <v>95304</v>
      </c>
      <c r="C2400" s="19" t="s">
        <v>4710</v>
      </c>
      <c r="D2400" s="19" t="s">
        <v>343</v>
      </c>
      <c r="E2400" s="19" t="s">
        <v>344</v>
      </c>
      <c r="F2400" s="19" t="s">
        <v>846</v>
      </c>
      <c r="G2400" s="19" t="s">
        <v>1028</v>
      </c>
      <c r="H2400" s="19" t="s">
        <v>1020</v>
      </c>
      <c r="I2400" s="19" t="s">
        <v>1575</v>
      </c>
      <c r="J2400" s="20">
        <v>25</v>
      </c>
      <c r="K2400" t="s">
        <v>642</v>
      </c>
      <c r="L2400" t="s">
        <v>645</v>
      </c>
      <c r="M2400" t="s">
        <v>629</v>
      </c>
      <c r="N2400" t="s">
        <v>646</v>
      </c>
      <c r="O2400" t="s">
        <v>632</v>
      </c>
    </row>
    <row r="2401" spans="1:15" x14ac:dyDescent="0.35">
      <c r="A2401" s="77">
        <v>1.1232876712328768</v>
      </c>
      <c r="B2401" s="19">
        <v>95308</v>
      </c>
      <c r="C2401" s="19" t="s">
        <v>4711</v>
      </c>
      <c r="D2401" s="19" t="s">
        <v>113</v>
      </c>
      <c r="E2401" s="19" t="s">
        <v>114</v>
      </c>
      <c r="F2401" s="19" t="s">
        <v>1871</v>
      </c>
      <c r="G2401" s="19" t="s">
        <v>1008</v>
      </c>
      <c r="H2401" s="19" t="s">
        <v>1001</v>
      </c>
      <c r="I2401" s="19" t="s">
        <v>1575</v>
      </c>
      <c r="J2401" s="20">
        <v>20</v>
      </c>
      <c r="K2401" t="s">
        <v>654</v>
      </c>
      <c r="L2401" t="s">
        <v>661</v>
      </c>
      <c r="M2401" t="s">
        <v>657</v>
      </c>
      <c r="N2401" t="s">
        <v>662</v>
      </c>
      <c r="O2401" t="s">
        <v>632</v>
      </c>
    </row>
    <row r="2402" spans="1:15" x14ac:dyDescent="0.35">
      <c r="A2402" s="77">
        <v>1.1232876712328768</v>
      </c>
      <c r="B2402" s="19">
        <v>95309</v>
      </c>
      <c r="C2402" s="19" t="s">
        <v>4712</v>
      </c>
      <c r="D2402" s="19" t="s">
        <v>421</v>
      </c>
      <c r="E2402" s="19" t="s">
        <v>421</v>
      </c>
      <c r="F2402" s="19" t="s">
        <v>698</v>
      </c>
      <c r="G2402" s="19" t="s">
        <v>1008</v>
      </c>
      <c r="H2402" s="19" t="s">
        <v>1001</v>
      </c>
      <c r="I2402" s="19" t="s">
        <v>1575</v>
      </c>
      <c r="J2402" s="20">
        <v>39</v>
      </c>
      <c r="K2402" t="s">
        <v>636</v>
      </c>
      <c r="L2402" t="s">
        <v>678</v>
      </c>
      <c r="M2402" t="s">
        <v>623</v>
      </c>
      <c r="N2402" t="s">
        <v>624</v>
      </c>
      <c r="O2402" t="s">
        <v>679</v>
      </c>
    </row>
    <row r="2403" spans="1:15" x14ac:dyDescent="0.35">
      <c r="A2403" s="77">
        <v>1.1205479452054794</v>
      </c>
      <c r="B2403" s="19">
        <v>95316</v>
      </c>
      <c r="C2403" s="19" t="s">
        <v>4713</v>
      </c>
      <c r="D2403" s="19" t="s">
        <v>382</v>
      </c>
      <c r="E2403" s="19" t="s">
        <v>383</v>
      </c>
      <c r="F2403" s="19" t="s">
        <v>384</v>
      </c>
      <c r="G2403" s="19" t="s">
        <v>1057</v>
      </c>
      <c r="H2403" s="19" t="s">
        <v>1001</v>
      </c>
      <c r="I2403" s="19" t="s">
        <v>1575</v>
      </c>
      <c r="J2403" s="20">
        <v>27</v>
      </c>
      <c r="K2403" t="s">
        <v>636</v>
      </c>
      <c r="L2403" t="s">
        <v>656</v>
      </c>
      <c r="M2403" t="s">
        <v>657</v>
      </c>
      <c r="N2403" t="s">
        <v>658</v>
      </c>
      <c r="O2403" t="s">
        <v>843</v>
      </c>
    </row>
    <row r="2404" spans="1:15" x14ac:dyDescent="0.35">
      <c r="A2404" s="77">
        <v>1.1260273972602739</v>
      </c>
      <c r="B2404" s="19">
        <v>95328</v>
      </c>
      <c r="C2404" s="19" t="s">
        <v>4714</v>
      </c>
      <c r="D2404" s="19" t="s">
        <v>282</v>
      </c>
      <c r="E2404" s="19" t="s">
        <v>283</v>
      </c>
      <c r="F2404" s="19" t="s">
        <v>1417</v>
      </c>
      <c r="G2404" s="19" t="s">
        <v>1046</v>
      </c>
      <c r="H2404" s="19" t="s">
        <v>1001</v>
      </c>
      <c r="I2404" s="19" t="s">
        <v>1575</v>
      </c>
      <c r="J2404" s="20">
        <v>46</v>
      </c>
      <c r="K2404" t="s">
        <v>668</v>
      </c>
      <c r="L2404" t="s">
        <v>645</v>
      </c>
      <c r="M2404" t="s">
        <v>629</v>
      </c>
      <c r="N2404" t="s">
        <v>646</v>
      </c>
      <c r="O2404" t="s">
        <v>632</v>
      </c>
    </row>
    <row r="2405" spans="1:15" x14ac:dyDescent="0.35">
      <c r="A2405" s="77">
        <v>1.1178082191780823</v>
      </c>
      <c r="B2405" s="19">
        <v>95330</v>
      </c>
      <c r="C2405" s="19" t="s">
        <v>4715</v>
      </c>
      <c r="D2405" s="19" t="s">
        <v>97</v>
      </c>
      <c r="E2405" s="19" t="s">
        <v>98</v>
      </c>
      <c r="F2405" s="19" t="s">
        <v>2395</v>
      </c>
      <c r="G2405" s="19" t="s">
        <v>1028</v>
      </c>
      <c r="H2405" s="19" t="s">
        <v>1020</v>
      </c>
      <c r="I2405" s="19" t="s">
        <v>1575</v>
      </c>
      <c r="J2405" s="20">
        <v>31</v>
      </c>
      <c r="K2405" t="s">
        <v>654</v>
      </c>
      <c r="L2405" t="s">
        <v>666</v>
      </c>
      <c r="M2405" t="s">
        <v>629</v>
      </c>
      <c r="N2405" t="s">
        <v>635</v>
      </c>
      <c r="O2405" t="s">
        <v>739</v>
      </c>
    </row>
    <row r="2406" spans="1:15" x14ac:dyDescent="0.35">
      <c r="A2406" s="77">
        <v>1.1260273972602739</v>
      </c>
      <c r="B2406" s="19">
        <v>95334</v>
      </c>
      <c r="C2406" s="19" t="s">
        <v>4716</v>
      </c>
      <c r="D2406" s="19" t="s">
        <v>126</v>
      </c>
      <c r="E2406" s="19" t="s">
        <v>127</v>
      </c>
      <c r="F2406" s="19" t="s">
        <v>1152</v>
      </c>
      <c r="G2406" s="19" t="s">
        <v>1057</v>
      </c>
      <c r="H2406" s="19" t="s">
        <v>1001</v>
      </c>
      <c r="I2406" s="19" t="s">
        <v>1575</v>
      </c>
      <c r="J2406" s="20">
        <v>23</v>
      </c>
      <c r="K2406" t="s">
        <v>654</v>
      </c>
      <c r="L2406" t="s">
        <v>628</v>
      </c>
      <c r="M2406" t="s">
        <v>629</v>
      </c>
      <c r="N2406" t="s">
        <v>630</v>
      </c>
      <c r="O2406" t="s">
        <v>632</v>
      </c>
    </row>
    <row r="2407" spans="1:15" x14ac:dyDescent="0.35">
      <c r="A2407" s="77">
        <v>1.1150684931506849</v>
      </c>
      <c r="B2407" s="19">
        <v>95336</v>
      </c>
      <c r="C2407" s="19" t="s">
        <v>4717</v>
      </c>
      <c r="D2407" s="19" t="s">
        <v>411</v>
      </c>
      <c r="E2407" s="19" t="s">
        <v>412</v>
      </c>
      <c r="F2407" s="19" t="s">
        <v>1225</v>
      </c>
      <c r="G2407" s="19" t="s">
        <v>1019</v>
      </c>
      <c r="H2407" s="19" t="s">
        <v>1020</v>
      </c>
      <c r="I2407" s="19" t="s">
        <v>1575</v>
      </c>
      <c r="J2407" s="20">
        <v>26</v>
      </c>
      <c r="K2407" t="s">
        <v>636</v>
      </c>
      <c r="L2407" t="s">
        <v>691</v>
      </c>
      <c r="M2407" t="s">
        <v>657</v>
      </c>
      <c r="N2407" t="s">
        <v>658</v>
      </c>
      <c r="O2407" t="s">
        <v>632</v>
      </c>
    </row>
    <row r="2408" spans="1:15" x14ac:dyDescent="0.35">
      <c r="A2408" s="77">
        <v>1.1150684931506849</v>
      </c>
      <c r="B2408" s="19">
        <v>95337</v>
      </c>
      <c r="C2408" s="19" t="s">
        <v>4718</v>
      </c>
      <c r="D2408" s="19" t="s">
        <v>382</v>
      </c>
      <c r="E2408" s="19" t="s">
        <v>383</v>
      </c>
      <c r="F2408" s="19" t="s">
        <v>384</v>
      </c>
      <c r="G2408" s="19" t="s">
        <v>1057</v>
      </c>
      <c r="H2408" s="19" t="s">
        <v>1001</v>
      </c>
      <c r="I2408" s="19" t="s">
        <v>1575</v>
      </c>
      <c r="J2408" s="20">
        <v>27</v>
      </c>
      <c r="K2408" t="s">
        <v>636</v>
      </c>
      <c r="L2408" t="s">
        <v>656</v>
      </c>
      <c r="M2408" t="s">
        <v>657</v>
      </c>
      <c r="N2408" t="s">
        <v>658</v>
      </c>
      <c r="O2408" t="s">
        <v>843</v>
      </c>
    </row>
    <row r="2409" spans="1:15" x14ac:dyDescent="0.35">
      <c r="A2409" s="77">
        <v>1.095890410958904</v>
      </c>
      <c r="B2409" s="19">
        <v>95385</v>
      </c>
      <c r="C2409" s="19" t="s">
        <v>4719</v>
      </c>
      <c r="D2409" s="19" t="s">
        <v>218</v>
      </c>
      <c r="E2409" s="19" t="s">
        <v>219</v>
      </c>
      <c r="F2409" s="19" t="s">
        <v>1372</v>
      </c>
      <c r="G2409" s="19" t="s">
        <v>1008</v>
      </c>
      <c r="H2409" s="19" t="s">
        <v>1001</v>
      </c>
      <c r="I2409" s="19" t="s">
        <v>1575</v>
      </c>
      <c r="J2409" s="20">
        <v>19</v>
      </c>
      <c r="K2409" t="s">
        <v>625</v>
      </c>
      <c r="L2409" t="s">
        <v>661</v>
      </c>
      <c r="M2409" t="s">
        <v>657</v>
      </c>
      <c r="N2409" t="s">
        <v>662</v>
      </c>
      <c r="O2409" t="s">
        <v>632</v>
      </c>
    </row>
    <row r="2410" spans="1:15" x14ac:dyDescent="0.35">
      <c r="A2410" s="77">
        <v>1.095890410958904</v>
      </c>
      <c r="B2410" s="19">
        <v>95386</v>
      </c>
      <c r="C2410" s="19" t="s">
        <v>4720</v>
      </c>
      <c r="D2410" s="19" t="s">
        <v>28</v>
      </c>
      <c r="E2410" s="19" t="s">
        <v>28</v>
      </c>
      <c r="F2410" s="19" t="s">
        <v>916</v>
      </c>
      <c r="G2410" s="19" t="s">
        <v>1028</v>
      </c>
      <c r="H2410" s="19" t="s">
        <v>1020</v>
      </c>
      <c r="I2410" s="19" t="s">
        <v>1575</v>
      </c>
      <c r="J2410" s="20">
        <v>22</v>
      </c>
      <c r="K2410" t="s">
        <v>654</v>
      </c>
      <c r="L2410" t="s">
        <v>670</v>
      </c>
      <c r="M2410" t="s">
        <v>657</v>
      </c>
      <c r="N2410" t="s">
        <v>641</v>
      </c>
      <c r="O2410" t="s">
        <v>671</v>
      </c>
    </row>
    <row r="2411" spans="1:15" x14ac:dyDescent="0.35">
      <c r="A2411" s="77">
        <v>1.0986301369863014</v>
      </c>
      <c r="B2411" s="19">
        <v>95395</v>
      </c>
      <c r="C2411" s="19" t="s">
        <v>4116</v>
      </c>
      <c r="D2411" s="19" t="s">
        <v>273</v>
      </c>
      <c r="E2411" s="19" t="s">
        <v>274</v>
      </c>
      <c r="F2411" s="19" t="s">
        <v>1093</v>
      </c>
      <c r="G2411" s="19" t="s">
        <v>1028</v>
      </c>
      <c r="H2411" s="19" t="s">
        <v>1020</v>
      </c>
      <c r="I2411" s="19" t="s">
        <v>1575</v>
      </c>
      <c r="J2411" s="20">
        <v>25</v>
      </c>
      <c r="K2411" t="s">
        <v>636</v>
      </c>
      <c r="L2411" t="s">
        <v>663</v>
      </c>
      <c r="M2411" t="s">
        <v>629</v>
      </c>
      <c r="N2411" t="s">
        <v>646</v>
      </c>
      <c r="O2411" t="s">
        <v>639</v>
      </c>
    </row>
    <row r="2412" spans="1:15" x14ac:dyDescent="0.35">
      <c r="A2412" s="77">
        <v>1.0821917808219179</v>
      </c>
      <c r="B2412" s="19">
        <v>95398</v>
      </c>
      <c r="C2412" s="19" t="s">
        <v>4721</v>
      </c>
      <c r="D2412" s="19" t="s">
        <v>431</v>
      </c>
      <c r="E2412" s="19" t="e">
        <v>#N/A</v>
      </c>
      <c r="F2412" s="19" t="s">
        <v>709</v>
      </c>
      <c r="G2412" s="19" t="s">
        <v>1084</v>
      </c>
      <c r="H2412" s="19" t="s">
        <v>1001</v>
      </c>
      <c r="I2412" s="19" t="s">
        <v>1599</v>
      </c>
      <c r="J2412" s="20">
        <v>28</v>
      </c>
      <c r="K2412" t="s">
        <v>654</v>
      </c>
      <c r="L2412" t="s">
        <v>707</v>
      </c>
      <c r="M2412" t="s">
        <v>629</v>
      </c>
      <c r="N2412" t="s">
        <v>635</v>
      </c>
      <c r="O2412" t="s">
        <v>710</v>
      </c>
    </row>
    <row r="2413" spans="1:15" x14ac:dyDescent="0.35">
      <c r="A2413" s="77">
        <v>1.0821917808219179</v>
      </c>
      <c r="B2413" s="19">
        <v>95417</v>
      </c>
      <c r="C2413" s="19" t="s">
        <v>4722</v>
      </c>
      <c r="D2413" s="19" t="s">
        <v>17</v>
      </c>
      <c r="E2413" s="19" t="s">
        <v>17</v>
      </c>
      <c r="F2413" s="19" t="s">
        <v>906</v>
      </c>
      <c r="G2413" s="19" t="s">
        <v>1008</v>
      </c>
      <c r="H2413" s="19" t="s">
        <v>1001</v>
      </c>
      <c r="I2413" s="19" t="s">
        <v>1575</v>
      </c>
      <c r="J2413" s="20">
        <v>27</v>
      </c>
      <c r="K2413" t="s">
        <v>636</v>
      </c>
      <c r="L2413" t="s">
        <v>648</v>
      </c>
      <c r="M2413" t="s">
        <v>623</v>
      </c>
      <c r="N2413" t="s">
        <v>624</v>
      </c>
      <c r="O2413" t="s">
        <v>649</v>
      </c>
    </row>
    <row r="2414" spans="1:15" x14ac:dyDescent="0.35">
      <c r="A2414" s="77">
        <v>1.0821917808219179</v>
      </c>
      <c r="B2414" s="19">
        <v>95419</v>
      </c>
      <c r="C2414" s="19" t="s">
        <v>4723</v>
      </c>
      <c r="D2414" s="19" t="s">
        <v>165</v>
      </c>
      <c r="E2414" s="19" t="s">
        <v>166</v>
      </c>
      <c r="F2414" s="19" t="s">
        <v>1238</v>
      </c>
      <c r="G2414" s="19" t="s">
        <v>1008</v>
      </c>
      <c r="H2414" s="19" t="s">
        <v>1001</v>
      </c>
      <c r="I2414" s="19" t="s">
        <v>1575</v>
      </c>
      <c r="J2414" s="20">
        <v>22</v>
      </c>
      <c r="K2414" t="s">
        <v>636</v>
      </c>
      <c r="L2414" t="s">
        <v>648</v>
      </c>
      <c r="M2414" t="s">
        <v>623</v>
      </c>
      <c r="N2414" t="s">
        <v>624</v>
      </c>
      <c r="O2414" t="s">
        <v>649</v>
      </c>
    </row>
    <row r="2415" spans="1:15" x14ac:dyDescent="0.35">
      <c r="A2415" s="77">
        <v>1.0821917808219179</v>
      </c>
      <c r="B2415" s="19">
        <v>95424</v>
      </c>
      <c r="C2415" s="19" t="s">
        <v>4724</v>
      </c>
      <c r="D2415" s="19" t="s">
        <v>181</v>
      </c>
      <c r="E2415" s="19" t="s">
        <v>182</v>
      </c>
      <c r="F2415" s="19" t="s">
        <v>1374</v>
      </c>
      <c r="G2415" s="19" t="s">
        <v>1019</v>
      </c>
      <c r="H2415" s="19" t="s">
        <v>1020</v>
      </c>
      <c r="I2415" s="19" t="s">
        <v>1575</v>
      </c>
      <c r="J2415" s="20">
        <v>22</v>
      </c>
      <c r="K2415" t="s">
        <v>625</v>
      </c>
      <c r="L2415" t="s">
        <v>678</v>
      </c>
      <c r="M2415" t="s">
        <v>623</v>
      </c>
      <c r="N2415" t="s">
        <v>624</v>
      </c>
      <c r="O2415" t="s">
        <v>679</v>
      </c>
    </row>
    <row r="2416" spans="1:15" x14ac:dyDescent="0.35">
      <c r="A2416" s="77">
        <v>1.0821917808219179</v>
      </c>
      <c r="B2416" s="19">
        <v>95430</v>
      </c>
      <c r="C2416" s="19" t="s">
        <v>4725</v>
      </c>
      <c r="D2416" s="19" t="s">
        <v>14</v>
      </c>
      <c r="E2416" s="19" t="s">
        <v>14</v>
      </c>
      <c r="F2416" s="19" t="s">
        <v>15</v>
      </c>
      <c r="G2416" s="19" t="s">
        <v>1045</v>
      </c>
      <c r="H2416" s="19" t="s">
        <v>1001</v>
      </c>
      <c r="I2416" s="19" t="s">
        <v>1599</v>
      </c>
      <c r="J2416" s="20">
        <v>26</v>
      </c>
      <c r="K2416" t="s">
        <v>642</v>
      </c>
      <c r="L2416" t="s">
        <v>640</v>
      </c>
      <c r="M2416" t="s">
        <v>623</v>
      </c>
      <c r="N2416" t="s">
        <v>641</v>
      </c>
      <c r="O2416" t="s">
        <v>643</v>
      </c>
    </row>
    <row r="2417" spans="1:15" x14ac:dyDescent="0.35">
      <c r="A2417" s="77">
        <v>1.0821917808219179</v>
      </c>
      <c r="B2417" s="19">
        <v>95433</v>
      </c>
      <c r="C2417" s="19" t="s">
        <v>4726</v>
      </c>
      <c r="D2417" s="19" t="s">
        <v>276</v>
      </c>
      <c r="E2417" s="19" t="s">
        <v>277</v>
      </c>
      <c r="F2417" s="19" t="s">
        <v>893</v>
      </c>
      <c r="G2417" s="19" t="s">
        <v>1008</v>
      </c>
      <c r="H2417" s="19" t="s">
        <v>1001</v>
      </c>
      <c r="I2417" s="19" t="s">
        <v>1599</v>
      </c>
      <c r="J2417" s="20">
        <v>24</v>
      </c>
      <c r="K2417" t="s">
        <v>631</v>
      </c>
      <c r="L2417" t="s">
        <v>707</v>
      </c>
      <c r="M2417" t="s">
        <v>629</v>
      </c>
      <c r="N2417" t="s">
        <v>635</v>
      </c>
      <c r="O2417" t="s">
        <v>710</v>
      </c>
    </row>
    <row r="2418" spans="1:15" x14ac:dyDescent="0.35">
      <c r="A2418" s="77">
        <v>1.0821917808219179</v>
      </c>
      <c r="B2418" s="19">
        <v>95438</v>
      </c>
      <c r="C2418" s="19" t="s">
        <v>4727</v>
      </c>
      <c r="D2418" s="19" t="s">
        <v>297</v>
      </c>
      <c r="E2418" s="19" t="s">
        <v>298</v>
      </c>
      <c r="F2418" s="19" t="s">
        <v>904</v>
      </c>
      <c r="G2418" s="19" t="s">
        <v>1057</v>
      </c>
      <c r="H2418" s="19" t="s">
        <v>1001</v>
      </c>
      <c r="I2418" s="19" t="s">
        <v>1575</v>
      </c>
      <c r="J2418" s="20">
        <v>26</v>
      </c>
      <c r="K2418" t="s">
        <v>654</v>
      </c>
      <c r="L2418" t="s">
        <v>762</v>
      </c>
      <c r="M2418" t="s">
        <v>629</v>
      </c>
      <c r="N2418" t="s">
        <v>646</v>
      </c>
      <c r="O2418" t="s">
        <v>823</v>
      </c>
    </row>
    <row r="2419" spans="1:15" x14ac:dyDescent="0.35">
      <c r="A2419" s="77">
        <v>1.0821917808219179</v>
      </c>
      <c r="B2419" s="19">
        <v>95441</v>
      </c>
      <c r="C2419" s="19" t="s">
        <v>4728</v>
      </c>
      <c r="D2419" s="19" t="s">
        <v>228</v>
      </c>
      <c r="E2419" s="19" t="s">
        <v>229</v>
      </c>
      <c r="F2419" s="19" t="s">
        <v>1643</v>
      </c>
      <c r="G2419" s="19" t="s">
        <v>1084</v>
      </c>
      <c r="H2419" s="19" t="s">
        <v>1001</v>
      </c>
      <c r="I2419" s="19" t="s">
        <v>1575</v>
      </c>
      <c r="J2419" s="20">
        <v>25</v>
      </c>
      <c r="K2419" t="s">
        <v>668</v>
      </c>
      <c r="L2419" t="s">
        <v>762</v>
      </c>
      <c r="M2419" t="s">
        <v>629</v>
      </c>
      <c r="N2419" t="s">
        <v>646</v>
      </c>
      <c r="O2419" t="s">
        <v>763</v>
      </c>
    </row>
    <row r="2420" spans="1:15" x14ac:dyDescent="0.35">
      <c r="A2420" s="77">
        <v>1.0821917808219179</v>
      </c>
      <c r="B2420" s="19">
        <v>95446</v>
      </c>
      <c r="C2420" s="19" t="s">
        <v>4729</v>
      </c>
      <c r="D2420" s="19" t="s">
        <v>228</v>
      </c>
      <c r="E2420" s="19" t="s">
        <v>229</v>
      </c>
      <c r="F2420" s="19" t="s">
        <v>1643</v>
      </c>
      <c r="G2420" s="19" t="s">
        <v>1008</v>
      </c>
      <c r="H2420" s="19" t="s">
        <v>1001</v>
      </c>
      <c r="I2420" s="19" t="s">
        <v>1575</v>
      </c>
      <c r="J2420" s="20">
        <v>24</v>
      </c>
      <c r="K2420" t="s">
        <v>668</v>
      </c>
      <c r="L2420" t="s">
        <v>762</v>
      </c>
      <c r="M2420" t="s">
        <v>629</v>
      </c>
      <c r="N2420" t="s">
        <v>646</v>
      </c>
      <c r="O2420" t="s">
        <v>763</v>
      </c>
    </row>
    <row r="2421" spans="1:15" x14ac:dyDescent="0.35">
      <c r="A2421" s="77">
        <v>0.12054794520547946</v>
      </c>
      <c r="B2421" s="19">
        <v>95448</v>
      </c>
      <c r="C2421" s="19" t="s">
        <v>4730</v>
      </c>
      <c r="D2421" s="19" t="s">
        <v>118</v>
      </c>
      <c r="E2421" s="19" t="s">
        <v>119</v>
      </c>
      <c r="F2421" s="19" t="s">
        <v>1360</v>
      </c>
      <c r="G2421" s="19" t="s">
        <v>1028</v>
      </c>
      <c r="H2421" s="19" t="s">
        <v>1020</v>
      </c>
      <c r="I2421" s="19" t="s">
        <v>1575</v>
      </c>
      <c r="J2421" s="20">
        <v>20</v>
      </c>
      <c r="K2421" t="s">
        <v>625</v>
      </c>
      <c r="L2421" t="s">
        <v>656</v>
      </c>
      <c r="M2421" t="s">
        <v>657</v>
      </c>
      <c r="N2421" t="s">
        <v>658</v>
      </c>
      <c r="O2421" t="s">
        <v>632</v>
      </c>
    </row>
    <row r="2422" spans="1:15" x14ac:dyDescent="0.35">
      <c r="A2422" s="77">
        <v>1.0794520547945206</v>
      </c>
      <c r="B2422" s="19">
        <v>95450</v>
      </c>
      <c r="C2422" s="19" t="s">
        <v>4731</v>
      </c>
      <c r="D2422" s="19" t="s">
        <v>278</v>
      </c>
      <c r="E2422" s="19" t="s">
        <v>279</v>
      </c>
      <c r="F2422" s="19" t="s">
        <v>1131</v>
      </c>
      <c r="G2422" s="19" t="s">
        <v>1028</v>
      </c>
      <c r="H2422" s="19" t="s">
        <v>1020</v>
      </c>
      <c r="I2422" s="19" t="s">
        <v>1575</v>
      </c>
      <c r="J2422" s="20">
        <v>24</v>
      </c>
      <c r="K2422" t="s">
        <v>625</v>
      </c>
      <c r="L2422" t="s">
        <v>661</v>
      </c>
      <c r="M2422" t="s">
        <v>657</v>
      </c>
      <c r="N2422" t="s">
        <v>662</v>
      </c>
      <c r="O2422" t="s">
        <v>632</v>
      </c>
    </row>
    <row r="2423" spans="1:15" x14ac:dyDescent="0.35">
      <c r="A2423" s="77">
        <v>1.0767123287671232</v>
      </c>
      <c r="B2423" s="19">
        <v>95455</v>
      </c>
      <c r="C2423" s="19" t="s">
        <v>4732</v>
      </c>
      <c r="D2423" s="19" t="s">
        <v>118</v>
      </c>
      <c r="E2423" s="19" t="s">
        <v>119</v>
      </c>
      <c r="F2423" s="19" t="s">
        <v>1360</v>
      </c>
      <c r="G2423" s="19" t="s">
        <v>1008</v>
      </c>
      <c r="H2423" s="19" t="s">
        <v>1001</v>
      </c>
      <c r="I2423" s="19" t="s">
        <v>1575</v>
      </c>
      <c r="J2423" s="20">
        <v>25</v>
      </c>
      <c r="K2423" t="s">
        <v>625</v>
      </c>
      <c r="L2423" t="s">
        <v>656</v>
      </c>
      <c r="M2423" t="s">
        <v>657</v>
      </c>
      <c r="N2423" t="s">
        <v>658</v>
      </c>
      <c r="O2423" t="s">
        <v>632</v>
      </c>
    </row>
    <row r="2424" spans="1:15" x14ac:dyDescent="0.35">
      <c r="A2424" s="77">
        <v>1.0767123287671232</v>
      </c>
      <c r="B2424" s="19">
        <v>95457</v>
      </c>
      <c r="C2424" s="19" t="s">
        <v>4733</v>
      </c>
      <c r="D2424" s="19" t="s">
        <v>171</v>
      </c>
      <c r="E2424" s="19" t="s">
        <v>172</v>
      </c>
      <c r="F2424" s="19" t="s">
        <v>2239</v>
      </c>
      <c r="G2424" s="19" t="s">
        <v>1084</v>
      </c>
      <c r="H2424" s="19" t="s">
        <v>1001</v>
      </c>
      <c r="I2424" s="19" t="s">
        <v>1599</v>
      </c>
      <c r="J2424" s="20">
        <v>18</v>
      </c>
      <c r="K2424" t="s">
        <v>654</v>
      </c>
      <c r="L2424" t="s">
        <v>661</v>
      </c>
      <c r="M2424" t="s">
        <v>657</v>
      </c>
      <c r="N2424" t="s">
        <v>662</v>
      </c>
      <c r="O2424" t="s">
        <v>632</v>
      </c>
    </row>
    <row r="2425" spans="1:15" x14ac:dyDescent="0.35">
      <c r="A2425" s="77">
        <v>1.0767123287671232</v>
      </c>
      <c r="B2425" s="19">
        <v>95461</v>
      </c>
      <c r="C2425" s="19" t="s">
        <v>4734</v>
      </c>
      <c r="D2425" s="19" t="s">
        <v>313</v>
      </c>
      <c r="E2425" s="19" t="s">
        <v>314</v>
      </c>
      <c r="F2425" s="19" t="s">
        <v>1401</v>
      </c>
      <c r="G2425" s="19" t="s">
        <v>1008</v>
      </c>
      <c r="H2425" s="19" t="s">
        <v>1001</v>
      </c>
      <c r="I2425" s="19" t="s">
        <v>1599</v>
      </c>
      <c r="J2425" s="20">
        <v>19</v>
      </c>
      <c r="K2425" t="s">
        <v>654</v>
      </c>
      <c r="L2425" t="s">
        <v>666</v>
      </c>
      <c r="M2425" t="s">
        <v>629</v>
      </c>
      <c r="N2425" t="s">
        <v>635</v>
      </c>
      <c r="O2425" t="s">
        <v>637</v>
      </c>
    </row>
    <row r="2426" spans="1:15" x14ac:dyDescent="0.35">
      <c r="A2426" s="77">
        <v>1.0684931506849316</v>
      </c>
      <c r="B2426" s="19">
        <v>95477</v>
      </c>
      <c r="C2426" s="19" t="s">
        <v>4735</v>
      </c>
      <c r="D2426" s="19" t="s">
        <v>78</v>
      </c>
      <c r="E2426" s="19" t="s">
        <v>79</v>
      </c>
      <c r="F2426" s="19" t="s">
        <v>1107</v>
      </c>
      <c r="G2426" s="19" t="s">
        <v>1008</v>
      </c>
      <c r="H2426" s="19" t="s">
        <v>1001</v>
      </c>
      <c r="I2426" s="19" t="s">
        <v>1575</v>
      </c>
      <c r="J2426" s="20">
        <v>21</v>
      </c>
      <c r="K2426" t="s">
        <v>654</v>
      </c>
      <c r="L2426" t="s">
        <v>661</v>
      </c>
      <c r="M2426" t="s">
        <v>657</v>
      </c>
      <c r="N2426" t="s">
        <v>658</v>
      </c>
      <c r="O2426" t="s">
        <v>632</v>
      </c>
    </row>
    <row r="2427" spans="1:15" x14ac:dyDescent="0.35">
      <c r="A2427" s="77">
        <v>1.0630136986301371</v>
      </c>
      <c r="B2427" s="19">
        <v>95486</v>
      </c>
      <c r="C2427" s="19" t="s">
        <v>4736</v>
      </c>
      <c r="D2427" s="19" t="s">
        <v>355</v>
      </c>
      <c r="E2427" s="19" t="s">
        <v>356</v>
      </c>
      <c r="F2427" s="19" t="s">
        <v>1100</v>
      </c>
      <c r="G2427" s="19" t="s">
        <v>1057</v>
      </c>
      <c r="H2427" s="19" t="s">
        <v>1001</v>
      </c>
      <c r="I2427" s="19" t="s">
        <v>1575</v>
      </c>
      <c r="J2427" s="20">
        <v>21</v>
      </c>
      <c r="K2427" t="s">
        <v>625</v>
      </c>
      <c r="L2427" t="s">
        <v>622</v>
      </c>
      <c r="M2427" t="s">
        <v>623</v>
      </c>
      <c r="N2427" t="s">
        <v>624</v>
      </c>
      <c r="O2427" t="s">
        <v>649</v>
      </c>
    </row>
    <row r="2428" spans="1:15" x14ac:dyDescent="0.35">
      <c r="A2428" s="77">
        <v>1.0547945205479452</v>
      </c>
      <c r="B2428" s="19">
        <v>95520</v>
      </c>
      <c r="C2428" s="19" t="s">
        <v>4737</v>
      </c>
      <c r="D2428" s="19" t="s">
        <v>175</v>
      </c>
      <c r="E2428" s="19" t="s">
        <v>176</v>
      </c>
      <c r="F2428" s="19" t="s">
        <v>1538</v>
      </c>
      <c r="G2428" s="19" t="s">
        <v>1084</v>
      </c>
      <c r="H2428" s="19" t="s">
        <v>1001</v>
      </c>
      <c r="I2428" s="19" t="s">
        <v>1575</v>
      </c>
      <c r="J2428" s="20">
        <v>36</v>
      </c>
      <c r="K2428" t="s">
        <v>668</v>
      </c>
      <c r="L2428" t="s">
        <v>707</v>
      </c>
      <c r="M2428" t="s">
        <v>629</v>
      </c>
      <c r="N2428" t="s">
        <v>635</v>
      </c>
      <c r="O2428" t="s">
        <v>710</v>
      </c>
    </row>
    <row r="2429" spans="1:15" x14ac:dyDescent="0.35">
      <c r="A2429" s="77">
        <v>1.0602739726027397</v>
      </c>
      <c r="B2429" s="19">
        <v>95526</v>
      </c>
      <c r="C2429" s="19" t="s">
        <v>4738</v>
      </c>
      <c r="D2429" s="19" t="s">
        <v>21</v>
      </c>
      <c r="E2429" s="19" t="s">
        <v>21</v>
      </c>
      <c r="F2429" s="19" t="s">
        <v>22</v>
      </c>
      <c r="G2429" s="19" t="s">
        <v>1008</v>
      </c>
      <c r="H2429" s="19" t="s">
        <v>1001</v>
      </c>
      <c r="I2429" s="19" t="s">
        <v>1575</v>
      </c>
      <c r="J2429" s="20">
        <v>44</v>
      </c>
      <c r="K2429" t="s">
        <v>654</v>
      </c>
      <c r="L2429" t="s">
        <v>656</v>
      </c>
      <c r="M2429" t="s">
        <v>657</v>
      </c>
      <c r="N2429" t="s">
        <v>658</v>
      </c>
      <c r="O2429" t="s">
        <v>659</v>
      </c>
    </row>
    <row r="2430" spans="1:15" x14ac:dyDescent="0.35">
      <c r="A2430" s="77">
        <v>1.0602739726027397</v>
      </c>
      <c r="B2430" s="19">
        <v>95529</v>
      </c>
      <c r="C2430" s="19" t="s">
        <v>4739</v>
      </c>
      <c r="D2430" s="19" t="s">
        <v>335</v>
      </c>
      <c r="E2430" s="19" t="s">
        <v>336</v>
      </c>
      <c r="F2430" s="19" t="s">
        <v>841</v>
      </c>
      <c r="G2430" s="19" t="s">
        <v>1084</v>
      </c>
      <c r="H2430" s="19" t="s">
        <v>1001</v>
      </c>
      <c r="I2430" s="19" t="s">
        <v>1575</v>
      </c>
      <c r="J2430" s="20">
        <v>46</v>
      </c>
      <c r="K2430" t="s">
        <v>636</v>
      </c>
      <c r="L2430" t="s">
        <v>622</v>
      </c>
      <c r="M2430" t="s">
        <v>623</v>
      </c>
      <c r="N2430" t="s">
        <v>624</v>
      </c>
      <c r="O2430" t="s">
        <v>649</v>
      </c>
    </row>
    <row r="2431" spans="1:15" x14ac:dyDescent="0.35">
      <c r="A2431" s="77">
        <v>1.0575342465753426</v>
      </c>
      <c r="B2431" s="19">
        <v>95533</v>
      </c>
      <c r="C2431" s="19" t="s">
        <v>4740</v>
      </c>
      <c r="D2431" s="19" t="s">
        <v>49</v>
      </c>
      <c r="E2431" s="19" t="s">
        <v>50</v>
      </c>
      <c r="F2431" s="19" t="s">
        <v>1213</v>
      </c>
      <c r="G2431" s="19" t="s">
        <v>1028</v>
      </c>
      <c r="H2431" s="19" t="s">
        <v>1020</v>
      </c>
      <c r="I2431" s="19" t="s">
        <v>1575</v>
      </c>
      <c r="J2431" s="20">
        <v>22</v>
      </c>
      <c r="K2431" t="s">
        <v>625</v>
      </c>
      <c r="L2431" t="s">
        <v>648</v>
      </c>
      <c r="M2431" t="s">
        <v>623</v>
      </c>
      <c r="N2431" t="s">
        <v>624</v>
      </c>
      <c r="O2431" t="s">
        <v>649</v>
      </c>
    </row>
    <row r="2432" spans="1:15" x14ac:dyDescent="0.35">
      <c r="A2432" s="77">
        <v>1.0575342465753426</v>
      </c>
      <c r="B2432" s="19">
        <v>95536</v>
      </c>
      <c r="C2432" s="19" t="s">
        <v>4741</v>
      </c>
      <c r="D2432" s="19" t="s">
        <v>429</v>
      </c>
      <c r="E2432" s="19" t="s">
        <v>429</v>
      </c>
      <c r="F2432" s="19" t="s">
        <v>1240</v>
      </c>
      <c r="G2432" s="19" t="s">
        <v>1028</v>
      </c>
      <c r="H2432" s="19" t="s">
        <v>1020</v>
      </c>
      <c r="I2432" s="19" t="s">
        <v>1575</v>
      </c>
      <c r="J2432" s="20">
        <v>42</v>
      </c>
      <c r="K2432" t="s">
        <v>654</v>
      </c>
      <c r="L2432" t="s">
        <v>678</v>
      </c>
      <c r="M2432" t="s">
        <v>623</v>
      </c>
      <c r="N2432" t="s">
        <v>624</v>
      </c>
      <c r="O2432" t="s">
        <v>679</v>
      </c>
    </row>
    <row r="2433" spans="1:15" x14ac:dyDescent="0.35">
      <c r="A2433" s="77">
        <v>1.0630136986301371</v>
      </c>
      <c r="B2433" s="19">
        <v>95543</v>
      </c>
      <c r="C2433" s="19" t="s">
        <v>4742</v>
      </c>
      <c r="D2433" s="19" t="s">
        <v>360</v>
      </c>
      <c r="E2433" s="19" t="s">
        <v>361</v>
      </c>
      <c r="F2433" s="19" t="s">
        <v>2312</v>
      </c>
      <c r="G2433" s="19" t="s">
        <v>1028</v>
      </c>
      <c r="H2433" s="19" t="s">
        <v>1020</v>
      </c>
      <c r="I2433" s="19" t="s">
        <v>1575</v>
      </c>
      <c r="J2433" s="20">
        <v>41</v>
      </c>
      <c r="K2433" t="s">
        <v>642</v>
      </c>
      <c r="L2433" t="s">
        <v>670</v>
      </c>
      <c r="M2433" t="s">
        <v>657</v>
      </c>
      <c r="N2433" t="s">
        <v>641</v>
      </c>
      <c r="O2433" t="s">
        <v>671</v>
      </c>
    </row>
    <row r="2434" spans="1:15" x14ac:dyDescent="0.35">
      <c r="A2434" s="77">
        <v>1.0493150684931507</v>
      </c>
      <c r="B2434" s="19">
        <v>95552</v>
      </c>
      <c r="C2434" s="19" t="s">
        <v>3317</v>
      </c>
      <c r="D2434" s="19" t="s">
        <v>135</v>
      </c>
      <c r="E2434" s="19" t="s">
        <v>136</v>
      </c>
      <c r="F2434" s="19" t="s">
        <v>2393</v>
      </c>
      <c r="G2434" s="19" t="s">
        <v>1008</v>
      </c>
      <c r="H2434" s="19" t="s">
        <v>1001</v>
      </c>
      <c r="I2434" s="19" t="s">
        <v>1575</v>
      </c>
      <c r="J2434" s="20">
        <v>19</v>
      </c>
      <c r="K2434" t="s">
        <v>668</v>
      </c>
      <c r="L2434" t="s">
        <v>651</v>
      </c>
      <c r="M2434" t="s">
        <v>629</v>
      </c>
      <c r="N2434" t="s">
        <v>630</v>
      </c>
      <c r="O2434" t="s">
        <v>652</v>
      </c>
    </row>
    <row r="2435" spans="1:15" x14ac:dyDescent="0.35">
      <c r="A2435" s="77">
        <v>1.0493150684931507</v>
      </c>
      <c r="B2435" s="19">
        <v>95555</v>
      </c>
      <c r="C2435" s="19" t="s">
        <v>4743</v>
      </c>
      <c r="D2435" s="19" t="s">
        <v>335</v>
      </c>
      <c r="E2435" s="19" t="s">
        <v>336</v>
      </c>
      <c r="F2435" s="19" t="s">
        <v>841</v>
      </c>
      <c r="G2435" s="19" t="s">
        <v>1008</v>
      </c>
      <c r="H2435" s="19" t="s">
        <v>1001</v>
      </c>
      <c r="I2435" s="19" t="s">
        <v>1575</v>
      </c>
      <c r="J2435" s="20">
        <v>26</v>
      </c>
      <c r="K2435" t="s">
        <v>636</v>
      </c>
      <c r="L2435" t="s">
        <v>622</v>
      </c>
      <c r="M2435" t="s">
        <v>623</v>
      </c>
      <c r="N2435" t="s">
        <v>624</v>
      </c>
      <c r="O2435" t="s">
        <v>649</v>
      </c>
    </row>
    <row r="2436" spans="1:15" x14ac:dyDescent="0.35">
      <c r="A2436" s="77">
        <v>1.0493150684931507</v>
      </c>
      <c r="B2436" s="19">
        <v>95564</v>
      </c>
      <c r="C2436" s="19" t="s">
        <v>4744</v>
      </c>
      <c r="D2436" s="19" t="s">
        <v>26</v>
      </c>
      <c r="E2436" s="19" t="s">
        <v>26</v>
      </c>
      <c r="F2436" s="19" t="s">
        <v>1124</v>
      </c>
      <c r="G2436" s="19" t="s">
        <v>1057</v>
      </c>
      <c r="H2436" s="19" t="s">
        <v>1001</v>
      </c>
      <c r="I2436" s="19" t="s">
        <v>1599</v>
      </c>
      <c r="J2436" s="20">
        <v>26</v>
      </c>
      <c r="K2436" t="s">
        <v>636</v>
      </c>
      <c r="L2436" t="s">
        <v>666</v>
      </c>
      <c r="M2436" t="s">
        <v>629</v>
      </c>
      <c r="N2436" t="s">
        <v>635</v>
      </c>
      <c r="O2436" t="s">
        <v>637</v>
      </c>
    </row>
    <row r="2437" spans="1:15" x14ac:dyDescent="0.35">
      <c r="A2437" s="77">
        <v>1.0575342465753426</v>
      </c>
      <c r="B2437" s="19">
        <v>95566</v>
      </c>
      <c r="C2437" s="19" t="s">
        <v>4745</v>
      </c>
      <c r="D2437" s="19" t="s">
        <v>19</v>
      </c>
      <c r="E2437" s="19" t="s">
        <v>19</v>
      </c>
      <c r="F2437" s="19" t="s">
        <v>1255</v>
      </c>
      <c r="G2437" s="19" t="s">
        <v>1034</v>
      </c>
      <c r="H2437" s="19" t="s">
        <v>1001</v>
      </c>
      <c r="I2437" s="19" t="s">
        <v>1575</v>
      </c>
      <c r="J2437" s="20">
        <v>19</v>
      </c>
      <c r="K2437" t="s">
        <v>654</v>
      </c>
      <c r="L2437" t="s">
        <v>645</v>
      </c>
      <c r="M2437" t="s">
        <v>629</v>
      </c>
      <c r="N2437" t="s">
        <v>646</v>
      </c>
      <c r="O2437" t="s">
        <v>632</v>
      </c>
    </row>
    <row r="2438" spans="1:15" x14ac:dyDescent="0.35">
      <c r="A2438" s="77">
        <v>1.0575342465753426</v>
      </c>
      <c r="B2438" s="19">
        <v>95574</v>
      </c>
      <c r="C2438" s="19" t="s">
        <v>4746</v>
      </c>
      <c r="D2438" s="19" t="s">
        <v>13</v>
      </c>
      <c r="E2438" s="19" t="s">
        <v>13</v>
      </c>
      <c r="F2438" s="19" t="s">
        <v>1467</v>
      </c>
      <c r="G2438" s="19" t="s">
        <v>1057</v>
      </c>
      <c r="H2438" s="19" t="s">
        <v>1001</v>
      </c>
      <c r="I2438" s="19" t="s">
        <v>1575</v>
      </c>
      <c r="J2438" s="20">
        <v>22</v>
      </c>
      <c r="K2438" t="s">
        <v>631</v>
      </c>
      <c r="L2438" t="s">
        <v>628</v>
      </c>
      <c r="M2438" t="s">
        <v>629</v>
      </c>
      <c r="N2438" t="s">
        <v>630</v>
      </c>
      <c r="O2438" t="s">
        <v>639</v>
      </c>
    </row>
    <row r="2439" spans="1:15" x14ac:dyDescent="0.35">
      <c r="A2439" s="77">
        <v>1.0493150684931507</v>
      </c>
      <c r="B2439" s="19">
        <v>95582</v>
      </c>
      <c r="C2439" s="19" t="s">
        <v>4747</v>
      </c>
      <c r="D2439" s="19" t="s">
        <v>284</v>
      </c>
      <c r="E2439" s="19" t="s">
        <v>285</v>
      </c>
      <c r="F2439" s="19" t="s">
        <v>1150</v>
      </c>
      <c r="G2439" s="19" t="s">
        <v>1008</v>
      </c>
      <c r="H2439" s="19" t="s">
        <v>1001</v>
      </c>
      <c r="I2439" s="19" t="s">
        <v>1599</v>
      </c>
      <c r="J2439" s="20">
        <v>53</v>
      </c>
      <c r="K2439" t="s">
        <v>625</v>
      </c>
      <c r="L2439" t="s">
        <v>661</v>
      </c>
      <c r="M2439" t="s">
        <v>657</v>
      </c>
      <c r="N2439" t="s">
        <v>662</v>
      </c>
      <c r="O2439" t="s">
        <v>632</v>
      </c>
    </row>
    <row r="2440" spans="1:15" x14ac:dyDescent="0.35">
      <c r="A2440" s="77">
        <v>1.0493150684931507</v>
      </c>
      <c r="B2440" s="19">
        <v>95588</v>
      </c>
      <c r="C2440" s="19" t="s">
        <v>4748</v>
      </c>
      <c r="D2440" s="19" t="s">
        <v>13</v>
      </c>
      <c r="E2440" s="19" t="s">
        <v>13</v>
      </c>
      <c r="F2440" s="19" t="s">
        <v>1467</v>
      </c>
      <c r="G2440" s="19" t="s">
        <v>1008</v>
      </c>
      <c r="H2440" s="19" t="s">
        <v>1001</v>
      </c>
      <c r="I2440" s="19" t="s">
        <v>1575</v>
      </c>
      <c r="J2440" s="20">
        <v>23</v>
      </c>
      <c r="K2440" t="s">
        <v>631</v>
      </c>
      <c r="L2440" t="s">
        <v>628</v>
      </c>
      <c r="M2440" t="s">
        <v>629</v>
      </c>
      <c r="N2440" t="s">
        <v>630</v>
      </c>
      <c r="O2440" t="s">
        <v>639</v>
      </c>
    </row>
    <row r="2441" spans="1:15" x14ac:dyDescent="0.35">
      <c r="A2441" s="77">
        <v>1.0438356164383562</v>
      </c>
      <c r="B2441" s="19">
        <v>95593</v>
      </c>
      <c r="C2441" s="19" t="s">
        <v>4749</v>
      </c>
      <c r="D2441" s="19" t="s">
        <v>284</v>
      </c>
      <c r="E2441" s="19" t="s">
        <v>285</v>
      </c>
      <c r="F2441" s="19" t="s">
        <v>1150</v>
      </c>
      <c r="G2441" s="19" t="s">
        <v>1028</v>
      </c>
      <c r="H2441" s="19" t="s">
        <v>1020</v>
      </c>
      <c r="I2441" s="19" t="s">
        <v>1575</v>
      </c>
      <c r="J2441" s="20">
        <v>29</v>
      </c>
      <c r="K2441" t="s">
        <v>625</v>
      </c>
      <c r="L2441" t="s">
        <v>661</v>
      </c>
      <c r="M2441" t="s">
        <v>657</v>
      </c>
      <c r="N2441" t="s">
        <v>662</v>
      </c>
      <c r="O2441" t="s">
        <v>632</v>
      </c>
    </row>
    <row r="2442" spans="1:15" x14ac:dyDescent="0.35">
      <c r="A2442" s="77">
        <v>1.0410958904109588</v>
      </c>
      <c r="B2442" s="19">
        <v>95608</v>
      </c>
      <c r="C2442" s="19" t="s">
        <v>4750</v>
      </c>
      <c r="D2442" s="19" t="s">
        <v>197</v>
      </c>
      <c r="E2442" s="19" t="s">
        <v>198</v>
      </c>
      <c r="F2442" s="19" t="s">
        <v>1297</v>
      </c>
      <c r="G2442" s="19" t="s">
        <v>1008</v>
      </c>
      <c r="H2442" s="19" t="s">
        <v>1001</v>
      </c>
      <c r="I2442" s="19" t="s">
        <v>1575</v>
      </c>
      <c r="J2442" s="20">
        <v>19</v>
      </c>
      <c r="K2442" t="s">
        <v>654</v>
      </c>
      <c r="L2442" t="s">
        <v>645</v>
      </c>
      <c r="M2442" t="s">
        <v>629</v>
      </c>
      <c r="N2442" t="s">
        <v>646</v>
      </c>
      <c r="O2442" t="s">
        <v>632</v>
      </c>
    </row>
    <row r="2443" spans="1:15" x14ac:dyDescent="0.35">
      <c r="A2443" s="77">
        <v>1.0410958904109588</v>
      </c>
      <c r="B2443" s="19">
        <v>95610</v>
      </c>
      <c r="C2443" s="19" t="s">
        <v>4751</v>
      </c>
      <c r="D2443" s="19" t="s">
        <v>80</v>
      </c>
      <c r="E2443" s="19" t="s">
        <v>81</v>
      </c>
      <c r="F2443" s="19" t="s">
        <v>1022</v>
      </c>
      <c r="G2443" s="19" t="s">
        <v>1028</v>
      </c>
      <c r="H2443" s="19" t="s">
        <v>1020</v>
      </c>
      <c r="I2443" s="19" t="s">
        <v>1599</v>
      </c>
      <c r="J2443" s="20">
        <v>19</v>
      </c>
      <c r="K2443" t="s">
        <v>654</v>
      </c>
      <c r="L2443" t="s">
        <v>628</v>
      </c>
      <c r="M2443" t="s">
        <v>629</v>
      </c>
      <c r="N2443" t="s">
        <v>630</v>
      </c>
      <c r="O2443" t="s">
        <v>632</v>
      </c>
    </row>
    <row r="2444" spans="1:15" x14ac:dyDescent="0.35">
      <c r="A2444" s="77">
        <v>1.0383561643835617</v>
      </c>
      <c r="B2444" s="19">
        <v>95616</v>
      </c>
      <c r="C2444" s="19" t="s">
        <v>4557</v>
      </c>
      <c r="D2444" s="19" t="s">
        <v>20</v>
      </c>
      <c r="E2444" s="19" t="s">
        <v>20</v>
      </c>
      <c r="F2444" s="19" t="s">
        <v>1133</v>
      </c>
      <c r="G2444" s="19" t="s">
        <v>1028</v>
      </c>
      <c r="H2444" s="19" t="s">
        <v>1020</v>
      </c>
      <c r="I2444" s="19" t="s">
        <v>1575</v>
      </c>
      <c r="J2444" s="20">
        <v>22</v>
      </c>
      <c r="K2444" t="s">
        <v>654</v>
      </c>
      <c r="L2444" t="s">
        <v>634</v>
      </c>
      <c r="M2444" t="s">
        <v>629</v>
      </c>
      <c r="N2444" t="s">
        <v>635</v>
      </c>
      <c r="O2444" t="s">
        <v>637</v>
      </c>
    </row>
    <row r="2445" spans="1:15" x14ac:dyDescent="0.35">
      <c r="A2445" s="77">
        <v>1.0356164383561643</v>
      </c>
      <c r="B2445" s="19">
        <v>95625</v>
      </c>
      <c r="C2445" s="19" t="s">
        <v>4752</v>
      </c>
      <c r="D2445" s="19" t="s">
        <v>17</v>
      </c>
      <c r="E2445" s="19" t="s">
        <v>17</v>
      </c>
      <c r="F2445" s="19" t="s">
        <v>906</v>
      </c>
      <c r="G2445" s="19" t="s">
        <v>1008</v>
      </c>
      <c r="H2445" s="19" t="s">
        <v>1001</v>
      </c>
      <c r="I2445" s="19" t="s">
        <v>1575</v>
      </c>
      <c r="J2445" s="20">
        <v>21</v>
      </c>
      <c r="K2445" t="s">
        <v>636</v>
      </c>
      <c r="L2445" t="s">
        <v>648</v>
      </c>
      <c r="M2445" t="s">
        <v>623</v>
      </c>
      <c r="N2445" t="s">
        <v>624</v>
      </c>
      <c r="O2445" t="s">
        <v>649</v>
      </c>
    </row>
    <row r="2446" spans="1:15" x14ac:dyDescent="0.35">
      <c r="A2446" s="77">
        <v>1.0383561643835617</v>
      </c>
      <c r="B2446" s="19">
        <v>95628</v>
      </c>
      <c r="C2446" s="19" t="s">
        <v>4753</v>
      </c>
      <c r="D2446" s="19" t="s">
        <v>324</v>
      </c>
      <c r="E2446" s="19" t="s">
        <v>325</v>
      </c>
      <c r="F2446" s="19" t="s">
        <v>1284</v>
      </c>
      <c r="G2446" s="19" t="s">
        <v>1057</v>
      </c>
      <c r="H2446" s="19" t="s">
        <v>1001</v>
      </c>
      <c r="I2446" s="19" t="s">
        <v>1575</v>
      </c>
      <c r="J2446" s="20">
        <v>23</v>
      </c>
      <c r="K2446" t="s">
        <v>631</v>
      </c>
      <c r="L2446" t="s">
        <v>663</v>
      </c>
      <c r="M2446" t="s">
        <v>629</v>
      </c>
      <c r="N2446" t="s">
        <v>646</v>
      </c>
      <c r="O2446" t="s">
        <v>639</v>
      </c>
    </row>
    <row r="2447" spans="1:15" x14ac:dyDescent="0.35">
      <c r="A2447" s="77">
        <v>1.0273972602739727</v>
      </c>
      <c r="B2447" s="19">
        <v>95631</v>
      </c>
      <c r="C2447" s="19" t="s">
        <v>4754</v>
      </c>
      <c r="D2447" s="19" t="s">
        <v>181</v>
      </c>
      <c r="E2447" s="19" t="s">
        <v>182</v>
      </c>
      <c r="F2447" s="19" t="s">
        <v>1374</v>
      </c>
      <c r="G2447" s="19" t="s">
        <v>1008</v>
      </c>
      <c r="H2447" s="19" t="s">
        <v>1001</v>
      </c>
      <c r="I2447" s="19" t="s">
        <v>1575</v>
      </c>
      <c r="J2447" s="20">
        <v>21</v>
      </c>
      <c r="K2447" t="s">
        <v>625</v>
      </c>
      <c r="L2447" t="s">
        <v>678</v>
      </c>
      <c r="M2447" t="s">
        <v>623</v>
      </c>
      <c r="N2447" t="s">
        <v>624</v>
      </c>
      <c r="O2447" t="s">
        <v>679</v>
      </c>
    </row>
    <row r="2448" spans="1:15" x14ac:dyDescent="0.35">
      <c r="A2448" s="77">
        <v>1.0273972602739727</v>
      </c>
      <c r="B2448" s="19">
        <v>95640</v>
      </c>
      <c r="C2448" s="19" t="s">
        <v>4755</v>
      </c>
      <c r="D2448" s="19" t="s">
        <v>373</v>
      </c>
      <c r="E2448" s="19" t="s">
        <v>374</v>
      </c>
      <c r="F2448" s="19" t="s">
        <v>1033</v>
      </c>
      <c r="G2448" s="19" t="s">
        <v>1008</v>
      </c>
      <c r="H2448" s="19" t="s">
        <v>1001</v>
      </c>
      <c r="I2448" s="19" t="s">
        <v>1575</v>
      </c>
      <c r="J2448" s="20">
        <v>25</v>
      </c>
      <c r="K2448" t="s">
        <v>654</v>
      </c>
      <c r="L2448" t="s">
        <v>634</v>
      </c>
      <c r="M2448" t="s">
        <v>629</v>
      </c>
      <c r="N2448" t="s">
        <v>635</v>
      </c>
      <c r="O2448" t="s">
        <v>637</v>
      </c>
    </row>
    <row r="2449" spans="1:15" x14ac:dyDescent="0.35">
      <c r="A2449" s="77">
        <v>1.0273972602739727</v>
      </c>
      <c r="B2449" s="19">
        <v>95645</v>
      </c>
      <c r="C2449" s="19" t="s">
        <v>4756</v>
      </c>
      <c r="D2449" s="19" t="s">
        <v>21</v>
      </c>
      <c r="E2449" s="19" t="s">
        <v>21</v>
      </c>
      <c r="F2449" s="19" t="s">
        <v>22</v>
      </c>
      <c r="G2449" s="19" t="s">
        <v>1028</v>
      </c>
      <c r="H2449" s="19" t="s">
        <v>1020</v>
      </c>
      <c r="I2449" s="19" t="s">
        <v>1599</v>
      </c>
      <c r="J2449" s="20">
        <v>28</v>
      </c>
      <c r="K2449" t="s">
        <v>654</v>
      </c>
      <c r="L2449" t="s">
        <v>656</v>
      </c>
      <c r="M2449" t="s">
        <v>657</v>
      </c>
      <c r="N2449" t="s">
        <v>658</v>
      </c>
      <c r="O2449" t="s">
        <v>659</v>
      </c>
    </row>
    <row r="2450" spans="1:15" x14ac:dyDescent="0.35">
      <c r="A2450" s="77">
        <v>1.0246575342465754</v>
      </c>
      <c r="B2450" s="19">
        <v>95649</v>
      </c>
      <c r="C2450" s="19" t="s">
        <v>4757</v>
      </c>
      <c r="D2450" s="19" t="s">
        <v>208</v>
      </c>
      <c r="E2450" s="19" t="s">
        <v>209</v>
      </c>
      <c r="F2450" s="19" t="s">
        <v>1444</v>
      </c>
      <c r="G2450" s="19" t="s">
        <v>1028</v>
      </c>
      <c r="H2450" s="19" t="s">
        <v>1020</v>
      </c>
      <c r="I2450" s="19" t="s">
        <v>1575</v>
      </c>
      <c r="J2450" s="20">
        <v>28</v>
      </c>
      <c r="K2450" t="s">
        <v>636</v>
      </c>
      <c r="L2450" t="s">
        <v>640</v>
      </c>
      <c r="M2450" t="s">
        <v>623</v>
      </c>
      <c r="N2450" t="s">
        <v>624</v>
      </c>
      <c r="O2450" t="s">
        <v>787</v>
      </c>
    </row>
    <row r="2451" spans="1:15" x14ac:dyDescent="0.35">
      <c r="A2451" s="77">
        <v>1.0246575342465754</v>
      </c>
      <c r="B2451" s="19">
        <v>95653</v>
      </c>
      <c r="C2451" s="19" t="s">
        <v>4758</v>
      </c>
      <c r="D2451" s="19" t="s">
        <v>335</v>
      </c>
      <c r="E2451" s="19" t="s">
        <v>336</v>
      </c>
      <c r="F2451" s="19" t="s">
        <v>841</v>
      </c>
      <c r="G2451" s="19" t="s">
        <v>1019</v>
      </c>
      <c r="H2451" s="19" t="s">
        <v>1020</v>
      </c>
      <c r="I2451" s="19" t="s">
        <v>1599</v>
      </c>
      <c r="J2451" s="20">
        <v>23</v>
      </c>
      <c r="K2451" t="s">
        <v>636</v>
      </c>
      <c r="L2451" t="s">
        <v>622</v>
      </c>
      <c r="M2451" t="s">
        <v>623</v>
      </c>
      <c r="N2451" t="s">
        <v>624</v>
      </c>
      <c r="O2451" t="s">
        <v>649</v>
      </c>
    </row>
    <row r="2452" spans="1:15" x14ac:dyDescent="0.35">
      <c r="A2452" s="77">
        <v>1.0246575342465754</v>
      </c>
      <c r="B2452" s="19">
        <v>95655</v>
      </c>
      <c r="C2452" s="19" t="s">
        <v>4759</v>
      </c>
      <c r="D2452" s="19" t="s">
        <v>335</v>
      </c>
      <c r="E2452" s="19" t="s">
        <v>336</v>
      </c>
      <c r="F2452" s="19" t="s">
        <v>841</v>
      </c>
      <c r="G2452" s="19" t="s">
        <v>1008</v>
      </c>
      <c r="H2452" s="19" t="s">
        <v>1001</v>
      </c>
      <c r="I2452" s="19" t="s">
        <v>1575</v>
      </c>
      <c r="J2452" s="20">
        <v>32</v>
      </c>
      <c r="K2452" t="s">
        <v>636</v>
      </c>
      <c r="L2452" t="s">
        <v>622</v>
      </c>
      <c r="M2452" t="s">
        <v>623</v>
      </c>
      <c r="N2452" t="s">
        <v>624</v>
      </c>
      <c r="O2452" t="s">
        <v>649</v>
      </c>
    </row>
    <row r="2453" spans="1:15" x14ac:dyDescent="0.35">
      <c r="A2453" s="77">
        <v>1.021917808219178</v>
      </c>
      <c r="B2453" s="19">
        <v>95659</v>
      </c>
      <c r="C2453" s="19" t="s">
        <v>4760</v>
      </c>
      <c r="D2453" s="19" t="s">
        <v>318</v>
      </c>
      <c r="E2453" s="19" t="s">
        <v>319</v>
      </c>
      <c r="F2453" s="19" t="s">
        <v>1266</v>
      </c>
      <c r="G2453" s="19" t="s">
        <v>1028</v>
      </c>
      <c r="H2453" s="19" t="s">
        <v>1020</v>
      </c>
      <c r="I2453" s="19" t="s">
        <v>1575</v>
      </c>
      <c r="J2453" s="20">
        <v>20</v>
      </c>
      <c r="K2453" t="s">
        <v>625</v>
      </c>
      <c r="L2453" t="s">
        <v>678</v>
      </c>
      <c r="M2453" t="s">
        <v>623</v>
      </c>
      <c r="N2453" t="s">
        <v>624</v>
      </c>
      <c r="O2453" t="s">
        <v>679</v>
      </c>
    </row>
    <row r="2454" spans="1:15" x14ac:dyDescent="0.35">
      <c r="A2454" s="77">
        <v>1.021917808219178</v>
      </c>
      <c r="B2454" s="19">
        <v>95662</v>
      </c>
      <c r="C2454" s="19" t="s">
        <v>4761</v>
      </c>
      <c r="D2454" s="19" t="s">
        <v>208</v>
      </c>
      <c r="E2454" s="19" t="s">
        <v>209</v>
      </c>
      <c r="F2454" s="19" t="s">
        <v>1444</v>
      </c>
      <c r="G2454" s="19" t="s">
        <v>1028</v>
      </c>
      <c r="H2454" s="19" t="s">
        <v>1020</v>
      </c>
      <c r="I2454" s="19" t="s">
        <v>1575</v>
      </c>
      <c r="J2454" s="20">
        <v>19</v>
      </c>
      <c r="K2454" t="s">
        <v>636</v>
      </c>
      <c r="L2454" t="s">
        <v>640</v>
      </c>
      <c r="M2454" t="s">
        <v>623</v>
      </c>
      <c r="N2454" t="s">
        <v>624</v>
      </c>
      <c r="O2454" t="s">
        <v>787</v>
      </c>
    </row>
    <row r="2455" spans="1:15" x14ac:dyDescent="0.35">
      <c r="A2455" s="77">
        <v>1.0191780821917809</v>
      </c>
      <c r="B2455" s="19">
        <v>95688</v>
      </c>
      <c r="C2455" s="19" t="s">
        <v>4762</v>
      </c>
      <c r="D2455" s="19" t="s">
        <v>109</v>
      </c>
      <c r="E2455" s="19" t="s">
        <v>110</v>
      </c>
      <c r="F2455" s="19" t="s">
        <v>2347</v>
      </c>
      <c r="G2455" s="19" t="s">
        <v>1008</v>
      </c>
      <c r="H2455" s="19" t="s">
        <v>1001</v>
      </c>
      <c r="I2455" s="19" t="s">
        <v>1575</v>
      </c>
      <c r="J2455" s="20">
        <v>36</v>
      </c>
      <c r="K2455" t="s">
        <v>654</v>
      </c>
      <c r="L2455" t="s">
        <v>684</v>
      </c>
      <c r="M2455" t="s">
        <v>623</v>
      </c>
      <c r="N2455" t="s">
        <v>662</v>
      </c>
      <c r="O2455" t="s">
        <v>685</v>
      </c>
    </row>
    <row r="2456" spans="1:15" x14ac:dyDescent="0.35">
      <c r="A2456" s="77">
        <v>1.0191780821917809</v>
      </c>
      <c r="B2456" s="19">
        <v>95691</v>
      </c>
      <c r="C2456" s="19" t="s">
        <v>4763</v>
      </c>
      <c r="D2456" s="19" t="s">
        <v>137</v>
      </c>
      <c r="E2456" s="19" t="s">
        <v>138</v>
      </c>
      <c r="F2456" s="19" t="s">
        <v>1115</v>
      </c>
      <c r="G2456" s="19" t="s">
        <v>1084</v>
      </c>
      <c r="H2456" s="19" t="s">
        <v>1001</v>
      </c>
      <c r="I2456" s="19" t="s">
        <v>1575</v>
      </c>
      <c r="J2456" s="20">
        <v>21</v>
      </c>
      <c r="K2456" t="s">
        <v>636</v>
      </c>
      <c r="L2456" t="s">
        <v>684</v>
      </c>
      <c r="M2456" t="s">
        <v>623</v>
      </c>
      <c r="N2456" t="s">
        <v>662</v>
      </c>
      <c r="O2456" t="s">
        <v>685</v>
      </c>
    </row>
    <row r="2457" spans="1:15" x14ac:dyDescent="0.35">
      <c r="A2457" s="77">
        <v>1.021917808219178</v>
      </c>
      <c r="B2457" s="19">
        <v>95692</v>
      </c>
      <c r="C2457" s="19" t="s">
        <v>4764</v>
      </c>
      <c r="D2457" s="19" t="s">
        <v>62</v>
      </c>
      <c r="E2457" s="19" t="s">
        <v>63</v>
      </c>
      <c r="F2457" s="19" t="s">
        <v>1228</v>
      </c>
      <c r="G2457" s="19" t="s">
        <v>1046</v>
      </c>
      <c r="H2457" s="19" t="s">
        <v>1001</v>
      </c>
      <c r="I2457" s="19" t="s">
        <v>1575</v>
      </c>
      <c r="J2457" s="20">
        <v>31</v>
      </c>
      <c r="K2457" t="s">
        <v>636</v>
      </c>
      <c r="L2457" t="s">
        <v>645</v>
      </c>
      <c r="M2457" t="s">
        <v>629</v>
      </c>
      <c r="N2457" t="s">
        <v>646</v>
      </c>
      <c r="O2457" t="s">
        <v>632</v>
      </c>
    </row>
    <row r="2458" spans="1:15" x14ac:dyDescent="0.35">
      <c r="A2458" s="77">
        <v>1.0082191780821919</v>
      </c>
      <c r="B2458" s="19">
        <v>95719</v>
      </c>
      <c r="C2458" s="19" t="s">
        <v>4765</v>
      </c>
      <c r="D2458" s="19" t="s">
        <v>335</v>
      </c>
      <c r="E2458" s="19" t="s">
        <v>336</v>
      </c>
      <c r="F2458" s="19" t="s">
        <v>841</v>
      </c>
      <c r="G2458" s="19" t="s">
        <v>1034</v>
      </c>
      <c r="H2458" s="19" t="s">
        <v>1001</v>
      </c>
      <c r="I2458" s="19" t="s">
        <v>1575</v>
      </c>
      <c r="J2458" s="20">
        <v>39</v>
      </c>
      <c r="K2458" t="s">
        <v>636</v>
      </c>
      <c r="L2458" t="s">
        <v>622</v>
      </c>
      <c r="M2458" t="s">
        <v>623</v>
      </c>
      <c r="N2458" t="s">
        <v>624</v>
      </c>
      <c r="O2458" t="s">
        <v>649</v>
      </c>
    </row>
    <row r="2459" spans="1:15" x14ac:dyDescent="0.35">
      <c r="A2459" s="77">
        <v>1.0054794520547945</v>
      </c>
      <c r="B2459" s="19">
        <v>95729</v>
      </c>
      <c r="C2459" s="19" t="s">
        <v>4766</v>
      </c>
      <c r="D2459" s="19" t="s">
        <v>335</v>
      </c>
      <c r="E2459" s="19" t="s">
        <v>336</v>
      </c>
      <c r="F2459" s="19" t="s">
        <v>841</v>
      </c>
      <c r="G2459" s="19" t="s">
        <v>1028</v>
      </c>
      <c r="H2459" s="19" t="s">
        <v>1020</v>
      </c>
      <c r="I2459" s="19" t="s">
        <v>1575</v>
      </c>
      <c r="J2459" s="20">
        <v>54</v>
      </c>
      <c r="K2459" t="s">
        <v>636</v>
      </c>
      <c r="L2459" t="s">
        <v>622</v>
      </c>
      <c r="M2459" t="s">
        <v>623</v>
      </c>
      <c r="N2459" t="s">
        <v>624</v>
      </c>
      <c r="O2459" t="s">
        <v>649</v>
      </c>
    </row>
    <row r="2460" spans="1:15" x14ac:dyDescent="0.35">
      <c r="A2460" s="77">
        <v>0.99726027397260275</v>
      </c>
      <c r="B2460" s="19">
        <v>95730</v>
      </c>
      <c r="C2460" s="19" t="s">
        <v>4767</v>
      </c>
      <c r="D2460" s="19" t="s">
        <v>382</v>
      </c>
      <c r="E2460" s="19" t="s">
        <v>383</v>
      </c>
      <c r="F2460" s="19" t="s">
        <v>384</v>
      </c>
      <c r="G2460" s="19" t="s">
        <v>1028</v>
      </c>
      <c r="H2460" s="19" t="s">
        <v>1020</v>
      </c>
      <c r="I2460" s="19" t="s">
        <v>1575</v>
      </c>
      <c r="J2460" s="20">
        <v>19</v>
      </c>
      <c r="K2460" t="s">
        <v>636</v>
      </c>
      <c r="L2460" t="s">
        <v>656</v>
      </c>
      <c r="M2460" t="s">
        <v>657</v>
      </c>
      <c r="N2460" t="s">
        <v>658</v>
      </c>
      <c r="O2460" t="s">
        <v>843</v>
      </c>
    </row>
    <row r="2461" spans="1:15" x14ac:dyDescent="0.35">
      <c r="A2461" s="77">
        <v>0.99726027397260275</v>
      </c>
      <c r="B2461" s="19">
        <v>95735</v>
      </c>
      <c r="C2461" s="19" t="s">
        <v>4768</v>
      </c>
      <c r="D2461" s="19" t="s">
        <v>189</v>
      </c>
      <c r="E2461" s="19" t="s">
        <v>190</v>
      </c>
      <c r="F2461" s="19" t="s">
        <v>1369</v>
      </c>
      <c r="G2461" s="19" t="s">
        <v>1008</v>
      </c>
      <c r="H2461" s="19" t="s">
        <v>1001</v>
      </c>
      <c r="I2461" s="19" t="s">
        <v>1575</v>
      </c>
      <c r="J2461" s="20">
        <v>21</v>
      </c>
      <c r="K2461" t="s">
        <v>654</v>
      </c>
      <c r="L2461" t="s">
        <v>640</v>
      </c>
      <c r="M2461" t="s">
        <v>623</v>
      </c>
      <c r="N2461" t="s">
        <v>641</v>
      </c>
      <c r="O2461" t="s">
        <v>754</v>
      </c>
    </row>
    <row r="2462" spans="1:15" x14ac:dyDescent="0.35">
      <c r="A2462" s="77">
        <v>1.0027397260273974</v>
      </c>
      <c r="B2462" s="19">
        <v>95739</v>
      </c>
      <c r="C2462" s="19" t="s">
        <v>4769</v>
      </c>
      <c r="D2462" s="19" t="s">
        <v>341</v>
      </c>
      <c r="E2462" s="19" t="s">
        <v>342</v>
      </c>
      <c r="F2462" s="19" t="s">
        <v>1264</v>
      </c>
      <c r="G2462" s="19" t="s">
        <v>1028</v>
      </c>
      <c r="H2462" s="19" t="s">
        <v>1020</v>
      </c>
      <c r="I2462" s="19" t="s">
        <v>1599</v>
      </c>
      <c r="J2462" s="20">
        <v>19</v>
      </c>
      <c r="K2462" t="s">
        <v>636</v>
      </c>
      <c r="L2462" t="s">
        <v>678</v>
      </c>
      <c r="M2462" t="s">
        <v>623</v>
      </c>
      <c r="N2462" t="s">
        <v>624</v>
      </c>
      <c r="O2462" t="s">
        <v>679</v>
      </c>
    </row>
    <row r="2463" spans="1:15" x14ac:dyDescent="0.35">
      <c r="A2463" s="77">
        <v>1.010958904109589</v>
      </c>
      <c r="B2463" s="19">
        <v>95743</v>
      </c>
      <c r="C2463" s="19" t="s">
        <v>4770</v>
      </c>
      <c r="D2463" s="19" t="s">
        <v>328</v>
      </c>
      <c r="E2463" s="19" t="s">
        <v>329</v>
      </c>
      <c r="F2463" s="19" t="s">
        <v>838</v>
      </c>
      <c r="G2463" s="19" t="s">
        <v>1057</v>
      </c>
      <c r="H2463" s="19" t="s">
        <v>1001</v>
      </c>
      <c r="I2463" s="19" t="s">
        <v>1575</v>
      </c>
      <c r="J2463" s="20">
        <v>21</v>
      </c>
      <c r="K2463" t="s">
        <v>631</v>
      </c>
      <c r="L2463" t="s">
        <v>645</v>
      </c>
      <c r="M2463" t="s">
        <v>629</v>
      </c>
      <c r="N2463" t="s">
        <v>646</v>
      </c>
      <c r="O2463" t="s">
        <v>632</v>
      </c>
    </row>
    <row r="2464" spans="1:15" x14ac:dyDescent="0.35">
      <c r="A2464" s="77">
        <v>1.010958904109589</v>
      </c>
      <c r="B2464" s="19">
        <v>95745</v>
      </c>
      <c r="C2464" s="19" t="s">
        <v>4771</v>
      </c>
      <c r="D2464" s="19" t="s">
        <v>369</v>
      </c>
      <c r="E2464" s="19" t="s">
        <v>370</v>
      </c>
      <c r="F2464" s="19" t="s">
        <v>856</v>
      </c>
      <c r="G2464" s="19" t="s">
        <v>1008</v>
      </c>
      <c r="H2464" s="19" t="s">
        <v>1001</v>
      </c>
      <c r="I2464" s="19" t="s">
        <v>1575</v>
      </c>
      <c r="J2464" s="20">
        <v>36</v>
      </c>
      <c r="K2464" t="s">
        <v>654</v>
      </c>
      <c r="L2464" t="s">
        <v>684</v>
      </c>
      <c r="M2464" t="s">
        <v>623</v>
      </c>
      <c r="N2464" t="s">
        <v>662</v>
      </c>
      <c r="O2464" t="s">
        <v>857</v>
      </c>
    </row>
    <row r="2465" spans="1:15" x14ac:dyDescent="0.35">
      <c r="A2465" s="77">
        <v>1.010958904109589</v>
      </c>
      <c r="B2465" s="19">
        <v>95747</v>
      </c>
      <c r="C2465" s="19" t="s">
        <v>4772</v>
      </c>
      <c r="D2465" s="19" t="s">
        <v>367</v>
      </c>
      <c r="E2465" s="19" t="s">
        <v>368</v>
      </c>
      <c r="F2465" s="19" t="s">
        <v>1604</v>
      </c>
      <c r="G2465" s="19" t="s">
        <v>1028</v>
      </c>
      <c r="H2465" s="19" t="s">
        <v>1020</v>
      </c>
      <c r="I2465" s="19" t="s">
        <v>1575</v>
      </c>
      <c r="J2465" s="20">
        <v>19</v>
      </c>
      <c r="K2465" t="s">
        <v>636</v>
      </c>
      <c r="L2465" t="s">
        <v>737</v>
      </c>
      <c r="M2465" t="s">
        <v>657</v>
      </c>
      <c r="N2465" t="s">
        <v>641</v>
      </c>
      <c r="O2465" t="s">
        <v>738</v>
      </c>
    </row>
    <row r="2466" spans="1:15" x14ac:dyDescent="0.35">
      <c r="A2466" s="77">
        <v>1.010958904109589</v>
      </c>
      <c r="B2466" s="19">
        <v>95748</v>
      </c>
      <c r="C2466" s="19" t="s">
        <v>4773</v>
      </c>
      <c r="D2466" s="19" t="s">
        <v>24</v>
      </c>
      <c r="E2466" s="19" t="s">
        <v>24</v>
      </c>
      <c r="F2466" s="19" t="s">
        <v>2097</v>
      </c>
      <c r="G2466" s="19" t="s">
        <v>1028</v>
      </c>
      <c r="H2466" s="19" t="s">
        <v>1020</v>
      </c>
      <c r="I2466" s="19" t="s">
        <v>1575</v>
      </c>
      <c r="J2466" s="20">
        <v>22</v>
      </c>
      <c r="K2466" t="s">
        <v>664</v>
      </c>
      <c r="L2466" t="s">
        <v>663</v>
      </c>
      <c r="M2466" t="s">
        <v>629</v>
      </c>
      <c r="N2466" t="s">
        <v>646</v>
      </c>
      <c r="O2466" t="s">
        <v>639</v>
      </c>
    </row>
    <row r="2467" spans="1:15" x14ac:dyDescent="0.35">
      <c r="A2467" s="77">
        <v>1.010958904109589</v>
      </c>
      <c r="B2467" s="19">
        <v>95749</v>
      </c>
      <c r="C2467" s="19" t="s">
        <v>4774</v>
      </c>
      <c r="D2467" s="19" t="s">
        <v>324</v>
      </c>
      <c r="E2467" s="19" t="s">
        <v>325</v>
      </c>
      <c r="F2467" s="19" t="s">
        <v>1284</v>
      </c>
      <c r="G2467" s="19" t="s">
        <v>1028</v>
      </c>
      <c r="H2467" s="19" t="s">
        <v>1020</v>
      </c>
      <c r="I2467" s="19" t="s">
        <v>1575</v>
      </c>
      <c r="J2467" s="20">
        <v>19</v>
      </c>
      <c r="K2467" t="s">
        <v>631</v>
      </c>
      <c r="L2467" t="s">
        <v>663</v>
      </c>
      <c r="M2467" t="s">
        <v>629</v>
      </c>
      <c r="N2467" t="s">
        <v>646</v>
      </c>
      <c r="O2467" t="s">
        <v>639</v>
      </c>
    </row>
    <row r="2468" spans="1:15" x14ac:dyDescent="0.35">
      <c r="A2468" s="77">
        <v>1.010958904109589</v>
      </c>
      <c r="B2468" s="19">
        <v>95750</v>
      </c>
      <c r="C2468" s="19" t="s">
        <v>4775</v>
      </c>
      <c r="D2468" s="19" t="s">
        <v>367</v>
      </c>
      <c r="E2468" s="19" t="s">
        <v>368</v>
      </c>
      <c r="F2468" s="19" t="s">
        <v>1604</v>
      </c>
      <c r="G2468" s="19" t="s">
        <v>1057</v>
      </c>
      <c r="H2468" s="19" t="s">
        <v>1001</v>
      </c>
      <c r="I2468" s="19" t="s">
        <v>1575</v>
      </c>
      <c r="J2468" s="20">
        <v>23</v>
      </c>
      <c r="K2468" t="s">
        <v>636</v>
      </c>
      <c r="L2468" t="s">
        <v>737</v>
      </c>
      <c r="M2468" t="s">
        <v>657</v>
      </c>
      <c r="N2468" t="s">
        <v>641</v>
      </c>
      <c r="O2468" t="s">
        <v>738</v>
      </c>
    </row>
    <row r="2469" spans="1:15" x14ac:dyDescent="0.35">
      <c r="A2469" s="77">
        <v>1.0082191780821919</v>
      </c>
      <c r="B2469" s="19">
        <v>95752</v>
      </c>
      <c r="C2469" s="19" t="s">
        <v>4776</v>
      </c>
      <c r="D2469" s="19" t="s">
        <v>153</v>
      </c>
      <c r="E2469" s="19" t="s">
        <v>154</v>
      </c>
      <c r="F2469" s="19" t="s">
        <v>2384</v>
      </c>
      <c r="G2469" s="19" t="s">
        <v>1028</v>
      </c>
      <c r="H2469" s="19" t="s">
        <v>1020</v>
      </c>
      <c r="I2469" s="19" t="s">
        <v>1575</v>
      </c>
      <c r="J2469" s="20">
        <v>25</v>
      </c>
      <c r="K2469" t="s">
        <v>654</v>
      </c>
      <c r="L2469" t="s">
        <v>762</v>
      </c>
      <c r="M2469" t="s">
        <v>629</v>
      </c>
      <c r="N2469" t="s">
        <v>646</v>
      </c>
      <c r="O2469" t="s">
        <v>763</v>
      </c>
    </row>
    <row r="2470" spans="1:15" x14ac:dyDescent="0.35">
      <c r="A2470" s="77">
        <v>1.0082191780821919</v>
      </c>
      <c r="B2470" s="19">
        <v>95754</v>
      </c>
      <c r="C2470" s="19" t="s">
        <v>2486</v>
      </c>
      <c r="D2470" s="19" t="s">
        <v>195</v>
      </c>
      <c r="E2470" s="19" t="s">
        <v>196</v>
      </c>
      <c r="F2470" s="19" t="s">
        <v>908</v>
      </c>
      <c r="G2470" s="19" t="s">
        <v>1008</v>
      </c>
      <c r="H2470" s="19" t="s">
        <v>1001</v>
      </c>
      <c r="I2470" s="19" t="s">
        <v>1575</v>
      </c>
      <c r="J2470" s="20">
        <v>28</v>
      </c>
      <c r="K2470" t="s">
        <v>636</v>
      </c>
      <c r="L2470" t="s">
        <v>670</v>
      </c>
      <c r="M2470" t="s">
        <v>657</v>
      </c>
      <c r="N2470" t="s">
        <v>641</v>
      </c>
      <c r="O2470" t="s">
        <v>676</v>
      </c>
    </row>
    <row r="2471" spans="1:15" x14ac:dyDescent="0.35">
      <c r="A2471" s="77">
        <v>1.0054794520547945</v>
      </c>
      <c r="B2471" s="19">
        <v>95765</v>
      </c>
      <c r="C2471" s="19" t="s">
        <v>4777</v>
      </c>
      <c r="D2471" s="19" t="s">
        <v>68</v>
      </c>
      <c r="E2471" s="19" t="s">
        <v>69</v>
      </c>
      <c r="F2471" s="19" t="s">
        <v>1078</v>
      </c>
      <c r="G2471" s="19" t="s">
        <v>1008</v>
      </c>
      <c r="H2471" s="19" t="s">
        <v>1001</v>
      </c>
      <c r="I2471" s="19" t="s">
        <v>1599</v>
      </c>
      <c r="J2471" s="20">
        <v>37</v>
      </c>
      <c r="K2471" t="s">
        <v>636</v>
      </c>
      <c r="L2471" t="s">
        <v>670</v>
      </c>
      <c r="M2471" t="s">
        <v>657</v>
      </c>
      <c r="N2471" t="s">
        <v>641</v>
      </c>
      <c r="O2471" t="s">
        <v>671</v>
      </c>
    </row>
    <row r="2472" spans="1:15" x14ac:dyDescent="0.35">
      <c r="A2472" s="77">
        <v>0.99726027397260275</v>
      </c>
      <c r="B2472" s="19">
        <v>95766</v>
      </c>
      <c r="C2472" s="19" t="s">
        <v>4778</v>
      </c>
      <c r="D2472" s="19" t="s">
        <v>286</v>
      </c>
      <c r="E2472" s="19" t="s">
        <v>287</v>
      </c>
      <c r="F2472" s="19" t="s">
        <v>1675</v>
      </c>
      <c r="G2472" s="19" t="s">
        <v>1034</v>
      </c>
      <c r="H2472" s="19" t="s">
        <v>1001</v>
      </c>
      <c r="I2472" s="19" t="s">
        <v>1575</v>
      </c>
      <c r="J2472" s="20">
        <v>28</v>
      </c>
      <c r="K2472" t="s">
        <v>668</v>
      </c>
      <c r="L2472" t="s">
        <v>640</v>
      </c>
      <c r="M2472" t="s">
        <v>623</v>
      </c>
      <c r="N2472" t="s">
        <v>641</v>
      </c>
      <c r="O2472" t="s">
        <v>754</v>
      </c>
    </row>
    <row r="2473" spans="1:15" x14ac:dyDescent="0.35">
      <c r="A2473" s="77">
        <v>1</v>
      </c>
      <c r="B2473" s="19">
        <v>95769</v>
      </c>
      <c r="C2473" s="19" t="s">
        <v>4779</v>
      </c>
      <c r="D2473" s="19" t="s">
        <v>171</v>
      </c>
      <c r="E2473" s="19" t="s">
        <v>172</v>
      </c>
      <c r="F2473" s="19" t="s">
        <v>2239</v>
      </c>
      <c r="G2473" s="19" t="s">
        <v>1008</v>
      </c>
      <c r="H2473" s="19" t="s">
        <v>1001</v>
      </c>
      <c r="I2473" s="19" t="s">
        <v>1575</v>
      </c>
      <c r="J2473" s="20">
        <v>20</v>
      </c>
      <c r="K2473" t="s">
        <v>654</v>
      </c>
      <c r="L2473" t="s">
        <v>661</v>
      </c>
      <c r="M2473" t="s">
        <v>657</v>
      </c>
      <c r="N2473" t="s">
        <v>662</v>
      </c>
      <c r="O2473" t="s">
        <v>632</v>
      </c>
    </row>
    <row r="2474" spans="1:15" x14ac:dyDescent="0.35">
      <c r="A2474" s="77">
        <v>1</v>
      </c>
      <c r="B2474" s="19">
        <v>95770</v>
      </c>
      <c r="C2474" s="19" t="s">
        <v>4780</v>
      </c>
      <c r="D2474" s="19" t="s">
        <v>171</v>
      </c>
      <c r="E2474" s="19" t="s">
        <v>172</v>
      </c>
      <c r="F2474" s="19" t="s">
        <v>2239</v>
      </c>
      <c r="G2474" s="19" t="s">
        <v>1019</v>
      </c>
      <c r="H2474" s="19" t="s">
        <v>1020</v>
      </c>
      <c r="I2474" s="19" t="s">
        <v>1575</v>
      </c>
      <c r="J2474" s="20">
        <v>26</v>
      </c>
      <c r="K2474" t="s">
        <v>654</v>
      </c>
      <c r="L2474" t="s">
        <v>661</v>
      </c>
      <c r="M2474" t="s">
        <v>657</v>
      </c>
      <c r="N2474" t="s">
        <v>662</v>
      </c>
      <c r="O2474" t="s">
        <v>632</v>
      </c>
    </row>
    <row r="2475" spans="1:15" x14ac:dyDescent="0.35">
      <c r="A2475" s="77">
        <v>1.0054794520547945</v>
      </c>
      <c r="B2475" s="19">
        <v>95773</v>
      </c>
      <c r="C2475" s="19" t="s">
        <v>4781</v>
      </c>
      <c r="D2475" s="19" t="s">
        <v>322</v>
      </c>
      <c r="E2475" s="19" t="s">
        <v>323</v>
      </c>
      <c r="F2475" s="19" t="s">
        <v>834</v>
      </c>
      <c r="G2475" s="19" t="s">
        <v>1028</v>
      </c>
      <c r="H2475" s="19" t="s">
        <v>1020</v>
      </c>
      <c r="I2475" s="19" t="s">
        <v>1575</v>
      </c>
      <c r="J2475" s="20">
        <v>23</v>
      </c>
      <c r="K2475" t="s">
        <v>668</v>
      </c>
      <c r="L2475" t="s">
        <v>628</v>
      </c>
      <c r="M2475" t="s">
        <v>629</v>
      </c>
      <c r="N2475" t="s">
        <v>630</v>
      </c>
      <c r="O2475" t="s">
        <v>632</v>
      </c>
    </row>
    <row r="2476" spans="1:15" x14ac:dyDescent="0.35">
      <c r="A2476" s="77">
        <v>0.99726027397260275</v>
      </c>
      <c r="B2476" s="19">
        <v>95775</v>
      </c>
      <c r="C2476" s="19" t="s">
        <v>4782</v>
      </c>
      <c r="D2476" s="19" t="s">
        <v>403</v>
      </c>
      <c r="E2476" s="19" t="s">
        <v>404</v>
      </c>
      <c r="F2476" s="19" t="s">
        <v>870</v>
      </c>
      <c r="G2476" s="19" t="s">
        <v>1019</v>
      </c>
      <c r="H2476" s="19" t="s">
        <v>1020</v>
      </c>
      <c r="I2476" s="19" t="s">
        <v>1575</v>
      </c>
      <c r="J2476" s="20">
        <v>20</v>
      </c>
      <c r="K2476" t="s">
        <v>631</v>
      </c>
      <c r="L2476" t="s">
        <v>691</v>
      </c>
      <c r="M2476" t="s">
        <v>657</v>
      </c>
      <c r="N2476" t="s">
        <v>658</v>
      </c>
      <c r="O2476" t="s">
        <v>632</v>
      </c>
    </row>
    <row r="2477" spans="1:15" x14ac:dyDescent="0.35">
      <c r="A2477" s="77">
        <v>0.99726027397260275</v>
      </c>
      <c r="B2477" s="19">
        <v>95776</v>
      </c>
      <c r="C2477" s="19" t="s">
        <v>4783</v>
      </c>
      <c r="D2477" s="19" t="s">
        <v>218</v>
      </c>
      <c r="E2477" s="19" t="s">
        <v>219</v>
      </c>
      <c r="F2477" s="19" t="s">
        <v>1372</v>
      </c>
      <c r="G2477" s="19" t="s">
        <v>1019</v>
      </c>
      <c r="H2477" s="19" t="s">
        <v>1020</v>
      </c>
      <c r="I2477" s="19" t="s">
        <v>1575</v>
      </c>
      <c r="J2477" s="20">
        <v>19</v>
      </c>
      <c r="K2477" t="s">
        <v>625</v>
      </c>
      <c r="L2477" t="s">
        <v>661</v>
      </c>
      <c r="M2477" t="s">
        <v>657</v>
      </c>
      <c r="N2477" t="s">
        <v>662</v>
      </c>
      <c r="O2477" t="s">
        <v>632</v>
      </c>
    </row>
    <row r="2478" spans="1:15" x14ac:dyDescent="0.35">
      <c r="A2478" s="77">
        <v>0.99726027397260275</v>
      </c>
      <c r="B2478" s="19">
        <v>95779</v>
      </c>
      <c r="C2478" s="19" t="s">
        <v>4784</v>
      </c>
      <c r="D2478" s="19" t="s">
        <v>349</v>
      </c>
      <c r="E2478" s="19" t="s">
        <v>350</v>
      </c>
      <c r="F2478" s="19" t="s">
        <v>912</v>
      </c>
      <c r="G2478" s="19" t="s">
        <v>1038</v>
      </c>
      <c r="H2478" s="19" t="s">
        <v>1020</v>
      </c>
      <c r="I2478" s="19" t="s">
        <v>1575</v>
      </c>
      <c r="J2478" s="20">
        <v>22</v>
      </c>
      <c r="K2478" t="s">
        <v>625</v>
      </c>
      <c r="L2478" t="s">
        <v>648</v>
      </c>
      <c r="M2478" t="s">
        <v>623</v>
      </c>
      <c r="N2478" t="s">
        <v>624</v>
      </c>
      <c r="O2478" t="s">
        <v>649</v>
      </c>
    </row>
    <row r="2479" spans="1:15" x14ac:dyDescent="0.35">
      <c r="A2479" s="77">
        <v>0.99726027397260275</v>
      </c>
      <c r="B2479" s="19">
        <v>95781</v>
      </c>
      <c r="C2479" s="19" t="s">
        <v>4785</v>
      </c>
      <c r="D2479" s="19" t="s">
        <v>97</v>
      </c>
      <c r="E2479" s="19" t="s">
        <v>98</v>
      </c>
      <c r="F2479" s="19" t="s">
        <v>2395</v>
      </c>
      <c r="G2479" s="19" t="s">
        <v>1028</v>
      </c>
      <c r="H2479" s="19" t="s">
        <v>1020</v>
      </c>
      <c r="I2479" s="19" t="s">
        <v>1575</v>
      </c>
      <c r="J2479" s="20">
        <v>30</v>
      </c>
      <c r="K2479" t="s">
        <v>654</v>
      </c>
      <c r="L2479" t="s">
        <v>666</v>
      </c>
      <c r="M2479" t="s">
        <v>629</v>
      </c>
      <c r="N2479" t="s">
        <v>635</v>
      </c>
      <c r="O2479" t="s">
        <v>739</v>
      </c>
    </row>
    <row r="2480" spans="1:15" x14ac:dyDescent="0.35">
      <c r="A2480" s="77">
        <v>0.99726027397260275</v>
      </c>
      <c r="B2480" s="19">
        <v>95785</v>
      </c>
      <c r="C2480" s="19" t="s">
        <v>4786</v>
      </c>
      <c r="D2480" s="19" t="s">
        <v>420</v>
      </c>
      <c r="E2480" s="19" t="s">
        <v>420</v>
      </c>
      <c r="F2480" s="19" t="s">
        <v>686</v>
      </c>
      <c r="G2480" s="19" t="s">
        <v>1028</v>
      </c>
      <c r="H2480" s="19" t="s">
        <v>1020</v>
      </c>
      <c r="I2480" s="19" t="s">
        <v>1575</v>
      </c>
      <c r="J2480" s="20">
        <v>19</v>
      </c>
      <c r="K2480" t="s">
        <v>631</v>
      </c>
      <c r="L2480" t="s">
        <v>634</v>
      </c>
      <c r="M2480" t="s">
        <v>629</v>
      </c>
      <c r="N2480" t="s">
        <v>635</v>
      </c>
      <c r="O2480" t="s">
        <v>637</v>
      </c>
    </row>
    <row r="2481" spans="1:15" x14ac:dyDescent="0.35">
      <c r="A2481" s="77">
        <v>0.9945205479452055</v>
      </c>
      <c r="B2481" s="19">
        <v>95788</v>
      </c>
      <c r="C2481" s="19" t="s">
        <v>4787</v>
      </c>
      <c r="D2481" s="19" t="s">
        <v>293</v>
      </c>
      <c r="E2481" s="19" t="s">
        <v>294</v>
      </c>
      <c r="F2481" s="19" t="s">
        <v>1794</v>
      </c>
      <c r="G2481" s="19" t="s">
        <v>1028</v>
      </c>
      <c r="H2481" s="19" t="s">
        <v>1020</v>
      </c>
      <c r="I2481" s="19" t="s">
        <v>1575</v>
      </c>
      <c r="J2481" s="20">
        <v>28</v>
      </c>
      <c r="K2481" t="s">
        <v>654</v>
      </c>
      <c r="L2481" t="s">
        <v>634</v>
      </c>
      <c r="M2481" t="s">
        <v>629</v>
      </c>
      <c r="N2481" t="s">
        <v>635</v>
      </c>
      <c r="O2481" t="s">
        <v>637</v>
      </c>
    </row>
    <row r="2482" spans="1:15" x14ac:dyDescent="0.35">
      <c r="A2482" s="77">
        <v>0.9945205479452055</v>
      </c>
      <c r="B2482" s="19">
        <v>95789</v>
      </c>
      <c r="C2482" s="19" t="s">
        <v>4788</v>
      </c>
      <c r="D2482" s="19" t="s">
        <v>415</v>
      </c>
      <c r="E2482" s="19" t="s">
        <v>416</v>
      </c>
      <c r="F2482" s="19" t="s">
        <v>1199</v>
      </c>
      <c r="G2482" s="19" t="s">
        <v>1057</v>
      </c>
      <c r="H2482" s="19" t="s">
        <v>1001</v>
      </c>
      <c r="I2482" s="19" t="s">
        <v>1575</v>
      </c>
      <c r="J2482" s="20">
        <v>19</v>
      </c>
      <c r="K2482" t="s">
        <v>668</v>
      </c>
      <c r="L2482" t="s">
        <v>666</v>
      </c>
      <c r="M2482" t="s">
        <v>629</v>
      </c>
      <c r="N2482" t="s">
        <v>635</v>
      </c>
      <c r="O2482" t="s">
        <v>637</v>
      </c>
    </row>
    <row r="2483" spans="1:15" x14ac:dyDescent="0.35">
      <c r="A2483" s="77">
        <v>0.99178082191780825</v>
      </c>
      <c r="B2483" s="19">
        <v>95792</v>
      </c>
      <c r="C2483" s="19" t="s">
        <v>4789</v>
      </c>
      <c r="D2483" s="19" t="s">
        <v>409</v>
      </c>
      <c r="E2483" s="19" t="s">
        <v>410</v>
      </c>
      <c r="F2483" s="19" t="s">
        <v>874</v>
      </c>
      <c r="G2483" s="19" t="s">
        <v>1028</v>
      </c>
      <c r="H2483" s="19" t="s">
        <v>1020</v>
      </c>
      <c r="I2483" s="19" t="s">
        <v>1575</v>
      </c>
      <c r="J2483" s="20">
        <v>23</v>
      </c>
      <c r="K2483" t="s">
        <v>631</v>
      </c>
      <c r="L2483" t="s">
        <v>666</v>
      </c>
      <c r="M2483" t="s">
        <v>629</v>
      </c>
      <c r="N2483" t="s">
        <v>635</v>
      </c>
      <c r="O2483" t="s">
        <v>637</v>
      </c>
    </row>
    <row r="2484" spans="1:15" x14ac:dyDescent="0.35">
      <c r="A2484" s="77">
        <v>0.99178082191780825</v>
      </c>
      <c r="B2484" s="19">
        <v>95802</v>
      </c>
      <c r="C2484" s="19" t="s">
        <v>4790</v>
      </c>
      <c r="D2484" s="19" t="s">
        <v>230</v>
      </c>
      <c r="E2484" s="19" t="s">
        <v>231</v>
      </c>
      <c r="F2484" s="19" t="s">
        <v>2112</v>
      </c>
      <c r="G2484" s="19" t="s">
        <v>1008</v>
      </c>
      <c r="H2484" s="19" t="s">
        <v>1001</v>
      </c>
      <c r="I2484" s="19" t="s">
        <v>1575</v>
      </c>
      <c r="J2484" s="20">
        <v>22</v>
      </c>
      <c r="K2484" t="s">
        <v>668</v>
      </c>
      <c r="L2484" t="s">
        <v>684</v>
      </c>
      <c r="M2484" t="s">
        <v>623</v>
      </c>
      <c r="N2484" t="s">
        <v>662</v>
      </c>
      <c r="O2484" t="s">
        <v>795</v>
      </c>
    </row>
    <row r="2485" spans="1:15" x14ac:dyDescent="0.35">
      <c r="A2485" s="77">
        <v>0.99178082191780825</v>
      </c>
      <c r="B2485" s="19">
        <v>95804</v>
      </c>
      <c r="C2485" s="19" t="s">
        <v>4791</v>
      </c>
      <c r="D2485" s="19" t="s">
        <v>230</v>
      </c>
      <c r="E2485" s="19" t="s">
        <v>231</v>
      </c>
      <c r="F2485" s="19" t="s">
        <v>2112</v>
      </c>
      <c r="G2485" s="19" t="s">
        <v>1008</v>
      </c>
      <c r="H2485" s="19" t="s">
        <v>1001</v>
      </c>
      <c r="I2485" s="19" t="s">
        <v>1575</v>
      </c>
      <c r="J2485" s="20">
        <v>26</v>
      </c>
      <c r="K2485" t="s">
        <v>668</v>
      </c>
      <c r="L2485" t="s">
        <v>684</v>
      </c>
      <c r="M2485" t="s">
        <v>623</v>
      </c>
      <c r="N2485" t="s">
        <v>662</v>
      </c>
      <c r="O2485" t="s">
        <v>795</v>
      </c>
    </row>
    <row r="2486" spans="1:15" x14ac:dyDescent="0.35">
      <c r="A2486" s="77">
        <v>0.99178082191780825</v>
      </c>
      <c r="B2486" s="19">
        <v>95810</v>
      </c>
      <c r="C2486" s="19" t="s">
        <v>4792</v>
      </c>
      <c r="D2486" s="19" t="s">
        <v>128</v>
      </c>
      <c r="E2486" s="19" t="s">
        <v>129</v>
      </c>
      <c r="F2486" s="19" t="s">
        <v>1075</v>
      </c>
      <c r="G2486" s="19" t="s">
        <v>1008</v>
      </c>
      <c r="H2486" s="19" t="s">
        <v>1001</v>
      </c>
      <c r="I2486" s="19" t="s">
        <v>1575</v>
      </c>
      <c r="J2486" s="20">
        <v>24</v>
      </c>
      <c r="K2486" t="s">
        <v>636</v>
      </c>
      <c r="L2486" t="s">
        <v>678</v>
      </c>
      <c r="M2486" t="s">
        <v>623</v>
      </c>
      <c r="N2486" t="s">
        <v>624</v>
      </c>
      <c r="O2486" t="s">
        <v>679</v>
      </c>
    </row>
    <row r="2487" spans="1:15" x14ac:dyDescent="0.35">
      <c r="A2487" s="77">
        <v>0.99178082191780825</v>
      </c>
      <c r="B2487" s="19">
        <v>95813</v>
      </c>
      <c r="C2487" s="19" t="s">
        <v>4793</v>
      </c>
      <c r="D2487" s="19" t="s">
        <v>183</v>
      </c>
      <c r="E2487" s="19" t="s">
        <v>184</v>
      </c>
      <c r="F2487" s="19" t="s">
        <v>1532</v>
      </c>
      <c r="G2487" s="19" t="s">
        <v>1028</v>
      </c>
      <c r="H2487" s="19" t="s">
        <v>1020</v>
      </c>
      <c r="I2487" s="19" t="s">
        <v>1599</v>
      </c>
      <c r="J2487" s="20">
        <v>20</v>
      </c>
      <c r="K2487" t="s">
        <v>654</v>
      </c>
      <c r="L2487" t="s">
        <v>648</v>
      </c>
      <c r="M2487" t="s">
        <v>623</v>
      </c>
      <c r="N2487" t="s">
        <v>624</v>
      </c>
      <c r="O2487" t="s">
        <v>725</v>
      </c>
    </row>
    <row r="2488" spans="1:15" x14ac:dyDescent="0.35">
      <c r="A2488" s="77">
        <v>0.989041095890411</v>
      </c>
      <c r="B2488" s="19">
        <v>95817</v>
      </c>
      <c r="C2488" s="19" t="s">
        <v>4794</v>
      </c>
      <c r="D2488" s="19" t="s">
        <v>264</v>
      </c>
      <c r="E2488" s="19" t="s">
        <v>265</v>
      </c>
      <c r="F2488" s="19" t="s">
        <v>2526</v>
      </c>
      <c r="G2488" s="19" t="s">
        <v>1008</v>
      </c>
      <c r="H2488" s="19" t="s">
        <v>1001</v>
      </c>
      <c r="I2488" s="19" t="s">
        <v>1575</v>
      </c>
      <c r="J2488" s="20">
        <v>22</v>
      </c>
      <c r="K2488" t="s">
        <v>654</v>
      </c>
      <c r="L2488" t="s">
        <v>678</v>
      </c>
      <c r="M2488" t="s">
        <v>623</v>
      </c>
      <c r="N2488" t="s">
        <v>624</v>
      </c>
      <c r="O2488" t="s">
        <v>689</v>
      </c>
    </row>
    <row r="2489" spans="1:15" x14ac:dyDescent="0.35">
      <c r="A2489" s="77">
        <v>0.989041095890411</v>
      </c>
      <c r="B2489" s="19">
        <v>95818</v>
      </c>
      <c r="C2489" s="19" t="s">
        <v>4795</v>
      </c>
      <c r="D2489" s="19" t="s">
        <v>264</v>
      </c>
      <c r="E2489" s="19" t="s">
        <v>265</v>
      </c>
      <c r="F2489" s="19" t="s">
        <v>2526</v>
      </c>
      <c r="G2489" s="19" t="s">
        <v>1008</v>
      </c>
      <c r="H2489" s="19" t="s">
        <v>1001</v>
      </c>
      <c r="I2489" s="19" t="s">
        <v>1599</v>
      </c>
      <c r="J2489" s="20">
        <v>21</v>
      </c>
      <c r="K2489" t="s">
        <v>654</v>
      </c>
      <c r="L2489" t="s">
        <v>678</v>
      </c>
      <c r="M2489" t="s">
        <v>623</v>
      </c>
      <c r="N2489" t="s">
        <v>624</v>
      </c>
      <c r="O2489" t="s">
        <v>689</v>
      </c>
    </row>
    <row r="2490" spans="1:15" x14ac:dyDescent="0.35">
      <c r="A2490" s="77">
        <v>0.989041095890411</v>
      </c>
      <c r="B2490" s="19">
        <v>95820</v>
      </c>
      <c r="C2490" s="19" t="s">
        <v>4796</v>
      </c>
      <c r="D2490" s="19" t="s">
        <v>264</v>
      </c>
      <c r="E2490" s="19" t="s">
        <v>265</v>
      </c>
      <c r="F2490" s="19" t="s">
        <v>2526</v>
      </c>
      <c r="G2490" s="19" t="s">
        <v>1008</v>
      </c>
      <c r="H2490" s="19" t="s">
        <v>1001</v>
      </c>
      <c r="I2490" s="19" t="s">
        <v>1575</v>
      </c>
      <c r="J2490" s="20">
        <v>25</v>
      </c>
      <c r="K2490" t="s">
        <v>654</v>
      </c>
      <c r="L2490" t="s">
        <v>678</v>
      </c>
      <c r="M2490" t="s">
        <v>623</v>
      </c>
      <c r="N2490" t="s">
        <v>624</v>
      </c>
      <c r="O2490" t="s">
        <v>689</v>
      </c>
    </row>
    <row r="2491" spans="1:15" x14ac:dyDescent="0.35">
      <c r="A2491" s="77">
        <v>0.989041095890411</v>
      </c>
      <c r="B2491" s="19">
        <v>95822</v>
      </c>
      <c r="C2491" s="19" t="s">
        <v>4797</v>
      </c>
      <c r="D2491" s="19" t="s">
        <v>375</v>
      </c>
      <c r="E2491" s="19" t="s">
        <v>376</v>
      </c>
      <c r="F2491" s="19" t="s">
        <v>1270</v>
      </c>
      <c r="G2491" s="19" t="s">
        <v>1008</v>
      </c>
      <c r="H2491" s="19" t="s">
        <v>1001</v>
      </c>
      <c r="I2491" s="19" t="s">
        <v>1575</v>
      </c>
      <c r="J2491" s="20">
        <v>19</v>
      </c>
      <c r="K2491" t="s">
        <v>636</v>
      </c>
      <c r="L2491" t="s">
        <v>678</v>
      </c>
      <c r="M2491" t="s">
        <v>623</v>
      </c>
      <c r="N2491" t="s">
        <v>624</v>
      </c>
      <c r="O2491" t="s">
        <v>679</v>
      </c>
    </row>
    <row r="2492" spans="1:15" x14ac:dyDescent="0.35">
      <c r="A2492" s="77">
        <v>0.989041095890411</v>
      </c>
      <c r="B2492" s="19">
        <v>95828</v>
      </c>
      <c r="C2492" s="19" t="s">
        <v>4798</v>
      </c>
      <c r="D2492" s="19" t="s">
        <v>181</v>
      </c>
      <c r="E2492" s="19" t="s">
        <v>182</v>
      </c>
      <c r="F2492" s="19" t="s">
        <v>1374</v>
      </c>
      <c r="G2492" s="19" t="s">
        <v>1008</v>
      </c>
      <c r="H2492" s="19" t="s">
        <v>1001</v>
      </c>
      <c r="I2492" s="19" t="s">
        <v>1575</v>
      </c>
      <c r="J2492" s="20">
        <v>18</v>
      </c>
      <c r="K2492" t="s">
        <v>625</v>
      </c>
      <c r="L2492" t="s">
        <v>678</v>
      </c>
      <c r="M2492" t="s">
        <v>623</v>
      </c>
      <c r="N2492" t="s">
        <v>624</v>
      </c>
      <c r="O2492" t="s">
        <v>679</v>
      </c>
    </row>
    <row r="2493" spans="1:15" x14ac:dyDescent="0.35">
      <c r="A2493" s="77">
        <v>0.989041095890411</v>
      </c>
      <c r="B2493" s="19">
        <v>95830</v>
      </c>
      <c r="C2493" s="19" t="s">
        <v>4799</v>
      </c>
      <c r="D2493" s="19" t="s">
        <v>186</v>
      </c>
      <c r="E2493" s="19" t="s">
        <v>187</v>
      </c>
      <c r="F2493" s="19" t="s">
        <v>1164</v>
      </c>
      <c r="G2493" s="19" t="s">
        <v>1057</v>
      </c>
      <c r="H2493" s="19" t="s">
        <v>1001</v>
      </c>
      <c r="I2493" s="19" t="s">
        <v>1575</v>
      </c>
      <c r="J2493" s="20">
        <v>21</v>
      </c>
      <c r="K2493" t="s">
        <v>642</v>
      </c>
      <c r="L2493" t="s">
        <v>648</v>
      </c>
      <c r="M2493" t="s">
        <v>623</v>
      </c>
      <c r="N2493" t="s">
        <v>624</v>
      </c>
      <c r="O2493" t="s">
        <v>649</v>
      </c>
    </row>
    <row r="2494" spans="1:15" x14ac:dyDescent="0.35">
      <c r="A2494" s="77">
        <v>0.989041095890411</v>
      </c>
      <c r="B2494" s="19">
        <v>95832</v>
      </c>
      <c r="C2494" s="19" t="s">
        <v>4800</v>
      </c>
      <c r="D2494" s="19" t="s">
        <v>32</v>
      </c>
      <c r="E2494" s="19" t="s">
        <v>33</v>
      </c>
      <c r="F2494" s="19" t="s">
        <v>1154</v>
      </c>
      <c r="G2494" s="19" t="s">
        <v>1028</v>
      </c>
      <c r="H2494" s="19" t="s">
        <v>1020</v>
      </c>
      <c r="I2494" s="19" t="s">
        <v>1575</v>
      </c>
      <c r="J2494" s="20">
        <v>29</v>
      </c>
      <c r="K2494" t="s">
        <v>654</v>
      </c>
      <c r="L2494" t="s">
        <v>622</v>
      </c>
      <c r="M2494" t="s">
        <v>623</v>
      </c>
      <c r="N2494" t="s">
        <v>624</v>
      </c>
      <c r="O2494" t="s">
        <v>681</v>
      </c>
    </row>
    <row r="2495" spans="1:15" x14ac:dyDescent="0.35">
      <c r="A2495" s="77">
        <v>0.98356164383561639</v>
      </c>
      <c r="B2495" s="19">
        <v>95861</v>
      </c>
      <c r="C2495" s="19" t="s">
        <v>4801</v>
      </c>
      <c r="D2495" s="19" t="s">
        <v>165</v>
      </c>
      <c r="E2495" s="19" t="s">
        <v>166</v>
      </c>
      <c r="F2495" s="19" t="s">
        <v>1238</v>
      </c>
      <c r="G2495" s="19" t="s">
        <v>1008</v>
      </c>
      <c r="H2495" s="19" t="s">
        <v>1001</v>
      </c>
      <c r="I2495" s="19" t="s">
        <v>1575</v>
      </c>
      <c r="J2495" s="20">
        <v>30</v>
      </c>
      <c r="K2495" t="s">
        <v>636</v>
      </c>
      <c r="L2495" t="s">
        <v>648</v>
      </c>
      <c r="M2495" t="s">
        <v>623</v>
      </c>
      <c r="N2495" t="s">
        <v>624</v>
      </c>
      <c r="O2495" t="s">
        <v>649</v>
      </c>
    </row>
    <row r="2496" spans="1:15" x14ac:dyDescent="0.35">
      <c r="A2496" s="77">
        <v>0.99178082191780825</v>
      </c>
      <c r="B2496" s="19">
        <v>95872</v>
      </c>
      <c r="C2496" s="19" t="s">
        <v>4802</v>
      </c>
      <c r="D2496" s="19" t="s">
        <v>326</v>
      </c>
      <c r="E2496" s="19" t="s">
        <v>327</v>
      </c>
      <c r="F2496" s="19" t="s">
        <v>1051</v>
      </c>
      <c r="G2496" s="19" t="s">
        <v>1057</v>
      </c>
      <c r="H2496" s="19" t="s">
        <v>1001</v>
      </c>
      <c r="I2496" s="19" t="s">
        <v>1575</v>
      </c>
      <c r="J2496" s="20">
        <v>26</v>
      </c>
      <c r="K2496" t="s">
        <v>631</v>
      </c>
      <c r="L2496" t="s">
        <v>648</v>
      </c>
      <c r="M2496" t="s">
        <v>623</v>
      </c>
      <c r="N2496" t="s">
        <v>624</v>
      </c>
      <c r="O2496" t="s">
        <v>837</v>
      </c>
    </row>
    <row r="2497" spans="1:15" x14ac:dyDescent="0.35">
      <c r="A2497" s="77">
        <v>0.99726027397260275</v>
      </c>
      <c r="B2497" s="19">
        <v>95874</v>
      </c>
      <c r="C2497" s="19" t="s">
        <v>4803</v>
      </c>
      <c r="D2497" s="19" t="s">
        <v>100</v>
      </c>
      <c r="E2497" s="19" t="s">
        <v>101</v>
      </c>
      <c r="F2497" s="19" t="s">
        <v>2786</v>
      </c>
      <c r="G2497" s="19" t="s">
        <v>1008</v>
      </c>
      <c r="H2497" s="19" t="s">
        <v>1001</v>
      </c>
      <c r="I2497" s="19" t="s">
        <v>1575</v>
      </c>
      <c r="J2497" s="20">
        <v>30</v>
      </c>
      <c r="K2497" t="s">
        <v>654</v>
      </c>
      <c r="L2497" t="s">
        <v>651</v>
      </c>
      <c r="M2497" t="s">
        <v>629</v>
      </c>
      <c r="N2497" t="s">
        <v>630</v>
      </c>
      <c r="O2497" t="s">
        <v>705</v>
      </c>
    </row>
    <row r="2498" spans="1:15" x14ac:dyDescent="0.35">
      <c r="A2498" s="77">
        <v>0.99726027397260275</v>
      </c>
      <c r="B2498" s="19">
        <v>95881</v>
      </c>
      <c r="C2498" s="19" t="s">
        <v>4804</v>
      </c>
      <c r="D2498" s="19" t="s">
        <v>145</v>
      </c>
      <c r="E2498" s="19" t="s">
        <v>146</v>
      </c>
      <c r="F2498" s="19" t="s">
        <v>1015</v>
      </c>
      <c r="G2498" s="19" t="s">
        <v>1008</v>
      </c>
      <c r="H2498" s="19" t="s">
        <v>1001</v>
      </c>
      <c r="I2498" s="19" t="s">
        <v>1599</v>
      </c>
      <c r="J2498" s="20">
        <v>19</v>
      </c>
      <c r="K2498" t="s">
        <v>636</v>
      </c>
      <c r="L2498" t="s">
        <v>737</v>
      </c>
      <c r="M2498" t="s">
        <v>657</v>
      </c>
      <c r="N2498" t="s">
        <v>641</v>
      </c>
      <c r="O2498" t="s">
        <v>757</v>
      </c>
    </row>
    <row r="2499" spans="1:15" x14ac:dyDescent="0.35">
      <c r="A2499" s="77">
        <v>0.99178082191780825</v>
      </c>
      <c r="B2499" s="19">
        <v>95894</v>
      </c>
      <c r="C2499" s="19" t="s">
        <v>4805</v>
      </c>
      <c r="D2499" s="19" t="s">
        <v>328</v>
      </c>
      <c r="E2499" s="19" t="s">
        <v>329</v>
      </c>
      <c r="F2499" s="19" t="s">
        <v>838</v>
      </c>
      <c r="G2499" s="19" t="s">
        <v>1028</v>
      </c>
      <c r="H2499" s="19" t="s">
        <v>1020</v>
      </c>
      <c r="I2499" s="19" t="s">
        <v>1575</v>
      </c>
      <c r="J2499" s="20">
        <v>20</v>
      </c>
      <c r="K2499" t="s">
        <v>631</v>
      </c>
      <c r="L2499" t="s">
        <v>645</v>
      </c>
      <c r="M2499" t="s">
        <v>629</v>
      </c>
      <c r="N2499" t="s">
        <v>646</v>
      </c>
      <c r="O2499" t="s">
        <v>632</v>
      </c>
    </row>
    <row r="2500" spans="1:15" x14ac:dyDescent="0.35">
      <c r="A2500" s="77">
        <v>0.98630136986301364</v>
      </c>
      <c r="B2500" s="19">
        <v>95905</v>
      </c>
      <c r="C2500" s="19" t="s">
        <v>4806</v>
      </c>
      <c r="D2500" s="19" t="s">
        <v>339</v>
      </c>
      <c r="E2500" s="19" t="s">
        <v>340</v>
      </c>
      <c r="F2500" s="19" t="s">
        <v>1024</v>
      </c>
      <c r="G2500" s="19" t="s">
        <v>1008</v>
      </c>
      <c r="H2500" s="19" t="s">
        <v>1001</v>
      </c>
      <c r="I2500" s="19" t="s">
        <v>1575</v>
      </c>
      <c r="J2500" s="20">
        <v>28</v>
      </c>
      <c r="K2500" t="s">
        <v>631</v>
      </c>
      <c r="L2500" t="s">
        <v>651</v>
      </c>
      <c r="M2500" t="s">
        <v>629</v>
      </c>
      <c r="N2500" t="s">
        <v>630</v>
      </c>
      <c r="O2500" t="s">
        <v>705</v>
      </c>
    </row>
    <row r="2501" spans="1:15" x14ac:dyDescent="0.35">
      <c r="A2501" s="77">
        <v>0.96986301369863015</v>
      </c>
      <c r="B2501" s="19">
        <v>95914</v>
      </c>
      <c r="C2501" s="19" t="s">
        <v>4807</v>
      </c>
      <c r="D2501" s="19" t="s">
        <v>401</v>
      </c>
      <c r="E2501" s="19" t="s">
        <v>402</v>
      </c>
      <c r="F2501" s="19" t="s">
        <v>1314</v>
      </c>
      <c r="G2501" s="19" t="s">
        <v>1057</v>
      </c>
      <c r="H2501" s="19" t="s">
        <v>1001</v>
      </c>
      <c r="I2501" s="19" t="s">
        <v>1575</v>
      </c>
      <c r="J2501" s="20">
        <v>22</v>
      </c>
      <c r="K2501" t="s">
        <v>668</v>
      </c>
      <c r="L2501" t="s">
        <v>691</v>
      </c>
      <c r="M2501" t="s">
        <v>657</v>
      </c>
      <c r="N2501" t="s">
        <v>658</v>
      </c>
      <c r="O2501" t="s">
        <v>632</v>
      </c>
    </row>
    <row r="2502" spans="1:15" x14ac:dyDescent="0.35">
      <c r="A2502" s="77">
        <v>0.96986301369863015</v>
      </c>
      <c r="B2502" s="19">
        <v>95918</v>
      </c>
      <c r="C2502" s="19" t="s">
        <v>4808</v>
      </c>
      <c r="D2502" s="19" t="s">
        <v>107</v>
      </c>
      <c r="E2502" s="19" t="s">
        <v>108</v>
      </c>
      <c r="F2502" s="19" t="s">
        <v>2702</v>
      </c>
      <c r="G2502" s="19" t="s">
        <v>1028</v>
      </c>
      <c r="H2502" s="19" t="s">
        <v>1020</v>
      </c>
      <c r="I2502" s="19" t="s">
        <v>1575</v>
      </c>
      <c r="J2502" s="20">
        <v>19</v>
      </c>
      <c r="K2502" t="s">
        <v>668</v>
      </c>
      <c r="L2502" t="s">
        <v>691</v>
      </c>
      <c r="M2502" t="s">
        <v>657</v>
      </c>
      <c r="N2502" t="s">
        <v>658</v>
      </c>
      <c r="O2502" t="s">
        <v>632</v>
      </c>
    </row>
    <row r="2503" spans="1:15" x14ac:dyDescent="0.35">
      <c r="A2503" s="77">
        <v>0.16438356164383561</v>
      </c>
      <c r="B2503" s="19">
        <v>95925</v>
      </c>
      <c r="C2503" s="19" t="s">
        <v>4809</v>
      </c>
      <c r="D2503" s="19" t="s">
        <v>161</v>
      </c>
      <c r="E2503" s="19" t="s">
        <v>162</v>
      </c>
      <c r="F2503" s="19" t="s">
        <v>1027</v>
      </c>
      <c r="G2503" s="19" t="s">
        <v>1084</v>
      </c>
      <c r="H2503" s="19" t="s">
        <v>1020</v>
      </c>
      <c r="I2503" s="19" t="s">
        <v>1575</v>
      </c>
      <c r="J2503" s="20">
        <v>39</v>
      </c>
      <c r="K2503" t="s">
        <v>654</v>
      </c>
      <c r="L2503" t="s">
        <v>622</v>
      </c>
      <c r="M2503" t="s">
        <v>623</v>
      </c>
      <c r="N2503" t="s">
        <v>624</v>
      </c>
      <c r="O2503" t="s">
        <v>649</v>
      </c>
    </row>
    <row r="2504" spans="1:15" x14ac:dyDescent="0.35">
      <c r="A2504" s="77">
        <v>0.14794520547945206</v>
      </c>
      <c r="B2504" s="19">
        <v>95932</v>
      </c>
      <c r="C2504" s="19" t="s">
        <v>4810</v>
      </c>
      <c r="D2504" s="19" t="s">
        <v>362</v>
      </c>
      <c r="E2504" s="19" t="s">
        <v>363</v>
      </c>
      <c r="F2504" s="19" t="s">
        <v>1056</v>
      </c>
      <c r="G2504" s="19" t="s">
        <v>1057</v>
      </c>
      <c r="H2504" s="19" t="s">
        <v>1001</v>
      </c>
      <c r="I2504" s="19" t="s">
        <v>1599</v>
      </c>
      <c r="J2504" s="20">
        <v>22</v>
      </c>
      <c r="K2504" t="s">
        <v>654</v>
      </c>
      <c r="L2504" t="s">
        <v>663</v>
      </c>
      <c r="M2504" t="s">
        <v>629</v>
      </c>
      <c r="N2504" t="s">
        <v>646</v>
      </c>
      <c r="O2504" t="s">
        <v>810</v>
      </c>
    </row>
    <row r="2505" spans="1:15" x14ac:dyDescent="0.35">
      <c r="A2505" s="77">
        <v>0.96438356164383565</v>
      </c>
      <c r="B2505" s="19">
        <v>95943</v>
      </c>
      <c r="C2505" s="19" t="s">
        <v>4811</v>
      </c>
      <c r="D2505" s="19" t="s">
        <v>377</v>
      </c>
      <c r="E2505" s="19" t="s">
        <v>378</v>
      </c>
      <c r="F2505" s="19" t="s">
        <v>862</v>
      </c>
      <c r="G2505" s="19" t="s">
        <v>1028</v>
      </c>
      <c r="H2505" s="19" t="s">
        <v>1020</v>
      </c>
      <c r="I2505" s="19" t="s">
        <v>1599</v>
      </c>
      <c r="J2505" s="20">
        <v>20</v>
      </c>
      <c r="K2505" t="s">
        <v>631</v>
      </c>
      <c r="L2505" t="s">
        <v>661</v>
      </c>
      <c r="M2505" t="s">
        <v>657</v>
      </c>
      <c r="N2505" t="s">
        <v>662</v>
      </c>
      <c r="O2505" t="s">
        <v>632</v>
      </c>
    </row>
    <row r="2506" spans="1:15" x14ac:dyDescent="0.35">
      <c r="A2506" s="77">
        <v>0.96438356164383565</v>
      </c>
      <c r="B2506" s="19">
        <v>95945</v>
      </c>
      <c r="C2506" s="19" t="s">
        <v>4812</v>
      </c>
      <c r="D2506" s="19" t="s">
        <v>181</v>
      </c>
      <c r="E2506" s="19" t="s">
        <v>182</v>
      </c>
      <c r="F2506" s="19" t="s">
        <v>1374</v>
      </c>
      <c r="G2506" s="19" t="s">
        <v>1028</v>
      </c>
      <c r="H2506" s="19" t="s">
        <v>1020</v>
      </c>
      <c r="I2506" s="19" t="s">
        <v>1575</v>
      </c>
      <c r="J2506" s="20">
        <v>25</v>
      </c>
      <c r="K2506" t="s">
        <v>625</v>
      </c>
      <c r="L2506" t="s">
        <v>678</v>
      </c>
      <c r="M2506" t="s">
        <v>623</v>
      </c>
      <c r="N2506" t="s">
        <v>624</v>
      </c>
      <c r="O2506" t="s">
        <v>679</v>
      </c>
    </row>
    <row r="2507" spans="1:15" x14ac:dyDescent="0.35">
      <c r="A2507" s="77">
        <v>0.96986301369863015</v>
      </c>
      <c r="B2507" s="19">
        <v>95946</v>
      </c>
      <c r="C2507" s="19" t="s">
        <v>4813</v>
      </c>
      <c r="D2507" s="19" t="s">
        <v>58</v>
      </c>
      <c r="E2507" s="19" t="s">
        <v>59</v>
      </c>
      <c r="F2507" s="19" t="s">
        <v>1650</v>
      </c>
      <c r="G2507" s="19" t="s">
        <v>1028</v>
      </c>
      <c r="H2507" s="19" t="s">
        <v>1020</v>
      </c>
      <c r="I2507" s="19" t="s">
        <v>1575</v>
      </c>
      <c r="J2507" s="20">
        <v>20</v>
      </c>
      <c r="K2507" t="s">
        <v>668</v>
      </c>
      <c r="L2507" t="s">
        <v>651</v>
      </c>
      <c r="M2507" t="s">
        <v>629</v>
      </c>
      <c r="N2507" t="s">
        <v>630</v>
      </c>
      <c r="O2507" t="s">
        <v>705</v>
      </c>
    </row>
    <row r="2508" spans="1:15" x14ac:dyDescent="0.35">
      <c r="A2508" s="77">
        <v>0.9671232876712329</v>
      </c>
      <c r="B2508" s="19">
        <v>95953</v>
      </c>
      <c r="C2508" s="19" t="s">
        <v>4814</v>
      </c>
      <c r="D2508" s="19" t="s">
        <v>64</v>
      </c>
      <c r="E2508" s="19" t="s">
        <v>65</v>
      </c>
      <c r="F2508" s="19" t="s">
        <v>1197</v>
      </c>
      <c r="G2508" s="19" t="s">
        <v>1008</v>
      </c>
      <c r="H2508" s="19" t="s">
        <v>1001</v>
      </c>
      <c r="I2508" s="19" t="s">
        <v>1575</v>
      </c>
      <c r="J2508" s="20">
        <v>24</v>
      </c>
      <c r="K2508" t="s">
        <v>654</v>
      </c>
      <c r="L2508" t="s">
        <v>651</v>
      </c>
      <c r="M2508" t="s">
        <v>629</v>
      </c>
      <c r="N2508" t="s">
        <v>630</v>
      </c>
      <c r="O2508" t="s">
        <v>705</v>
      </c>
    </row>
    <row r="2509" spans="1:15" x14ac:dyDescent="0.35">
      <c r="A2509" s="77">
        <v>0.9616438356164384</v>
      </c>
      <c r="B2509" s="19">
        <v>95969</v>
      </c>
      <c r="C2509" s="19" t="s">
        <v>4815</v>
      </c>
      <c r="D2509" s="19" t="s">
        <v>260</v>
      </c>
      <c r="E2509" s="19" t="s">
        <v>261</v>
      </c>
      <c r="F2509" s="19" t="s">
        <v>1109</v>
      </c>
      <c r="G2509" s="19" t="s">
        <v>1038</v>
      </c>
      <c r="H2509" s="19" t="s">
        <v>1020</v>
      </c>
      <c r="I2509" s="19" t="s">
        <v>1575</v>
      </c>
      <c r="J2509" s="20">
        <v>46</v>
      </c>
      <c r="K2509" t="s">
        <v>636</v>
      </c>
      <c r="L2509" t="s">
        <v>656</v>
      </c>
      <c r="M2509" t="s">
        <v>657</v>
      </c>
      <c r="N2509" t="s">
        <v>658</v>
      </c>
      <c r="O2509" t="s">
        <v>808</v>
      </c>
    </row>
    <row r="2510" spans="1:15" x14ac:dyDescent="0.35">
      <c r="A2510" s="77">
        <v>0.9616438356164384</v>
      </c>
      <c r="B2510" s="19">
        <v>95973</v>
      </c>
      <c r="C2510" s="19" t="s">
        <v>4816</v>
      </c>
      <c r="D2510" s="19" t="s">
        <v>26</v>
      </c>
      <c r="E2510" s="19" t="s">
        <v>26</v>
      </c>
      <c r="F2510" s="19" t="s">
        <v>1124</v>
      </c>
      <c r="G2510" s="19" t="s">
        <v>1028</v>
      </c>
      <c r="H2510" s="19" t="s">
        <v>1020</v>
      </c>
      <c r="I2510" s="19" t="s">
        <v>1575</v>
      </c>
      <c r="J2510" s="20">
        <v>22</v>
      </c>
      <c r="K2510" t="s">
        <v>636</v>
      </c>
      <c r="L2510" t="s">
        <v>666</v>
      </c>
      <c r="M2510" t="s">
        <v>629</v>
      </c>
      <c r="N2510" t="s">
        <v>635</v>
      </c>
      <c r="O2510" t="s">
        <v>637</v>
      </c>
    </row>
    <row r="2511" spans="1:15" x14ac:dyDescent="0.35">
      <c r="A2511" s="77">
        <v>0.9616438356164384</v>
      </c>
      <c r="B2511" s="19">
        <v>95974</v>
      </c>
      <c r="C2511" s="19" t="s">
        <v>4817</v>
      </c>
      <c r="D2511" s="19" t="s">
        <v>230</v>
      </c>
      <c r="E2511" s="19" t="s">
        <v>231</v>
      </c>
      <c r="F2511" s="19" t="s">
        <v>2112</v>
      </c>
      <c r="G2511" s="19" t="s">
        <v>1028</v>
      </c>
      <c r="H2511" s="19" t="s">
        <v>1020</v>
      </c>
      <c r="I2511" s="19" t="s">
        <v>1575</v>
      </c>
      <c r="J2511" s="20">
        <v>22</v>
      </c>
      <c r="K2511" t="s">
        <v>668</v>
      </c>
      <c r="L2511" t="s">
        <v>684</v>
      </c>
      <c r="M2511" t="s">
        <v>623</v>
      </c>
      <c r="N2511" t="s">
        <v>662</v>
      </c>
      <c r="O2511" t="s">
        <v>795</v>
      </c>
    </row>
    <row r="2512" spans="1:15" x14ac:dyDescent="0.35">
      <c r="A2512" s="77">
        <v>0.9616438356164384</v>
      </c>
      <c r="B2512" s="19">
        <v>95975</v>
      </c>
      <c r="C2512" s="19" t="s">
        <v>4818</v>
      </c>
      <c r="D2512" s="19" t="s">
        <v>425</v>
      </c>
      <c r="E2512" s="19" t="s">
        <v>425</v>
      </c>
      <c r="F2512" s="19" t="s">
        <v>1330</v>
      </c>
      <c r="G2512" s="19" t="s">
        <v>1008</v>
      </c>
      <c r="H2512" s="19" t="s">
        <v>1001</v>
      </c>
      <c r="I2512" s="19" t="s">
        <v>1575</v>
      </c>
      <c r="J2512" s="20">
        <v>23</v>
      </c>
      <c r="K2512" t="s">
        <v>654</v>
      </c>
      <c r="L2512" t="s">
        <v>678</v>
      </c>
      <c r="M2512" t="s">
        <v>623</v>
      </c>
      <c r="N2512" t="s">
        <v>624</v>
      </c>
      <c r="O2512" t="s">
        <v>689</v>
      </c>
    </row>
    <row r="2513" spans="1:15" x14ac:dyDescent="0.35">
      <c r="A2513" s="77">
        <v>0.9616438356164384</v>
      </c>
      <c r="B2513" s="19">
        <v>95978</v>
      </c>
      <c r="C2513" s="19" t="s">
        <v>4819</v>
      </c>
      <c r="D2513" s="19" t="s">
        <v>38</v>
      </c>
      <c r="E2513" s="19" t="s">
        <v>38</v>
      </c>
      <c r="F2513" s="19" t="s">
        <v>711</v>
      </c>
      <c r="G2513" s="19" t="s">
        <v>1038</v>
      </c>
      <c r="H2513" s="19" t="s">
        <v>1020</v>
      </c>
      <c r="I2513" s="19" t="s">
        <v>1575</v>
      </c>
      <c r="J2513" s="20">
        <v>47</v>
      </c>
      <c r="K2513" t="s">
        <v>668</v>
      </c>
      <c r="L2513" t="s">
        <v>691</v>
      </c>
      <c r="M2513" t="s">
        <v>657</v>
      </c>
      <c r="N2513" t="s">
        <v>658</v>
      </c>
      <c r="O2513" t="s">
        <v>632</v>
      </c>
    </row>
    <row r="2514" spans="1:15" x14ac:dyDescent="0.35">
      <c r="A2514" s="77">
        <v>0.9616438356164384</v>
      </c>
      <c r="B2514" s="19">
        <v>95980</v>
      </c>
      <c r="C2514" s="19" t="s">
        <v>4820</v>
      </c>
      <c r="D2514" s="19" t="s">
        <v>118</v>
      </c>
      <c r="E2514" s="19" t="s">
        <v>119</v>
      </c>
      <c r="F2514" s="19" t="s">
        <v>1360</v>
      </c>
      <c r="G2514" s="19" t="s">
        <v>1028</v>
      </c>
      <c r="H2514" s="19" t="s">
        <v>1020</v>
      </c>
      <c r="I2514" s="19" t="s">
        <v>1575</v>
      </c>
      <c r="J2514" s="20">
        <v>21</v>
      </c>
      <c r="K2514" t="s">
        <v>625</v>
      </c>
      <c r="L2514" t="s">
        <v>656</v>
      </c>
      <c r="M2514" t="s">
        <v>657</v>
      </c>
      <c r="N2514" t="s">
        <v>658</v>
      </c>
      <c r="O2514" t="s">
        <v>632</v>
      </c>
    </row>
    <row r="2515" spans="1:15" x14ac:dyDescent="0.35">
      <c r="A2515" s="77">
        <v>0.9616438356164384</v>
      </c>
      <c r="B2515" s="19">
        <v>95981</v>
      </c>
      <c r="C2515" s="19" t="s">
        <v>4821</v>
      </c>
      <c r="D2515" s="19" t="s">
        <v>373</v>
      </c>
      <c r="E2515" s="19" t="s">
        <v>374</v>
      </c>
      <c r="F2515" s="19" t="s">
        <v>1033</v>
      </c>
      <c r="G2515" s="19" t="s">
        <v>1028</v>
      </c>
      <c r="H2515" s="19" t="s">
        <v>1020</v>
      </c>
      <c r="I2515" s="19" t="s">
        <v>1575</v>
      </c>
      <c r="J2515" s="20">
        <v>20</v>
      </c>
      <c r="K2515" t="s">
        <v>654</v>
      </c>
      <c r="L2515" t="s">
        <v>634</v>
      </c>
      <c r="M2515" t="s">
        <v>629</v>
      </c>
      <c r="N2515" t="s">
        <v>635</v>
      </c>
      <c r="O2515" t="s">
        <v>637</v>
      </c>
    </row>
    <row r="2516" spans="1:15" x14ac:dyDescent="0.35">
      <c r="A2516" s="77">
        <v>0.9616438356164384</v>
      </c>
      <c r="B2516" s="19">
        <v>95982</v>
      </c>
      <c r="C2516" s="19" t="s">
        <v>4822</v>
      </c>
      <c r="D2516" s="19" t="s">
        <v>305</v>
      </c>
      <c r="E2516" s="19" t="s">
        <v>306</v>
      </c>
      <c r="F2516" s="19" t="s">
        <v>1086</v>
      </c>
      <c r="G2516" s="19" t="s">
        <v>1084</v>
      </c>
      <c r="H2516" s="19" t="s">
        <v>1001</v>
      </c>
      <c r="I2516" s="19" t="s">
        <v>1599</v>
      </c>
      <c r="J2516" s="20">
        <v>22</v>
      </c>
      <c r="K2516" t="s">
        <v>654</v>
      </c>
      <c r="L2516" t="s">
        <v>622</v>
      </c>
      <c r="M2516" t="s">
        <v>623</v>
      </c>
      <c r="N2516" t="s">
        <v>624</v>
      </c>
      <c r="O2516" t="s">
        <v>826</v>
      </c>
    </row>
    <row r="2517" spans="1:15" x14ac:dyDescent="0.35">
      <c r="A2517" s="77">
        <v>0.8849315068493151</v>
      </c>
      <c r="B2517" s="19">
        <v>95994</v>
      </c>
      <c r="C2517" s="19" t="s">
        <v>4823</v>
      </c>
      <c r="D2517" s="19" t="s">
        <v>268</v>
      </c>
      <c r="E2517" s="19" t="s">
        <v>269</v>
      </c>
      <c r="F2517" s="19" t="s">
        <v>2161</v>
      </c>
      <c r="G2517" s="19" t="s">
        <v>1028</v>
      </c>
      <c r="H2517" s="19" t="s">
        <v>1020</v>
      </c>
      <c r="I2517" s="19" t="s">
        <v>1575</v>
      </c>
      <c r="J2517" s="20">
        <v>42</v>
      </c>
      <c r="K2517" t="s">
        <v>654</v>
      </c>
      <c r="L2517" t="s">
        <v>666</v>
      </c>
      <c r="M2517" t="s">
        <v>629</v>
      </c>
      <c r="N2517" t="s">
        <v>635</v>
      </c>
      <c r="O2517" t="s">
        <v>637</v>
      </c>
    </row>
    <row r="2518" spans="1:15" x14ac:dyDescent="0.35">
      <c r="A2518" s="77">
        <v>1</v>
      </c>
      <c r="B2518" s="19">
        <v>96015</v>
      </c>
      <c r="C2518" s="19" t="s">
        <v>4824</v>
      </c>
      <c r="D2518" s="19" t="s">
        <v>419</v>
      </c>
      <c r="E2518" s="19" t="s">
        <v>419</v>
      </c>
      <c r="F2518" s="19" t="s">
        <v>695</v>
      </c>
      <c r="G2518" s="19" t="s">
        <v>1028</v>
      </c>
      <c r="H2518" s="19" t="s">
        <v>1020</v>
      </c>
      <c r="I2518" s="19" t="s">
        <v>1575</v>
      </c>
      <c r="J2518" s="20">
        <v>19</v>
      </c>
      <c r="K2518" t="s">
        <v>654</v>
      </c>
      <c r="L2518" t="s">
        <v>628</v>
      </c>
      <c r="M2518" t="s">
        <v>629</v>
      </c>
      <c r="N2518" t="s">
        <v>630</v>
      </c>
      <c r="O2518" t="s">
        <v>632</v>
      </c>
    </row>
    <row r="2519" spans="1:15" x14ac:dyDescent="0.35">
      <c r="A2519" s="77">
        <v>0.91506849315068495</v>
      </c>
      <c r="B2519" s="19">
        <v>96024</v>
      </c>
      <c r="C2519" s="19" t="s">
        <v>4825</v>
      </c>
      <c r="D2519" s="19" t="s">
        <v>191</v>
      </c>
      <c r="E2519" s="19" t="s">
        <v>192</v>
      </c>
      <c r="F2519" s="19" t="s">
        <v>1626</v>
      </c>
      <c r="G2519" s="19" t="s">
        <v>1028</v>
      </c>
      <c r="H2519" s="19" t="s">
        <v>1020</v>
      </c>
      <c r="I2519" s="19" t="s">
        <v>1575</v>
      </c>
      <c r="J2519" s="20">
        <v>26</v>
      </c>
      <c r="K2519" t="s">
        <v>654</v>
      </c>
      <c r="L2519" t="s">
        <v>673</v>
      </c>
      <c r="M2519" t="s">
        <v>623</v>
      </c>
      <c r="N2519" t="s">
        <v>641</v>
      </c>
      <c r="O2519" t="s">
        <v>779</v>
      </c>
    </row>
    <row r="2520" spans="1:15" x14ac:dyDescent="0.35">
      <c r="A2520" s="77">
        <v>0.21369863013698631</v>
      </c>
      <c r="B2520" s="19">
        <v>96035</v>
      </c>
      <c r="C2520" s="19" t="s">
        <v>4826</v>
      </c>
      <c r="D2520" s="19" t="s">
        <v>324</v>
      </c>
      <c r="E2520" s="19" t="s">
        <v>325</v>
      </c>
      <c r="F2520" s="19" t="s">
        <v>1284</v>
      </c>
      <c r="G2520" s="19" t="s">
        <v>1028</v>
      </c>
      <c r="H2520" s="19" t="s">
        <v>1020</v>
      </c>
      <c r="I2520" s="19" t="s">
        <v>1575</v>
      </c>
      <c r="J2520" s="20">
        <v>21</v>
      </c>
      <c r="K2520" t="s">
        <v>631</v>
      </c>
      <c r="L2520" t="s">
        <v>663</v>
      </c>
      <c r="M2520" t="s">
        <v>629</v>
      </c>
      <c r="N2520" t="s">
        <v>646</v>
      </c>
      <c r="O2520" t="s">
        <v>639</v>
      </c>
    </row>
    <row r="2521" spans="1:15" x14ac:dyDescent="0.35">
      <c r="A2521" s="77">
        <v>0.8</v>
      </c>
      <c r="B2521" s="19">
        <v>96048</v>
      </c>
      <c r="C2521" s="19" t="s">
        <v>4827</v>
      </c>
      <c r="D2521" s="19" t="s">
        <v>333</v>
      </c>
      <c r="E2521" s="19" t="s">
        <v>334</v>
      </c>
      <c r="F2521" s="19" t="s">
        <v>1333</v>
      </c>
      <c r="G2521" s="19" t="s">
        <v>1008</v>
      </c>
      <c r="H2521" s="19" t="s">
        <v>1001</v>
      </c>
      <c r="I2521" s="19" t="s">
        <v>1575</v>
      </c>
      <c r="J2521" s="20">
        <v>33</v>
      </c>
      <c r="K2521" t="s">
        <v>636</v>
      </c>
      <c r="L2521" t="s">
        <v>666</v>
      </c>
      <c r="M2521" t="s">
        <v>629</v>
      </c>
      <c r="N2521" t="s">
        <v>630</v>
      </c>
      <c r="O2521" t="s">
        <v>652</v>
      </c>
    </row>
    <row r="2522" spans="1:15" x14ac:dyDescent="0.35">
      <c r="A2522" s="77">
        <v>2.1917808219178082E-2</v>
      </c>
      <c r="B2522" s="19">
        <v>96070</v>
      </c>
      <c r="C2522" s="19" t="s">
        <v>4828</v>
      </c>
      <c r="D2522" s="19" t="s">
        <v>293</v>
      </c>
      <c r="E2522" s="19" t="s">
        <v>294</v>
      </c>
      <c r="F2522" s="19" t="s">
        <v>1794</v>
      </c>
      <c r="G2522" s="19" t="s">
        <v>1008</v>
      </c>
      <c r="H2522" s="19" t="s">
        <v>1001</v>
      </c>
      <c r="I2522" s="19" t="s">
        <v>1575</v>
      </c>
      <c r="J2522" s="20">
        <v>25</v>
      </c>
      <c r="K2522" t="s">
        <v>654</v>
      </c>
      <c r="L2522" t="s">
        <v>634</v>
      </c>
      <c r="M2522" t="s">
        <v>629</v>
      </c>
      <c r="N2522" t="s">
        <v>635</v>
      </c>
      <c r="O2522" t="s">
        <v>637</v>
      </c>
    </row>
    <row r="2523" spans="1:15" x14ac:dyDescent="0.35">
      <c r="A2523" s="77">
        <v>0.89589041095890409</v>
      </c>
      <c r="B2523" s="19">
        <v>96071</v>
      </c>
      <c r="C2523" s="19" t="s">
        <v>4829</v>
      </c>
      <c r="D2523" s="19" t="s">
        <v>293</v>
      </c>
      <c r="E2523" s="19" t="s">
        <v>294</v>
      </c>
      <c r="F2523" s="19" t="s">
        <v>1794</v>
      </c>
      <c r="G2523" s="19" t="s">
        <v>1008</v>
      </c>
      <c r="H2523" s="19" t="s">
        <v>1001</v>
      </c>
      <c r="I2523" s="19" t="s">
        <v>1575</v>
      </c>
      <c r="J2523" s="20">
        <v>21</v>
      </c>
      <c r="K2523" t="s">
        <v>654</v>
      </c>
      <c r="L2523" t="s">
        <v>634</v>
      </c>
      <c r="M2523" t="s">
        <v>629</v>
      </c>
      <c r="N2523" t="s">
        <v>635</v>
      </c>
      <c r="O2523" t="s">
        <v>637</v>
      </c>
    </row>
    <row r="2524" spans="1:15" x14ac:dyDescent="0.35">
      <c r="A2524" s="77">
        <v>0.91506849315068495</v>
      </c>
      <c r="B2524" s="19">
        <v>96099</v>
      </c>
      <c r="C2524" s="19" t="s">
        <v>4830</v>
      </c>
      <c r="D2524" s="19" t="s">
        <v>199</v>
      </c>
      <c r="E2524" s="19" t="s">
        <v>200</v>
      </c>
      <c r="F2524" s="19" t="s">
        <v>1496</v>
      </c>
      <c r="G2524" s="19" t="s">
        <v>1008</v>
      </c>
      <c r="H2524" s="19" t="s">
        <v>1001</v>
      </c>
      <c r="I2524" s="19" t="s">
        <v>1599</v>
      </c>
      <c r="J2524" s="20">
        <v>19</v>
      </c>
      <c r="K2524" t="s">
        <v>654</v>
      </c>
      <c r="L2524" t="s">
        <v>737</v>
      </c>
      <c r="M2524" t="s">
        <v>657</v>
      </c>
      <c r="N2524" t="s">
        <v>641</v>
      </c>
      <c r="O2524" t="s">
        <v>738</v>
      </c>
    </row>
    <row r="2525" spans="1:15" x14ac:dyDescent="0.35">
      <c r="A2525" s="77">
        <v>0.99178082191780825</v>
      </c>
      <c r="B2525" s="19">
        <v>96101</v>
      </c>
      <c r="C2525" s="19" t="s">
        <v>4831</v>
      </c>
      <c r="D2525" s="19" t="s">
        <v>273</v>
      </c>
      <c r="E2525" s="19" t="s">
        <v>274</v>
      </c>
      <c r="F2525" s="19" t="s">
        <v>1093</v>
      </c>
      <c r="G2525" s="19" t="s">
        <v>1008</v>
      </c>
      <c r="H2525" s="19" t="s">
        <v>1001</v>
      </c>
      <c r="I2525" s="19" t="s">
        <v>1575</v>
      </c>
      <c r="J2525" s="20">
        <v>25</v>
      </c>
      <c r="K2525" t="s">
        <v>636</v>
      </c>
      <c r="L2525" t="s">
        <v>663</v>
      </c>
      <c r="M2525" t="s">
        <v>629</v>
      </c>
      <c r="N2525" t="s">
        <v>646</v>
      </c>
      <c r="O2525" t="s">
        <v>639</v>
      </c>
    </row>
    <row r="2526" spans="1:15" x14ac:dyDescent="0.35">
      <c r="A2526" s="77">
        <v>0.73150684931506849</v>
      </c>
      <c r="B2526" s="19">
        <v>96104</v>
      </c>
      <c r="C2526" s="19" t="s">
        <v>4832</v>
      </c>
      <c r="D2526" s="19" t="s">
        <v>100</v>
      </c>
      <c r="E2526" s="19" t="s">
        <v>101</v>
      </c>
      <c r="F2526" s="19" t="s">
        <v>2786</v>
      </c>
      <c r="G2526" s="19" t="s">
        <v>1028</v>
      </c>
      <c r="H2526" s="19" t="s">
        <v>1020</v>
      </c>
      <c r="I2526" s="19" t="s">
        <v>1575</v>
      </c>
      <c r="J2526" s="20">
        <v>29</v>
      </c>
      <c r="K2526" t="s">
        <v>654</v>
      </c>
      <c r="L2526" t="s">
        <v>651</v>
      </c>
      <c r="M2526" t="s">
        <v>629</v>
      </c>
      <c r="N2526" t="s">
        <v>630</v>
      </c>
      <c r="O2526" t="s">
        <v>705</v>
      </c>
    </row>
    <row r="2527" spans="1:15" x14ac:dyDescent="0.35">
      <c r="A2527" s="77">
        <v>0.99178082191780825</v>
      </c>
      <c r="B2527" s="19">
        <v>96122</v>
      </c>
      <c r="C2527" s="19" t="s">
        <v>4833</v>
      </c>
      <c r="D2527" s="19" t="s">
        <v>149</v>
      </c>
      <c r="E2527" s="19" t="s">
        <v>150</v>
      </c>
      <c r="F2527" s="19" t="s">
        <v>1548</v>
      </c>
      <c r="G2527" s="19" t="s">
        <v>1028</v>
      </c>
      <c r="H2527" s="19" t="s">
        <v>1020</v>
      </c>
      <c r="I2527" s="19" t="s">
        <v>1575</v>
      </c>
      <c r="J2527" s="20">
        <v>21</v>
      </c>
      <c r="K2527" t="s">
        <v>654</v>
      </c>
      <c r="L2527" t="s">
        <v>648</v>
      </c>
      <c r="M2527" t="s">
        <v>623</v>
      </c>
      <c r="N2527" t="s">
        <v>624</v>
      </c>
      <c r="O2527" t="s">
        <v>725</v>
      </c>
    </row>
    <row r="2528" spans="1:15" x14ac:dyDescent="0.35">
      <c r="A2528" s="77">
        <v>0.99726027397260275</v>
      </c>
      <c r="B2528" s="19">
        <v>96123</v>
      </c>
      <c r="C2528" s="19" t="s">
        <v>4834</v>
      </c>
      <c r="D2528" s="19" t="s">
        <v>397</v>
      </c>
      <c r="E2528" s="19" t="s">
        <v>398</v>
      </c>
      <c r="F2528" s="19" t="s">
        <v>867</v>
      </c>
      <c r="G2528" s="19" t="s">
        <v>1008</v>
      </c>
      <c r="H2528" s="19" t="s">
        <v>1001</v>
      </c>
      <c r="I2528" s="19" t="s">
        <v>1575</v>
      </c>
      <c r="J2528" s="20">
        <v>21</v>
      </c>
      <c r="K2528" t="s">
        <v>625</v>
      </c>
      <c r="L2528" t="s">
        <v>634</v>
      </c>
      <c r="M2528" t="s">
        <v>629</v>
      </c>
      <c r="N2528" t="s">
        <v>635</v>
      </c>
      <c r="O2528" t="s">
        <v>637</v>
      </c>
    </row>
    <row r="2529" spans="1:15" x14ac:dyDescent="0.35">
      <c r="A2529" s="77">
        <v>0.60821917808219184</v>
      </c>
      <c r="B2529" s="19">
        <v>96127</v>
      </c>
      <c r="C2529" s="19" t="s">
        <v>4835</v>
      </c>
      <c r="D2529" s="19" t="s">
        <v>320</v>
      </c>
      <c r="E2529" s="19" t="s">
        <v>321</v>
      </c>
      <c r="F2529" s="19" t="s">
        <v>1205</v>
      </c>
      <c r="G2529" s="19" t="s">
        <v>1008</v>
      </c>
      <c r="H2529" s="19" t="s">
        <v>1001</v>
      </c>
      <c r="I2529" s="19" t="s">
        <v>1575</v>
      </c>
      <c r="J2529" s="20">
        <v>19</v>
      </c>
      <c r="K2529" t="s">
        <v>668</v>
      </c>
      <c r="L2529" t="s">
        <v>707</v>
      </c>
      <c r="M2529" t="s">
        <v>629</v>
      </c>
      <c r="N2529" t="s">
        <v>635</v>
      </c>
      <c r="O2529" t="s">
        <v>708</v>
      </c>
    </row>
    <row r="2530" spans="1:15" x14ac:dyDescent="0.35">
      <c r="A2530" s="77">
        <v>0.989041095890411</v>
      </c>
      <c r="B2530" s="19">
        <v>96132</v>
      </c>
      <c r="C2530" s="19" t="s">
        <v>1647</v>
      </c>
      <c r="D2530" s="19" t="s">
        <v>62</v>
      </c>
      <c r="E2530" s="19" t="s">
        <v>63</v>
      </c>
      <c r="F2530" s="19" t="s">
        <v>1228</v>
      </c>
      <c r="G2530" s="19" t="s">
        <v>1028</v>
      </c>
      <c r="H2530" s="19" t="s">
        <v>1020</v>
      </c>
      <c r="I2530" s="19" t="s">
        <v>1575</v>
      </c>
      <c r="J2530" s="20">
        <v>24</v>
      </c>
      <c r="K2530" t="s">
        <v>636</v>
      </c>
      <c r="L2530" t="s">
        <v>645</v>
      </c>
      <c r="M2530" t="s">
        <v>629</v>
      </c>
      <c r="N2530" t="s">
        <v>646</v>
      </c>
      <c r="O2530" t="s">
        <v>632</v>
      </c>
    </row>
    <row r="2531" spans="1:15" x14ac:dyDescent="0.35">
      <c r="A2531" s="77">
        <v>0.9616438356164384</v>
      </c>
      <c r="B2531" s="19">
        <v>96157</v>
      </c>
      <c r="C2531" s="19" t="s">
        <v>4836</v>
      </c>
      <c r="D2531" s="19" t="s">
        <v>422</v>
      </c>
      <c r="E2531" s="19" t="s">
        <v>422</v>
      </c>
      <c r="F2531" s="19" t="s">
        <v>423</v>
      </c>
      <c r="G2531" s="19" t="s">
        <v>1008</v>
      </c>
      <c r="H2531" s="19" t="s">
        <v>1001</v>
      </c>
      <c r="I2531" s="19" t="s">
        <v>1575</v>
      </c>
      <c r="J2531" s="20">
        <v>31</v>
      </c>
      <c r="K2531" t="s">
        <v>654</v>
      </c>
      <c r="L2531" t="s">
        <v>673</v>
      </c>
      <c r="M2531" t="s">
        <v>623</v>
      </c>
      <c r="N2531" t="s">
        <v>641</v>
      </c>
      <c r="O2531" t="s">
        <v>697</v>
      </c>
    </row>
    <row r="2532" spans="1:15" x14ac:dyDescent="0.35">
      <c r="A2532" s="77">
        <v>0.9506849315068493</v>
      </c>
      <c r="B2532" s="19">
        <v>96170</v>
      </c>
      <c r="C2532" s="19" t="s">
        <v>4837</v>
      </c>
      <c r="D2532" s="19" t="s">
        <v>113</v>
      </c>
      <c r="E2532" s="19" t="s">
        <v>114</v>
      </c>
      <c r="F2532" s="19" t="s">
        <v>1871</v>
      </c>
      <c r="G2532" s="19" t="s">
        <v>1019</v>
      </c>
      <c r="H2532" s="19" t="s">
        <v>1020</v>
      </c>
      <c r="I2532" s="19" t="s">
        <v>1599</v>
      </c>
      <c r="J2532" s="20">
        <v>22</v>
      </c>
      <c r="K2532" t="s">
        <v>654</v>
      </c>
      <c r="L2532" t="s">
        <v>661</v>
      </c>
      <c r="M2532" t="s">
        <v>657</v>
      </c>
      <c r="N2532" t="s">
        <v>662</v>
      </c>
      <c r="O2532" t="s">
        <v>632</v>
      </c>
    </row>
    <row r="2533" spans="1:15" x14ac:dyDescent="0.35">
      <c r="A2533" s="77">
        <v>0.9506849315068493</v>
      </c>
      <c r="B2533" s="19">
        <v>96180</v>
      </c>
      <c r="C2533" s="19" t="s">
        <v>4838</v>
      </c>
      <c r="D2533" s="19" t="s">
        <v>266</v>
      </c>
      <c r="E2533" s="19" t="s">
        <v>267</v>
      </c>
      <c r="F2533" s="19" t="s">
        <v>2070</v>
      </c>
      <c r="G2533" s="19" t="s">
        <v>1028</v>
      </c>
      <c r="H2533" s="19" t="s">
        <v>1020</v>
      </c>
      <c r="I2533" s="19" t="s">
        <v>1575</v>
      </c>
      <c r="J2533" s="20">
        <v>21</v>
      </c>
      <c r="K2533" t="s">
        <v>636</v>
      </c>
      <c r="L2533" t="s">
        <v>634</v>
      </c>
      <c r="M2533" t="s">
        <v>629</v>
      </c>
      <c r="N2533" t="s">
        <v>635</v>
      </c>
      <c r="O2533" t="s">
        <v>637</v>
      </c>
    </row>
    <row r="2534" spans="1:15" x14ac:dyDescent="0.35">
      <c r="A2534" s="77">
        <v>0.9506849315068493</v>
      </c>
      <c r="B2534" s="19">
        <v>96199</v>
      </c>
      <c r="C2534" s="19" t="s">
        <v>4839</v>
      </c>
      <c r="D2534" s="19" t="s">
        <v>105</v>
      </c>
      <c r="E2534" s="19" t="s">
        <v>106</v>
      </c>
      <c r="F2534" s="19" t="s">
        <v>1207</v>
      </c>
      <c r="G2534" s="19" t="s">
        <v>1057</v>
      </c>
      <c r="H2534" s="19" t="s">
        <v>1001</v>
      </c>
      <c r="I2534" s="19" t="s">
        <v>1575</v>
      </c>
      <c r="J2534" s="20">
        <v>36</v>
      </c>
      <c r="K2534" t="s">
        <v>654</v>
      </c>
      <c r="L2534" t="s">
        <v>622</v>
      </c>
      <c r="M2534" t="s">
        <v>623</v>
      </c>
      <c r="N2534" t="s">
        <v>624</v>
      </c>
      <c r="O2534" t="s">
        <v>626</v>
      </c>
    </row>
    <row r="2535" spans="1:15" x14ac:dyDescent="0.35">
      <c r="A2535" s="77">
        <v>0.95342465753424654</v>
      </c>
      <c r="B2535" s="19">
        <v>96217</v>
      </c>
      <c r="C2535" s="19" t="s">
        <v>4840</v>
      </c>
      <c r="D2535" s="19" t="s">
        <v>193</v>
      </c>
      <c r="E2535" s="19" t="s">
        <v>194</v>
      </c>
      <c r="F2535" s="19" t="s">
        <v>2422</v>
      </c>
      <c r="G2535" s="19" t="s">
        <v>1028</v>
      </c>
      <c r="H2535" s="19" t="s">
        <v>1020</v>
      </c>
      <c r="I2535" s="19" t="s">
        <v>1575</v>
      </c>
      <c r="J2535" s="20">
        <v>22</v>
      </c>
      <c r="K2535" t="s">
        <v>654</v>
      </c>
      <c r="L2535" t="s">
        <v>670</v>
      </c>
      <c r="M2535" t="s">
        <v>657</v>
      </c>
      <c r="N2535" t="s">
        <v>641</v>
      </c>
      <c r="O2535" t="s">
        <v>676</v>
      </c>
    </row>
    <row r="2536" spans="1:15" x14ac:dyDescent="0.35">
      <c r="A2536" s="77">
        <v>0.94794520547945205</v>
      </c>
      <c r="B2536" s="19">
        <v>96218</v>
      </c>
      <c r="C2536" s="19" t="s">
        <v>4841</v>
      </c>
      <c r="D2536" s="19" t="s">
        <v>243</v>
      </c>
      <c r="E2536" s="19" t="s">
        <v>244</v>
      </c>
      <c r="F2536" s="19" t="s">
        <v>1318</v>
      </c>
      <c r="G2536" s="19" t="s">
        <v>1028</v>
      </c>
      <c r="H2536" s="19" t="s">
        <v>1020</v>
      </c>
      <c r="I2536" s="19" t="s">
        <v>1575</v>
      </c>
      <c r="J2536" s="20">
        <v>27</v>
      </c>
      <c r="K2536" t="s">
        <v>631</v>
      </c>
      <c r="L2536" t="s">
        <v>707</v>
      </c>
      <c r="M2536" t="s">
        <v>629</v>
      </c>
      <c r="N2536" t="s">
        <v>635</v>
      </c>
      <c r="O2536" t="s">
        <v>710</v>
      </c>
    </row>
    <row r="2537" spans="1:15" x14ac:dyDescent="0.35">
      <c r="A2537" s="77">
        <v>0.94794520547945205</v>
      </c>
      <c r="B2537" s="19">
        <v>96223</v>
      </c>
      <c r="C2537" s="19" t="s">
        <v>4842</v>
      </c>
      <c r="D2537" s="19" t="s">
        <v>431</v>
      </c>
      <c r="E2537" s="19" t="e">
        <v>#N/A</v>
      </c>
      <c r="F2537" s="19" t="s">
        <v>709</v>
      </c>
      <c r="G2537" s="19" t="s">
        <v>1028</v>
      </c>
      <c r="H2537" s="19" t="s">
        <v>1020</v>
      </c>
      <c r="I2537" s="19" t="s">
        <v>1575</v>
      </c>
      <c r="J2537" s="20">
        <v>18</v>
      </c>
      <c r="K2537" t="s">
        <v>654</v>
      </c>
      <c r="L2537" t="s">
        <v>707</v>
      </c>
      <c r="M2537" t="s">
        <v>629</v>
      </c>
      <c r="N2537" t="s">
        <v>635</v>
      </c>
      <c r="O2537" t="s">
        <v>710</v>
      </c>
    </row>
    <row r="2538" spans="1:15" x14ac:dyDescent="0.35">
      <c r="A2538" s="77">
        <v>0.93698630136986305</v>
      </c>
      <c r="B2538" s="19">
        <v>96234</v>
      </c>
      <c r="C2538" s="19" t="s">
        <v>4843</v>
      </c>
      <c r="D2538" s="19" t="s">
        <v>109</v>
      </c>
      <c r="E2538" s="19" t="s">
        <v>110</v>
      </c>
      <c r="F2538" s="19" t="s">
        <v>2347</v>
      </c>
      <c r="G2538" s="19" t="s">
        <v>1008</v>
      </c>
      <c r="H2538" s="19" t="s">
        <v>1001</v>
      </c>
      <c r="I2538" s="19" t="s">
        <v>1575</v>
      </c>
      <c r="J2538" s="20">
        <v>20</v>
      </c>
      <c r="K2538" t="s">
        <v>654</v>
      </c>
      <c r="L2538" t="s">
        <v>684</v>
      </c>
      <c r="M2538" t="s">
        <v>623</v>
      </c>
      <c r="N2538" t="s">
        <v>662</v>
      </c>
      <c r="O2538" t="s">
        <v>685</v>
      </c>
    </row>
    <row r="2539" spans="1:15" x14ac:dyDescent="0.35">
      <c r="A2539" s="77">
        <v>0.9452054794520548</v>
      </c>
      <c r="B2539" s="19">
        <v>96248</v>
      </c>
      <c r="C2539" s="19" t="s">
        <v>4844</v>
      </c>
      <c r="D2539" s="19" t="s">
        <v>78</v>
      </c>
      <c r="E2539" s="19" t="s">
        <v>79</v>
      </c>
      <c r="F2539" s="19" t="s">
        <v>1107</v>
      </c>
      <c r="G2539" s="19" t="s">
        <v>1084</v>
      </c>
      <c r="H2539" s="19" t="s">
        <v>1020</v>
      </c>
      <c r="I2539" s="19" t="s">
        <v>1575</v>
      </c>
      <c r="J2539" s="20">
        <v>45</v>
      </c>
      <c r="K2539" t="s">
        <v>654</v>
      </c>
      <c r="L2539" t="s">
        <v>661</v>
      </c>
      <c r="M2539" t="s">
        <v>657</v>
      </c>
      <c r="N2539" t="s">
        <v>658</v>
      </c>
      <c r="O2539" t="s">
        <v>632</v>
      </c>
    </row>
    <row r="2540" spans="1:15" x14ac:dyDescent="0.35">
      <c r="A2540" s="77">
        <v>0.94246575342465755</v>
      </c>
      <c r="B2540" s="19">
        <v>96269</v>
      </c>
      <c r="C2540" s="19" t="s">
        <v>4845</v>
      </c>
      <c r="D2540" s="19" t="s">
        <v>337</v>
      </c>
      <c r="E2540" s="19" t="s">
        <v>338</v>
      </c>
      <c r="F2540" s="19" t="s">
        <v>2642</v>
      </c>
      <c r="G2540" s="19" t="s">
        <v>1028</v>
      </c>
      <c r="H2540" s="19" t="s">
        <v>1020</v>
      </c>
      <c r="I2540" s="19" t="s">
        <v>1575</v>
      </c>
      <c r="J2540" s="20">
        <v>32</v>
      </c>
      <c r="K2540" t="s">
        <v>668</v>
      </c>
      <c r="L2540" t="s">
        <v>656</v>
      </c>
      <c r="M2540" t="s">
        <v>657</v>
      </c>
      <c r="N2540" t="s">
        <v>658</v>
      </c>
      <c r="O2540" t="s">
        <v>843</v>
      </c>
    </row>
    <row r="2541" spans="1:15" x14ac:dyDescent="0.35">
      <c r="A2541" s="77">
        <v>0.94246575342465755</v>
      </c>
      <c r="B2541" s="19">
        <v>96273</v>
      </c>
      <c r="C2541" s="19" t="s">
        <v>4846</v>
      </c>
      <c r="D2541" s="19" t="s">
        <v>218</v>
      </c>
      <c r="E2541" s="19" t="s">
        <v>219</v>
      </c>
      <c r="F2541" s="19" t="s">
        <v>1372</v>
      </c>
      <c r="G2541" s="19" t="s">
        <v>1028</v>
      </c>
      <c r="H2541" s="19" t="s">
        <v>1020</v>
      </c>
      <c r="I2541" s="19" t="s">
        <v>1575</v>
      </c>
      <c r="J2541" s="20">
        <v>19</v>
      </c>
      <c r="K2541" t="s">
        <v>625</v>
      </c>
      <c r="L2541" t="s">
        <v>661</v>
      </c>
      <c r="M2541" t="s">
        <v>657</v>
      </c>
      <c r="N2541" t="s">
        <v>662</v>
      </c>
      <c r="O2541" t="s">
        <v>632</v>
      </c>
    </row>
    <row r="2542" spans="1:15" x14ac:dyDescent="0.35">
      <c r="A2542" s="77">
        <v>0.94246575342465755</v>
      </c>
      <c r="B2542" s="19">
        <v>96278</v>
      </c>
      <c r="C2542" s="19" t="s">
        <v>4847</v>
      </c>
      <c r="D2542" s="19" t="s">
        <v>243</v>
      </c>
      <c r="E2542" s="19" t="s">
        <v>244</v>
      </c>
      <c r="F2542" s="19" t="s">
        <v>1318</v>
      </c>
      <c r="G2542" s="19" t="s">
        <v>1028</v>
      </c>
      <c r="H2542" s="19" t="s">
        <v>1020</v>
      </c>
      <c r="I2542" s="19" t="s">
        <v>1575</v>
      </c>
      <c r="J2542" s="20">
        <v>22</v>
      </c>
      <c r="K2542" t="s">
        <v>631</v>
      </c>
      <c r="L2542" t="s">
        <v>707</v>
      </c>
      <c r="M2542" t="s">
        <v>629</v>
      </c>
      <c r="N2542" t="s">
        <v>635</v>
      </c>
      <c r="O2542" t="s">
        <v>710</v>
      </c>
    </row>
    <row r="2543" spans="1:15" x14ac:dyDescent="0.35">
      <c r="A2543" s="77">
        <v>0.94246575342465755</v>
      </c>
      <c r="B2543" s="19">
        <v>96285</v>
      </c>
      <c r="C2543" s="19" t="s">
        <v>4848</v>
      </c>
      <c r="D2543" s="19" t="s">
        <v>186</v>
      </c>
      <c r="E2543" s="19" t="s">
        <v>187</v>
      </c>
      <c r="F2543" s="19" t="s">
        <v>1164</v>
      </c>
      <c r="G2543" s="19" t="s">
        <v>1028</v>
      </c>
      <c r="H2543" s="19" t="s">
        <v>1020</v>
      </c>
      <c r="I2543" s="19" t="s">
        <v>1599</v>
      </c>
      <c r="J2543" s="20">
        <v>23</v>
      </c>
      <c r="K2543" t="s">
        <v>642</v>
      </c>
      <c r="L2543" t="s">
        <v>648</v>
      </c>
      <c r="M2543" t="s">
        <v>623</v>
      </c>
      <c r="N2543" t="s">
        <v>624</v>
      </c>
      <c r="O2543" t="s">
        <v>649</v>
      </c>
    </row>
    <row r="2544" spans="1:15" x14ac:dyDescent="0.35">
      <c r="A2544" s="77">
        <v>0.94246575342465755</v>
      </c>
      <c r="B2544" s="19">
        <v>96289</v>
      </c>
      <c r="C2544" s="19" t="s">
        <v>4849</v>
      </c>
      <c r="D2544" s="19" t="s">
        <v>235</v>
      </c>
      <c r="E2544" s="19" t="s">
        <v>236</v>
      </c>
      <c r="F2544" s="19" t="s">
        <v>1457</v>
      </c>
      <c r="G2544" s="19" t="s">
        <v>1008</v>
      </c>
      <c r="H2544" s="19" t="s">
        <v>1001</v>
      </c>
      <c r="I2544" s="19" t="s">
        <v>1575</v>
      </c>
      <c r="J2544" s="20">
        <v>41</v>
      </c>
      <c r="K2544" t="s">
        <v>654</v>
      </c>
      <c r="L2544" t="s">
        <v>707</v>
      </c>
      <c r="M2544" t="s">
        <v>629</v>
      </c>
      <c r="N2544" t="s">
        <v>635</v>
      </c>
      <c r="O2544" t="s">
        <v>710</v>
      </c>
    </row>
    <row r="2545" spans="1:15" x14ac:dyDescent="0.35">
      <c r="A2545" s="77">
        <v>0.94246575342465755</v>
      </c>
      <c r="B2545" s="19">
        <v>96291</v>
      </c>
      <c r="C2545" s="19" t="s">
        <v>4850</v>
      </c>
      <c r="D2545" s="19" t="s">
        <v>407</v>
      </c>
      <c r="E2545" s="19" t="s">
        <v>408</v>
      </c>
      <c r="F2545" s="19" t="s">
        <v>1230</v>
      </c>
      <c r="G2545" s="19" t="s">
        <v>1008</v>
      </c>
      <c r="H2545" s="19" t="s">
        <v>1001</v>
      </c>
      <c r="I2545" s="19" t="s">
        <v>1599</v>
      </c>
      <c r="J2545" s="20">
        <v>22</v>
      </c>
      <c r="K2545" t="s">
        <v>636</v>
      </c>
      <c r="L2545" t="s">
        <v>622</v>
      </c>
      <c r="M2545" t="s">
        <v>623</v>
      </c>
      <c r="N2545" t="s">
        <v>624</v>
      </c>
      <c r="O2545" t="s">
        <v>730</v>
      </c>
    </row>
    <row r="2546" spans="1:15" x14ac:dyDescent="0.35">
      <c r="A2546" s="77">
        <v>0.94794520547945205</v>
      </c>
      <c r="B2546" s="19">
        <v>96292</v>
      </c>
      <c r="C2546" s="19" t="s">
        <v>4851</v>
      </c>
      <c r="D2546" s="19" t="s">
        <v>343</v>
      </c>
      <c r="E2546" s="19" t="s">
        <v>344</v>
      </c>
      <c r="F2546" s="19" t="s">
        <v>846</v>
      </c>
      <c r="G2546" s="19" t="s">
        <v>1019</v>
      </c>
      <c r="H2546" s="19" t="s">
        <v>1020</v>
      </c>
      <c r="I2546" s="19" t="s">
        <v>1599</v>
      </c>
      <c r="J2546" s="20">
        <v>19</v>
      </c>
      <c r="K2546" t="s">
        <v>642</v>
      </c>
      <c r="L2546" t="s">
        <v>645</v>
      </c>
      <c r="M2546" t="s">
        <v>629</v>
      </c>
      <c r="N2546" t="s">
        <v>646</v>
      </c>
      <c r="O2546" t="s">
        <v>632</v>
      </c>
    </row>
    <row r="2547" spans="1:15" x14ac:dyDescent="0.35">
      <c r="A2547" s="77">
        <v>0.94794520547945205</v>
      </c>
      <c r="B2547" s="19">
        <v>96296</v>
      </c>
      <c r="C2547" s="19" t="s">
        <v>4852</v>
      </c>
      <c r="D2547" s="19" t="s">
        <v>191</v>
      </c>
      <c r="E2547" s="19" t="s">
        <v>192</v>
      </c>
      <c r="F2547" s="19" t="s">
        <v>1626</v>
      </c>
      <c r="G2547" s="19" t="s">
        <v>1028</v>
      </c>
      <c r="H2547" s="19" t="s">
        <v>1020</v>
      </c>
      <c r="I2547" s="19" t="s">
        <v>1599</v>
      </c>
      <c r="J2547" s="20">
        <v>23</v>
      </c>
      <c r="K2547" t="s">
        <v>654</v>
      </c>
      <c r="L2547" t="s">
        <v>673</v>
      </c>
      <c r="M2547" t="s">
        <v>623</v>
      </c>
      <c r="N2547" t="s">
        <v>641</v>
      </c>
      <c r="O2547" t="s">
        <v>779</v>
      </c>
    </row>
    <row r="2548" spans="1:15" x14ac:dyDescent="0.35">
      <c r="A2548" s="77">
        <v>0.9342465753424658</v>
      </c>
      <c r="B2548" s="19">
        <v>96309</v>
      </c>
      <c r="C2548" s="19" t="s">
        <v>4853</v>
      </c>
      <c r="D2548" s="19" t="s">
        <v>431</v>
      </c>
      <c r="E2548" s="19" t="e">
        <v>#N/A</v>
      </c>
      <c r="F2548" s="19" t="s">
        <v>709</v>
      </c>
      <c r="G2548" s="19" t="s">
        <v>1019</v>
      </c>
      <c r="H2548" s="19" t="s">
        <v>1020</v>
      </c>
      <c r="I2548" s="19" t="s">
        <v>1575</v>
      </c>
      <c r="J2548" s="20">
        <v>19</v>
      </c>
      <c r="K2548" t="s">
        <v>654</v>
      </c>
      <c r="L2548" t="s">
        <v>707</v>
      </c>
      <c r="M2548" t="s">
        <v>629</v>
      </c>
      <c r="N2548" t="s">
        <v>635</v>
      </c>
      <c r="O2548" t="s">
        <v>710</v>
      </c>
    </row>
    <row r="2549" spans="1:15" x14ac:dyDescent="0.35">
      <c r="A2549" s="77">
        <v>0.9342465753424658</v>
      </c>
      <c r="B2549" s="19">
        <v>96312</v>
      </c>
      <c r="C2549" s="19" t="s">
        <v>4854</v>
      </c>
      <c r="D2549" s="19" t="s">
        <v>431</v>
      </c>
      <c r="E2549" s="19" t="e">
        <v>#N/A</v>
      </c>
      <c r="F2549" s="19" t="s">
        <v>709</v>
      </c>
      <c r="G2549" s="19" t="s">
        <v>1028</v>
      </c>
      <c r="H2549" s="19" t="s">
        <v>1020</v>
      </c>
      <c r="I2549" s="19" t="s">
        <v>1575</v>
      </c>
      <c r="J2549" s="20">
        <v>18</v>
      </c>
      <c r="K2549" t="s">
        <v>654</v>
      </c>
      <c r="L2549" t="s">
        <v>707</v>
      </c>
      <c r="M2549" t="s">
        <v>629</v>
      </c>
      <c r="N2549" t="s">
        <v>635</v>
      </c>
      <c r="O2549" t="s">
        <v>710</v>
      </c>
    </row>
    <row r="2550" spans="1:15" x14ac:dyDescent="0.35">
      <c r="A2550" s="77">
        <v>0.9452054794520548</v>
      </c>
      <c r="B2550" s="19">
        <v>96314</v>
      </c>
      <c r="C2550" s="19" t="s">
        <v>4855</v>
      </c>
      <c r="D2550" s="19" t="s">
        <v>45</v>
      </c>
      <c r="E2550" s="19" t="s">
        <v>46</v>
      </c>
      <c r="F2550" s="19" t="s">
        <v>1122</v>
      </c>
      <c r="G2550" s="19" t="s">
        <v>1028</v>
      </c>
      <c r="H2550" s="19" t="s">
        <v>1020</v>
      </c>
      <c r="I2550" s="19" t="s">
        <v>1575</v>
      </c>
      <c r="J2550" s="20">
        <v>19</v>
      </c>
      <c r="K2550" t="s">
        <v>631</v>
      </c>
      <c r="L2550" t="s">
        <v>651</v>
      </c>
      <c r="M2550" t="s">
        <v>629</v>
      </c>
      <c r="N2550" t="s">
        <v>630</v>
      </c>
      <c r="O2550" t="s">
        <v>705</v>
      </c>
    </row>
    <row r="2551" spans="1:15" x14ac:dyDescent="0.35">
      <c r="A2551" s="77">
        <v>0.9342465753424658</v>
      </c>
      <c r="B2551" s="19">
        <v>96315</v>
      </c>
      <c r="C2551" s="19" t="s">
        <v>4856</v>
      </c>
      <c r="D2551" s="19" t="s">
        <v>600</v>
      </c>
      <c r="E2551" s="19" t="e">
        <v>#N/A</v>
      </c>
      <c r="F2551" s="19" t="s">
        <v>1201</v>
      </c>
      <c r="G2551" s="19" t="s">
        <v>1028</v>
      </c>
      <c r="H2551" s="19" t="s">
        <v>1020</v>
      </c>
      <c r="I2551" s="19" t="s">
        <v>1575</v>
      </c>
      <c r="J2551" s="20">
        <v>19</v>
      </c>
      <c r="K2551" t="s">
        <v>668</v>
      </c>
      <c r="L2551" t="s">
        <v>622</v>
      </c>
      <c r="M2551" t="s">
        <v>623</v>
      </c>
      <c r="N2551" t="s">
        <v>624</v>
      </c>
      <c r="O2551" t="s">
        <v>649</v>
      </c>
    </row>
    <row r="2552" spans="1:15" x14ac:dyDescent="0.35">
      <c r="A2552" s="77">
        <v>0.22465753424657534</v>
      </c>
      <c r="B2552" s="19">
        <v>96321</v>
      </c>
      <c r="C2552" s="19" t="s">
        <v>4857</v>
      </c>
      <c r="D2552" s="19" t="s">
        <v>16</v>
      </c>
      <c r="E2552" s="19" t="s">
        <v>16</v>
      </c>
      <c r="F2552" s="19" t="s">
        <v>1211</v>
      </c>
      <c r="G2552" s="19" t="s">
        <v>1028</v>
      </c>
      <c r="H2552" s="19" t="s">
        <v>1020</v>
      </c>
      <c r="I2552" s="19" t="s">
        <v>1599</v>
      </c>
      <c r="J2552" s="20">
        <v>19</v>
      </c>
      <c r="K2552" t="s">
        <v>631</v>
      </c>
      <c r="L2552" t="s">
        <v>645</v>
      </c>
      <c r="M2552" t="s">
        <v>629</v>
      </c>
      <c r="N2552" t="s">
        <v>646</v>
      </c>
      <c r="O2552" t="s">
        <v>632</v>
      </c>
    </row>
    <row r="2553" spans="1:15" x14ac:dyDescent="0.35">
      <c r="A2553" s="77">
        <v>0.9342465753424658</v>
      </c>
      <c r="B2553" s="19">
        <v>96327</v>
      </c>
      <c r="C2553" s="19" t="s">
        <v>4858</v>
      </c>
      <c r="D2553" s="19" t="s">
        <v>171</v>
      </c>
      <c r="E2553" s="19" t="s">
        <v>172</v>
      </c>
      <c r="F2553" s="19" t="s">
        <v>2239</v>
      </c>
      <c r="G2553" s="19" t="s">
        <v>1057</v>
      </c>
      <c r="H2553" s="19" t="s">
        <v>1001</v>
      </c>
      <c r="I2553" s="19" t="s">
        <v>1575</v>
      </c>
      <c r="J2553" s="20">
        <v>21</v>
      </c>
      <c r="K2553" t="s">
        <v>654</v>
      </c>
      <c r="L2553" t="s">
        <v>661</v>
      </c>
      <c r="M2553" t="s">
        <v>657</v>
      </c>
      <c r="N2553" t="s">
        <v>662</v>
      </c>
      <c r="O2553" t="s">
        <v>632</v>
      </c>
    </row>
    <row r="2554" spans="1:15" x14ac:dyDescent="0.35">
      <c r="A2554" s="77">
        <v>0.9342465753424658</v>
      </c>
      <c r="B2554" s="19">
        <v>96328</v>
      </c>
      <c r="C2554" s="19" t="s">
        <v>4859</v>
      </c>
      <c r="D2554" s="19" t="s">
        <v>12</v>
      </c>
      <c r="E2554" s="19" t="s">
        <v>12</v>
      </c>
      <c r="F2554" s="19" t="s">
        <v>1145</v>
      </c>
      <c r="G2554" s="19" t="s">
        <v>1057</v>
      </c>
      <c r="H2554" s="19" t="s">
        <v>1001</v>
      </c>
      <c r="I2554" s="19" t="s">
        <v>1575</v>
      </c>
      <c r="J2554" s="20">
        <v>21</v>
      </c>
      <c r="K2554" t="s">
        <v>636</v>
      </c>
      <c r="L2554" t="s">
        <v>634</v>
      </c>
      <c r="M2554" t="s">
        <v>629</v>
      </c>
      <c r="N2554" t="s">
        <v>635</v>
      </c>
      <c r="O2554" t="s">
        <v>637</v>
      </c>
    </row>
    <row r="2555" spans="1:15" x14ac:dyDescent="0.35">
      <c r="A2555" s="77">
        <v>0.93150684931506844</v>
      </c>
      <c r="B2555" s="19">
        <v>96340</v>
      </c>
      <c r="C2555" s="19" t="s">
        <v>4860</v>
      </c>
      <c r="D2555" s="19" t="s">
        <v>49</v>
      </c>
      <c r="E2555" s="19" t="s">
        <v>50</v>
      </c>
      <c r="F2555" s="19" t="s">
        <v>1213</v>
      </c>
      <c r="G2555" s="19" t="s">
        <v>1028</v>
      </c>
      <c r="H2555" s="19" t="s">
        <v>1020</v>
      </c>
      <c r="I2555" s="19" t="s">
        <v>1575</v>
      </c>
      <c r="J2555" s="20">
        <v>22</v>
      </c>
      <c r="K2555" t="s">
        <v>625</v>
      </c>
      <c r="L2555" t="s">
        <v>648</v>
      </c>
      <c r="M2555" t="s">
        <v>623</v>
      </c>
      <c r="N2555" t="s">
        <v>624</v>
      </c>
      <c r="O2555" t="s">
        <v>649</v>
      </c>
    </row>
    <row r="2556" spans="1:15" x14ac:dyDescent="0.35">
      <c r="A2556" s="77">
        <v>0.93150684931506844</v>
      </c>
      <c r="B2556" s="19">
        <v>96346</v>
      </c>
      <c r="C2556" s="19" t="s">
        <v>4861</v>
      </c>
      <c r="D2556" s="19" t="s">
        <v>286</v>
      </c>
      <c r="E2556" s="19" t="s">
        <v>287</v>
      </c>
      <c r="F2556" s="19" t="s">
        <v>1675</v>
      </c>
      <c r="G2556" s="19" t="s">
        <v>1028</v>
      </c>
      <c r="H2556" s="19" t="s">
        <v>1020</v>
      </c>
      <c r="I2556" s="19" t="s">
        <v>1575</v>
      </c>
      <c r="J2556" s="20">
        <v>22</v>
      </c>
      <c r="K2556" t="s">
        <v>668</v>
      </c>
      <c r="L2556" t="s">
        <v>640</v>
      </c>
      <c r="M2556" t="s">
        <v>623</v>
      </c>
      <c r="N2556" t="s">
        <v>641</v>
      </c>
      <c r="O2556" t="s">
        <v>754</v>
      </c>
    </row>
    <row r="2557" spans="1:15" x14ac:dyDescent="0.35">
      <c r="A2557" s="77">
        <v>0.93150684931506844</v>
      </c>
      <c r="B2557" s="19">
        <v>96349</v>
      </c>
      <c r="C2557" s="19" t="s">
        <v>4862</v>
      </c>
      <c r="D2557" s="19" t="s">
        <v>243</v>
      </c>
      <c r="E2557" s="19" t="s">
        <v>244</v>
      </c>
      <c r="F2557" s="19" t="s">
        <v>1318</v>
      </c>
      <c r="G2557" s="19" t="s">
        <v>1008</v>
      </c>
      <c r="H2557" s="19" t="s">
        <v>1001</v>
      </c>
      <c r="I2557" s="19" t="s">
        <v>1575</v>
      </c>
      <c r="J2557" s="20">
        <v>25</v>
      </c>
      <c r="K2557" t="s">
        <v>631</v>
      </c>
      <c r="L2557" t="s">
        <v>707</v>
      </c>
      <c r="M2557" t="s">
        <v>629</v>
      </c>
      <c r="N2557" t="s">
        <v>635</v>
      </c>
      <c r="O2557" t="s">
        <v>710</v>
      </c>
    </row>
    <row r="2558" spans="1:15" x14ac:dyDescent="0.35">
      <c r="A2558" s="77">
        <v>0.92876712328767119</v>
      </c>
      <c r="B2558" s="19">
        <v>96353</v>
      </c>
      <c r="C2558" s="19" t="s">
        <v>4863</v>
      </c>
      <c r="D2558" s="19" t="s">
        <v>333</v>
      </c>
      <c r="E2558" s="19" t="s">
        <v>334</v>
      </c>
      <c r="F2558" s="19" t="s">
        <v>1333</v>
      </c>
      <c r="G2558" s="19" t="s">
        <v>1084</v>
      </c>
      <c r="H2558" s="19" t="s">
        <v>1001</v>
      </c>
      <c r="I2558" s="19" t="s">
        <v>1599</v>
      </c>
      <c r="J2558" s="20">
        <v>34</v>
      </c>
      <c r="K2558" t="s">
        <v>636</v>
      </c>
      <c r="L2558" t="s">
        <v>666</v>
      </c>
      <c r="M2558" t="s">
        <v>629</v>
      </c>
      <c r="N2558" t="s">
        <v>630</v>
      </c>
      <c r="O2558" t="s">
        <v>652</v>
      </c>
    </row>
    <row r="2559" spans="1:15" x14ac:dyDescent="0.35">
      <c r="A2559" s="77">
        <v>0.91506849315068495</v>
      </c>
      <c r="B2559" s="19">
        <v>96354</v>
      </c>
      <c r="C2559" s="19" t="s">
        <v>4864</v>
      </c>
      <c r="D2559" s="19" t="s">
        <v>107</v>
      </c>
      <c r="E2559" s="19" t="s">
        <v>108</v>
      </c>
      <c r="F2559" s="19" t="s">
        <v>2702</v>
      </c>
      <c r="G2559" s="19" t="s">
        <v>1019</v>
      </c>
      <c r="H2559" s="19" t="s">
        <v>1020</v>
      </c>
      <c r="I2559" s="19" t="s">
        <v>1575</v>
      </c>
      <c r="J2559" s="20">
        <v>21</v>
      </c>
      <c r="K2559" t="s">
        <v>668</v>
      </c>
      <c r="L2559" t="s">
        <v>691</v>
      </c>
      <c r="M2559" t="s">
        <v>657</v>
      </c>
      <c r="N2559" t="s">
        <v>658</v>
      </c>
      <c r="O2559" t="s">
        <v>632</v>
      </c>
    </row>
    <row r="2560" spans="1:15" x14ac:dyDescent="0.35">
      <c r="A2560" s="77">
        <v>0.92876712328767119</v>
      </c>
      <c r="B2560" s="19">
        <v>96360</v>
      </c>
      <c r="C2560" s="19" t="s">
        <v>4865</v>
      </c>
      <c r="D2560" s="19" t="s">
        <v>425</v>
      </c>
      <c r="E2560" s="19" t="s">
        <v>425</v>
      </c>
      <c r="F2560" s="19" t="s">
        <v>1330</v>
      </c>
      <c r="G2560" s="19" t="s">
        <v>1028</v>
      </c>
      <c r="H2560" s="19" t="s">
        <v>1020</v>
      </c>
      <c r="I2560" s="19" t="s">
        <v>1575</v>
      </c>
      <c r="J2560" s="20">
        <v>22</v>
      </c>
      <c r="K2560" t="s">
        <v>654</v>
      </c>
      <c r="L2560" t="s">
        <v>678</v>
      </c>
      <c r="M2560" t="s">
        <v>623</v>
      </c>
      <c r="N2560" t="s">
        <v>624</v>
      </c>
      <c r="O2560" t="s">
        <v>689</v>
      </c>
    </row>
    <row r="2561" spans="1:15" x14ac:dyDescent="0.35">
      <c r="A2561" s="77">
        <v>0.94246575342465755</v>
      </c>
      <c r="B2561" s="19">
        <v>96372</v>
      </c>
      <c r="C2561" s="19" t="s">
        <v>4866</v>
      </c>
      <c r="D2561" s="19" t="s">
        <v>16</v>
      </c>
      <c r="E2561" s="19" t="s">
        <v>16</v>
      </c>
      <c r="F2561" s="19" t="s">
        <v>1211</v>
      </c>
      <c r="G2561" s="19" t="s">
        <v>1084</v>
      </c>
      <c r="H2561" s="19" t="s">
        <v>1001</v>
      </c>
      <c r="I2561" s="19" t="s">
        <v>1599</v>
      </c>
      <c r="J2561" s="20">
        <v>22</v>
      </c>
      <c r="K2561" t="s">
        <v>631</v>
      </c>
      <c r="L2561" t="s">
        <v>645</v>
      </c>
      <c r="M2561" t="s">
        <v>629</v>
      </c>
      <c r="N2561" t="s">
        <v>646</v>
      </c>
      <c r="O2561" t="s">
        <v>632</v>
      </c>
    </row>
    <row r="2562" spans="1:15" x14ac:dyDescent="0.35">
      <c r="A2562" s="77">
        <v>0.92602739726027394</v>
      </c>
      <c r="B2562" s="19">
        <v>96378</v>
      </c>
      <c r="C2562" s="19" t="s">
        <v>4867</v>
      </c>
      <c r="D2562" s="19" t="s">
        <v>357</v>
      </c>
      <c r="E2562" s="19" t="s">
        <v>358</v>
      </c>
      <c r="F2562" s="19" t="s">
        <v>1161</v>
      </c>
      <c r="G2562" s="19" t="s">
        <v>1028</v>
      </c>
      <c r="H2562" s="19" t="s">
        <v>1020</v>
      </c>
      <c r="I2562" s="19" t="s">
        <v>1575</v>
      </c>
      <c r="J2562" s="20">
        <v>23</v>
      </c>
      <c r="K2562" t="s">
        <v>668</v>
      </c>
      <c r="L2562" t="s">
        <v>640</v>
      </c>
      <c r="M2562" t="s">
        <v>623</v>
      </c>
      <c r="N2562" t="s">
        <v>641</v>
      </c>
      <c r="O2562" t="s">
        <v>852</v>
      </c>
    </row>
    <row r="2563" spans="1:15" x14ac:dyDescent="0.35">
      <c r="A2563" s="77">
        <v>3.287671232876712E-2</v>
      </c>
      <c r="B2563" s="19">
        <v>96381</v>
      </c>
      <c r="C2563" s="19" t="s">
        <v>4868</v>
      </c>
      <c r="D2563" s="19" t="s">
        <v>197</v>
      </c>
      <c r="E2563" s="19" t="s">
        <v>198</v>
      </c>
      <c r="F2563" s="19" t="s">
        <v>1297</v>
      </c>
      <c r="G2563" s="19" t="s">
        <v>1028</v>
      </c>
      <c r="H2563" s="19" t="s">
        <v>1020</v>
      </c>
      <c r="I2563" s="19" t="s">
        <v>1575</v>
      </c>
      <c r="J2563" s="20">
        <v>22</v>
      </c>
      <c r="K2563" t="s">
        <v>654</v>
      </c>
      <c r="L2563" t="s">
        <v>645</v>
      </c>
      <c r="M2563" t="s">
        <v>629</v>
      </c>
      <c r="N2563" t="s">
        <v>646</v>
      </c>
      <c r="O2563" t="s">
        <v>632</v>
      </c>
    </row>
    <row r="2564" spans="1:15" x14ac:dyDescent="0.35">
      <c r="A2564" s="77">
        <v>0.91506849315068495</v>
      </c>
      <c r="B2564" s="19">
        <v>96384</v>
      </c>
      <c r="C2564" s="19" t="s">
        <v>4869</v>
      </c>
      <c r="D2564" s="19" t="s">
        <v>128</v>
      </c>
      <c r="E2564" s="19" t="s">
        <v>129</v>
      </c>
      <c r="F2564" s="19" t="s">
        <v>1075</v>
      </c>
      <c r="G2564" s="19" t="s">
        <v>1008</v>
      </c>
      <c r="H2564" s="19" t="s">
        <v>1001</v>
      </c>
      <c r="I2564" s="19" t="s">
        <v>1599</v>
      </c>
      <c r="J2564" s="20">
        <v>20</v>
      </c>
      <c r="K2564" t="s">
        <v>636</v>
      </c>
      <c r="L2564" t="s">
        <v>678</v>
      </c>
      <c r="M2564" t="s">
        <v>623</v>
      </c>
      <c r="N2564" t="s">
        <v>624</v>
      </c>
      <c r="O2564" t="s">
        <v>679</v>
      </c>
    </row>
    <row r="2565" spans="1:15" x14ac:dyDescent="0.35">
      <c r="A2565" s="77">
        <v>0.91506849315068495</v>
      </c>
      <c r="B2565" s="19">
        <v>96398</v>
      </c>
      <c r="C2565" s="19" t="s">
        <v>4870</v>
      </c>
      <c r="D2565" s="19" t="s">
        <v>109</v>
      </c>
      <c r="E2565" s="19" t="s">
        <v>110</v>
      </c>
      <c r="F2565" s="19" t="s">
        <v>2347</v>
      </c>
      <c r="G2565" s="19" t="s">
        <v>1028</v>
      </c>
      <c r="H2565" s="19" t="s">
        <v>1020</v>
      </c>
      <c r="I2565" s="19" t="s">
        <v>1575</v>
      </c>
      <c r="J2565" s="20">
        <v>26</v>
      </c>
      <c r="K2565" t="s">
        <v>654</v>
      </c>
      <c r="L2565" t="s">
        <v>684</v>
      </c>
      <c r="M2565" t="s">
        <v>623</v>
      </c>
      <c r="N2565" t="s">
        <v>662</v>
      </c>
      <c r="O2565" t="s">
        <v>685</v>
      </c>
    </row>
    <row r="2566" spans="1:15" x14ac:dyDescent="0.35">
      <c r="A2566" s="77">
        <v>0.91506849315068495</v>
      </c>
      <c r="B2566" s="19">
        <v>96406</v>
      </c>
      <c r="C2566" s="19" t="s">
        <v>4871</v>
      </c>
      <c r="D2566" s="19" t="s">
        <v>82</v>
      </c>
      <c r="E2566" s="19" t="s">
        <v>83</v>
      </c>
      <c r="F2566" s="19" t="s">
        <v>1103</v>
      </c>
      <c r="G2566" s="19" t="s">
        <v>1057</v>
      </c>
      <c r="H2566" s="19" t="s">
        <v>1001</v>
      </c>
      <c r="I2566" s="19" t="s">
        <v>1575</v>
      </c>
      <c r="J2566" s="20">
        <v>20</v>
      </c>
      <c r="K2566" t="s">
        <v>642</v>
      </c>
      <c r="L2566" t="s">
        <v>661</v>
      </c>
      <c r="M2566" t="s">
        <v>657</v>
      </c>
      <c r="N2566" t="s">
        <v>662</v>
      </c>
      <c r="O2566" t="s">
        <v>632</v>
      </c>
    </row>
    <row r="2567" spans="1:15" x14ac:dyDescent="0.35">
      <c r="A2567" s="77">
        <v>0.91506849315068495</v>
      </c>
      <c r="B2567" s="19">
        <v>96418</v>
      </c>
      <c r="C2567" s="19" t="s">
        <v>4872</v>
      </c>
      <c r="D2567" s="19" t="s">
        <v>128</v>
      </c>
      <c r="E2567" s="19" t="s">
        <v>129</v>
      </c>
      <c r="F2567" s="19" t="s">
        <v>1075</v>
      </c>
      <c r="G2567" s="19" t="s">
        <v>1008</v>
      </c>
      <c r="H2567" s="19" t="s">
        <v>1001</v>
      </c>
      <c r="I2567" s="19" t="s">
        <v>1575</v>
      </c>
      <c r="J2567" s="20">
        <v>33</v>
      </c>
      <c r="K2567" t="s">
        <v>636</v>
      </c>
      <c r="L2567" t="s">
        <v>678</v>
      </c>
      <c r="M2567" t="s">
        <v>623</v>
      </c>
      <c r="N2567" t="s">
        <v>624</v>
      </c>
      <c r="O2567" t="s">
        <v>679</v>
      </c>
    </row>
    <row r="2568" spans="1:15" x14ac:dyDescent="0.35">
      <c r="A2568" s="77">
        <v>0.92876712328767119</v>
      </c>
      <c r="B2568" s="19">
        <v>96427</v>
      </c>
      <c r="C2568" s="19" t="s">
        <v>4873</v>
      </c>
      <c r="D2568" s="19" t="s">
        <v>27</v>
      </c>
      <c r="E2568" s="19" t="s">
        <v>27</v>
      </c>
      <c r="F2568" s="19" t="s">
        <v>1250</v>
      </c>
      <c r="G2568" s="19" t="s">
        <v>1057</v>
      </c>
      <c r="H2568" s="19" t="s">
        <v>1001</v>
      </c>
      <c r="I2568" s="19" t="s">
        <v>1575</v>
      </c>
      <c r="J2568" s="20">
        <v>22</v>
      </c>
      <c r="K2568" t="s">
        <v>668</v>
      </c>
      <c r="L2568" t="s">
        <v>645</v>
      </c>
      <c r="M2568" t="s">
        <v>629</v>
      </c>
      <c r="N2568" t="s">
        <v>646</v>
      </c>
      <c r="O2568" t="s">
        <v>632</v>
      </c>
    </row>
    <row r="2569" spans="1:15" x14ac:dyDescent="0.35">
      <c r="A2569" s="77">
        <v>0.9342465753424658</v>
      </c>
      <c r="B2569" s="19">
        <v>96428</v>
      </c>
      <c r="C2569" s="19" t="s">
        <v>4874</v>
      </c>
      <c r="D2569" s="19" t="s">
        <v>260</v>
      </c>
      <c r="E2569" s="19" t="s">
        <v>261</v>
      </c>
      <c r="F2569" s="19" t="s">
        <v>1109</v>
      </c>
      <c r="G2569" s="19" t="s">
        <v>1019</v>
      </c>
      <c r="H2569" s="19" t="s">
        <v>1020</v>
      </c>
      <c r="I2569" s="19" t="s">
        <v>1575</v>
      </c>
      <c r="J2569" s="20">
        <v>21</v>
      </c>
      <c r="K2569" t="s">
        <v>636</v>
      </c>
      <c r="L2569" t="s">
        <v>656</v>
      </c>
      <c r="M2569" t="s">
        <v>657</v>
      </c>
      <c r="N2569" t="s">
        <v>658</v>
      </c>
      <c r="O2569" t="s">
        <v>808</v>
      </c>
    </row>
    <row r="2570" spans="1:15" x14ac:dyDescent="0.35">
      <c r="A2570" s="77">
        <v>0.93150684931506844</v>
      </c>
      <c r="B2570" s="19">
        <v>96436</v>
      </c>
      <c r="C2570" s="19" t="s">
        <v>4875</v>
      </c>
      <c r="D2570" s="19" t="s">
        <v>302</v>
      </c>
      <c r="E2570" s="19" t="s">
        <v>303</v>
      </c>
      <c r="F2570" s="19" t="s">
        <v>1053</v>
      </c>
      <c r="G2570" s="19" t="s">
        <v>1057</v>
      </c>
      <c r="H2570" s="19" t="s">
        <v>1001</v>
      </c>
      <c r="I2570" s="19" t="s">
        <v>1575</v>
      </c>
      <c r="J2570" s="20">
        <v>25</v>
      </c>
      <c r="K2570" t="s">
        <v>668</v>
      </c>
      <c r="L2570" t="s">
        <v>737</v>
      </c>
      <c r="M2570" t="s">
        <v>657</v>
      </c>
      <c r="N2570" t="s">
        <v>641</v>
      </c>
      <c r="O2570" t="s">
        <v>738</v>
      </c>
    </row>
    <row r="2571" spans="1:15" x14ac:dyDescent="0.35">
      <c r="A2571" s="77">
        <v>2.1917808219178082E-2</v>
      </c>
      <c r="B2571" s="19">
        <v>96440</v>
      </c>
      <c r="C2571" s="19" t="s">
        <v>1820</v>
      </c>
      <c r="D2571" s="19" t="s">
        <v>256</v>
      </c>
      <c r="E2571" s="19" t="s">
        <v>257</v>
      </c>
      <c r="F2571" s="19" t="s">
        <v>1005</v>
      </c>
      <c r="G2571" s="19" t="s">
        <v>1008</v>
      </c>
      <c r="H2571" s="19" t="s">
        <v>1001</v>
      </c>
      <c r="I2571" s="19" t="s">
        <v>1575</v>
      </c>
      <c r="J2571" s="20">
        <v>20</v>
      </c>
      <c r="K2571" t="s">
        <v>668</v>
      </c>
      <c r="L2571" t="s">
        <v>651</v>
      </c>
      <c r="M2571" t="s">
        <v>629</v>
      </c>
      <c r="N2571" t="s">
        <v>630</v>
      </c>
      <c r="O2571" t="s">
        <v>705</v>
      </c>
    </row>
    <row r="2572" spans="1:15" x14ac:dyDescent="0.35">
      <c r="A2572" s="77">
        <v>0.91506849315068495</v>
      </c>
      <c r="B2572" s="19">
        <v>96456</v>
      </c>
      <c r="C2572" s="19" t="s">
        <v>4876</v>
      </c>
      <c r="D2572" s="19" t="s">
        <v>128</v>
      </c>
      <c r="E2572" s="19" t="s">
        <v>129</v>
      </c>
      <c r="F2572" s="19" t="s">
        <v>1075</v>
      </c>
      <c r="G2572" s="19" t="s">
        <v>1008</v>
      </c>
      <c r="H2572" s="19" t="s">
        <v>1001</v>
      </c>
      <c r="I2572" s="19" t="s">
        <v>1599</v>
      </c>
      <c r="J2572" s="20">
        <v>26</v>
      </c>
      <c r="K2572" t="s">
        <v>636</v>
      </c>
      <c r="L2572" t="s">
        <v>678</v>
      </c>
      <c r="M2572" t="s">
        <v>623</v>
      </c>
      <c r="N2572" t="s">
        <v>624</v>
      </c>
      <c r="O2572" t="s">
        <v>679</v>
      </c>
    </row>
    <row r="2573" spans="1:15" x14ac:dyDescent="0.35">
      <c r="A2573" s="77">
        <v>0.91506849315068495</v>
      </c>
      <c r="B2573" s="19">
        <v>96467</v>
      </c>
      <c r="C2573" s="19" t="s">
        <v>4877</v>
      </c>
      <c r="D2573" s="19" t="s">
        <v>82</v>
      </c>
      <c r="E2573" s="19" t="s">
        <v>83</v>
      </c>
      <c r="F2573" s="19" t="s">
        <v>1103</v>
      </c>
      <c r="G2573" s="19" t="s">
        <v>1008</v>
      </c>
      <c r="H2573" s="19" t="s">
        <v>1001</v>
      </c>
      <c r="I2573" s="19" t="s">
        <v>1599</v>
      </c>
      <c r="J2573" s="20">
        <v>19</v>
      </c>
      <c r="K2573" t="s">
        <v>642</v>
      </c>
      <c r="L2573" t="s">
        <v>661</v>
      </c>
      <c r="M2573" t="s">
        <v>657</v>
      </c>
      <c r="N2573" t="s">
        <v>662</v>
      </c>
      <c r="O2573" t="s">
        <v>632</v>
      </c>
    </row>
    <row r="2574" spans="1:15" x14ac:dyDescent="0.35">
      <c r="A2574" s="77">
        <v>0.91506849315068495</v>
      </c>
      <c r="B2574" s="19">
        <v>96473</v>
      </c>
      <c r="C2574" s="19" t="s">
        <v>4878</v>
      </c>
      <c r="D2574" s="19" t="s">
        <v>39</v>
      </c>
      <c r="E2574" s="19" t="s">
        <v>39</v>
      </c>
      <c r="F2574" s="19" t="s">
        <v>1168</v>
      </c>
      <c r="G2574" s="19" t="s">
        <v>1028</v>
      </c>
      <c r="H2574" s="19" t="s">
        <v>1020</v>
      </c>
      <c r="I2574" s="19" t="s">
        <v>1599</v>
      </c>
      <c r="J2574" s="20">
        <v>21</v>
      </c>
      <c r="K2574" t="s">
        <v>636</v>
      </c>
      <c r="L2574" t="s">
        <v>661</v>
      </c>
      <c r="M2574" t="s">
        <v>657</v>
      </c>
      <c r="N2574" t="s">
        <v>662</v>
      </c>
      <c r="O2574" t="s">
        <v>632</v>
      </c>
    </row>
    <row r="2575" spans="1:15" x14ac:dyDescent="0.35">
      <c r="A2575" s="77">
        <v>0.91506849315068495</v>
      </c>
      <c r="B2575" s="19">
        <v>96491</v>
      </c>
      <c r="C2575" s="19" t="s">
        <v>4879</v>
      </c>
      <c r="D2575" s="19" t="s">
        <v>49</v>
      </c>
      <c r="E2575" s="19" t="s">
        <v>50</v>
      </c>
      <c r="F2575" s="19" t="s">
        <v>1213</v>
      </c>
      <c r="G2575" s="19" t="s">
        <v>1008</v>
      </c>
      <c r="H2575" s="19" t="s">
        <v>1001</v>
      </c>
      <c r="I2575" s="19" t="s">
        <v>1575</v>
      </c>
      <c r="J2575" s="20">
        <v>20</v>
      </c>
      <c r="K2575" t="s">
        <v>625</v>
      </c>
      <c r="L2575" t="s">
        <v>648</v>
      </c>
      <c r="M2575" t="s">
        <v>623</v>
      </c>
      <c r="N2575" t="s">
        <v>624</v>
      </c>
      <c r="O2575" t="s">
        <v>649</v>
      </c>
    </row>
    <row r="2576" spans="1:15" x14ac:dyDescent="0.35">
      <c r="A2576" s="77">
        <v>0.9123287671232877</v>
      </c>
      <c r="B2576" s="19">
        <v>96513</v>
      </c>
      <c r="C2576" s="19" t="s">
        <v>4880</v>
      </c>
      <c r="D2576" s="19" t="s">
        <v>206</v>
      </c>
      <c r="E2576" s="19" t="s">
        <v>207</v>
      </c>
      <c r="F2576" s="19" t="s">
        <v>2447</v>
      </c>
      <c r="G2576" s="19" t="s">
        <v>1028</v>
      </c>
      <c r="H2576" s="19" t="s">
        <v>1020</v>
      </c>
      <c r="I2576" s="19" t="s">
        <v>1575</v>
      </c>
      <c r="J2576" s="20">
        <v>19</v>
      </c>
      <c r="K2576" t="s">
        <v>668</v>
      </c>
      <c r="L2576" t="s">
        <v>666</v>
      </c>
      <c r="M2576" t="s">
        <v>629</v>
      </c>
      <c r="N2576" t="s">
        <v>630</v>
      </c>
      <c r="O2576" t="s">
        <v>652</v>
      </c>
    </row>
    <row r="2577" spans="1:15" x14ac:dyDescent="0.35">
      <c r="A2577" s="77">
        <v>0.9123287671232877</v>
      </c>
      <c r="B2577" s="19">
        <v>96527</v>
      </c>
      <c r="C2577" s="19" t="s">
        <v>4881</v>
      </c>
      <c r="D2577" s="19" t="s">
        <v>91</v>
      </c>
      <c r="E2577" s="19" t="s">
        <v>92</v>
      </c>
      <c r="F2577" s="19" t="s">
        <v>1113</v>
      </c>
      <c r="G2577" s="19" t="s">
        <v>1028</v>
      </c>
      <c r="H2577" s="19" t="s">
        <v>1020</v>
      </c>
      <c r="I2577" s="19" t="s">
        <v>1575</v>
      </c>
      <c r="J2577" s="20">
        <v>19</v>
      </c>
      <c r="K2577" t="s">
        <v>636</v>
      </c>
      <c r="L2577" t="s">
        <v>634</v>
      </c>
      <c r="M2577" t="s">
        <v>629</v>
      </c>
      <c r="N2577" t="s">
        <v>630</v>
      </c>
      <c r="O2577" t="s">
        <v>734</v>
      </c>
    </row>
    <row r="2578" spans="1:15" x14ac:dyDescent="0.35">
      <c r="A2578" s="77">
        <v>0.90958904109589045</v>
      </c>
      <c r="B2578" s="19">
        <v>96535</v>
      </c>
      <c r="C2578" s="19" t="s">
        <v>4882</v>
      </c>
      <c r="D2578" s="19" t="s">
        <v>403</v>
      </c>
      <c r="E2578" s="19" t="s">
        <v>404</v>
      </c>
      <c r="F2578" s="19" t="s">
        <v>870</v>
      </c>
      <c r="G2578" s="19" t="s">
        <v>1028</v>
      </c>
      <c r="H2578" s="19" t="s">
        <v>1020</v>
      </c>
      <c r="I2578" s="19" t="s">
        <v>1575</v>
      </c>
      <c r="J2578" s="20">
        <v>21</v>
      </c>
      <c r="K2578" t="s">
        <v>631</v>
      </c>
      <c r="L2578" t="s">
        <v>691</v>
      </c>
      <c r="M2578" t="s">
        <v>657</v>
      </c>
      <c r="N2578" t="s">
        <v>658</v>
      </c>
      <c r="O2578" t="s">
        <v>632</v>
      </c>
    </row>
    <row r="2579" spans="1:15" x14ac:dyDescent="0.35">
      <c r="A2579" s="77">
        <v>0.90958904109589045</v>
      </c>
      <c r="B2579" s="19">
        <v>96539</v>
      </c>
      <c r="C2579" s="19" t="s">
        <v>4883</v>
      </c>
      <c r="D2579" s="19" t="s">
        <v>245</v>
      </c>
      <c r="E2579" s="19" t="s">
        <v>246</v>
      </c>
      <c r="F2579" s="19" t="s">
        <v>1365</v>
      </c>
      <c r="G2579" s="19" t="s">
        <v>1028</v>
      </c>
      <c r="H2579" s="19" t="s">
        <v>1020</v>
      </c>
      <c r="I2579" s="19" t="s">
        <v>1575</v>
      </c>
      <c r="J2579" s="20">
        <v>19</v>
      </c>
      <c r="K2579" t="s">
        <v>654</v>
      </c>
      <c r="L2579" t="s">
        <v>678</v>
      </c>
      <c r="M2579" t="s">
        <v>623</v>
      </c>
      <c r="N2579" t="s">
        <v>624</v>
      </c>
      <c r="O2579" t="s">
        <v>679</v>
      </c>
    </row>
    <row r="2580" spans="1:15" x14ac:dyDescent="0.35">
      <c r="A2580" s="77">
        <v>0.90958904109589045</v>
      </c>
      <c r="B2580" s="19">
        <v>96540</v>
      </c>
      <c r="C2580" s="19" t="s">
        <v>4884</v>
      </c>
      <c r="D2580" s="19" t="s">
        <v>382</v>
      </c>
      <c r="E2580" s="19" t="s">
        <v>383</v>
      </c>
      <c r="F2580" s="19" t="s">
        <v>384</v>
      </c>
      <c r="G2580" s="19" t="s">
        <v>1028</v>
      </c>
      <c r="H2580" s="19" t="s">
        <v>1020</v>
      </c>
      <c r="I2580" s="19" t="s">
        <v>1575</v>
      </c>
      <c r="J2580" s="20">
        <v>21</v>
      </c>
      <c r="K2580" t="s">
        <v>636</v>
      </c>
      <c r="L2580" t="s">
        <v>656</v>
      </c>
      <c r="M2580" t="s">
        <v>657</v>
      </c>
      <c r="N2580" t="s">
        <v>658</v>
      </c>
      <c r="O2580" t="s">
        <v>843</v>
      </c>
    </row>
    <row r="2581" spans="1:15" x14ac:dyDescent="0.35">
      <c r="A2581" s="77">
        <v>0.90958904109589045</v>
      </c>
      <c r="B2581" s="19">
        <v>96546</v>
      </c>
      <c r="C2581" s="19" t="s">
        <v>4885</v>
      </c>
      <c r="D2581" s="19" t="s">
        <v>395</v>
      </c>
      <c r="E2581" s="19" t="s">
        <v>396</v>
      </c>
      <c r="F2581" s="19" t="s">
        <v>1147</v>
      </c>
      <c r="G2581" s="19" t="s">
        <v>1057</v>
      </c>
      <c r="H2581" s="19" t="s">
        <v>1001</v>
      </c>
      <c r="I2581" s="19" t="s">
        <v>1575</v>
      </c>
      <c r="J2581" s="20">
        <v>31</v>
      </c>
      <c r="K2581" t="s">
        <v>642</v>
      </c>
      <c r="L2581" t="s">
        <v>678</v>
      </c>
      <c r="M2581" t="s">
        <v>623</v>
      </c>
      <c r="N2581" t="s">
        <v>624</v>
      </c>
      <c r="O2581" t="s">
        <v>679</v>
      </c>
    </row>
    <row r="2582" spans="1:15" x14ac:dyDescent="0.35">
      <c r="A2582" s="77">
        <v>0.9068493150684932</v>
      </c>
      <c r="B2582" s="19">
        <v>96550</v>
      </c>
      <c r="C2582" s="19" t="s">
        <v>4886</v>
      </c>
      <c r="D2582" s="19" t="s">
        <v>280</v>
      </c>
      <c r="E2582" s="19" t="s">
        <v>281</v>
      </c>
      <c r="F2582" s="19" t="s">
        <v>1223</v>
      </c>
      <c r="G2582" s="19" t="s">
        <v>1019</v>
      </c>
      <c r="H2582" s="19" t="s">
        <v>1020</v>
      </c>
      <c r="I2582" s="19" t="s">
        <v>1575</v>
      </c>
      <c r="J2582" s="20">
        <v>19</v>
      </c>
      <c r="K2582" t="s">
        <v>631</v>
      </c>
      <c r="L2582" t="s">
        <v>691</v>
      </c>
      <c r="M2582" t="s">
        <v>657</v>
      </c>
      <c r="N2582" t="s">
        <v>658</v>
      </c>
      <c r="O2582" t="s">
        <v>632</v>
      </c>
    </row>
    <row r="2583" spans="1:15" x14ac:dyDescent="0.35">
      <c r="A2583" s="77">
        <v>0.9068493150684932</v>
      </c>
      <c r="B2583" s="19">
        <v>96553</v>
      </c>
      <c r="C2583" s="19" t="s">
        <v>4887</v>
      </c>
      <c r="D2583" s="19" t="s">
        <v>280</v>
      </c>
      <c r="E2583" s="19" t="s">
        <v>281</v>
      </c>
      <c r="F2583" s="19" t="s">
        <v>1223</v>
      </c>
      <c r="G2583" s="19" t="s">
        <v>1028</v>
      </c>
      <c r="H2583" s="19" t="s">
        <v>1020</v>
      </c>
      <c r="I2583" s="19" t="s">
        <v>1575</v>
      </c>
      <c r="J2583" s="20">
        <v>22</v>
      </c>
      <c r="K2583" t="s">
        <v>631</v>
      </c>
      <c r="L2583" t="s">
        <v>691</v>
      </c>
      <c r="M2583" t="s">
        <v>657</v>
      </c>
      <c r="N2583" t="s">
        <v>658</v>
      </c>
      <c r="O2583" t="s">
        <v>632</v>
      </c>
    </row>
    <row r="2584" spans="1:15" x14ac:dyDescent="0.35">
      <c r="A2584" s="77">
        <v>0.91506849315068495</v>
      </c>
      <c r="B2584" s="19">
        <v>96564</v>
      </c>
      <c r="C2584" s="19" t="s">
        <v>4888</v>
      </c>
      <c r="D2584" s="19" t="s">
        <v>419</v>
      </c>
      <c r="E2584" s="19" t="s">
        <v>419</v>
      </c>
      <c r="F2584" s="19" t="s">
        <v>695</v>
      </c>
      <c r="G2584" s="19" t="s">
        <v>1019</v>
      </c>
      <c r="H2584" s="19" t="s">
        <v>1020</v>
      </c>
      <c r="I2584" s="19" t="s">
        <v>1575</v>
      </c>
      <c r="J2584" s="20">
        <v>21</v>
      </c>
      <c r="K2584" t="s">
        <v>654</v>
      </c>
      <c r="L2584" t="s">
        <v>628</v>
      </c>
      <c r="M2584" t="s">
        <v>629</v>
      </c>
      <c r="N2584" t="s">
        <v>630</v>
      </c>
      <c r="O2584" t="s">
        <v>632</v>
      </c>
    </row>
    <row r="2585" spans="1:15" x14ac:dyDescent="0.35">
      <c r="A2585" s="77">
        <v>0.91506849315068495</v>
      </c>
      <c r="B2585" s="19">
        <v>96576</v>
      </c>
      <c r="C2585" s="19" t="s">
        <v>4889</v>
      </c>
      <c r="D2585" s="19" t="s">
        <v>315</v>
      </c>
      <c r="E2585" s="19" t="s">
        <v>316</v>
      </c>
      <c r="F2585" s="19" t="s">
        <v>1322</v>
      </c>
      <c r="G2585" s="19" t="s">
        <v>1028</v>
      </c>
      <c r="H2585" s="19" t="s">
        <v>1020</v>
      </c>
      <c r="I2585" s="19" t="s">
        <v>1575</v>
      </c>
      <c r="J2585" s="20">
        <v>21</v>
      </c>
      <c r="K2585" t="s">
        <v>654</v>
      </c>
      <c r="L2585" t="s">
        <v>684</v>
      </c>
      <c r="M2585" t="s">
        <v>623</v>
      </c>
      <c r="N2585" t="s">
        <v>662</v>
      </c>
      <c r="O2585" t="s">
        <v>831</v>
      </c>
    </row>
    <row r="2586" spans="1:15" x14ac:dyDescent="0.35">
      <c r="A2586" s="77">
        <v>0.91506849315068495</v>
      </c>
      <c r="B2586" s="19">
        <v>96577</v>
      </c>
      <c r="C2586" s="19" t="s">
        <v>4890</v>
      </c>
      <c r="D2586" s="19" t="s">
        <v>324</v>
      </c>
      <c r="E2586" s="19" t="s">
        <v>325</v>
      </c>
      <c r="F2586" s="19" t="s">
        <v>1284</v>
      </c>
      <c r="G2586" s="19" t="s">
        <v>1028</v>
      </c>
      <c r="H2586" s="19" t="s">
        <v>1020</v>
      </c>
      <c r="I2586" s="19" t="s">
        <v>1599</v>
      </c>
      <c r="J2586" s="20">
        <v>19</v>
      </c>
      <c r="K2586" t="s">
        <v>631</v>
      </c>
      <c r="L2586" t="s">
        <v>663</v>
      </c>
      <c r="M2586" t="s">
        <v>629</v>
      </c>
      <c r="N2586" t="s">
        <v>646</v>
      </c>
      <c r="O2586" t="s">
        <v>639</v>
      </c>
    </row>
    <row r="2587" spans="1:15" x14ac:dyDescent="0.35">
      <c r="A2587" s="77">
        <v>0.91506849315068495</v>
      </c>
      <c r="B2587" s="19">
        <v>96585</v>
      </c>
      <c r="C2587" s="19" t="s">
        <v>4891</v>
      </c>
      <c r="D2587" s="19" t="s">
        <v>42</v>
      </c>
      <c r="E2587" s="19" t="s">
        <v>42</v>
      </c>
      <c r="F2587" s="19" t="s">
        <v>1262</v>
      </c>
      <c r="G2587" s="19" t="s">
        <v>1028</v>
      </c>
      <c r="H2587" s="19" t="s">
        <v>1020</v>
      </c>
      <c r="I2587" s="19" t="s">
        <v>1575</v>
      </c>
      <c r="J2587" s="20">
        <v>25</v>
      </c>
      <c r="K2587" t="s">
        <v>625</v>
      </c>
      <c r="L2587" t="s">
        <v>628</v>
      </c>
      <c r="M2587" t="s">
        <v>629</v>
      </c>
      <c r="N2587" t="s">
        <v>630</v>
      </c>
      <c r="O2587" t="s">
        <v>632</v>
      </c>
    </row>
    <row r="2588" spans="1:15" x14ac:dyDescent="0.35">
      <c r="A2588" s="77">
        <v>0.9123287671232877</v>
      </c>
      <c r="B2588" s="19">
        <v>96595</v>
      </c>
      <c r="C2588" s="19" t="s">
        <v>4892</v>
      </c>
      <c r="D2588" s="19" t="s">
        <v>330</v>
      </c>
      <c r="E2588" s="19" t="s">
        <v>331</v>
      </c>
      <c r="F2588" s="19" t="s">
        <v>332</v>
      </c>
      <c r="G2588" s="19" t="s">
        <v>1028</v>
      </c>
      <c r="H2588" s="19" t="s">
        <v>1020</v>
      </c>
      <c r="I2588" s="19" t="s">
        <v>1575</v>
      </c>
      <c r="J2588" s="20">
        <v>19</v>
      </c>
      <c r="K2588" t="s">
        <v>636</v>
      </c>
      <c r="L2588" t="s">
        <v>762</v>
      </c>
      <c r="M2588" t="s">
        <v>629</v>
      </c>
      <c r="N2588" t="s">
        <v>646</v>
      </c>
      <c r="O2588" t="s">
        <v>839</v>
      </c>
    </row>
    <row r="2589" spans="1:15" x14ac:dyDescent="0.35">
      <c r="A2589" s="77">
        <v>0.90958904109589045</v>
      </c>
      <c r="B2589" s="19">
        <v>96606</v>
      </c>
      <c r="C2589" s="19" t="s">
        <v>4893</v>
      </c>
      <c r="D2589" s="19" t="s">
        <v>62</v>
      </c>
      <c r="E2589" s="19" t="s">
        <v>63</v>
      </c>
      <c r="F2589" s="19" t="s">
        <v>1228</v>
      </c>
      <c r="G2589" s="19" t="s">
        <v>1019</v>
      </c>
      <c r="H2589" s="19" t="s">
        <v>1020</v>
      </c>
      <c r="I2589" s="19" t="s">
        <v>1575</v>
      </c>
      <c r="J2589" s="20">
        <v>19</v>
      </c>
      <c r="K2589" t="s">
        <v>636</v>
      </c>
      <c r="L2589" t="s">
        <v>645</v>
      </c>
      <c r="M2589" t="s">
        <v>629</v>
      </c>
      <c r="N2589" t="s">
        <v>646</v>
      </c>
      <c r="O2589" t="s">
        <v>632</v>
      </c>
    </row>
    <row r="2590" spans="1:15" x14ac:dyDescent="0.35">
      <c r="A2590" s="77">
        <v>0.90958904109589045</v>
      </c>
      <c r="B2590" s="19">
        <v>96609</v>
      </c>
      <c r="C2590" s="19" t="s">
        <v>4894</v>
      </c>
      <c r="D2590" s="19" t="s">
        <v>330</v>
      </c>
      <c r="E2590" s="19" t="s">
        <v>331</v>
      </c>
      <c r="F2590" s="19" t="s">
        <v>332</v>
      </c>
      <c r="G2590" s="19" t="s">
        <v>1019</v>
      </c>
      <c r="H2590" s="19" t="s">
        <v>1020</v>
      </c>
      <c r="I2590" s="19" t="s">
        <v>1575</v>
      </c>
      <c r="J2590" s="20">
        <v>20</v>
      </c>
      <c r="K2590" t="s">
        <v>636</v>
      </c>
      <c r="L2590" t="s">
        <v>762</v>
      </c>
      <c r="M2590" t="s">
        <v>629</v>
      </c>
      <c r="N2590" t="s">
        <v>646</v>
      </c>
      <c r="O2590" t="s">
        <v>839</v>
      </c>
    </row>
    <row r="2591" spans="1:15" x14ac:dyDescent="0.35">
      <c r="A2591" s="77">
        <v>0.9068493150684932</v>
      </c>
      <c r="B2591" s="19">
        <v>96616</v>
      </c>
      <c r="C2591" s="19" t="s">
        <v>4895</v>
      </c>
      <c r="D2591" s="19" t="s">
        <v>382</v>
      </c>
      <c r="E2591" s="19" t="s">
        <v>383</v>
      </c>
      <c r="F2591" s="19" t="s">
        <v>384</v>
      </c>
      <c r="G2591" s="19" t="s">
        <v>1028</v>
      </c>
      <c r="H2591" s="19" t="s">
        <v>1020</v>
      </c>
      <c r="I2591" s="19" t="s">
        <v>1599</v>
      </c>
      <c r="J2591" s="20">
        <v>21</v>
      </c>
      <c r="K2591" t="s">
        <v>636</v>
      </c>
      <c r="L2591" t="s">
        <v>656</v>
      </c>
      <c r="M2591" t="s">
        <v>657</v>
      </c>
      <c r="N2591" t="s">
        <v>658</v>
      </c>
      <c r="O2591" t="s">
        <v>843</v>
      </c>
    </row>
    <row r="2592" spans="1:15" x14ac:dyDescent="0.35">
      <c r="A2592" s="77">
        <v>0.9068493150684932</v>
      </c>
      <c r="B2592" s="19">
        <v>96626</v>
      </c>
      <c r="C2592" s="19" t="s">
        <v>4896</v>
      </c>
      <c r="D2592" s="19" t="s">
        <v>424</v>
      </c>
      <c r="E2592" s="19" t="s">
        <v>424</v>
      </c>
      <c r="F2592" s="19" t="s">
        <v>699</v>
      </c>
      <c r="G2592" s="19" t="s">
        <v>1019</v>
      </c>
      <c r="H2592" s="19" t="s">
        <v>1020</v>
      </c>
      <c r="I2592" s="19" t="s">
        <v>1575</v>
      </c>
      <c r="J2592" s="20">
        <v>25</v>
      </c>
      <c r="K2592" t="s">
        <v>642</v>
      </c>
      <c r="L2592" t="s">
        <v>628</v>
      </c>
      <c r="M2592" t="s">
        <v>629</v>
      </c>
      <c r="N2592" t="s">
        <v>646</v>
      </c>
      <c r="O2592" t="s">
        <v>632</v>
      </c>
    </row>
    <row r="2593" spans="1:15" x14ac:dyDescent="0.35">
      <c r="A2593" s="77">
        <v>0.9068493150684932</v>
      </c>
      <c r="B2593" s="19">
        <v>96645</v>
      </c>
      <c r="C2593" s="19" t="s">
        <v>4897</v>
      </c>
      <c r="D2593" s="19" t="s">
        <v>397</v>
      </c>
      <c r="E2593" s="19" t="s">
        <v>398</v>
      </c>
      <c r="F2593" s="19" t="s">
        <v>867</v>
      </c>
      <c r="G2593" s="19" t="s">
        <v>1008</v>
      </c>
      <c r="H2593" s="19" t="s">
        <v>1001</v>
      </c>
      <c r="I2593" s="19" t="s">
        <v>1599</v>
      </c>
      <c r="J2593" s="20">
        <v>24</v>
      </c>
      <c r="K2593" t="s">
        <v>625</v>
      </c>
      <c r="L2593" t="s">
        <v>634</v>
      </c>
      <c r="M2593" t="s">
        <v>629</v>
      </c>
      <c r="N2593" t="s">
        <v>635</v>
      </c>
      <c r="O2593" t="s">
        <v>637</v>
      </c>
    </row>
    <row r="2594" spans="1:15" x14ac:dyDescent="0.35">
      <c r="A2594" s="77">
        <v>0.90410958904109584</v>
      </c>
      <c r="B2594" s="19">
        <v>96656</v>
      </c>
      <c r="C2594" s="19" t="s">
        <v>4898</v>
      </c>
      <c r="D2594" s="19" t="s">
        <v>195</v>
      </c>
      <c r="E2594" s="19" t="s">
        <v>196</v>
      </c>
      <c r="F2594" s="19" t="s">
        <v>908</v>
      </c>
      <c r="G2594" s="19" t="s">
        <v>3508</v>
      </c>
      <c r="H2594" s="19" t="s">
        <v>1020</v>
      </c>
      <c r="I2594" s="19" t="s">
        <v>1599</v>
      </c>
      <c r="J2594" s="20">
        <v>18</v>
      </c>
      <c r="K2594" t="s">
        <v>636</v>
      </c>
      <c r="L2594" t="s">
        <v>670</v>
      </c>
      <c r="M2594" t="s">
        <v>657</v>
      </c>
      <c r="N2594" t="s">
        <v>641</v>
      </c>
      <c r="O2594" t="s">
        <v>676</v>
      </c>
    </row>
    <row r="2595" spans="1:15" x14ac:dyDescent="0.35">
      <c r="A2595" s="77">
        <v>0.90410958904109584</v>
      </c>
      <c r="B2595" s="19">
        <v>96667</v>
      </c>
      <c r="C2595" s="19" t="s">
        <v>4899</v>
      </c>
      <c r="D2595" s="19" t="s">
        <v>115</v>
      </c>
      <c r="E2595" s="19" t="s">
        <v>116</v>
      </c>
      <c r="F2595" s="19" t="s">
        <v>1383</v>
      </c>
      <c r="G2595" s="19" t="s">
        <v>1008</v>
      </c>
      <c r="H2595" s="19" t="s">
        <v>1001</v>
      </c>
      <c r="I2595" s="19" t="s">
        <v>1575</v>
      </c>
      <c r="J2595" s="20">
        <v>50</v>
      </c>
      <c r="K2595" t="s">
        <v>631</v>
      </c>
      <c r="L2595" t="s">
        <v>670</v>
      </c>
      <c r="M2595" t="s">
        <v>657</v>
      </c>
      <c r="N2595" t="s">
        <v>641</v>
      </c>
      <c r="O2595" t="s">
        <v>671</v>
      </c>
    </row>
    <row r="2596" spans="1:15" x14ac:dyDescent="0.35">
      <c r="A2596" s="77">
        <v>2.1917808219178082E-2</v>
      </c>
      <c r="B2596" s="19">
        <v>96674</v>
      </c>
      <c r="C2596" s="19" t="s">
        <v>4900</v>
      </c>
      <c r="D2596" s="19" t="s">
        <v>155</v>
      </c>
      <c r="E2596" s="19" t="s">
        <v>156</v>
      </c>
      <c r="F2596" s="19" t="s">
        <v>896</v>
      </c>
      <c r="G2596" s="19" t="s">
        <v>1008</v>
      </c>
      <c r="H2596" s="19" t="s">
        <v>1001</v>
      </c>
      <c r="I2596" s="19" t="s">
        <v>1575</v>
      </c>
      <c r="J2596" s="20">
        <v>19</v>
      </c>
      <c r="K2596" t="s">
        <v>636</v>
      </c>
      <c r="L2596" t="s">
        <v>663</v>
      </c>
      <c r="M2596" t="s">
        <v>629</v>
      </c>
      <c r="N2596" t="s">
        <v>646</v>
      </c>
      <c r="O2596" t="s">
        <v>639</v>
      </c>
    </row>
    <row r="2597" spans="1:15" x14ac:dyDescent="0.35">
      <c r="A2597" s="77">
        <v>0.89315068493150684</v>
      </c>
      <c r="B2597" s="19">
        <v>96683</v>
      </c>
      <c r="C2597" s="19" t="s">
        <v>4901</v>
      </c>
      <c r="D2597" s="19" t="s">
        <v>32</v>
      </c>
      <c r="E2597" s="19" t="s">
        <v>33</v>
      </c>
      <c r="F2597" s="19" t="s">
        <v>1154</v>
      </c>
      <c r="G2597" s="19" t="s">
        <v>1019</v>
      </c>
      <c r="H2597" s="19" t="s">
        <v>1020</v>
      </c>
      <c r="I2597" s="19" t="s">
        <v>1599</v>
      </c>
      <c r="J2597" s="20">
        <v>21</v>
      </c>
      <c r="K2597" t="s">
        <v>654</v>
      </c>
      <c r="L2597" t="s">
        <v>622</v>
      </c>
      <c r="M2597" t="s">
        <v>623</v>
      </c>
      <c r="N2597" t="s">
        <v>624</v>
      </c>
      <c r="O2597" t="s">
        <v>681</v>
      </c>
    </row>
    <row r="2598" spans="1:15" x14ac:dyDescent="0.35">
      <c r="A2598" s="77">
        <v>0.89315068493150684</v>
      </c>
      <c r="B2598" s="19">
        <v>96690</v>
      </c>
      <c r="C2598" s="19" t="s">
        <v>4902</v>
      </c>
      <c r="D2598" s="19" t="s">
        <v>51</v>
      </c>
      <c r="E2598" s="19" t="s">
        <v>52</v>
      </c>
      <c r="F2598" s="19" t="s">
        <v>921</v>
      </c>
      <c r="G2598" s="19" t="s">
        <v>1028</v>
      </c>
      <c r="H2598" s="19" t="s">
        <v>1020</v>
      </c>
      <c r="I2598" s="19" t="s">
        <v>1599</v>
      </c>
      <c r="J2598" s="20">
        <v>21</v>
      </c>
      <c r="K2598" t="s">
        <v>636</v>
      </c>
      <c r="L2598" t="s">
        <v>656</v>
      </c>
      <c r="M2598" t="s">
        <v>657</v>
      </c>
      <c r="N2598" t="s">
        <v>658</v>
      </c>
      <c r="O2598" t="s">
        <v>718</v>
      </c>
    </row>
    <row r="2599" spans="1:15" x14ac:dyDescent="0.35">
      <c r="A2599" s="77">
        <v>0.89315068493150684</v>
      </c>
      <c r="B2599" s="19">
        <v>96691</v>
      </c>
      <c r="C2599" s="19" t="s">
        <v>4903</v>
      </c>
      <c r="D2599" s="19" t="s">
        <v>215</v>
      </c>
      <c r="E2599" s="19" t="s">
        <v>216</v>
      </c>
      <c r="F2599" s="19" t="s">
        <v>1081</v>
      </c>
      <c r="G2599" s="19" t="s">
        <v>1008</v>
      </c>
      <c r="H2599" s="19" t="s">
        <v>1001</v>
      </c>
      <c r="I2599" s="19" t="s">
        <v>1575</v>
      </c>
      <c r="J2599" s="20">
        <v>19</v>
      </c>
      <c r="K2599" t="s">
        <v>654</v>
      </c>
      <c r="L2599" t="s">
        <v>640</v>
      </c>
      <c r="M2599" t="s">
        <v>623</v>
      </c>
      <c r="N2599" t="s">
        <v>624</v>
      </c>
      <c r="O2599" t="s">
        <v>789</v>
      </c>
    </row>
    <row r="2600" spans="1:15" x14ac:dyDescent="0.35">
      <c r="A2600" s="77">
        <v>0.89315068493150684</v>
      </c>
      <c r="B2600" s="19">
        <v>96711</v>
      </c>
      <c r="C2600" s="19" t="s">
        <v>4904</v>
      </c>
      <c r="D2600" s="19" t="s">
        <v>8</v>
      </c>
      <c r="E2600" s="19" t="s">
        <v>8</v>
      </c>
      <c r="F2600" s="19" t="s">
        <v>1176</v>
      </c>
      <c r="G2600" s="19" t="s">
        <v>1028</v>
      </c>
      <c r="H2600" s="19" t="s">
        <v>1020</v>
      </c>
      <c r="I2600" s="19" t="s">
        <v>1575</v>
      </c>
      <c r="J2600" s="20">
        <v>45</v>
      </c>
      <c r="K2600" t="s">
        <v>625</v>
      </c>
      <c r="L2600" t="s">
        <v>622</v>
      </c>
      <c r="M2600" t="s">
        <v>623</v>
      </c>
      <c r="N2600" t="s">
        <v>624</v>
      </c>
      <c r="O2600" t="s">
        <v>626</v>
      </c>
    </row>
    <row r="2601" spans="1:15" x14ac:dyDescent="0.35">
      <c r="A2601" s="77">
        <v>0.8904109589041096</v>
      </c>
      <c r="B2601" s="19">
        <v>96724</v>
      </c>
      <c r="C2601" s="19" t="s">
        <v>4905</v>
      </c>
      <c r="D2601" s="19" t="s">
        <v>260</v>
      </c>
      <c r="E2601" s="19" t="s">
        <v>261</v>
      </c>
      <c r="F2601" s="19" t="s">
        <v>1109</v>
      </c>
      <c r="G2601" s="19" t="s">
        <v>1028</v>
      </c>
      <c r="H2601" s="19" t="s">
        <v>1020</v>
      </c>
      <c r="I2601" s="19" t="s">
        <v>1599</v>
      </c>
      <c r="J2601" s="20">
        <v>23</v>
      </c>
      <c r="K2601" t="s">
        <v>636</v>
      </c>
      <c r="L2601" t="s">
        <v>656</v>
      </c>
      <c r="M2601" t="s">
        <v>657</v>
      </c>
      <c r="N2601" t="s">
        <v>658</v>
      </c>
      <c r="O2601" t="s">
        <v>808</v>
      </c>
    </row>
    <row r="2602" spans="1:15" x14ac:dyDescent="0.35">
      <c r="A2602" s="77">
        <v>0.8904109589041096</v>
      </c>
      <c r="B2602" s="19">
        <v>96725</v>
      </c>
      <c r="C2602" s="19" t="s">
        <v>4906</v>
      </c>
      <c r="D2602" s="19" t="s">
        <v>422</v>
      </c>
      <c r="E2602" s="19" t="s">
        <v>422</v>
      </c>
      <c r="F2602" s="19" t="s">
        <v>423</v>
      </c>
      <c r="G2602" s="19" t="s">
        <v>1008</v>
      </c>
      <c r="H2602" s="19" t="s">
        <v>1001</v>
      </c>
      <c r="I2602" s="19" t="s">
        <v>1575</v>
      </c>
      <c r="J2602" s="20">
        <v>22</v>
      </c>
      <c r="K2602" t="s">
        <v>654</v>
      </c>
      <c r="L2602" t="s">
        <v>673</v>
      </c>
      <c r="M2602" t="s">
        <v>623</v>
      </c>
      <c r="N2602" t="s">
        <v>641</v>
      </c>
      <c r="O2602" t="s">
        <v>697</v>
      </c>
    </row>
    <row r="2603" spans="1:15" x14ac:dyDescent="0.35">
      <c r="A2603" s="77">
        <v>0.8904109589041096</v>
      </c>
      <c r="B2603" s="19">
        <v>96728</v>
      </c>
      <c r="C2603" s="19" t="s">
        <v>4907</v>
      </c>
      <c r="D2603" s="19" t="s">
        <v>413</v>
      </c>
      <c r="E2603" s="19" t="s">
        <v>414</v>
      </c>
      <c r="F2603" s="19" t="s">
        <v>1699</v>
      </c>
      <c r="G2603" s="19" t="s">
        <v>1028</v>
      </c>
      <c r="H2603" s="19" t="s">
        <v>1020</v>
      </c>
      <c r="I2603" s="19" t="s">
        <v>1575</v>
      </c>
      <c r="J2603" s="20">
        <v>19</v>
      </c>
      <c r="K2603" t="s">
        <v>668</v>
      </c>
      <c r="L2603" t="s">
        <v>691</v>
      </c>
      <c r="M2603" t="s">
        <v>657</v>
      </c>
      <c r="N2603" t="s">
        <v>658</v>
      </c>
      <c r="O2603" t="s">
        <v>632</v>
      </c>
    </row>
    <row r="2604" spans="1:15" x14ac:dyDescent="0.35">
      <c r="A2604" s="77">
        <v>0.8904109589041096</v>
      </c>
      <c r="B2604" s="19">
        <v>96729</v>
      </c>
      <c r="C2604" s="19" t="s">
        <v>4908</v>
      </c>
      <c r="D2604" s="19" t="s">
        <v>181</v>
      </c>
      <c r="E2604" s="19" t="s">
        <v>182</v>
      </c>
      <c r="F2604" s="19" t="s">
        <v>1374</v>
      </c>
      <c r="G2604" s="19" t="s">
        <v>1028</v>
      </c>
      <c r="H2604" s="19" t="s">
        <v>1020</v>
      </c>
      <c r="I2604" s="19" t="s">
        <v>1575</v>
      </c>
      <c r="J2604" s="20">
        <v>25</v>
      </c>
      <c r="K2604" t="s">
        <v>625</v>
      </c>
      <c r="L2604" t="s">
        <v>678</v>
      </c>
      <c r="M2604" t="s">
        <v>623</v>
      </c>
      <c r="N2604" t="s">
        <v>624</v>
      </c>
      <c r="O2604" t="s">
        <v>679</v>
      </c>
    </row>
    <row r="2605" spans="1:15" x14ac:dyDescent="0.35">
      <c r="A2605" s="77">
        <v>0.8904109589041096</v>
      </c>
      <c r="B2605" s="19">
        <v>96731</v>
      </c>
      <c r="C2605" s="19" t="s">
        <v>4909</v>
      </c>
      <c r="D2605" s="19" t="s">
        <v>49</v>
      </c>
      <c r="E2605" s="19" t="s">
        <v>50</v>
      </c>
      <c r="F2605" s="19" t="s">
        <v>1213</v>
      </c>
      <c r="G2605" s="19" t="s">
        <v>1019</v>
      </c>
      <c r="H2605" s="19" t="s">
        <v>1020</v>
      </c>
      <c r="I2605" s="19" t="s">
        <v>1575</v>
      </c>
      <c r="J2605" s="20">
        <v>22</v>
      </c>
      <c r="K2605" t="s">
        <v>625</v>
      </c>
      <c r="L2605" t="s">
        <v>648</v>
      </c>
      <c r="M2605" t="s">
        <v>623</v>
      </c>
      <c r="N2605" t="s">
        <v>624</v>
      </c>
      <c r="O2605" t="s">
        <v>649</v>
      </c>
    </row>
    <row r="2606" spans="1:15" x14ac:dyDescent="0.35">
      <c r="A2606" s="77">
        <v>0.66301369863013704</v>
      </c>
      <c r="B2606" s="19">
        <v>96735</v>
      </c>
      <c r="C2606" s="19" t="s">
        <v>4910</v>
      </c>
      <c r="D2606" s="19" t="s">
        <v>421</v>
      </c>
      <c r="E2606" s="19" t="s">
        <v>421</v>
      </c>
      <c r="F2606" s="19" t="s">
        <v>698</v>
      </c>
      <c r="G2606" s="19" t="s">
        <v>3508</v>
      </c>
      <c r="H2606" s="19" t="s">
        <v>1020</v>
      </c>
      <c r="I2606" s="19" t="s">
        <v>1575</v>
      </c>
      <c r="J2606" s="20">
        <v>18</v>
      </c>
      <c r="K2606" t="s">
        <v>636</v>
      </c>
      <c r="L2606" t="s">
        <v>678</v>
      </c>
      <c r="M2606" t="s">
        <v>623</v>
      </c>
      <c r="N2606" t="s">
        <v>624</v>
      </c>
      <c r="O2606" t="s">
        <v>679</v>
      </c>
    </row>
    <row r="2607" spans="1:15" x14ac:dyDescent="0.35">
      <c r="A2607" s="77">
        <v>0.8904109589041096</v>
      </c>
      <c r="B2607" s="19">
        <v>96740</v>
      </c>
      <c r="C2607" s="19" t="s">
        <v>4911</v>
      </c>
      <c r="D2607" s="19" t="s">
        <v>256</v>
      </c>
      <c r="E2607" s="19" t="s">
        <v>257</v>
      </c>
      <c r="F2607" s="19" t="s">
        <v>1005</v>
      </c>
      <c r="G2607" s="19" t="s">
        <v>1057</v>
      </c>
      <c r="H2607" s="19" t="s">
        <v>1001</v>
      </c>
      <c r="I2607" s="19" t="s">
        <v>1599</v>
      </c>
      <c r="J2607" s="20">
        <v>27</v>
      </c>
      <c r="K2607" t="s">
        <v>668</v>
      </c>
      <c r="L2607" t="s">
        <v>651</v>
      </c>
      <c r="M2607" t="s">
        <v>629</v>
      </c>
      <c r="N2607" t="s">
        <v>630</v>
      </c>
      <c r="O2607" t="s">
        <v>705</v>
      </c>
    </row>
    <row r="2608" spans="1:15" x14ac:dyDescent="0.35">
      <c r="A2608" s="77">
        <v>0.88767123287671235</v>
      </c>
      <c r="B2608" s="19">
        <v>96746</v>
      </c>
      <c r="C2608" s="19" t="s">
        <v>4912</v>
      </c>
      <c r="D2608" s="19" t="s">
        <v>178</v>
      </c>
      <c r="E2608" s="19" t="s">
        <v>179</v>
      </c>
      <c r="F2608" s="19" t="s">
        <v>2407</v>
      </c>
      <c r="G2608" s="19" t="s">
        <v>1008</v>
      </c>
      <c r="H2608" s="19" t="s">
        <v>1001</v>
      </c>
      <c r="I2608" s="19" t="s">
        <v>1599</v>
      </c>
      <c r="J2608" s="20">
        <v>33</v>
      </c>
      <c r="K2608" t="s">
        <v>636</v>
      </c>
      <c r="L2608" t="s">
        <v>684</v>
      </c>
      <c r="M2608" t="s">
        <v>623</v>
      </c>
      <c r="N2608" t="s">
        <v>662</v>
      </c>
      <c r="O2608" t="s">
        <v>775</v>
      </c>
    </row>
    <row r="2609" spans="1:15" x14ac:dyDescent="0.35">
      <c r="A2609" s="77">
        <v>0.88767123287671235</v>
      </c>
      <c r="B2609" s="19">
        <v>96759</v>
      </c>
      <c r="C2609" s="19" t="s">
        <v>4913</v>
      </c>
      <c r="D2609" s="19" t="s">
        <v>335</v>
      </c>
      <c r="E2609" s="19" t="s">
        <v>336</v>
      </c>
      <c r="F2609" s="19" t="s">
        <v>841</v>
      </c>
      <c r="G2609" s="19" t="s">
        <v>3508</v>
      </c>
      <c r="H2609" s="19" t="s">
        <v>1020</v>
      </c>
      <c r="I2609" s="19" t="s">
        <v>1575</v>
      </c>
      <c r="J2609" s="20">
        <v>15</v>
      </c>
      <c r="K2609" t="s">
        <v>636</v>
      </c>
      <c r="L2609" t="s">
        <v>622</v>
      </c>
      <c r="M2609" t="s">
        <v>623</v>
      </c>
      <c r="N2609" t="s">
        <v>624</v>
      </c>
      <c r="O2609" t="s">
        <v>649</v>
      </c>
    </row>
    <row r="2610" spans="1:15" x14ac:dyDescent="0.35">
      <c r="A2610" s="77">
        <v>0.88767123287671235</v>
      </c>
      <c r="B2610" s="19">
        <v>96767</v>
      </c>
      <c r="C2610" s="19" t="s">
        <v>4914</v>
      </c>
      <c r="D2610" s="19" t="s">
        <v>34</v>
      </c>
      <c r="E2610" s="19" t="s">
        <v>34</v>
      </c>
      <c r="F2610" s="19" t="s">
        <v>1066</v>
      </c>
      <c r="G2610" s="19" t="s">
        <v>1019</v>
      </c>
      <c r="H2610" s="19" t="s">
        <v>1020</v>
      </c>
      <c r="I2610" s="19" t="s">
        <v>1575</v>
      </c>
      <c r="J2610" s="20">
        <v>21</v>
      </c>
      <c r="K2610" t="s">
        <v>654</v>
      </c>
      <c r="L2610" t="s">
        <v>656</v>
      </c>
      <c r="M2610" t="s">
        <v>657</v>
      </c>
      <c r="N2610" t="s">
        <v>658</v>
      </c>
      <c r="O2610" t="s">
        <v>632</v>
      </c>
    </row>
    <row r="2611" spans="1:15" x14ac:dyDescent="0.35">
      <c r="A2611" s="77">
        <v>0.88767123287671235</v>
      </c>
      <c r="B2611" s="19">
        <v>96782</v>
      </c>
      <c r="C2611" s="19" t="s">
        <v>4915</v>
      </c>
      <c r="D2611" s="19" t="s">
        <v>311</v>
      </c>
      <c r="E2611" s="19" t="s">
        <v>312</v>
      </c>
      <c r="F2611" s="19" t="s">
        <v>1140</v>
      </c>
      <c r="G2611" s="19" t="s">
        <v>1028</v>
      </c>
      <c r="H2611" s="19" t="s">
        <v>1020</v>
      </c>
      <c r="I2611" s="19" t="s">
        <v>1599</v>
      </c>
      <c r="J2611" s="20">
        <v>26</v>
      </c>
      <c r="K2611" t="s">
        <v>631</v>
      </c>
      <c r="L2611" t="s">
        <v>628</v>
      </c>
      <c r="M2611" t="s">
        <v>629</v>
      </c>
      <c r="N2611" t="s">
        <v>630</v>
      </c>
      <c r="O2611" t="s">
        <v>632</v>
      </c>
    </row>
    <row r="2612" spans="1:15" x14ac:dyDescent="0.35">
      <c r="A2612" s="77">
        <v>0.8849315068493151</v>
      </c>
      <c r="B2612" s="19">
        <v>96784</v>
      </c>
      <c r="C2612" s="19" t="s">
        <v>4916</v>
      </c>
      <c r="D2612" s="19" t="s">
        <v>377</v>
      </c>
      <c r="E2612" s="19" t="s">
        <v>378</v>
      </c>
      <c r="F2612" s="19" t="s">
        <v>862</v>
      </c>
      <c r="G2612" s="19" t="s">
        <v>1028</v>
      </c>
      <c r="H2612" s="19" t="s">
        <v>1020</v>
      </c>
      <c r="I2612" s="19" t="s">
        <v>1575</v>
      </c>
      <c r="J2612" s="20">
        <v>23</v>
      </c>
      <c r="K2612" t="s">
        <v>631</v>
      </c>
      <c r="L2612" t="s">
        <v>661</v>
      </c>
      <c r="M2612" t="s">
        <v>657</v>
      </c>
      <c r="N2612" t="s">
        <v>662</v>
      </c>
      <c r="O2612" t="s">
        <v>632</v>
      </c>
    </row>
    <row r="2613" spans="1:15" x14ac:dyDescent="0.35">
      <c r="A2613" s="77">
        <v>0.8849315068493151</v>
      </c>
      <c r="B2613" s="19">
        <v>96793</v>
      </c>
      <c r="C2613" s="19" t="s">
        <v>4917</v>
      </c>
      <c r="D2613" s="19" t="s">
        <v>377</v>
      </c>
      <c r="E2613" s="19" t="s">
        <v>378</v>
      </c>
      <c r="F2613" s="19" t="s">
        <v>862</v>
      </c>
      <c r="G2613" s="19" t="s">
        <v>1028</v>
      </c>
      <c r="H2613" s="19" t="s">
        <v>1020</v>
      </c>
      <c r="I2613" s="19" t="s">
        <v>1575</v>
      </c>
      <c r="J2613" s="20">
        <v>19</v>
      </c>
      <c r="K2613" t="s">
        <v>631</v>
      </c>
      <c r="L2613" t="s">
        <v>661</v>
      </c>
      <c r="M2613" t="s">
        <v>657</v>
      </c>
      <c r="N2613" t="s">
        <v>662</v>
      </c>
      <c r="O2613" t="s">
        <v>632</v>
      </c>
    </row>
    <row r="2614" spans="1:15" x14ac:dyDescent="0.35">
      <c r="A2614" s="77">
        <v>0.88767123287671235</v>
      </c>
      <c r="B2614" s="19">
        <v>96806</v>
      </c>
      <c r="C2614" s="19" t="s">
        <v>4918</v>
      </c>
      <c r="D2614" s="19" t="s">
        <v>409</v>
      </c>
      <c r="E2614" s="19" t="s">
        <v>410</v>
      </c>
      <c r="F2614" s="19" t="s">
        <v>874</v>
      </c>
      <c r="G2614" s="19" t="s">
        <v>1084</v>
      </c>
      <c r="H2614" s="19" t="s">
        <v>1001</v>
      </c>
      <c r="I2614" s="19" t="s">
        <v>1599</v>
      </c>
      <c r="J2614" s="20">
        <v>21</v>
      </c>
      <c r="K2614" t="s">
        <v>631</v>
      </c>
      <c r="L2614" t="s">
        <v>666</v>
      </c>
      <c r="M2614" t="s">
        <v>629</v>
      </c>
      <c r="N2614" t="s">
        <v>635</v>
      </c>
      <c r="O2614" t="s">
        <v>637</v>
      </c>
    </row>
    <row r="2615" spans="1:15" x14ac:dyDescent="0.35">
      <c r="A2615" s="77">
        <v>0.88767123287671235</v>
      </c>
      <c r="B2615" s="19">
        <v>96807</v>
      </c>
      <c r="C2615" s="19" t="s">
        <v>4919</v>
      </c>
      <c r="D2615" s="19" t="s">
        <v>409</v>
      </c>
      <c r="E2615" s="19" t="s">
        <v>410</v>
      </c>
      <c r="F2615" s="19" t="s">
        <v>874</v>
      </c>
      <c r="G2615" s="19" t="s">
        <v>1008</v>
      </c>
      <c r="H2615" s="19" t="s">
        <v>1001</v>
      </c>
      <c r="I2615" s="19" t="s">
        <v>1575</v>
      </c>
      <c r="J2615" s="20">
        <v>20</v>
      </c>
      <c r="K2615" t="s">
        <v>631</v>
      </c>
      <c r="L2615" t="s">
        <v>666</v>
      </c>
      <c r="M2615" t="s">
        <v>629</v>
      </c>
      <c r="N2615" t="s">
        <v>635</v>
      </c>
      <c r="O2615" t="s">
        <v>637</v>
      </c>
    </row>
    <row r="2616" spans="1:15" x14ac:dyDescent="0.35">
      <c r="A2616" s="77">
        <v>0.88767123287671235</v>
      </c>
      <c r="B2616" s="19">
        <v>96808</v>
      </c>
      <c r="C2616" s="19" t="s">
        <v>4920</v>
      </c>
      <c r="D2616" s="19" t="s">
        <v>91</v>
      </c>
      <c r="E2616" s="19" t="s">
        <v>92</v>
      </c>
      <c r="F2616" s="19" t="s">
        <v>1113</v>
      </c>
      <c r="G2616" s="19" t="s">
        <v>1008</v>
      </c>
      <c r="H2616" s="19" t="s">
        <v>1001</v>
      </c>
      <c r="I2616" s="19" t="s">
        <v>1575</v>
      </c>
      <c r="J2616" s="20">
        <v>21</v>
      </c>
      <c r="K2616" t="s">
        <v>636</v>
      </c>
      <c r="L2616" t="s">
        <v>634</v>
      </c>
      <c r="M2616" t="s">
        <v>629</v>
      </c>
      <c r="N2616" t="s">
        <v>630</v>
      </c>
      <c r="O2616" t="s">
        <v>734</v>
      </c>
    </row>
    <row r="2617" spans="1:15" x14ac:dyDescent="0.35">
      <c r="A2617" s="77">
        <v>0.8849315068493151</v>
      </c>
      <c r="B2617" s="19">
        <v>96817</v>
      </c>
      <c r="C2617" s="19" t="s">
        <v>4921</v>
      </c>
      <c r="D2617" s="19" t="s">
        <v>93</v>
      </c>
      <c r="E2617" s="19" t="s">
        <v>94</v>
      </c>
      <c r="F2617" s="19" t="s">
        <v>919</v>
      </c>
      <c r="G2617" s="19" t="s">
        <v>1028</v>
      </c>
      <c r="H2617" s="19" t="s">
        <v>1020</v>
      </c>
      <c r="I2617" s="19" t="s">
        <v>1575</v>
      </c>
      <c r="J2617" s="20">
        <v>21</v>
      </c>
      <c r="K2617" t="s">
        <v>654</v>
      </c>
      <c r="L2617" t="s">
        <v>691</v>
      </c>
      <c r="M2617" t="s">
        <v>657</v>
      </c>
      <c r="N2617" t="s">
        <v>658</v>
      </c>
      <c r="O2617" t="s">
        <v>632</v>
      </c>
    </row>
    <row r="2618" spans="1:15" x14ac:dyDescent="0.35">
      <c r="A2618" s="77">
        <v>0.87671232876712324</v>
      </c>
      <c r="B2618" s="19">
        <v>96831</v>
      </c>
      <c r="C2618" s="19" t="s">
        <v>4922</v>
      </c>
      <c r="D2618" s="19" t="s">
        <v>107</v>
      </c>
      <c r="E2618" s="19" t="s">
        <v>108</v>
      </c>
      <c r="F2618" s="19" t="s">
        <v>2702</v>
      </c>
      <c r="G2618" s="19" t="s">
        <v>1028</v>
      </c>
      <c r="H2618" s="19" t="s">
        <v>1020</v>
      </c>
      <c r="I2618" s="19" t="s">
        <v>1575</v>
      </c>
      <c r="J2618" s="20">
        <v>22</v>
      </c>
      <c r="K2618" t="s">
        <v>668</v>
      </c>
      <c r="L2618" t="s">
        <v>691</v>
      </c>
      <c r="M2618" t="s">
        <v>657</v>
      </c>
      <c r="N2618" t="s">
        <v>658</v>
      </c>
      <c r="O2618" t="s">
        <v>632</v>
      </c>
    </row>
    <row r="2619" spans="1:15" x14ac:dyDescent="0.35">
      <c r="A2619" s="77">
        <v>0.87397260273972599</v>
      </c>
      <c r="B2619" s="19">
        <v>96836</v>
      </c>
      <c r="C2619" s="19" t="s">
        <v>4923</v>
      </c>
      <c r="D2619" s="19" t="s">
        <v>601</v>
      </c>
      <c r="E2619" s="19" t="e">
        <v>#N/A</v>
      </c>
      <c r="F2619" s="19" t="s">
        <v>1136</v>
      </c>
      <c r="G2619" s="19" t="s">
        <v>1028</v>
      </c>
      <c r="H2619" s="19" t="s">
        <v>1020</v>
      </c>
      <c r="I2619" s="19" t="s">
        <v>1575</v>
      </c>
      <c r="J2619" s="20">
        <v>22</v>
      </c>
      <c r="K2619" t="s">
        <v>654</v>
      </c>
      <c r="L2619" t="s">
        <v>651</v>
      </c>
      <c r="M2619" t="s">
        <v>629</v>
      </c>
      <c r="N2619" t="s">
        <v>630</v>
      </c>
      <c r="O2619" t="s">
        <v>715</v>
      </c>
    </row>
    <row r="2620" spans="1:15" x14ac:dyDescent="0.35">
      <c r="A2620" s="77">
        <v>0.87397260273972599</v>
      </c>
      <c r="B2620" s="19">
        <v>96841</v>
      </c>
      <c r="C2620" s="19" t="s">
        <v>4924</v>
      </c>
      <c r="D2620" s="19" t="s">
        <v>30</v>
      </c>
      <c r="E2620" s="19" t="s">
        <v>30</v>
      </c>
      <c r="F2620" s="19" t="s">
        <v>672</v>
      </c>
      <c r="G2620" s="19" t="s">
        <v>1028</v>
      </c>
      <c r="H2620" s="19" t="s">
        <v>1020</v>
      </c>
      <c r="I2620" s="19" t="s">
        <v>1599</v>
      </c>
      <c r="J2620" s="20">
        <v>22</v>
      </c>
      <c r="K2620" t="s">
        <v>636</v>
      </c>
      <c r="L2620" t="s">
        <v>673</v>
      </c>
      <c r="M2620" t="s">
        <v>623</v>
      </c>
      <c r="N2620" t="s">
        <v>641</v>
      </c>
      <c r="O2620" t="s">
        <v>674</v>
      </c>
    </row>
    <row r="2621" spans="1:15" x14ac:dyDescent="0.35">
      <c r="A2621" s="77">
        <v>0.87397260273972599</v>
      </c>
      <c r="B2621" s="19">
        <v>96842</v>
      </c>
      <c r="C2621" s="19" t="s">
        <v>4925</v>
      </c>
      <c r="D2621" s="19" t="s">
        <v>30</v>
      </c>
      <c r="E2621" s="19" t="s">
        <v>30</v>
      </c>
      <c r="F2621" s="19" t="s">
        <v>672</v>
      </c>
      <c r="G2621" s="19" t="s">
        <v>1028</v>
      </c>
      <c r="H2621" s="19" t="s">
        <v>1020</v>
      </c>
      <c r="I2621" s="19" t="s">
        <v>1599</v>
      </c>
      <c r="J2621" s="20">
        <v>21</v>
      </c>
      <c r="K2621" t="s">
        <v>636</v>
      </c>
      <c r="L2621" t="s">
        <v>673</v>
      </c>
      <c r="M2621" t="s">
        <v>623</v>
      </c>
      <c r="N2621" t="s">
        <v>641</v>
      </c>
      <c r="O2621" t="s">
        <v>674</v>
      </c>
    </row>
    <row r="2622" spans="1:15" x14ac:dyDescent="0.35">
      <c r="A2622" s="77">
        <v>0.87397260273972599</v>
      </c>
      <c r="B2622" s="19">
        <v>96846</v>
      </c>
      <c r="C2622" s="19" t="s">
        <v>4926</v>
      </c>
      <c r="D2622" s="19" t="s">
        <v>21</v>
      </c>
      <c r="E2622" s="19" t="s">
        <v>21</v>
      </c>
      <c r="F2622" s="19" t="s">
        <v>22</v>
      </c>
      <c r="G2622" s="19" t="s">
        <v>1028</v>
      </c>
      <c r="H2622" s="19" t="s">
        <v>1020</v>
      </c>
      <c r="I2622" s="19" t="s">
        <v>1575</v>
      </c>
      <c r="J2622" s="20">
        <v>47</v>
      </c>
      <c r="K2622" t="s">
        <v>654</v>
      </c>
      <c r="L2622" t="s">
        <v>656</v>
      </c>
      <c r="M2622" t="s">
        <v>657</v>
      </c>
      <c r="N2622" t="s">
        <v>658</v>
      </c>
      <c r="O2622" t="s">
        <v>659</v>
      </c>
    </row>
    <row r="2623" spans="1:15" x14ac:dyDescent="0.35">
      <c r="A2623" s="77">
        <v>2.1917808219178082E-2</v>
      </c>
      <c r="B2623" s="19">
        <v>96848</v>
      </c>
      <c r="C2623" s="19" t="s">
        <v>4927</v>
      </c>
      <c r="D2623" s="19" t="s">
        <v>324</v>
      </c>
      <c r="E2623" s="19" t="s">
        <v>325</v>
      </c>
      <c r="F2623" s="19" t="s">
        <v>1284</v>
      </c>
      <c r="G2623" s="19" t="s">
        <v>1028</v>
      </c>
      <c r="H2623" s="19" t="s">
        <v>1020</v>
      </c>
      <c r="I2623" s="19" t="s">
        <v>1575</v>
      </c>
      <c r="J2623" s="20">
        <v>20</v>
      </c>
      <c r="K2623" t="s">
        <v>631</v>
      </c>
      <c r="L2623" t="s">
        <v>663</v>
      </c>
      <c r="M2623" t="s">
        <v>629</v>
      </c>
      <c r="N2623" t="s">
        <v>646</v>
      </c>
      <c r="O2623" t="s">
        <v>639</v>
      </c>
    </row>
    <row r="2624" spans="1:15" x14ac:dyDescent="0.35">
      <c r="A2624" s="77">
        <v>0.87397260273972599</v>
      </c>
      <c r="B2624" s="19">
        <v>96849</v>
      </c>
      <c r="C2624" s="19" t="s">
        <v>4928</v>
      </c>
      <c r="D2624" s="19" t="s">
        <v>324</v>
      </c>
      <c r="E2624" s="19" t="s">
        <v>325</v>
      </c>
      <c r="F2624" s="19" t="s">
        <v>1284</v>
      </c>
      <c r="G2624" s="19" t="s">
        <v>1008</v>
      </c>
      <c r="H2624" s="19" t="s">
        <v>1001</v>
      </c>
      <c r="I2624" s="19" t="s">
        <v>1599</v>
      </c>
      <c r="J2624" s="20">
        <v>19</v>
      </c>
      <c r="K2624" t="s">
        <v>631</v>
      </c>
      <c r="L2624" t="s">
        <v>663</v>
      </c>
      <c r="M2624" t="s">
        <v>629</v>
      </c>
      <c r="N2624" t="s">
        <v>646</v>
      </c>
      <c r="O2624" t="s">
        <v>639</v>
      </c>
    </row>
    <row r="2625" spans="1:15" x14ac:dyDescent="0.35">
      <c r="A2625" s="77">
        <v>0.87123287671232874</v>
      </c>
      <c r="B2625" s="19">
        <v>96853</v>
      </c>
      <c r="C2625" s="19" t="s">
        <v>4929</v>
      </c>
      <c r="D2625" s="19" t="s">
        <v>140</v>
      </c>
      <c r="E2625" s="19" t="s">
        <v>141</v>
      </c>
      <c r="F2625" s="19" t="s">
        <v>1138</v>
      </c>
      <c r="G2625" s="19" t="s">
        <v>1019</v>
      </c>
      <c r="H2625" s="19" t="s">
        <v>1020</v>
      </c>
      <c r="I2625" s="19" t="s">
        <v>1575</v>
      </c>
      <c r="J2625" s="20">
        <v>19</v>
      </c>
      <c r="K2625" t="s">
        <v>636</v>
      </c>
      <c r="L2625" t="s">
        <v>640</v>
      </c>
      <c r="M2625" t="s">
        <v>623</v>
      </c>
      <c r="N2625" t="s">
        <v>641</v>
      </c>
      <c r="O2625" t="s">
        <v>754</v>
      </c>
    </row>
    <row r="2626" spans="1:15" x14ac:dyDescent="0.35">
      <c r="A2626" s="77">
        <v>0.87123287671232874</v>
      </c>
      <c r="B2626" s="19">
        <v>96854</v>
      </c>
      <c r="C2626" s="19" t="s">
        <v>4930</v>
      </c>
      <c r="D2626" s="19" t="s">
        <v>232</v>
      </c>
      <c r="E2626" s="19" t="s">
        <v>233</v>
      </c>
      <c r="F2626" s="19" t="s">
        <v>1040</v>
      </c>
      <c r="G2626" s="19" t="s">
        <v>1028</v>
      </c>
      <c r="H2626" s="19" t="s">
        <v>1020</v>
      </c>
      <c r="I2626" s="19" t="s">
        <v>1575</v>
      </c>
      <c r="J2626" s="20">
        <v>26</v>
      </c>
      <c r="K2626" t="s">
        <v>654</v>
      </c>
      <c r="L2626" t="s">
        <v>684</v>
      </c>
      <c r="M2626" t="s">
        <v>623</v>
      </c>
      <c r="N2626" t="s">
        <v>662</v>
      </c>
      <c r="O2626" t="s">
        <v>795</v>
      </c>
    </row>
    <row r="2627" spans="1:15" x14ac:dyDescent="0.35">
      <c r="A2627" s="77">
        <v>0.87123287671232874</v>
      </c>
      <c r="B2627" s="19">
        <v>96872</v>
      </c>
      <c r="C2627" s="19" t="s">
        <v>4931</v>
      </c>
      <c r="D2627" s="19" t="s">
        <v>430</v>
      </c>
      <c r="E2627" s="19" t="e">
        <v>#N/A</v>
      </c>
      <c r="F2627" s="19" t="s">
        <v>1105</v>
      </c>
      <c r="G2627" s="19" t="s">
        <v>1008</v>
      </c>
      <c r="H2627" s="19" t="s">
        <v>1001</v>
      </c>
      <c r="I2627" s="19" t="s">
        <v>1575</v>
      </c>
      <c r="J2627" s="20">
        <v>24</v>
      </c>
      <c r="K2627" t="s">
        <v>654</v>
      </c>
      <c r="L2627" t="s">
        <v>645</v>
      </c>
      <c r="M2627" t="s">
        <v>629</v>
      </c>
      <c r="N2627" t="s">
        <v>646</v>
      </c>
      <c r="O2627" t="s">
        <v>632</v>
      </c>
    </row>
    <row r="2628" spans="1:15" x14ac:dyDescent="0.35">
      <c r="A2628" s="77">
        <v>0.87123287671232874</v>
      </c>
      <c r="B2628" s="19">
        <v>96877</v>
      </c>
      <c r="C2628" s="19" t="s">
        <v>4932</v>
      </c>
      <c r="D2628" s="19" t="s">
        <v>425</v>
      </c>
      <c r="E2628" s="19" t="s">
        <v>425</v>
      </c>
      <c r="F2628" s="19" t="s">
        <v>1330</v>
      </c>
      <c r="G2628" s="19" t="s">
        <v>1008</v>
      </c>
      <c r="H2628" s="19" t="s">
        <v>1001</v>
      </c>
      <c r="I2628" s="19" t="s">
        <v>1575</v>
      </c>
      <c r="J2628" s="20">
        <v>30</v>
      </c>
      <c r="K2628" t="s">
        <v>654</v>
      </c>
      <c r="L2628" t="s">
        <v>678</v>
      </c>
      <c r="M2628" t="s">
        <v>623</v>
      </c>
      <c r="N2628" t="s">
        <v>624</v>
      </c>
      <c r="O2628" t="s">
        <v>689</v>
      </c>
    </row>
    <row r="2629" spans="1:15" x14ac:dyDescent="0.35">
      <c r="A2629" s="77">
        <v>0.87123287671232874</v>
      </c>
      <c r="B2629" s="19">
        <v>96881</v>
      </c>
      <c r="C2629" s="19" t="s">
        <v>4933</v>
      </c>
      <c r="D2629" s="19" t="s">
        <v>405</v>
      </c>
      <c r="E2629" s="19" t="s">
        <v>406</v>
      </c>
      <c r="F2629" s="19" t="s">
        <v>594</v>
      </c>
      <c r="G2629" s="19" t="s">
        <v>1008</v>
      </c>
      <c r="H2629" s="19" t="s">
        <v>1001</v>
      </c>
      <c r="I2629" s="19" t="s">
        <v>1575</v>
      </c>
      <c r="J2629" s="20">
        <v>21</v>
      </c>
      <c r="K2629" t="s">
        <v>654</v>
      </c>
      <c r="L2629" t="s">
        <v>684</v>
      </c>
      <c r="M2629" t="s">
        <v>623</v>
      </c>
      <c r="N2629" t="s">
        <v>662</v>
      </c>
      <c r="O2629" t="s">
        <v>872</v>
      </c>
    </row>
    <row r="2630" spans="1:15" x14ac:dyDescent="0.35">
      <c r="A2630" s="77">
        <v>0.87123287671232874</v>
      </c>
      <c r="B2630" s="19">
        <v>96890</v>
      </c>
      <c r="C2630" s="19" t="s">
        <v>4934</v>
      </c>
      <c r="D2630" s="19" t="s">
        <v>163</v>
      </c>
      <c r="E2630" s="19" t="s">
        <v>164</v>
      </c>
      <c r="F2630" s="19" t="s">
        <v>1174</v>
      </c>
      <c r="G2630" s="19" t="s">
        <v>1028</v>
      </c>
      <c r="H2630" s="19" t="s">
        <v>1020</v>
      </c>
      <c r="I2630" s="19" t="s">
        <v>1575</v>
      </c>
      <c r="J2630" s="20">
        <v>48</v>
      </c>
      <c r="K2630" t="s">
        <v>654</v>
      </c>
      <c r="L2630" t="s">
        <v>634</v>
      </c>
      <c r="M2630" t="s">
        <v>629</v>
      </c>
      <c r="N2630" t="s">
        <v>635</v>
      </c>
      <c r="O2630" t="s">
        <v>637</v>
      </c>
    </row>
    <row r="2631" spans="1:15" x14ac:dyDescent="0.35">
      <c r="A2631" s="77">
        <v>0.86849315068493149</v>
      </c>
      <c r="B2631" s="19">
        <v>96894</v>
      </c>
      <c r="C2631" s="19" t="s">
        <v>4935</v>
      </c>
      <c r="D2631" s="19" t="s">
        <v>218</v>
      </c>
      <c r="E2631" s="19" t="s">
        <v>219</v>
      </c>
      <c r="F2631" s="19" t="s">
        <v>1372</v>
      </c>
      <c r="G2631" s="19" t="s">
        <v>1057</v>
      </c>
      <c r="H2631" s="19" t="s">
        <v>1001</v>
      </c>
      <c r="I2631" s="19" t="s">
        <v>1575</v>
      </c>
      <c r="J2631" s="20">
        <v>24</v>
      </c>
      <c r="K2631" t="s">
        <v>625</v>
      </c>
      <c r="L2631" t="s">
        <v>661</v>
      </c>
      <c r="M2631" t="s">
        <v>657</v>
      </c>
      <c r="N2631" t="s">
        <v>662</v>
      </c>
      <c r="O2631" t="s">
        <v>632</v>
      </c>
    </row>
    <row r="2632" spans="1:15" x14ac:dyDescent="0.35">
      <c r="A2632" s="77">
        <v>0.86849315068493149</v>
      </c>
      <c r="B2632" s="19">
        <v>96895</v>
      </c>
      <c r="C2632" s="19" t="s">
        <v>4936</v>
      </c>
      <c r="D2632" s="19" t="s">
        <v>105</v>
      </c>
      <c r="E2632" s="19" t="s">
        <v>106</v>
      </c>
      <c r="F2632" s="19" t="s">
        <v>1207</v>
      </c>
      <c r="G2632" s="19" t="s">
        <v>1028</v>
      </c>
      <c r="H2632" s="19" t="s">
        <v>1020</v>
      </c>
      <c r="I2632" s="19" t="s">
        <v>1575</v>
      </c>
      <c r="J2632" s="20">
        <v>20</v>
      </c>
      <c r="K2632" t="s">
        <v>654</v>
      </c>
      <c r="L2632" t="s">
        <v>622</v>
      </c>
      <c r="M2632" t="s">
        <v>623</v>
      </c>
      <c r="N2632" t="s">
        <v>624</v>
      </c>
      <c r="O2632" t="s">
        <v>626</v>
      </c>
    </row>
    <row r="2633" spans="1:15" x14ac:dyDescent="0.35">
      <c r="A2633" s="77">
        <v>0.21369863013698631</v>
      </c>
      <c r="B2633" s="19">
        <v>96900</v>
      </c>
      <c r="C2633" s="19" t="s">
        <v>4937</v>
      </c>
      <c r="D2633" s="19" t="s">
        <v>324</v>
      </c>
      <c r="E2633" s="19" t="s">
        <v>325</v>
      </c>
      <c r="F2633" s="19" t="s">
        <v>1284</v>
      </c>
      <c r="G2633" s="19" t="s">
        <v>1028</v>
      </c>
      <c r="H2633" s="19" t="s">
        <v>1020</v>
      </c>
      <c r="I2633" s="19" t="s">
        <v>1599</v>
      </c>
      <c r="J2633" s="20">
        <v>19</v>
      </c>
      <c r="K2633" t="s">
        <v>631</v>
      </c>
      <c r="L2633" t="s">
        <v>663</v>
      </c>
      <c r="M2633" t="s">
        <v>629</v>
      </c>
      <c r="N2633" t="s">
        <v>646</v>
      </c>
      <c r="O2633" t="s">
        <v>639</v>
      </c>
    </row>
    <row r="2634" spans="1:15" x14ac:dyDescent="0.35">
      <c r="A2634" s="77">
        <v>2.1917808219178082E-2</v>
      </c>
      <c r="B2634" s="19">
        <v>96901</v>
      </c>
      <c r="C2634" s="19" t="s">
        <v>4938</v>
      </c>
      <c r="D2634" s="19" t="s">
        <v>324</v>
      </c>
      <c r="E2634" s="19" t="s">
        <v>325</v>
      </c>
      <c r="F2634" s="19" t="s">
        <v>1284</v>
      </c>
      <c r="G2634" s="19" t="s">
        <v>1008</v>
      </c>
      <c r="H2634" s="19" t="s">
        <v>1001</v>
      </c>
      <c r="I2634" s="19" t="s">
        <v>1575</v>
      </c>
      <c r="J2634" s="20">
        <v>19</v>
      </c>
      <c r="K2634" t="s">
        <v>631</v>
      </c>
      <c r="L2634" t="s">
        <v>663</v>
      </c>
      <c r="M2634" t="s">
        <v>629</v>
      </c>
      <c r="N2634" t="s">
        <v>646</v>
      </c>
      <c r="O2634" t="s">
        <v>639</v>
      </c>
    </row>
    <row r="2635" spans="1:15" x14ac:dyDescent="0.35">
      <c r="A2635" s="77">
        <v>2.1917808219178082E-2</v>
      </c>
      <c r="B2635" s="19">
        <v>96902</v>
      </c>
      <c r="C2635" s="19" t="s">
        <v>4939</v>
      </c>
      <c r="D2635" s="19" t="s">
        <v>324</v>
      </c>
      <c r="E2635" s="19" t="s">
        <v>325</v>
      </c>
      <c r="F2635" s="19" t="s">
        <v>1284</v>
      </c>
      <c r="G2635" s="19" t="s">
        <v>1008</v>
      </c>
      <c r="H2635" s="19" t="s">
        <v>1001</v>
      </c>
      <c r="I2635" s="19" t="s">
        <v>1575</v>
      </c>
      <c r="J2635" s="20">
        <v>22</v>
      </c>
      <c r="K2635" t="s">
        <v>631</v>
      </c>
      <c r="L2635" t="s">
        <v>663</v>
      </c>
      <c r="M2635" t="s">
        <v>629</v>
      </c>
      <c r="N2635" t="s">
        <v>646</v>
      </c>
      <c r="O2635" t="s">
        <v>639</v>
      </c>
    </row>
    <row r="2636" spans="1:15" x14ac:dyDescent="0.35">
      <c r="A2636" s="77">
        <v>0.86849315068493149</v>
      </c>
      <c r="B2636" s="19">
        <v>96903</v>
      </c>
      <c r="C2636" s="19" t="s">
        <v>4940</v>
      </c>
      <c r="D2636" s="19" t="s">
        <v>324</v>
      </c>
      <c r="E2636" s="19" t="s">
        <v>325</v>
      </c>
      <c r="F2636" s="19" t="s">
        <v>1284</v>
      </c>
      <c r="G2636" s="19" t="s">
        <v>1028</v>
      </c>
      <c r="H2636" s="19" t="s">
        <v>1020</v>
      </c>
      <c r="I2636" s="19" t="s">
        <v>1575</v>
      </c>
      <c r="J2636" s="20">
        <v>19</v>
      </c>
      <c r="K2636" t="s">
        <v>631</v>
      </c>
      <c r="L2636" t="s">
        <v>663</v>
      </c>
      <c r="M2636" t="s">
        <v>629</v>
      </c>
      <c r="N2636" t="s">
        <v>646</v>
      </c>
      <c r="O2636" t="s">
        <v>639</v>
      </c>
    </row>
    <row r="2637" spans="1:15" x14ac:dyDescent="0.35">
      <c r="A2637" s="77">
        <v>0.86849315068493149</v>
      </c>
      <c r="B2637" s="19">
        <v>96906</v>
      </c>
      <c r="C2637" s="19" t="s">
        <v>4941</v>
      </c>
      <c r="D2637" s="19" t="s">
        <v>385</v>
      </c>
      <c r="E2637" s="19" t="s">
        <v>386</v>
      </c>
      <c r="F2637" s="19" t="s">
        <v>1059</v>
      </c>
      <c r="G2637" s="19" t="s">
        <v>1008</v>
      </c>
      <c r="H2637" s="19" t="s">
        <v>1001</v>
      </c>
      <c r="I2637" s="19" t="s">
        <v>1575</v>
      </c>
      <c r="J2637" s="20">
        <v>19</v>
      </c>
      <c r="K2637" t="s">
        <v>631</v>
      </c>
      <c r="L2637" t="s">
        <v>663</v>
      </c>
      <c r="M2637" t="s">
        <v>629</v>
      </c>
      <c r="N2637" t="s">
        <v>646</v>
      </c>
      <c r="O2637" t="s">
        <v>810</v>
      </c>
    </row>
    <row r="2638" spans="1:15" x14ac:dyDescent="0.35">
      <c r="A2638" s="77">
        <v>0.86575342465753424</v>
      </c>
      <c r="B2638" s="19">
        <v>96910</v>
      </c>
      <c r="C2638" s="19" t="s">
        <v>4942</v>
      </c>
      <c r="D2638" s="19" t="s">
        <v>371</v>
      </c>
      <c r="E2638" s="19" t="s">
        <v>372</v>
      </c>
      <c r="F2638" s="19" t="s">
        <v>2222</v>
      </c>
      <c r="G2638" s="19" t="s">
        <v>1028</v>
      </c>
      <c r="H2638" s="19" t="s">
        <v>1020</v>
      </c>
      <c r="I2638" s="19" t="s">
        <v>1575</v>
      </c>
      <c r="J2638" s="20">
        <v>22</v>
      </c>
      <c r="K2638" t="s">
        <v>668</v>
      </c>
      <c r="L2638" t="s">
        <v>640</v>
      </c>
      <c r="M2638" t="s">
        <v>623</v>
      </c>
      <c r="N2638" t="s">
        <v>641</v>
      </c>
      <c r="O2638" t="s">
        <v>859</v>
      </c>
    </row>
    <row r="2639" spans="1:15" x14ac:dyDescent="0.35">
      <c r="A2639" s="77">
        <v>0.86575342465753424</v>
      </c>
      <c r="B2639" s="19">
        <v>96917</v>
      </c>
      <c r="C2639" s="19" t="s">
        <v>4943</v>
      </c>
      <c r="D2639" s="19" t="s">
        <v>357</v>
      </c>
      <c r="E2639" s="19" t="s">
        <v>358</v>
      </c>
      <c r="F2639" s="19" t="s">
        <v>1161</v>
      </c>
      <c r="G2639" s="19" t="s">
        <v>1028</v>
      </c>
      <c r="H2639" s="19" t="s">
        <v>1020</v>
      </c>
      <c r="I2639" s="19" t="s">
        <v>1575</v>
      </c>
      <c r="J2639" s="20">
        <v>19</v>
      </c>
      <c r="K2639" t="s">
        <v>668</v>
      </c>
      <c r="L2639" t="s">
        <v>640</v>
      </c>
      <c r="M2639" t="s">
        <v>623</v>
      </c>
      <c r="N2639" t="s">
        <v>641</v>
      </c>
      <c r="O2639" t="s">
        <v>852</v>
      </c>
    </row>
    <row r="2640" spans="1:15" x14ac:dyDescent="0.35">
      <c r="A2640" s="77">
        <v>2.1917808219178082E-2</v>
      </c>
      <c r="B2640" s="19">
        <v>96931</v>
      </c>
      <c r="C2640" s="19" t="s">
        <v>4944</v>
      </c>
      <c r="D2640" s="19" t="s">
        <v>220</v>
      </c>
      <c r="E2640" s="19" t="s">
        <v>221</v>
      </c>
      <c r="F2640" s="19" t="s">
        <v>2309</v>
      </c>
      <c r="G2640" s="19" t="s">
        <v>1028</v>
      </c>
      <c r="H2640" s="19" t="s">
        <v>1020</v>
      </c>
      <c r="I2640" s="19" t="s">
        <v>1575</v>
      </c>
      <c r="J2640" s="20">
        <v>19</v>
      </c>
      <c r="K2640" t="s">
        <v>668</v>
      </c>
      <c r="L2640" t="s">
        <v>648</v>
      </c>
      <c r="M2640" t="s">
        <v>623</v>
      </c>
      <c r="N2640" t="s">
        <v>624</v>
      </c>
      <c r="O2640" t="s">
        <v>649</v>
      </c>
    </row>
    <row r="2641" spans="1:15" x14ac:dyDescent="0.35">
      <c r="A2641" s="77">
        <v>2.4657534246575342E-2</v>
      </c>
      <c r="B2641" s="19">
        <v>96949</v>
      </c>
      <c r="C2641" s="19" t="s">
        <v>4945</v>
      </c>
      <c r="D2641" s="19" t="s">
        <v>273</v>
      </c>
      <c r="E2641" s="19" t="s">
        <v>274</v>
      </c>
      <c r="F2641" s="19" t="s">
        <v>1093</v>
      </c>
      <c r="G2641" s="19" t="s">
        <v>1008</v>
      </c>
      <c r="H2641" s="19" t="s">
        <v>1001</v>
      </c>
      <c r="I2641" s="19" t="s">
        <v>1575</v>
      </c>
      <c r="J2641" s="20">
        <v>19</v>
      </c>
      <c r="K2641" t="s">
        <v>636</v>
      </c>
      <c r="L2641" t="s">
        <v>663</v>
      </c>
      <c r="M2641" t="s">
        <v>629</v>
      </c>
      <c r="N2641" t="s">
        <v>646</v>
      </c>
      <c r="O2641" t="s">
        <v>639</v>
      </c>
    </row>
    <row r="2642" spans="1:15" x14ac:dyDescent="0.35">
      <c r="A2642" s="77">
        <v>0.85479452054794525</v>
      </c>
      <c r="B2642" s="19">
        <v>96951</v>
      </c>
      <c r="C2642" s="19" t="s">
        <v>4946</v>
      </c>
      <c r="D2642" s="19" t="s">
        <v>201</v>
      </c>
      <c r="E2642" s="19" t="s">
        <v>202</v>
      </c>
      <c r="F2642" s="19" t="s">
        <v>1061</v>
      </c>
      <c r="G2642" s="19" t="s">
        <v>1028</v>
      </c>
      <c r="H2642" s="19" t="s">
        <v>1020</v>
      </c>
      <c r="I2642" s="19" t="s">
        <v>1575</v>
      </c>
      <c r="J2642" s="20">
        <v>25</v>
      </c>
      <c r="K2642" t="s">
        <v>631</v>
      </c>
      <c r="L2642" t="s">
        <v>628</v>
      </c>
      <c r="M2642" t="s">
        <v>629</v>
      </c>
      <c r="N2642" t="s">
        <v>630</v>
      </c>
      <c r="O2642" t="s">
        <v>784</v>
      </c>
    </row>
    <row r="2643" spans="1:15" x14ac:dyDescent="0.35">
      <c r="A2643" s="77">
        <v>0.85479452054794525</v>
      </c>
      <c r="B2643" s="19">
        <v>96958</v>
      </c>
      <c r="C2643" s="19" t="s">
        <v>4947</v>
      </c>
      <c r="D2643" s="19" t="s">
        <v>266</v>
      </c>
      <c r="E2643" s="19" t="s">
        <v>267</v>
      </c>
      <c r="F2643" s="19" t="s">
        <v>2070</v>
      </c>
      <c r="G2643" s="19" t="s">
        <v>1057</v>
      </c>
      <c r="H2643" s="19" t="s">
        <v>1001</v>
      </c>
      <c r="I2643" s="19" t="s">
        <v>1575</v>
      </c>
      <c r="J2643" s="20">
        <v>21</v>
      </c>
      <c r="K2643" t="s">
        <v>636</v>
      </c>
      <c r="L2643" t="s">
        <v>634</v>
      </c>
      <c r="M2643" t="s">
        <v>629</v>
      </c>
      <c r="N2643" t="s">
        <v>635</v>
      </c>
      <c r="O2643" t="s">
        <v>637</v>
      </c>
    </row>
    <row r="2644" spans="1:15" x14ac:dyDescent="0.35">
      <c r="A2644" s="77">
        <v>0.852054794520548</v>
      </c>
      <c r="B2644" s="19">
        <v>96968</v>
      </c>
      <c r="C2644" s="19" t="s">
        <v>4948</v>
      </c>
      <c r="D2644" s="19" t="s">
        <v>326</v>
      </c>
      <c r="E2644" s="19" t="s">
        <v>327</v>
      </c>
      <c r="F2644" s="19" t="s">
        <v>1051</v>
      </c>
      <c r="G2644" s="19" t="s">
        <v>1028</v>
      </c>
      <c r="H2644" s="19" t="s">
        <v>1020</v>
      </c>
      <c r="I2644" s="19" t="s">
        <v>1599</v>
      </c>
      <c r="J2644" s="20">
        <v>21</v>
      </c>
      <c r="K2644" t="s">
        <v>631</v>
      </c>
      <c r="L2644" t="s">
        <v>648</v>
      </c>
      <c r="M2644" t="s">
        <v>623</v>
      </c>
      <c r="N2644" t="s">
        <v>624</v>
      </c>
      <c r="O2644" t="s">
        <v>837</v>
      </c>
    </row>
    <row r="2645" spans="1:15" x14ac:dyDescent="0.35">
      <c r="A2645" s="77">
        <v>0.84931506849315064</v>
      </c>
      <c r="B2645" s="19">
        <v>96974</v>
      </c>
      <c r="C2645" s="19" t="s">
        <v>4949</v>
      </c>
      <c r="D2645" s="19" t="s">
        <v>600</v>
      </c>
      <c r="E2645" s="19" t="e">
        <v>#N/A</v>
      </c>
      <c r="F2645" s="19" t="s">
        <v>1201</v>
      </c>
      <c r="G2645" s="19" t="s">
        <v>1028</v>
      </c>
      <c r="H2645" s="19" t="s">
        <v>1020</v>
      </c>
      <c r="I2645" s="19" t="s">
        <v>1575</v>
      </c>
      <c r="J2645" s="20">
        <v>34</v>
      </c>
      <c r="K2645" t="s">
        <v>668</v>
      </c>
      <c r="L2645" t="s">
        <v>622</v>
      </c>
      <c r="M2645" t="s">
        <v>623</v>
      </c>
      <c r="N2645" t="s">
        <v>624</v>
      </c>
      <c r="O2645" t="s">
        <v>649</v>
      </c>
    </row>
    <row r="2646" spans="1:15" x14ac:dyDescent="0.35">
      <c r="A2646" s="77">
        <v>0.84931506849315064</v>
      </c>
      <c r="B2646" s="19">
        <v>96975</v>
      </c>
      <c r="C2646" s="19" t="s">
        <v>4950</v>
      </c>
      <c r="D2646" s="19" t="s">
        <v>326</v>
      </c>
      <c r="E2646" s="19" t="s">
        <v>327</v>
      </c>
      <c r="F2646" s="19" t="s">
        <v>1051</v>
      </c>
      <c r="G2646" s="19" t="s">
        <v>1038</v>
      </c>
      <c r="H2646" s="19" t="s">
        <v>1020</v>
      </c>
      <c r="I2646" s="19" t="s">
        <v>1575</v>
      </c>
      <c r="J2646" s="20">
        <v>35</v>
      </c>
      <c r="K2646" t="s">
        <v>631</v>
      </c>
      <c r="L2646" t="s">
        <v>648</v>
      </c>
      <c r="M2646" t="s">
        <v>623</v>
      </c>
      <c r="N2646" t="s">
        <v>624</v>
      </c>
      <c r="O2646" t="s">
        <v>837</v>
      </c>
    </row>
    <row r="2647" spans="1:15" x14ac:dyDescent="0.35">
      <c r="A2647" s="77">
        <v>0.84931506849315064</v>
      </c>
      <c r="B2647" s="19">
        <v>96978</v>
      </c>
      <c r="C2647" s="19" t="s">
        <v>4951</v>
      </c>
      <c r="D2647" s="19" t="s">
        <v>201</v>
      </c>
      <c r="E2647" s="19" t="s">
        <v>202</v>
      </c>
      <c r="F2647" s="19" t="s">
        <v>1061</v>
      </c>
      <c r="G2647" s="19" t="s">
        <v>1008</v>
      </c>
      <c r="H2647" s="19" t="s">
        <v>1001</v>
      </c>
      <c r="I2647" s="19" t="s">
        <v>1575</v>
      </c>
      <c r="J2647" s="20">
        <v>24</v>
      </c>
      <c r="K2647" t="s">
        <v>631</v>
      </c>
      <c r="L2647" t="s">
        <v>628</v>
      </c>
      <c r="M2647" t="s">
        <v>629</v>
      </c>
      <c r="N2647" t="s">
        <v>630</v>
      </c>
      <c r="O2647" t="s">
        <v>784</v>
      </c>
    </row>
    <row r="2648" spans="1:15" x14ac:dyDescent="0.35">
      <c r="A2648" s="77">
        <v>0.852054794520548</v>
      </c>
      <c r="B2648" s="19">
        <v>96981</v>
      </c>
      <c r="C2648" s="19" t="s">
        <v>4952</v>
      </c>
      <c r="D2648" s="19" t="s">
        <v>153</v>
      </c>
      <c r="E2648" s="19" t="s">
        <v>154</v>
      </c>
      <c r="F2648" s="19" t="s">
        <v>2384</v>
      </c>
      <c r="G2648" s="19" t="s">
        <v>1019</v>
      </c>
      <c r="H2648" s="19" t="s">
        <v>1020</v>
      </c>
      <c r="I2648" s="19" t="s">
        <v>1575</v>
      </c>
      <c r="J2648" s="20">
        <v>35</v>
      </c>
      <c r="K2648" t="s">
        <v>654</v>
      </c>
      <c r="L2648" t="s">
        <v>762</v>
      </c>
      <c r="M2648" t="s">
        <v>629</v>
      </c>
      <c r="N2648" t="s">
        <v>646</v>
      </c>
      <c r="O2648" t="s">
        <v>763</v>
      </c>
    </row>
    <row r="2649" spans="1:15" x14ac:dyDescent="0.35">
      <c r="A2649" s="77">
        <v>0.84657534246575339</v>
      </c>
      <c r="B2649" s="19">
        <v>96986</v>
      </c>
      <c r="C2649" s="19" t="s">
        <v>4953</v>
      </c>
      <c r="D2649" s="19" t="s">
        <v>241</v>
      </c>
      <c r="E2649" s="19" t="s">
        <v>242</v>
      </c>
      <c r="F2649" s="19" t="s">
        <v>1030</v>
      </c>
      <c r="G2649" s="19" t="s">
        <v>1019</v>
      </c>
      <c r="H2649" s="19" t="s">
        <v>1020</v>
      </c>
      <c r="I2649" s="19" t="s">
        <v>1575</v>
      </c>
      <c r="J2649" s="20">
        <v>26</v>
      </c>
      <c r="K2649" t="s">
        <v>668</v>
      </c>
      <c r="L2649" t="s">
        <v>622</v>
      </c>
      <c r="M2649" t="s">
        <v>623</v>
      </c>
      <c r="N2649" t="s">
        <v>624</v>
      </c>
      <c r="O2649" t="s">
        <v>800</v>
      </c>
    </row>
    <row r="2650" spans="1:15" x14ac:dyDescent="0.35">
      <c r="A2650" s="77">
        <v>0.84657534246575339</v>
      </c>
      <c r="B2650" s="19">
        <v>96988</v>
      </c>
      <c r="C2650" s="19" t="s">
        <v>4954</v>
      </c>
      <c r="D2650" s="19" t="s">
        <v>245</v>
      </c>
      <c r="E2650" s="19" t="s">
        <v>246</v>
      </c>
      <c r="F2650" s="19" t="s">
        <v>1365</v>
      </c>
      <c r="G2650" s="19" t="s">
        <v>3508</v>
      </c>
      <c r="H2650" s="19" t="s">
        <v>1020</v>
      </c>
      <c r="I2650" s="19" t="s">
        <v>1575</v>
      </c>
      <c r="J2650" s="20">
        <v>15</v>
      </c>
      <c r="K2650" t="s">
        <v>654</v>
      </c>
      <c r="L2650" t="s">
        <v>678</v>
      </c>
      <c r="M2650" t="s">
        <v>623</v>
      </c>
      <c r="N2650" t="s">
        <v>624</v>
      </c>
      <c r="O2650" t="s">
        <v>679</v>
      </c>
    </row>
    <row r="2651" spans="1:15" x14ac:dyDescent="0.35">
      <c r="A2651" s="77">
        <v>0.84657534246575339</v>
      </c>
      <c r="B2651" s="19">
        <v>96989</v>
      </c>
      <c r="C2651" s="19" t="s">
        <v>4955</v>
      </c>
      <c r="D2651" s="19" t="s">
        <v>245</v>
      </c>
      <c r="E2651" s="19" t="s">
        <v>246</v>
      </c>
      <c r="F2651" s="19" t="s">
        <v>1365</v>
      </c>
      <c r="G2651" s="19" t="s">
        <v>3508</v>
      </c>
      <c r="H2651" s="19" t="s">
        <v>1020</v>
      </c>
      <c r="I2651" s="19" t="s">
        <v>1599</v>
      </c>
      <c r="J2651" s="20">
        <v>16</v>
      </c>
      <c r="K2651" t="s">
        <v>654</v>
      </c>
      <c r="L2651" t="s">
        <v>678</v>
      </c>
      <c r="M2651" t="s">
        <v>623</v>
      </c>
      <c r="N2651" t="s">
        <v>624</v>
      </c>
      <c r="O2651" t="s">
        <v>679</v>
      </c>
    </row>
    <row r="2652" spans="1:15" x14ac:dyDescent="0.35">
      <c r="A2652" s="77">
        <v>0.83013698630136989</v>
      </c>
      <c r="B2652" s="19">
        <v>97006</v>
      </c>
      <c r="C2652" s="19" t="s">
        <v>4956</v>
      </c>
      <c r="D2652" s="19" t="s">
        <v>237</v>
      </c>
      <c r="E2652" s="19" t="s">
        <v>238</v>
      </c>
      <c r="F2652" s="19" t="s">
        <v>1070</v>
      </c>
      <c r="G2652" s="19" t="s">
        <v>1028</v>
      </c>
      <c r="H2652" s="19" t="s">
        <v>1020</v>
      </c>
      <c r="I2652" s="19" t="s">
        <v>1575</v>
      </c>
      <c r="J2652" s="20">
        <v>20</v>
      </c>
      <c r="K2652" t="s">
        <v>631</v>
      </c>
      <c r="L2652" t="s">
        <v>661</v>
      </c>
      <c r="M2652" t="s">
        <v>657</v>
      </c>
      <c r="N2652" t="s">
        <v>662</v>
      </c>
      <c r="O2652" t="s">
        <v>632</v>
      </c>
    </row>
    <row r="2653" spans="1:15" x14ac:dyDescent="0.35">
      <c r="A2653" s="77">
        <v>0.83013698630136989</v>
      </c>
      <c r="B2653" s="19">
        <v>97009</v>
      </c>
      <c r="C2653" s="19" t="s">
        <v>4957</v>
      </c>
      <c r="D2653" s="19" t="s">
        <v>355</v>
      </c>
      <c r="E2653" s="19" t="s">
        <v>356</v>
      </c>
      <c r="F2653" s="19" t="s">
        <v>1100</v>
      </c>
      <c r="G2653" s="19" t="s">
        <v>1019</v>
      </c>
      <c r="H2653" s="19" t="s">
        <v>1020</v>
      </c>
      <c r="I2653" s="19" t="s">
        <v>1599</v>
      </c>
      <c r="J2653" s="20">
        <v>24</v>
      </c>
      <c r="K2653" t="s">
        <v>625</v>
      </c>
      <c r="L2653" t="s">
        <v>622</v>
      </c>
      <c r="M2653" t="s">
        <v>623</v>
      </c>
      <c r="N2653" t="s">
        <v>624</v>
      </c>
      <c r="O2653" t="s">
        <v>649</v>
      </c>
    </row>
    <row r="2654" spans="1:15" x14ac:dyDescent="0.35">
      <c r="A2654" s="77">
        <v>0.83013698630136989</v>
      </c>
      <c r="B2654" s="19">
        <v>97018</v>
      </c>
      <c r="C2654" s="19" t="s">
        <v>4958</v>
      </c>
      <c r="D2654" s="19" t="s">
        <v>427</v>
      </c>
      <c r="E2654" s="19" t="s">
        <v>427</v>
      </c>
      <c r="F2654" s="19" t="s">
        <v>1290</v>
      </c>
      <c r="G2654" s="19" t="s">
        <v>1008</v>
      </c>
      <c r="H2654" s="19" t="s">
        <v>1001</v>
      </c>
      <c r="I2654" s="19" t="s">
        <v>1575</v>
      </c>
      <c r="J2654" s="20">
        <v>25</v>
      </c>
      <c r="K2654" t="s">
        <v>654</v>
      </c>
      <c r="L2654" t="s">
        <v>651</v>
      </c>
      <c r="M2654" t="s">
        <v>629</v>
      </c>
      <c r="N2654" t="s">
        <v>630</v>
      </c>
      <c r="O2654" t="s">
        <v>652</v>
      </c>
    </row>
    <row r="2655" spans="1:15" x14ac:dyDescent="0.35">
      <c r="A2655" s="77">
        <v>0.83013698630136989</v>
      </c>
      <c r="B2655" s="19">
        <v>97020</v>
      </c>
      <c r="C2655" s="19" t="s">
        <v>4959</v>
      </c>
      <c r="D2655" s="19" t="s">
        <v>183</v>
      </c>
      <c r="E2655" s="19" t="s">
        <v>184</v>
      </c>
      <c r="F2655" s="19" t="s">
        <v>1532</v>
      </c>
      <c r="G2655" s="19" t="s">
        <v>1057</v>
      </c>
      <c r="H2655" s="19" t="s">
        <v>1001</v>
      </c>
      <c r="I2655" s="19" t="s">
        <v>1575</v>
      </c>
      <c r="J2655" s="20">
        <v>22</v>
      </c>
      <c r="K2655" t="s">
        <v>654</v>
      </c>
      <c r="L2655" t="s">
        <v>648</v>
      </c>
      <c r="M2655" t="s">
        <v>623</v>
      </c>
      <c r="N2655" t="s">
        <v>624</v>
      </c>
      <c r="O2655" t="s">
        <v>725</v>
      </c>
    </row>
    <row r="2656" spans="1:15" x14ac:dyDescent="0.35">
      <c r="A2656" s="77">
        <v>0.83013698630136989</v>
      </c>
      <c r="B2656" s="19">
        <v>97023</v>
      </c>
      <c r="C2656" s="19" t="s">
        <v>4960</v>
      </c>
      <c r="D2656" s="19" t="s">
        <v>295</v>
      </c>
      <c r="E2656" s="19" t="s">
        <v>296</v>
      </c>
      <c r="F2656" s="19" t="s">
        <v>1095</v>
      </c>
      <c r="G2656" s="19" t="s">
        <v>1019</v>
      </c>
      <c r="H2656" s="19" t="s">
        <v>1020</v>
      </c>
      <c r="I2656" s="19" t="s">
        <v>1575</v>
      </c>
      <c r="J2656" s="20">
        <v>22</v>
      </c>
      <c r="K2656" t="s">
        <v>654</v>
      </c>
      <c r="L2656" t="s">
        <v>651</v>
      </c>
      <c r="M2656" t="s">
        <v>629</v>
      </c>
      <c r="N2656" t="s">
        <v>630</v>
      </c>
      <c r="O2656" t="s">
        <v>705</v>
      </c>
    </row>
    <row r="2657" spans="1:15" x14ac:dyDescent="0.35">
      <c r="A2657" s="77">
        <v>0.83013698630136989</v>
      </c>
      <c r="B2657" s="19">
        <v>97035</v>
      </c>
      <c r="C2657" s="19" t="s">
        <v>4961</v>
      </c>
      <c r="D2657" s="19" t="s">
        <v>18</v>
      </c>
      <c r="E2657" s="19" t="s">
        <v>18</v>
      </c>
      <c r="F2657" s="19" t="s">
        <v>650</v>
      </c>
      <c r="G2657" s="19" t="s">
        <v>1008</v>
      </c>
      <c r="H2657" s="19" t="s">
        <v>1001</v>
      </c>
      <c r="I2657" s="19" t="s">
        <v>1575</v>
      </c>
      <c r="J2657" s="20">
        <v>32</v>
      </c>
      <c r="K2657" t="s">
        <v>636</v>
      </c>
      <c r="L2657" t="s">
        <v>651</v>
      </c>
      <c r="M2657" t="s">
        <v>629</v>
      </c>
      <c r="N2657" t="s">
        <v>630</v>
      </c>
      <c r="O2657" t="s">
        <v>652</v>
      </c>
    </row>
    <row r="2658" spans="1:15" x14ac:dyDescent="0.35">
      <c r="A2658" s="77">
        <v>0.83013698630136989</v>
      </c>
      <c r="B2658" s="19">
        <v>97037</v>
      </c>
      <c r="C2658" s="19" t="s">
        <v>4962</v>
      </c>
      <c r="D2658" s="19" t="s">
        <v>351</v>
      </c>
      <c r="E2658" s="19" t="s">
        <v>352</v>
      </c>
      <c r="F2658" s="19" t="s">
        <v>1507</v>
      </c>
      <c r="G2658" s="19" t="s">
        <v>1028</v>
      </c>
      <c r="H2658" s="19" t="s">
        <v>1020</v>
      </c>
      <c r="I2658" s="19" t="s">
        <v>1575</v>
      </c>
      <c r="J2658" s="20">
        <v>45</v>
      </c>
      <c r="K2658" t="s">
        <v>636</v>
      </c>
      <c r="L2658" t="s">
        <v>661</v>
      </c>
      <c r="M2658" t="s">
        <v>657</v>
      </c>
      <c r="N2658" t="s">
        <v>662</v>
      </c>
      <c r="O2658" t="s">
        <v>632</v>
      </c>
    </row>
    <row r="2659" spans="1:15" x14ac:dyDescent="0.35">
      <c r="A2659" s="77">
        <v>0.83013698630136989</v>
      </c>
      <c r="B2659" s="19">
        <v>97042</v>
      </c>
      <c r="C2659" s="19" t="s">
        <v>4963</v>
      </c>
      <c r="D2659" s="19" t="s">
        <v>397</v>
      </c>
      <c r="E2659" s="19" t="s">
        <v>398</v>
      </c>
      <c r="F2659" s="19" t="s">
        <v>867</v>
      </c>
      <c r="G2659" s="19" t="s">
        <v>1084</v>
      </c>
      <c r="H2659" s="19" t="s">
        <v>1001</v>
      </c>
      <c r="I2659" s="19" t="s">
        <v>1575</v>
      </c>
      <c r="J2659" s="20">
        <v>36</v>
      </c>
      <c r="K2659" t="s">
        <v>625</v>
      </c>
      <c r="L2659" t="s">
        <v>634</v>
      </c>
      <c r="M2659" t="s">
        <v>629</v>
      </c>
      <c r="N2659" t="s">
        <v>635</v>
      </c>
      <c r="O2659" t="s">
        <v>637</v>
      </c>
    </row>
    <row r="2660" spans="1:15" x14ac:dyDescent="0.35">
      <c r="A2660" s="77">
        <v>0.83013698630136989</v>
      </c>
      <c r="B2660" s="19">
        <v>97047</v>
      </c>
      <c r="C2660" s="19" t="s">
        <v>4964</v>
      </c>
      <c r="D2660" s="19" t="s">
        <v>430</v>
      </c>
      <c r="E2660" s="19" t="e">
        <v>#N/A</v>
      </c>
      <c r="F2660" s="19" t="s">
        <v>1105</v>
      </c>
      <c r="G2660" s="19" t="s">
        <v>1084</v>
      </c>
      <c r="H2660" s="19" t="s">
        <v>1020</v>
      </c>
      <c r="I2660" s="19" t="s">
        <v>1599</v>
      </c>
      <c r="J2660" s="20">
        <v>29</v>
      </c>
      <c r="K2660" t="s">
        <v>654</v>
      </c>
      <c r="L2660" t="s">
        <v>645</v>
      </c>
      <c r="M2660" t="s">
        <v>629</v>
      </c>
      <c r="N2660" t="s">
        <v>646</v>
      </c>
      <c r="O2660" t="s">
        <v>632</v>
      </c>
    </row>
    <row r="2661" spans="1:15" x14ac:dyDescent="0.35">
      <c r="A2661" s="77">
        <v>0.83013698630136989</v>
      </c>
      <c r="B2661" s="19">
        <v>97052</v>
      </c>
      <c r="C2661" s="19" t="s">
        <v>4965</v>
      </c>
      <c r="D2661" s="19" t="s">
        <v>365</v>
      </c>
      <c r="E2661" s="19" t="s">
        <v>366</v>
      </c>
      <c r="F2661" s="19" t="s">
        <v>1117</v>
      </c>
      <c r="G2661" s="19" t="s">
        <v>1028</v>
      </c>
      <c r="H2661" s="19" t="s">
        <v>1020</v>
      </c>
      <c r="I2661" s="19" t="s">
        <v>1599</v>
      </c>
      <c r="J2661" s="20">
        <v>26</v>
      </c>
      <c r="K2661" t="s">
        <v>668</v>
      </c>
      <c r="L2661" t="s">
        <v>691</v>
      </c>
      <c r="M2661" t="s">
        <v>657</v>
      </c>
      <c r="N2661" t="s">
        <v>658</v>
      </c>
      <c r="O2661" t="s">
        <v>632</v>
      </c>
    </row>
    <row r="2662" spans="1:15" x14ac:dyDescent="0.35">
      <c r="A2662" s="77">
        <v>0.83013698630136989</v>
      </c>
      <c r="B2662" s="19">
        <v>97058</v>
      </c>
      <c r="C2662" s="19" t="s">
        <v>4966</v>
      </c>
      <c r="D2662" s="19" t="s">
        <v>324</v>
      </c>
      <c r="E2662" s="19" t="s">
        <v>325</v>
      </c>
      <c r="F2662" s="19" t="s">
        <v>1284</v>
      </c>
      <c r="G2662" s="19" t="s">
        <v>1028</v>
      </c>
      <c r="H2662" s="19" t="s">
        <v>1020</v>
      </c>
      <c r="I2662" s="19" t="s">
        <v>1575</v>
      </c>
      <c r="J2662" s="20">
        <v>20</v>
      </c>
      <c r="K2662" t="s">
        <v>631</v>
      </c>
      <c r="L2662" t="s">
        <v>663</v>
      </c>
      <c r="M2662" t="s">
        <v>629</v>
      </c>
      <c r="N2662" t="s">
        <v>646</v>
      </c>
      <c r="O2662" t="s">
        <v>639</v>
      </c>
    </row>
    <row r="2663" spans="1:15" x14ac:dyDescent="0.35">
      <c r="A2663" s="77">
        <v>0.83013698630136989</v>
      </c>
      <c r="B2663" s="19">
        <v>97060</v>
      </c>
      <c r="C2663" s="19" t="s">
        <v>4967</v>
      </c>
      <c r="D2663" s="19" t="s">
        <v>311</v>
      </c>
      <c r="E2663" s="19" t="s">
        <v>312</v>
      </c>
      <c r="F2663" s="19" t="s">
        <v>1140</v>
      </c>
      <c r="G2663" s="19" t="s">
        <v>1028</v>
      </c>
      <c r="H2663" s="19" t="s">
        <v>1020</v>
      </c>
      <c r="I2663" s="19" t="s">
        <v>1575</v>
      </c>
      <c r="J2663" s="20">
        <v>19</v>
      </c>
      <c r="K2663" t="s">
        <v>631</v>
      </c>
      <c r="L2663" t="s">
        <v>628</v>
      </c>
      <c r="M2663" t="s">
        <v>629</v>
      </c>
      <c r="N2663" t="s">
        <v>630</v>
      </c>
      <c r="O2663" t="s">
        <v>632</v>
      </c>
    </row>
    <row r="2664" spans="1:15" x14ac:dyDescent="0.35">
      <c r="A2664" s="77">
        <v>0.83013698630136989</v>
      </c>
      <c r="B2664" s="19">
        <v>97061</v>
      </c>
      <c r="C2664" s="19" t="s">
        <v>4968</v>
      </c>
      <c r="D2664" s="19" t="s">
        <v>311</v>
      </c>
      <c r="E2664" s="19" t="s">
        <v>312</v>
      </c>
      <c r="F2664" s="19" t="s">
        <v>1140</v>
      </c>
      <c r="G2664" s="19" t="s">
        <v>1057</v>
      </c>
      <c r="H2664" s="19" t="s">
        <v>1001</v>
      </c>
      <c r="I2664" s="19" t="s">
        <v>1575</v>
      </c>
      <c r="J2664" s="20">
        <v>23</v>
      </c>
      <c r="K2664" t="s">
        <v>631</v>
      </c>
      <c r="L2664" t="s">
        <v>628</v>
      </c>
      <c r="M2664" t="s">
        <v>629</v>
      </c>
      <c r="N2664" t="s">
        <v>630</v>
      </c>
      <c r="O2664" t="s">
        <v>632</v>
      </c>
    </row>
    <row r="2665" spans="1:15" x14ac:dyDescent="0.35">
      <c r="A2665" s="77">
        <v>0.82739726027397265</v>
      </c>
      <c r="B2665" s="19">
        <v>97076</v>
      </c>
      <c r="C2665" s="19" t="s">
        <v>4969</v>
      </c>
      <c r="D2665" s="19" t="s">
        <v>62</v>
      </c>
      <c r="E2665" s="19" t="s">
        <v>63</v>
      </c>
      <c r="F2665" s="19" t="s">
        <v>1228</v>
      </c>
      <c r="G2665" s="19" t="s">
        <v>1057</v>
      </c>
      <c r="H2665" s="19" t="s">
        <v>1001</v>
      </c>
      <c r="I2665" s="19" t="s">
        <v>1599</v>
      </c>
      <c r="J2665" s="20">
        <v>27</v>
      </c>
      <c r="K2665" t="s">
        <v>636</v>
      </c>
      <c r="L2665" t="s">
        <v>645</v>
      </c>
      <c r="M2665" t="s">
        <v>629</v>
      </c>
      <c r="N2665" t="s">
        <v>646</v>
      </c>
      <c r="O2665" t="s">
        <v>632</v>
      </c>
    </row>
    <row r="2666" spans="1:15" x14ac:dyDescent="0.35">
      <c r="A2666" s="77">
        <v>0.82191780821917804</v>
      </c>
      <c r="B2666" s="19">
        <v>97082</v>
      </c>
      <c r="C2666" s="19" t="s">
        <v>4970</v>
      </c>
      <c r="D2666" s="19" t="s">
        <v>237</v>
      </c>
      <c r="E2666" s="19" t="s">
        <v>238</v>
      </c>
      <c r="F2666" s="19" t="s">
        <v>1070</v>
      </c>
      <c r="G2666" s="19" t="s">
        <v>1028</v>
      </c>
      <c r="H2666" s="19" t="s">
        <v>1020</v>
      </c>
      <c r="I2666" s="19" t="s">
        <v>1575</v>
      </c>
      <c r="J2666" s="20">
        <v>26</v>
      </c>
      <c r="K2666" t="s">
        <v>631</v>
      </c>
      <c r="L2666" t="s">
        <v>661</v>
      </c>
      <c r="M2666" t="s">
        <v>657</v>
      </c>
      <c r="N2666" t="s">
        <v>662</v>
      </c>
      <c r="O2666" t="s">
        <v>632</v>
      </c>
    </row>
    <row r="2667" spans="1:15" x14ac:dyDescent="0.35">
      <c r="A2667" s="77">
        <v>0.82191780821917804</v>
      </c>
      <c r="B2667" s="19">
        <v>97083</v>
      </c>
      <c r="C2667" s="19" t="s">
        <v>4971</v>
      </c>
      <c r="D2667" s="19" t="s">
        <v>178</v>
      </c>
      <c r="E2667" s="19" t="s">
        <v>179</v>
      </c>
      <c r="F2667" s="19" t="s">
        <v>2407</v>
      </c>
      <c r="G2667" s="19" t="s">
        <v>1057</v>
      </c>
      <c r="H2667" s="19" t="s">
        <v>1001</v>
      </c>
      <c r="I2667" s="19" t="s">
        <v>1575</v>
      </c>
      <c r="J2667" s="20">
        <v>23</v>
      </c>
      <c r="K2667" t="s">
        <v>636</v>
      </c>
      <c r="L2667" t="s">
        <v>684</v>
      </c>
      <c r="M2667" t="s">
        <v>623</v>
      </c>
      <c r="N2667" t="s">
        <v>662</v>
      </c>
      <c r="O2667" t="s">
        <v>775</v>
      </c>
    </row>
    <row r="2668" spans="1:15" x14ac:dyDescent="0.35">
      <c r="A2668" s="77">
        <v>0.20821917808219179</v>
      </c>
      <c r="B2668" s="19">
        <v>97086</v>
      </c>
      <c r="C2668" s="19" t="s">
        <v>4972</v>
      </c>
      <c r="D2668" s="19" t="s">
        <v>191</v>
      </c>
      <c r="E2668" s="19" t="s">
        <v>192</v>
      </c>
      <c r="F2668" s="19" t="s">
        <v>1626</v>
      </c>
      <c r="G2668" s="19" t="s">
        <v>1028</v>
      </c>
      <c r="H2668" s="19" t="s">
        <v>1020</v>
      </c>
      <c r="I2668" s="19" t="s">
        <v>1599</v>
      </c>
      <c r="J2668" s="20">
        <v>22</v>
      </c>
      <c r="K2668" t="s">
        <v>654</v>
      </c>
      <c r="L2668" t="s">
        <v>673</v>
      </c>
      <c r="M2668" t="s">
        <v>623</v>
      </c>
      <c r="N2668" t="s">
        <v>641</v>
      </c>
      <c r="O2668" t="s">
        <v>779</v>
      </c>
    </row>
    <row r="2669" spans="1:15" x14ac:dyDescent="0.35">
      <c r="A2669" s="77">
        <v>0.81917808219178079</v>
      </c>
      <c r="B2669" s="19">
        <v>97092</v>
      </c>
      <c r="C2669" s="19" t="s">
        <v>4973</v>
      </c>
      <c r="D2669" s="19" t="s">
        <v>107</v>
      </c>
      <c r="E2669" s="19" t="s">
        <v>108</v>
      </c>
      <c r="F2669" s="19" t="s">
        <v>2702</v>
      </c>
      <c r="G2669" s="19" t="s">
        <v>1019</v>
      </c>
      <c r="H2669" s="19" t="s">
        <v>1020</v>
      </c>
      <c r="I2669" s="19" t="s">
        <v>1575</v>
      </c>
      <c r="J2669" s="20">
        <v>22</v>
      </c>
      <c r="K2669" t="s">
        <v>668</v>
      </c>
      <c r="L2669" t="s">
        <v>691</v>
      </c>
      <c r="M2669" t="s">
        <v>657</v>
      </c>
      <c r="N2669" t="s">
        <v>658</v>
      </c>
      <c r="O2669" t="s">
        <v>632</v>
      </c>
    </row>
    <row r="2670" spans="1:15" x14ac:dyDescent="0.35">
      <c r="A2670" s="77">
        <v>0.81917808219178079</v>
      </c>
      <c r="B2670" s="19">
        <v>97093</v>
      </c>
      <c r="C2670" s="19" t="s">
        <v>4974</v>
      </c>
      <c r="D2670" s="19" t="s">
        <v>38</v>
      </c>
      <c r="E2670" s="19" t="s">
        <v>38</v>
      </c>
      <c r="F2670" s="19" t="s">
        <v>711</v>
      </c>
      <c r="G2670" s="19" t="s">
        <v>1019</v>
      </c>
      <c r="H2670" s="19" t="s">
        <v>1020</v>
      </c>
      <c r="I2670" s="19" t="s">
        <v>1575</v>
      </c>
      <c r="J2670" s="20">
        <v>23</v>
      </c>
      <c r="K2670" t="s">
        <v>668</v>
      </c>
      <c r="L2670" t="s">
        <v>691</v>
      </c>
      <c r="M2670" t="s">
        <v>657</v>
      </c>
      <c r="N2670" t="s">
        <v>658</v>
      </c>
      <c r="O2670" t="s">
        <v>632</v>
      </c>
    </row>
    <row r="2671" spans="1:15" x14ac:dyDescent="0.35">
      <c r="A2671" s="77">
        <v>0.81917808219178079</v>
      </c>
      <c r="B2671" s="19">
        <v>97100</v>
      </c>
      <c r="C2671" s="19" t="s">
        <v>4975</v>
      </c>
      <c r="D2671" s="19" t="s">
        <v>307</v>
      </c>
      <c r="E2671" s="19" t="s">
        <v>308</v>
      </c>
      <c r="F2671" s="19" t="s">
        <v>1524</v>
      </c>
      <c r="G2671" s="19" t="s">
        <v>1028</v>
      </c>
      <c r="H2671" s="19" t="s">
        <v>1020</v>
      </c>
      <c r="I2671" s="19" t="s">
        <v>1575</v>
      </c>
      <c r="J2671" s="20">
        <v>18</v>
      </c>
      <c r="K2671" t="s">
        <v>668</v>
      </c>
      <c r="L2671" t="s">
        <v>656</v>
      </c>
      <c r="M2671" t="s">
        <v>657</v>
      </c>
      <c r="N2671" t="s">
        <v>658</v>
      </c>
      <c r="O2671" t="s">
        <v>718</v>
      </c>
    </row>
    <row r="2672" spans="1:15" x14ac:dyDescent="0.35">
      <c r="A2672" s="77">
        <v>0.81917808219178079</v>
      </c>
      <c r="B2672" s="19">
        <v>97101</v>
      </c>
      <c r="C2672" s="19" t="s">
        <v>4976</v>
      </c>
      <c r="D2672" s="19" t="s">
        <v>337</v>
      </c>
      <c r="E2672" s="19" t="s">
        <v>338</v>
      </c>
      <c r="F2672" s="19" t="s">
        <v>2642</v>
      </c>
      <c r="G2672" s="19" t="s">
        <v>1057</v>
      </c>
      <c r="H2672" s="19" t="s">
        <v>1001</v>
      </c>
      <c r="I2672" s="19" t="s">
        <v>1575</v>
      </c>
      <c r="J2672" s="20">
        <v>34</v>
      </c>
      <c r="K2672" t="s">
        <v>668</v>
      </c>
      <c r="L2672" t="s">
        <v>656</v>
      </c>
      <c r="M2672" t="s">
        <v>657</v>
      </c>
      <c r="N2672" t="s">
        <v>658</v>
      </c>
      <c r="O2672" t="s">
        <v>843</v>
      </c>
    </row>
    <row r="2673" spans="1:15" x14ac:dyDescent="0.35">
      <c r="A2673" s="77">
        <v>0.81917808219178079</v>
      </c>
      <c r="B2673" s="19">
        <v>97104</v>
      </c>
      <c r="C2673" s="19" t="s">
        <v>4977</v>
      </c>
      <c r="D2673" s="19" t="s">
        <v>328</v>
      </c>
      <c r="E2673" s="19" t="s">
        <v>329</v>
      </c>
      <c r="F2673" s="19" t="s">
        <v>838</v>
      </c>
      <c r="G2673" s="19" t="s">
        <v>1028</v>
      </c>
      <c r="H2673" s="19" t="s">
        <v>1020</v>
      </c>
      <c r="I2673" s="19" t="s">
        <v>1575</v>
      </c>
      <c r="J2673" s="20">
        <v>21</v>
      </c>
      <c r="K2673" t="s">
        <v>631</v>
      </c>
      <c r="L2673" t="s">
        <v>645</v>
      </c>
      <c r="M2673" t="s">
        <v>629</v>
      </c>
      <c r="N2673" t="s">
        <v>646</v>
      </c>
      <c r="O2673" t="s">
        <v>632</v>
      </c>
    </row>
    <row r="2674" spans="1:15" x14ac:dyDescent="0.35">
      <c r="A2674" s="77">
        <v>0.81917808219178079</v>
      </c>
      <c r="B2674" s="19">
        <v>97105</v>
      </c>
      <c r="C2674" s="19" t="s">
        <v>4978</v>
      </c>
      <c r="D2674" s="19" t="s">
        <v>66</v>
      </c>
      <c r="E2674" s="19" t="s">
        <v>67</v>
      </c>
      <c r="F2674" s="19" t="s">
        <v>1708</v>
      </c>
      <c r="G2674" s="19" t="s">
        <v>1028</v>
      </c>
      <c r="H2674" s="19" t="s">
        <v>1020</v>
      </c>
      <c r="I2674" s="19" t="s">
        <v>1575</v>
      </c>
      <c r="J2674" s="20">
        <v>20</v>
      </c>
      <c r="K2674" t="s">
        <v>654</v>
      </c>
      <c r="L2674" t="s">
        <v>645</v>
      </c>
      <c r="M2674" t="s">
        <v>629</v>
      </c>
      <c r="N2674" t="s">
        <v>646</v>
      </c>
      <c r="O2674" t="s">
        <v>632</v>
      </c>
    </row>
    <row r="2675" spans="1:15" x14ac:dyDescent="0.35">
      <c r="A2675" s="77">
        <v>0.81917808219178079</v>
      </c>
      <c r="B2675" s="19">
        <v>97107</v>
      </c>
      <c r="C2675" s="19" t="s">
        <v>4979</v>
      </c>
      <c r="D2675" s="19" t="s">
        <v>66</v>
      </c>
      <c r="E2675" s="19" t="s">
        <v>67</v>
      </c>
      <c r="F2675" s="19" t="s">
        <v>1708</v>
      </c>
      <c r="G2675" s="19" t="s">
        <v>1028</v>
      </c>
      <c r="H2675" s="19" t="s">
        <v>1020</v>
      </c>
      <c r="I2675" s="19" t="s">
        <v>1575</v>
      </c>
      <c r="J2675" s="20">
        <v>19</v>
      </c>
      <c r="K2675" t="s">
        <v>654</v>
      </c>
      <c r="L2675" t="s">
        <v>645</v>
      </c>
      <c r="M2675" t="s">
        <v>629</v>
      </c>
      <c r="N2675" t="s">
        <v>646</v>
      </c>
      <c r="O2675" t="s">
        <v>632</v>
      </c>
    </row>
    <row r="2676" spans="1:15" x14ac:dyDescent="0.35">
      <c r="A2676" s="77">
        <v>0.81917808219178079</v>
      </c>
      <c r="B2676" s="19">
        <v>97117</v>
      </c>
      <c r="C2676" s="19" t="s">
        <v>4980</v>
      </c>
      <c r="D2676" s="19" t="s">
        <v>425</v>
      </c>
      <c r="E2676" s="19" t="s">
        <v>425</v>
      </c>
      <c r="F2676" s="19" t="s">
        <v>1330</v>
      </c>
      <c r="G2676" s="19" t="s">
        <v>1028</v>
      </c>
      <c r="H2676" s="19" t="s">
        <v>1020</v>
      </c>
      <c r="I2676" s="19" t="s">
        <v>1575</v>
      </c>
      <c r="J2676" s="20">
        <v>22</v>
      </c>
      <c r="K2676" t="s">
        <v>654</v>
      </c>
      <c r="L2676" t="s">
        <v>678</v>
      </c>
      <c r="M2676" t="s">
        <v>623</v>
      </c>
      <c r="N2676" t="s">
        <v>624</v>
      </c>
      <c r="O2676" t="s">
        <v>689</v>
      </c>
    </row>
    <row r="2677" spans="1:15" x14ac:dyDescent="0.35">
      <c r="A2677" s="77">
        <v>0.81643835616438354</v>
      </c>
      <c r="B2677" s="19">
        <v>97122</v>
      </c>
      <c r="C2677" s="19" t="s">
        <v>4981</v>
      </c>
      <c r="D2677" s="19" t="s">
        <v>232</v>
      </c>
      <c r="E2677" s="19" t="s">
        <v>233</v>
      </c>
      <c r="F2677" s="19" t="s">
        <v>1040</v>
      </c>
      <c r="G2677" s="19" t="s">
        <v>1057</v>
      </c>
      <c r="H2677" s="19" t="s">
        <v>1001</v>
      </c>
      <c r="I2677" s="19" t="s">
        <v>1575</v>
      </c>
      <c r="J2677" s="20">
        <v>41</v>
      </c>
      <c r="K2677" t="s">
        <v>654</v>
      </c>
      <c r="L2677" t="s">
        <v>684</v>
      </c>
      <c r="M2677" t="s">
        <v>623</v>
      </c>
      <c r="N2677" t="s">
        <v>662</v>
      </c>
      <c r="O2677" t="s">
        <v>795</v>
      </c>
    </row>
    <row r="2678" spans="1:15" x14ac:dyDescent="0.35">
      <c r="A2678" s="77">
        <v>0.81643835616438354</v>
      </c>
      <c r="B2678" s="19">
        <v>97124</v>
      </c>
      <c r="C2678" s="19" t="s">
        <v>4982</v>
      </c>
      <c r="D2678" s="19" t="s">
        <v>31</v>
      </c>
      <c r="E2678" s="19" t="s">
        <v>31</v>
      </c>
      <c r="F2678" s="19" t="s">
        <v>675</v>
      </c>
      <c r="G2678" s="19" t="s">
        <v>1028</v>
      </c>
      <c r="H2678" s="19" t="s">
        <v>1020</v>
      </c>
      <c r="I2678" s="19" t="s">
        <v>1575</v>
      </c>
      <c r="J2678" s="20">
        <v>22</v>
      </c>
      <c r="K2678" t="s">
        <v>654</v>
      </c>
      <c r="L2678" t="s">
        <v>670</v>
      </c>
      <c r="M2678" t="s">
        <v>657</v>
      </c>
      <c r="N2678" t="s">
        <v>641</v>
      </c>
      <c r="O2678" t="s">
        <v>676</v>
      </c>
    </row>
    <row r="2679" spans="1:15" x14ac:dyDescent="0.35">
      <c r="A2679" s="77">
        <v>0.81643835616438354</v>
      </c>
      <c r="B2679" s="19">
        <v>97129</v>
      </c>
      <c r="C2679" s="19" t="s">
        <v>4983</v>
      </c>
      <c r="D2679" s="19" t="s">
        <v>137</v>
      </c>
      <c r="E2679" s="19" t="s">
        <v>138</v>
      </c>
      <c r="F2679" s="19" t="s">
        <v>1115</v>
      </c>
      <c r="G2679" s="19" t="s">
        <v>1028</v>
      </c>
      <c r="H2679" s="19" t="s">
        <v>1020</v>
      </c>
      <c r="I2679" s="19" t="s">
        <v>1575</v>
      </c>
      <c r="J2679" s="20">
        <v>26</v>
      </c>
      <c r="K2679" t="s">
        <v>636</v>
      </c>
      <c r="L2679" t="s">
        <v>684</v>
      </c>
      <c r="M2679" t="s">
        <v>623</v>
      </c>
      <c r="N2679" t="s">
        <v>662</v>
      </c>
      <c r="O2679" t="s">
        <v>685</v>
      </c>
    </row>
    <row r="2680" spans="1:15" x14ac:dyDescent="0.35">
      <c r="A2680" s="77">
        <v>0.81369863013698629</v>
      </c>
      <c r="B2680" s="19">
        <v>97135</v>
      </c>
      <c r="C2680" s="19" t="s">
        <v>4984</v>
      </c>
      <c r="D2680" s="19" t="s">
        <v>78</v>
      </c>
      <c r="E2680" s="19" t="s">
        <v>79</v>
      </c>
      <c r="F2680" s="19" t="s">
        <v>1107</v>
      </c>
      <c r="G2680" s="19" t="s">
        <v>1028</v>
      </c>
      <c r="H2680" s="19" t="s">
        <v>1020</v>
      </c>
      <c r="I2680" s="19" t="s">
        <v>1575</v>
      </c>
      <c r="J2680" s="20">
        <v>21</v>
      </c>
      <c r="K2680" t="s">
        <v>654</v>
      </c>
      <c r="L2680" t="s">
        <v>661</v>
      </c>
      <c r="M2680" t="s">
        <v>657</v>
      </c>
      <c r="N2680" t="s">
        <v>658</v>
      </c>
      <c r="O2680" t="s">
        <v>632</v>
      </c>
    </row>
    <row r="2681" spans="1:15" x14ac:dyDescent="0.35">
      <c r="A2681" s="77">
        <v>0.81643835616438354</v>
      </c>
      <c r="B2681" s="19">
        <v>97138</v>
      </c>
      <c r="C2681" s="19" t="s">
        <v>4985</v>
      </c>
      <c r="D2681" s="19" t="s">
        <v>20</v>
      </c>
      <c r="E2681" s="19" t="s">
        <v>20</v>
      </c>
      <c r="F2681" s="19" t="s">
        <v>1133</v>
      </c>
      <c r="G2681" s="19" t="s">
        <v>1008</v>
      </c>
      <c r="H2681" s="19" t="s">
        <v>1001</v>
      </c>
      <c r="I2681" s="19" t="s">
        <v>1575</v>
      </c>
      <c r="J2681" s="20">
        <v>25</v>
      </c>
      <c r="K2681" t="s">
        <v>654</v>
      </c>
      <c r="L2681" t="s">
        <v>634</v>
      </c>
      <c r="M2681" t="s">
        <v>629</v>
      </c>
      <c r="N2681" t="s">
        <v>635</v>
      </c>
      <c r="O2681" t="s">
        <v>637</v>
      </c>
    </row>
    <row r="2682" spans="1:15" x14ac:dyDescent="0.35">
      <c r="A2682" s="77">
        <v>0.81643835616438354</v>
      </c>
      <c r="B2682" s="19">
        <v>97139</v>
      </c>
      <c r="C2682" s="19" t="s">
        <v>4986</v>
      </c>
      <c r="D2682" s="19" t="s">
        <v>415</v>
      </c>
      <c r="E2682" s="19" t="s">
        <v>416</v>
      </c>
      <c r="F2682" s="19" t="s">
        <v>1199</v>
      </c>
      <c r="G2682" s="19" t="s">
        <v>1057</v>
      </c>
      <c r="H2682" s="19" t="s">
        <v>1001</v>
      </c>
      <c r="I2682" s="19" t="s">
        <v>1575</v>
      </c>
      <c r="J2682" s="20">
        <v>20</v>
      </c>
      <c r="K2682" t="s">
        <v>668</v>
      </c>
      <c r="L2682" t="s">
        <v>666</v>
      </c>
      <c r="M2682" t="s">
        <v>629</v>
      </c>
      <c r="N2682" t="s">
        <v>635</v>
      </c>
      <c r="O2682" t="s">
        <v>637</v>
      </c>
    </row>
    <row r="2683" spans="1:15" x14ac:dyDescent="0.35">
      <c r="A2683" s="77">
        <v>0.81369863013698629</v>
      </c>
      <c r="B2683" s="19">
        <v>97147</v>
      </c>
      <c r="C2683" s="19" t="s">
        <v>4987</v>
      </c>
      <c r="D2683" s="19" t="s">
        <v>397</v>
      </c>
      <c r="E2683" s="19" t="s">
        <v>398</v>
      </c>
      <c r="F2683" s="19" t="s">
        <v>867</v>
      </c>
      <c r="G2683" s="19" t="s">
        <v>1028</v>
      </c>
      <c r="H2683" s="19" t="s">
        <v>1020</v>
      </c>
      <c r="I2683" s="19" t="s">
        <v>1599</v>
      </c>
      <c r="J2683" s="20">
        <v>21</v>
      </c>
      <c r="K2683" t="s">
        <v>625</v>
      </c>
      <c r="L2683" t="s">
        <v>634</v>
      </c>
      <c r="M2683" t="s">
        <v>629</v>
      </c>
      <c r="N2683" t="s">
        <v>635</v>
      </c>
      <c r="O2683" t="s">
        <v>637</v>
      </c>
    </row>
    <row r="2684" spans="1:15" x14ac:dyDescent="0.35">
      <c r="A2684" s="77">
        <v>0.81369863013698629</v>
      </c>
      <c r="B2684" s="19">
        <v>97148</v>
      </c>
      <c r="C2684" s="19" t="s">
        <v>4988</v>
      </c>
      <c r="D2684" s="19" t="s">
        <v>43</v>
      </c>
      <c r="E2684" s="19" t="s">
        <v>44</v>
      </c>
      <c r="F2684" s="19" t="s">
        <v>2355</v>
      </c>
      <c r="G2684" s="19" t="s">
        <v>1028</v>
      </c>
      <c r="H2684" s="19" t="s">
        <v>1020</v>
      </c>
      <c r="I2684" s="19" t="s">
        <v>1575</v>
      </c>
      <c r="J2684" s="20">
        <v>28</v>
      </c>
      <c r="K2684" t="s">
        <v>654</v>
      </c>
      <c r="L2684" t="s">
        <v>634</v>
      </c>
      <c r="M2684" t="s">
        <v>629</v>
      </c>
      <c r="N2684" t="s">
        <v>635</v>
      </c>
      <c r="O2684" t="s">
        <v>637</v>
      </c>
    </row>
    <row r="2685" spans="1:15" x14ac:dyDescent="0.35">
      <c r="A2685" s="77">
        <v>0.81095890410958904</v>
      </c>
      <c r="B2685" s="19">
        <v>97153</v>
      </c>
      <c r="C2685" s="19" t="s">
        <v>4989</v>
      </c>
      <c r="D2685" s="19" t="s">
        <v>318</v>
      </c>
      <c r="E2685" s="19" t="s">
        <v>319</v>
      </c>
      <c r="F2685" s="19" t="s">
        <v>1266</v>
      </c>
      <c r="G2685" s="19" t="s">
        <v>1008</v>
      </c>
      <c r="H2685" s="19" t="s">
        <v>1001</v>
      </c>
      <c r="I2685" s="19" t="s">
        <v>1575</v>
      </c>
      <c r="J2685" s="20">
        <v>26</v>
      </c>
      <c r="K2685" t="s">
        <v>625</v>
      </c>
      <c r="L2685" t="s">
        <v>678</v>
      </c>
      <c r="M2685" t="s">
        <v>623</v>
      </c>
      <c r="N2685" t="s">
        <v>624</v>
      </c>
      <c r="O2685" t="s">
        <v>679</v>
      </c>
    </row>
    <row r="2686" spans="1:15" x14ac:dyDescent="0.35">
      <c r="A2686" s="77">
        <v>0.81095890410958904</v>
      </c>
      <c r="B2686" s="19">
        <v>97154</v>
      </c>
      <c r="C2686" s="19" t="s">
        <v>4990</v>
      </c>
      <c r="D2686" s="19" t="s">
        <v>111</v>
      </c>
      <c r="E2686" s="19" t="s">
        <v>112</v>
      </c>
      <c r="F2686" s="19" t="s">
        <v>1083</v>
      </c>
      <c r="G2686" s="19" t="s">
        <v>1028</v>
      </c>
      <c r="H2686" s="19" t="s">
        <v>1020</v>
      </c>
      <c r="I2686" s="19" t="s">
        <v>1575</v>
      </c>
      <c r="J2686" s="20">
        <v>22</v>
      </c>
      <c r="K2686" t="s">
        <v>654</v>
      </c>
      <c r="L2686" t="s">
        <v>651</v>
      </c>
      <c r="M2686" t="s">
        <v>629</v>
      </c>
      <c r="N2686" t="s">
        <v>630</v>
      </c>
      <c r="O2686" t="s">
        <v>652</v>
      </c>
    </row>
    <row r="2687" spans="1:15" x14ac:dyDescent="0.35">
      <c r="A2687" s="77">
        <v>0.81095890410958904</v>
      </c>
      <c r="B2687" s="19">
        <v>97161</v>
      </c>
      <c r="C2687" s="19" t="s">
        <v>4991</v>
      </c>
      <c r="D2687" s="19" t="s">
        <v>181</v>
      </c>
      <c r="E2687" s="19" t="s">
        <v>182</v>
      </c>
      <c r="F2687" s="19" t="s">
        <v>1374</v>
      </c>
      <c r="G2687" s="19" t="s">
        <v>3508</v>
      </c>
      <c r="H2687" s="19" t="s">
        <v>1020</v>
      </c>
      <c r="I2687" s="19" t="s">
        <v>1575</v>
      </c>
      <c r="J2687" s="20">
        <v>15</v>
      </c>
      <c r="K2687" t="s">
        <v>625</v>
      </c>
      <c r="L2687" t="s">
        <v>678</v>
      </c>
      <c r="M2687" t="s">
        <v>623</v>
      </c>
      <c r="N2687" t="s">
        <v>624</v>
      </c>
      <c r="O2687" t="s">
        <v>679</v>
      </c>
    </row>
    <row r="2688" spans="1:15" x14ac:dyDescent="0.35">
      <c r="A2688" s="77">
        <v>0.12054794520547946</v>
      </c>
      <c r="B2688" s="19">
        <v>97172</v>
      </c>
      <c r="C2688" s="19" t="s">
        <v>4992</v>
      </c>
      <c r="D2688" s="19" t="s">
        <v>151</v>
      </c>
      <c r="E2688" s="19" t="s">
        <v>152</v>
      </c>
      <c r="F2688" s="19" t="s">
        <v>1557</v>
      </c>
      <c r="G2688" s="19" t="s">
        <v>1028</v>
      </c>
      <c r="H2688" s="19" t="s">
        <v>1020</v>
      </c>
      <c r="I2688" s="19" t="s">
        <v>1575</v>
      </c>
      <c r="J2688" s="20">
        <v>32</v>
      </c>
      <c r="K2688" t="s">
        <v>654</v>
      </c>
      <c r="L2688" t="s">
        <v>691</v>
      </c>
      <c r="M2688" t="s">
        <v>657</v>
      </c>
      <c r="N2688" t="s">
        <v>658</v>
      </c>
      <c r="O2688" t="s">
        <v>632</v>
      </c>
    </row>
    <row r="2689" spans="1:15" x14ac:dyDescent="0.35">
      <c r="A2689" s="77">
        <v>0.81095890410958904</v>
      </c>
      <c r="B2689" s="19">
        <v>97174</v>
      </c>
      <c r="C2689" s="19" t="s">
        <v>4993</v>
      </c>
      <c r="D2689" s="19" t="s">
        <v>335</v>
      </c>
      <c r="E2689" s="19" t="s">
        <v>336</v>
      </c>
      <c r="F2689" s="19" t="s">
        <v>841</v>
      </c>
      <c r="G2689" s="19" t="s">
        <v>1028</v>
      </c>
      <c r="H2689" s="19" t="s">
        <v>1020</v>
      </c>
      <c r="I2689" s="19" t="s">
        <v>1575</v>
      </c>
      <c r="J2689" s="20">
        <v>25</v>
      </c>
      <c r="K2689" t="s">
        <v>636</v>
      </c>
      <c r="L2689" t="s">
        <v>622</v>
      </c>
      <c r="M2689" t="s">
        <v>623</v>
      </c>
      <c r="N2689" t="s">
        <v>624</v>
      </c>
      <c r="O2689" t="s">
        <v>649</v>
      </c>
    </row>
    <row r="2690" spans="1:15" x14ac:dyDescent="0.35">
      <c r="A2690" s="77">
        <v>0.8</v>
      </c>
      <c r="B2690" s="19">
        <v>97190</v>
      </c>
      <c r="C2690" s="19" t="s">
        <v>4994</v>
      </c>
      <c r="D2690" s="19" t="s">
        <v>23</v>
      </c>
      <c r="E2690" s="19" t="s">
        <v>23</v>
      </c>
      <c r="F2690" s="19" t="s">
        <v>660</v>
      </c>
      <c r="G2690" s="19" t="s">
        <v>1084</v>
      </c>
      <c r="H2690" s="19" t="s">
        <v>1020</v>
      </c>
      <c r="I2690" s="19" t="s">
        <v>1575</v>
      </c>
      <c r="J2690" s="20">
        <v>19</v>
      </c>
      <c r="K2690" t="s">
        <v>631</v>
      </c>
      <c r="L2690" t="s">
        <v>661</v>
      </c>
      <c r="M2690" t="s">
        <v>657</v>
      </c>
      <c r="N2690" t="s">
        <v>662</v>
      </c>
      <c r="O2690" t="s">
        <v>632</v>
      </c>
    </row>
    <row r="2691" spans="1:15" x14ac:dyDescent="0.35">
      <c r="A2691" s="77">
        <v>0.8</v>
      </c>
      <c r="B2691" s="19">
        <v>97191</v>
      </c>
      <c r="C2691" s="19" t="s">
        <v>4995</v>
      </c>
      <c r="D2691" s="19" t="s">
        <v>393</v>
      </c>
      <c r="E2691" s="19" t="s">
        <v>394</v>
      </c>
      <c r="F2691" s="19" t="s">
        <v>865</v>
      </c>
      <c r="G2691" s="19" t="s">
        <v>1008</v>
      </c>
      <c r="H2691" s="19" t="s">
        <v>1001</v>
      </c>
      <c r="I2691" s="19" t="s">
        <v>1575</v>
      </c>
      <c r="J2691" s="20">
        <v>24</v>
      </c>
      <c r="K2691" t="s">
        <v>631</v>
      </c>
      <c r="L2691" t="s">
        <v>684</v>
      </c>
      <c r="M2691" t="s">
        <v>623</v>
      </c>
      <c r="N2691" t="s">
        <v>662</v>
      </c>
      <c r="O2691" t="s">
        <v>685</v>
      </c>
    </row>
    <row r="2692" spans="1:15" x14ac:dyDescent="0.35">
      <c r="A2692" s="77">
        <v>0.8</v>
      </c>
      <c r="B2692" s="19">
        <v>97192</v>
      </c>
      <c r="C2692" s="19" t="s">
        <v>4996</v>
      </c>
      <c r="D2692" s="19" t="s">
        <v>428</v>
      </c>
      <c r="E2692" s="19" t="s">
        <v>428</v>
      </c>
      <c r="F2692" s="19" t="s">
        <v>1063</v>
      </c>
      <c r="G2692" s="19" t="s">
        <v>1028</v>
      </c>
      <c r="H2692" s="19" t="s">
        <v>1020</v>
      </c>
      <c r="I2692" s="19" t="s">
        <v>1575</v>
      </c>
      <c r="J2692" s="20">
        <v>19</v>
      </c>
      <c r="K2692" t="s">
        <v>668</v>
      </c>
      <c r="L2692" t="s">
        <v>656</v>
      </c>
      <c r="M2692" t="s">
        <v>657</v>
      </c>
      <c r="N2692" t="s">
        <v>658</v>
      </c>
      <c r="O2692" t="s">
        <v>632</v>
      </c>
    </row>
    <row r="2693" spans="1:15" x14ac:dyDescent="0.35">
      <c r="A2693" s="77">
        <v>0.8</v>
      </c>
      <c r="B2693" s="19">
        <v>97193</v>
      </c>
      <c r="C2693" s="19" t="s">
        <v>4997</v>
      </c>
      <c r="D2693" s="19" t="s">
        <v>413</v>
      </c>
      <c r="E2693" s="19" t="s">
        <v>414</v>
      </c>
      <c r="F2693" s="19" t="s">
        <v>1699</v>
      </c>
      <c r="G2693" s="19" t="s">
        <v>1028</v>
      </c>
      <c r="H2693" s="19" t="s">
        <v>1020</v>
      </c>
      <c r="I2693" s="19" t="s">
        <v>1575</v>
      </c>
      <c r="J2693" s="20">
        <v>18</v>
      </c>
      <c r="K2693" t="s">
        <v>668</v>
      </c>
      <c r="L2693" t="s">
        <v>691</v>
      </c>
      <c r="M2693" t="s">
        <v>657</v>
      </c>
      <c r="N2693" t="s">
        <v>658</v>
      </c>
      <c r="O2693" t="s">
        <v>632</v>
      </c>
    </row>
    <row r="2694" spans="1:15" x14ac:dyDescent="0.35">
      <c r="A2694" s="77">
        <v>0.80547945205479454</v>
      </c>
      <c r="B2694" s="19">
        <v>97199</v>
      </c>
      <c r="C2694" s="19" t="s">
        <v>4998</v>
      </c>
      <c r="D2694" s="19" t="s">
        <v>426</v>
      </c>
      <c r="E2694" s="19" t="s">
        <v>426</v>
      </c>
      <c r="F2694" s="19" t="s">
        <v>1220</v>
      </c>
      <c r="G2694" s="19" t="s">
        <v>1045</v>
      </c>
      <c r="H2694" s="19" t="s">
        <v>1001</v>
      </c>
      <c r="I2694" s="19" t="s">
        <v>1575</v>
      </c>
      <c r="J2694" s="20">
        <v>36</v>
      </c>
      <c r="K2694" t="s">
        <v>654</v>
      </c>
      <c r="L2694" t="s">
        <v>622</v>
      </c>
      <c r="M2694" t="s">
        <v>623</v>
      </c>
      <c r="N2694" t="s">
        <v>624</v>
      </c>
      <c r="O2694" t="s">
        <v>649</v>
      </c>
    </row>
    <row r="2695" spans="1:15" x14ac:dyDescent="0.35">
      <c r="A2695" s="77">
        <v>0.79726027397260268</v>
      </c>
      <c r="B2695" s="19">
        <v>97201</v>
      </c>
      <c r="C2695" s="19" t="s">
        <v>4999</v>
      </c>
      <c r="D2695" s="19" t="s">
        <v>218</v>
      </c>
      <c r="E2695" s="19" t="s">
        <v>219</v>
      </c>
      <c r="F2695" s="19" t="s">
        <v>1372</v>
      </c>
      <c r="G2695" s="19" t="s">
        <v>1028</v>
      </c>
      <c r="H2695" s="19" t="s">
        <v>1020</v>
      </c>
      <c r="I2695" s="19" t="s">
        <v>1575</v>
      </c>
      <c r="J2695" s="20">
        <v>19</v>
      </c>
      <c r="K2695" t="s">
        <v>625</v>
      </c>
      <c r="L2695" t="s">
        <v>661</v>
      </c>
      <c r="M2695" t="s">
        <v>657</v>
      </c>
      <c r="N2695" t="s">
        <v>662</v>
      </c>
      <c r="O2695" t="s">
        <v>632</v>
      </c>
    </row>
    <row r="2696" spans="1:15" x14ac:dyDescent="0.35">
      <c r="A2696" s="77">
        <v>0.79726027397260268</v>
      </c>
      <c r="B2696" s="19">
        <v>97202</v>
      </c>
      <c r="C2696" s="19" t="s">
        <v>5000</v>
      </c>
      <c r="D2696" s="19" t="s">
        <v>45</v>
      </c>
      <c r="E2696" s="19" t="s">
        <v>46</v>
      </c>
      <c r="F2696" s="19" t="s">
        <v>1122</v>
      </c>
      <c r="G2696" s="19" t="s">
        <v>1028</v>
      </c>
      <c r="H2696" s="19" t="s">
        <v>1020</v>
      </c>
      <c r="I2696" s="19" t="s">
        <v>1575</v>
      </c>
      <c r="J2696" s="20">
        <v>21</v>
      </c>
      <c r="K2696" t="s">
        <v>631</v>
      </c>
      <c r="L2696" t="s">
        <v>651</v>
      </c>
      <c r="M2696" t="s">
        <v>629</v>
      </c>
      <c r="N2696" t="s">
        <v>630</v>
      </c>
      <c r="O2696" t="s">
        <v>705</v>
      </c>
    </row>
    <row r="2697" spans="1:15" x14ac:dyDescent="0.35">
      <c r="A2697" s="77">
        <v>0.79726027397260268</v>
      </c>
      <c r="B2697" s="19">
        <v>97206</v>
      </c>
      <c r="C2697" s="19" t="s">
        <v>5001</v>
      </c>
      <c r="D2697" s="19" t="s">
        <v>76</v>
      </c>
      <c r="E2697" s="19" t="s">
        <v>77</v>
      </c>
      <c r="F2697" s="19" t="s">
        <v>899</v>
      </c>
      <c r="G2697" s="19" t="s">
        <v>1019</v>
      </c>
      <c r="H2697" s="19" t="s">
        <v>1020</v>
      </c>
      <c r="I2697" s="19" t="s">
        <v>1575</v>
      </c>
      <c r="J2697" s="20">
        <v>21</v>
      </c>
      <c r="K2697" t="s">
        <v>636</v>
      </c>
      <c r="L2697" t="s">
        <v>645</v>
      </c>
      <c r="M2697" t="s">
        <v>629</v>
      </c>
      <c r="N2697" t="s">
        <v>646</v>
      </c>
      <c r="O2697" t="s">
        <v>632</v>
      </c>
    </row>
    <row r="2698" spans="1:15" x14ac:dyDescent="0.35">
      <c r="A2698" s="77">
        <v>0.79726027397260268</v>
      </c>
      <c r="B2698" s="19">
        <v>97213</v>
      </c>
      <c r="C2698" s="19" t="s">
        <v>5002</v>
      </c>
      <c r="D2698" s="19" t="s">
        <v>264</v>
      </c>
      <c r="E2698" s="19" t="s">
        <v>265</v>
      </c>
      <c r="F2698" s="19" t="s">
        <v>2526</v>
      </c>
      <c r="G2698" s="19" t="s">
        <v>1008</v>
      </c>
      <c r="H2698" s="19" t="s">
        <v>1001</v>
      </c>
      <c r="I2698" s="19" t="s">
        <v>1575</v>
      </c>
      <c r="J2698" s="20">
        <v>20</v>
      </c>
      <c r="K2698" t="s">
        <v>654</v>
      </c>
      <c r="L2698" t="s">
        <v>678</v>
      </c>
      <c r="M2698" t="s">
        <v>623</v>
      </c>
      <c r="N2698" t="s">
        <v>624</v>
      </c>
      <c r="O2698" t="s">
        <v>689</v>
      </c>
    </row>
    <row r="2699" spans="1:15" x14ac:dyDescent="0.35">
      <c r="A2699" s="77">
        <v>0.79726027397260268</v>
      </c>
      <c r="B2699" s="19">
        <v>97214</v>
      </c>
      <c r="C2699" s="19" t="s">
        <v>5003</v>
      </c>
      <c r="D2699" s="19" t="s">
        <v>17</v>
      </c>
      <c r="E2699" s="19" t="s">
        <v>17</v>
      </c>
      <c r="F2699" s="19" t="s">
        <v>906</v>
      </c>
      <c r="G2699" s="19" t="s">
        <v>1046</v>
      </c>
      <c r="H2699" s="19" t="s">
        <v>1001</v>
      </c>
      <c r="I2699" s="19" t="s">
        <v>1599</v>
      </c>
      <c r="J2699" s="20">
        <v>27</v>
      </c>
      <c r="K2699" t="s">
        <v>636</v>
      </c>
      <c r="L2699" t="s">
        <v>648</v>
      </c>
      <c r="M2699" t="s">
        <v>623</v>
      </c>
      <c r="N2699" t="s">
        <v>624</v>
      </c>
      <c r="O2699" t="s">
        <v>649</v>
      </c>
    </row>
    <row r="2700" spans="1:15" x14ac:dyDescent="0.35">
      <c r="A2700" s="77">
        <v>0.79452054794520544</v>
      </c>
      <c r="B2700" s="19">
        <v>97216</v>
      </c>
      <c r="C2700" s="19" t="s">
        <v>5004</v>
      </c>
      <c r="D2700" s="19" t="s">
        <v>140</v>
      </c>
      <c r="E2700" s="19" t="s">
        <v>141</v>
      </c>
      <c r="F2700" s="19" t="s">
        <v>1138</v>
      </c>
      <c r="G2700" s="19" t="s">
        <v>1008</v>
      </c>
      <c r="H2700" s="19" t="s">
        <v>1001</v>
      </c>
      <c r="I2700" s="19" t="s">
        <v>1575</v>
      </c>
      <c r="J2700" s="20">
        <v>23</v>
      </c>
      <c r="K2700" t="s">
        <v>636</v>
      </c>
      <c r="L2700" t="s">
        <v>640</v>
      </c>
      <c r="M2700" t="s">
        <v>623</v>
      </c>
      <c r="N2700" t="s">
        <v>641</v>
      </c>
      <c r="O2700" t="s">
        <v>754</v>
      </c>
    </row>
    <row r="2701" spans="1:15" x14ac:dyDescent="0.35">
      <c r="A2701" s="77">
        <v>0.79452054794520544</v>
      </c>
      <c r="B2701" s="19">
        <v>97222</v>
      </c>
      <c r="C2701" s="19" t="s">
        <v>5005</v>
      </c>
      <c r="D2701" s="19" t="s">
        <v>330</v>
      </c>
      <c r="E2701" s="19" t="s">
        <v>331</v>
      </c>
      <c r="F2701" s="19" t="s">
        <v>332</v>
      </c>
      <c r="G2701" s="19" t="s">
        <v>1057</v>
      </c>
      <c r="H2701" s="19" t="s">
        <v>1001</v>
      </c>
      <c r="I2701" s="19" t="s">
        <v>1575</v>
      </c>
      <c r="J2701" s="20">
        <v>21</v>
      </c>
      <c r="K2701" t="s">
        <v>636</v>
      </c>
      <c r="L2701" t="s">
        <v>762</v>
      </c>
      <c r="M2701" t="s">
        <v>629</v>
      </c>
      <c r="N2701" t="s">
        <v>646</v>
      </c>
      <c r="O2701" t="s">
        <v>839</v>
      </c>
    </row>
    <row r="2702" spans="1:15" x14ac:dyDescent="0.35">
      <c r="A2702" s="77">
        <v>0.79178082191780819</v>
      </c>
      <c r="B2702" s="19">
        <v>97228</v>
      </c>
      <c r="C2702" s="19" t="s">
        <v>5006</v>
      </c>
      <c r="D2702" s="19" t="s">
        <v>417</v>
      </c>
      <c r="E2702" s="19" t="s">
        <v>417</v>
      </c>
      <c r="F2702" s="19" t="s">
        <v>418</v>
      </c>
      <c r="G2702" s="19" t="s">
        <v>1008</v>
      </c>
      <c r="H2702" s="19" t="s">
        <v>1001</v>
      </c>
      <c r="I2702" s="19" t="s">
        <v>1599</v>
      </c>
      <c r="J2702" s="20">
        <v>23</v>
      </c>
      <c r="K2702" t="s">
        <v>654</v>
      </c>
      <c r="L2702" t="s">
        <v>684</v>
      </c>
      <c r="M2702" t="s">
        <v>623</v>
      </c>
      <c r="N2702" t="s">
        <v>662</v>
      </c>
      <c r="O2702" t="s">
        <v>687</v>
      </c>
    </row>
    <row r="2703" spans="1:15" x14ac:dyDescent="0.35">
      <c r="A2703" s="77">
        <v>0.79178082191780819</v>
      </c>
      <c r="B2703" s="19">
        <v>97246</v>
      </c>
      <c r="C2703" s="19" t="s">
        <v>5007</v>
      </c>
      <c r="D2703" s="19" t="s">
        <v>128</v>
      </c>
      <c r="E2703" s="19" t="s">
        <v>129</v>
      </c>
      <c r="F2703" s="19" t="s">
        <v>1075</v>
      </c>
      <c r="G2703" s="19" t="s">
        <v>1008</v>
      </c>
      <c r="H2703" s="19" t="s">
        <v>1001</v>
      </c>
      <c r="I2703" s="19" t="s">
        <v>1575</v>
      </c>
      <c r="J2703" s="20">
        <v>38</v>
      </c>
      <c r="K2703" t="s">
        <v>636</v>
      </c>
      <c r="L2703" t="s">
        <v>678</v>
      </c>
      <c r="M2703" t="s">
        <v>623</v>
      </c>
      <c r="N2703" t="s">
        <v>624</v>
      </c>
      <c r="O2703" t="s">
        <v>679</v>
      </c>
    </row>
    <row r="2704" spans="1:15" x14ac:dyDescent="0.35">
      <c r="A2704" s="77">
        <v>0.79178082191780819</v>
      </c>
      <c r="B2704" s="19">
        <v>97249</v>
      </c>
      <c r="C2704" s="19" t="s">
        <v>5008</v>
      </c>
      <c r="D2704" s="19" t="s">
        <v>73</v>
      </c>
      <c r="E2704" s="19" t="s">
        <v>74</v>
      </c>
      <c r="F2704" s="19" t="s">
        <v>1178</v>
      </c>
      <c r="G2704" s="19" t="s">
        <v>1028</v>
      </c>
      <c r="H2704" s="19" t="s">
        <v>1020</v>
      </c>
      <c r="I2704" s="19" t="s">
        <v>1575</v>
      </c>
      <c r="J2704" s="20">
        <v>44</v>
      </c>
      <c r="K2704" t="s">
        <v>654</v>
      </c>
      <c r="L2704" t="s">
        <v>648</v>
      </c>
      <c r="M2704" t="s">
        <v>623</v>
      </c>
      <c r="N2704" t="s">
        <v>624</v>
      </c>
      <c r="O2704" t="s">
        <v>725</v>
      </c>
    </row>
    <row r="2705" spans="1:15" x14ac:dyDescent="0.35">
      <c r="A2705" s="77">
        <v>0.78904109589041094</v>
      </c>
      <c r="B2705" s="19">
        <v>97263</v>
      </c>
      <c r="C2705" s="19" t="s">
        <v>5009</v>
      </c>
      <c r="D2705" s="19" t="s">
        <v>218</v>
      </c>
      <c r="E2705" s="19" t="s">
        <v>219</v>
      </c>
      <c r="F2705" s="19" t="s">
        <v>1372</v>
      </c>
      <c r="G2705" s="19" t="s">
        <v>1028</v>
      </c>
      <c r="H2705" s="19" t="s">
        <v>1020</v>
      </c>
      <c r="I2705" s="19" t="s">
        <v>1575</v>
      </c>
      <c r="J2705" s="20">
        <v>20</v>
      </c>
      <c r="K2705" t="s">
        <v>625</v>
      </c>
      <c r="L2705" t="s">
        <v>661</v>
      </c>
      <c r="M2705" t="s">
        <v>657</v>
      </c>
      <c r="N2705" t="s">
        <v>662</v>
      </c>
      <c r="O2705" t="s">
        <v>632</v>
      </c>
    </row>
    <row r="2706" spans="1:15" x14ac:dyDescent="0.35">
      <c r="A2706" s="77">
        <v>0.78904109589041094</v>
      </c>
      <c r="B2706" s="19">
        <v>97265</v>
      </c>
      <c r="C2706" s="19" t="s">
        <v>4790</v>
      </c>
      <c r="D2706" s="19" t="s">
        <v>21</v>
      </c>
      <c r="E2706" s="19" t="s">
        <v>21</v>
      </c>
      <c r="F2706" s="19" t="s">
        <v>22</v>
      </c>
      <c r="G2706" s="19" t="s">
        <v>1057</v>
      </c>
      <c r="H2706" s="19" t="s">
        <v>1001</v>
      </c>
      <c r="I2706" s="19" t="s">
        <v>1575</v>
      </c>
      <c r="J2706" s="20">
        <v>36</v>
      </c>
      <c r="K2706" t="s">
        <v>654</v>
      </c>
      <c r="L2706" t="s">
        <v>656</v>
      </c>
      <c r="M2706" t="s">
        <v>657</v>
      </c>
      <c r="N2706" t="s">
        <v>658</v>
      </c>
      <c r="O2706" t="s">
        <v>659</v>
      </c>
    </row>
    <row r="2707" spans="1:15" x14ac:dyDescent="0.35">
      <c r="A2707" s="77">
        <v>0.78904109589041094</v>
      </c>
      <c r="B2707" s="19">
        <v>97266</v>
      </c>
      <c r="C2707" s="19" t="s">
        <v>5010</v>
      </c>
      <c r="D2707" s="19" t="s">
        <v>328</v>
      </c>
      <c r="E2707" s="19" t="s">
        <v>329</v>
      </c>
      <c r="F2707" s="19" t="s">
        <v>838</v>
      </c>
      <c r="G2707" s="19" t="s">
        <v>1028</v>
      </c>
      <c r="H2707" s="19" t="s">
        <v>1020</v>
      </c>
      <c r="I2707" s="19" t="s">
        <v>1575</v>
      </c>
      <c r="J2707" s="20">
        <v>21</v>
      </c>
      <c r="K2707" t="s">
        <v>631</v>
      </c>
      <c r="L2707" t="s">
        <v>645</v>
      </c>
      <c r="M2707" t="s">
        <v>629</v>
      </c>
      <c r="N2707" t="s">
        <v>646</v>
      </c>
      <c r="O2707" t="s">
        <v>632</v>
      </c>
    </row>
    <row r="2708" spans="1:15" x14ac:dyDescent="0.35">
      <c r="A2708" s="77">
        <v>0.78356164383561644</v>
      </c>
      <c r="B2708" s="19">
        <v>97270</v>
      </c>
      <c r="C2708" s="19" t="s">
        <v>5011</v>
      </c>
      <c r="D2708" s="19" t="s">
        <v>19</v>
      </c>
      <c r="E2708" s="19" t="s">
        <v>19</v>
      </c>
      <c r="F2708" s="19" t="s">
        <v>1255</v>
      </c>
      <c r="G2708" s="19" t="s">
        <v>1000</v>
      </c>
      <c r="H2708" s="19" t="s">
        <v>1001</v>
      </c>
      <c r="I2708" s="19" t="s">
        <v>1599</v>
      </c>
      <c r="J2708" s="20">
        <v>35</v>
      </c>
      <c r="K2708" t="s">
        <v>654</v>
      </c>
      <c r="L2708" t="s">
        <v>645</v>
      </c>
      <c r="M2708" t="s">
        <v>629</v>
      </c>
      <c r="N2708" t="s">
        <v>646</v>
      </c>
      <c r="O2708" t="s">
        <v>632</v>
      </c>
    </row>
    <row r="2709" spans="1:15" x14ac:dyDescent="0.35">
      <c r="A2709" s="77">
        <v>0.78082191780821919</v>
      </c>
      <c r="B2709" s="19">
        <v>97277</v>
      </c>
      <c r="C2709" s="19" t="s">
        <v>5012</v>
      </c>
      <c r="D2709" s="19" t="s">
        <v>377</v>
      </c>
      <c r="E2709" s="19" t="s">
        <v>378</v>
      </c>
      <c r="F2709" s="19" t="s">
        <v>862</v>
      </c>
      <c r="G2709" s="19" t="s">
        <v>1028</v>
      </c>
      <c r="H2709" s="19" t="s">
        <v>1020</v>
      </c>
      <c r="I2709" s="19" t="s">
        <v>1575</v>
      </c>
      <c r="J2709" s="20">
        <v>20</v>
      </c>
      <c r="K2709" t="s">
        <v>631</v>
      </c>
      <c r="L2709" t="s">
        <v>661</v>
      </c>
      <c r="M2709" t="s">
        <v>657</v>
      </c>
      <c r="N2709" t="s">
        <v>662</v>
      </c>
      <c r="O2709" t="s">
        <v>632</v>
      </c>
    </row>
    <row r="2710" spans="1:15" x14ac:dyDescent="0.35">
      <c r="A2710" s="77">
        <v>0.78082191780821919</v>
      </c>
      <c r="B2710" s="19">
        <v>97278</v>
      </c>
      <c r="C2710" s="19" t="s">
        <v>5013</v>
      </c>
      <c r="D2710" s="19" t="s">
        <v>171</v>
      </c>
      <c r="E2710" s="19" t="s">
        <v>172</v>
      </c>
      <c r="F2710" s="19" t="s">
        <v>2239</v>
      </c>
      <c r="G2710" s="19" t="s">
        <v>1057</v>
      </c>
      <c r="H2710" s="19" t="s">
        <v>1001</v>
      </c>
      <c r="I2710" s="19" t="s">
        <v>1575</v>
      </c>
      <c r="J2710" s="20">
        <v>33</v>
      </c>
      <c r="K2710" t="s">
        <v>654</v>
      </c>
      <c r="L2710" t="s">
        <v>661</v>
      </c>
      <c r="M2710" t="s">
        <v>657</v>
      </c>
      <c r="N2710" t="s">
        <v>662</v>
      </c>
      <c r="O2710" t="s">
        <v>632</v>
      </c>
    </row>
    <row r="2711" spans="1:15" x14ac:dyDescent="0.35">
      <c r="A2711" s="77">
        <v>0.78082191780821919</v>
      </c>
      <c r="B2711" s="19">
        <v>97280</v>
      </c>
      <c r="C2711" s="19" t="s">
        <v>5014</v>
      </c>
      <c r="D2711" s="19" t="s">
        <v>115</v>
      </c>
      <c r="E2711" s="19" t="s">
        <v>116</v>
      </c>
      <c r="F2711" s="19" t="s">
        <v>1383</v>
      </c>
      <c r="G2711" s="19" t="s">
        <v>1057</v>
      </c>
      <c r="H2711" s="19" t="s">
        <v>1001</v>
      </c>
      <c r="I2711" s="19" t="s">
        <v>1575</v>
      </c>
      <c r="J2711" s="20">
        <v>19</v>
      </c>
      <c r="K2711" t="s">
        <v>631</v>
      </c>
      <c r="L2711" t="s">
        <v>670</v>
      </c>
      <c r="M2711" t="s">
        <v>657</v>
      </c>
      <c r="N2711" t="s">
        <v>641</v>
      </c>
      <c r="O2711" t="s">
        <v>671</v>
      </c>
    </row>
    <row r="2712" spans="1:15" x14ac:dyDescent="0.35">
      <c r="A2712" s="77">
        <v>2.1917808219178082E-2</v>
      </c>
      <c r="B2712" s="19">
        <v>97282</v>
      </c>
      <c r="C2712" s="19" t="s">
        <v>5015</v>
      </c>
      <c r="D2712" s="19" t="s">
        <v>397</v>
      </c>
      <c r="E2712" s="19" t="s">
        <v>398</v>
      </c>
      <c r="F2712" s="19" t="s">
        <v>867</v>
      </c>
      <c r="G2712" s="19" t="s">
        <v>1008</v>
      </c>
      <c r="H2712" s="19" t="s">
        <v>1001</v>
      </c>
      <c r="I2712" s="19" t="s">
        <v>1575</v>
      </c>
      <c r="J2712" s="20">
        <v>21</v>
      </c>
      <c r="K2712" t="s">
        <v>625</v>
      </c>
      <c r="L2712" t="s">
        <v>634</v>
      </c>
      <c r="M2712" t="s">
        <v>629</v>
      </c>
      <c r="N2712" t="s">
        <v>635</v>
      </c>
      <c r="O2712" t="s">
        <v>637</v>
      </c>
    </row>
    <row r="2713" spans="1:15" x14ac:dyDescent="0.35">
      <c r="A2713" s="77">
        <v>0.78082191780821919</v>
      </c>
      <c r="B2713" s="19">
        <v>97292</v>
      </c>
      <c r="C2713" s="19" t="s">
        <v>5016</v>
      </c>
      <c r="D2713" s="19" t="s">
        <v>149</v>
      </c>
      <c r="E2713" s="19" t="s">
        <v>150</v>
      </c>
      <c r="F2713" s="19" t="s">
        <v>1548</v>
      </c>
      <c r="G2713" s="19" t="s">
        <v>1057</v>
      </c>
      <c r="H2713" s="19" t="s">
        <v>1001</v>
      </c>
      <c r="I2713" s="19" t="s">
        <v>1575</v>
      </c>
      <c r="J2713" s="20">
        <v>22</v>
      </c>
      <c r="K2713" t="s">
        <v>654</v>
      </c>
      <c r="L2713" t="s">
        <v>648</v>
      </c>
      <c r="M2713" t="s">
        <v>623</v>
      </c>
      <c r="N2713" t="s">
        <v>624</v>
      </c>
      <c r="O2713" t="s">
        <v>725</v>
      </c>
    </row>
    <row r="2714" spans="1:15" x14ac:dyDescent="0.35">
      <c r="A2714" s="77">
        <v>0.78082191780821919</v>
      </c>
      <c r="B2714" s="19">
        <v>97295</v>
      </c>
      <c r="C2714" s="19" t="s">
        <v>5017</v>
      </c>
      <c r="D2714" s="19" t="s">
        <v>318</v>
      </c>
      <c r="E2714" s="19" t="s">
        <v>319</v>
      </c>
      <c r="F2714" s="19" t="s">
        <v>1266</v>
      </c>
      <c r="G2714" s="19" t="s">
        <v>1028</v>
      </c>
      <c r="H2714" s="19" t="s">
        <v>1020</v>
      </c>
      <c r="I2714" s="19" t="s">
        <v>1575</v>
      </c>
      <c r="J2714" s="20">
        <v>19</v>
      </c>
      <c r="K2714" t="s">
        <v>625</v>
      </c>
      <c r="L2714" t="s">
        <v>678</v>
      </c>
      <c r="M2714" t="s">
        <v>623</v>
      </c>
      <c r="N2714" t="s">
        <v>624</v>
      </c>
      <c r="O2714" t="s">
        <v>679</v>
      </c>
    </row>
    <row r="2715" spans="1:15" x14ac:dyDescent="0.35">
      <c r="A2715" s="77">
        <v>0.78082191780821919</v>
      </c>
      <c r="B2715" s="19">
        <v>97296</v>
      </c>
      <c r="C2715" s="19" t="s">
        <v>5018</v>
      </c>
      <c r="D2715" s="19" t="s">
        <v>42</v>
      </c>
      <c r="E2715" s="19" t="s">
        <v>42</v>
      </c>
      <c r="F2715" s="19" t="s">
        <v>1262</v>
      </c>
      <c r="G2715" s="19" t="s">
        <v>1008</v>
      </c>
      <c r="H2715" s="19" t="s">
        <v>1001</v>
      </c>
      <c r="I2715" s="19" t="s">
        <v>1575</v>
      </c>
      <c r="J2715" s="20">
        <v>19</v>
      </c>
      <c r="K2715" t="s">
        <v>625</v>
      </c>
      <c r="L2715" t="s">
        <v>628</v>
      </c>
      <c r="M2715" t="s">
        <v>629</v>
      </c>
      <c r="N2715" t="s">
        <v>630</v>
      </c>
      <c r="O2715" t="s">
        <v>632</v>
      </c>
    </row>
    <row r="2716" spans="1:15" x14ac:dyDescent="0.35">
      <c r="A2716" s="77">
        <v>0.77808219178082194</v>
      </c>
      <c r="B2716" s="19">
        <v>97304</v>
      </c>
      <c r="C2716" s="19" t="s">
        <v>5019</v>
      </c>
      <c r="D2716" s="19" t="s">
        <v>295</v>
      </c>
      <c r="E2716" s="19" t="s">
        <v>296</v>
      </c>
      <c r="F2716" s="19" t="s">
        <v>1095</v>
      </c>
      <c r="G2716" s="19" t="s">
        <v>1008</v>
      </c>
      <c r="H2716" s="19" t="s">
        <v>1001</v>
      </c>
      <c r="I2716" s="19" t="s">
        <v>1575</v>
      </c>
      <c r="J2716" s="20">
        <v>25</v>
      </c>
      <c r="K2716" t="s">
        <v>654</v>
      </c>
      <c r="L2716" t="s">
        <v>651</v>
      </c>
      <c r="M2716" t="s">
        <v>629</v>
      </c>
      <c r="N2716" t="s">
        <v>630</v>
      </c>
      <c r="O2716" t="s">
        <v>705</v>
      </c>
    </row>
    <row r="2717" spans="1:15" x14ac:dyDescent="0.35">
      <c r="A2717" s="77">
        <v>0.77808219178082194</v>
      </c>
      <c r="B2717" s="19">
        <v>97308</v>
      </c>
      <c r="C2717" s="19" t="s">
        <v>5020</v>
      </c>
      <c r="D2717" s="19" t="s">
        <v>218</v>
      </c>
      <c r="E2717" s="19" t="s">
        <v>219</v>
      </c>
      <c r="F2717" s="19" t="s">
        <v>1372</v>
      </c>
      <c r="G2717" s="19" t="s">
        <v>1019</v>
      </c>
      <c r="H2717" s="19" t="s">
        <v>1020</v>
      </c>
      <c r="I2717" s="19" t="s">
        <v>1575</v>
      </c>
      <c r="J2717" s="20">
        <v>18</v>
      </c>
      <c r="K2717" t="s">
        <v>625</v>
      </c>
      <c r="L2717" t="s">
        <v>661</v>
      </c>
      <c r="M2717" t="s">
        <v>657</v>
      </c>
      <c r="N2717" t="s">
        <v>662</v>
      </c>
      <c r="O2717" t="s">
        <v>632</v>
      </c>
    </row>
    <row r="2718" spans="1:15" x14ac:dyDescent="0.35">
      <c r="A2718" s="77">
        <v>0.77808219178082194</v>
      </c>
      <c r="B2718" s="19">
        <v>97311</v>
      </c>
      <c r="C2718" s="19" t="s">
        <v>5021</v>
      </c>
      <c r="D2718" s="19" t="s">
        <v>105</v>
      </c>
      <c r="E2718" s="19" t="s">
        <v>106</v>
      </c>
      <c r="F2718" s="19" t="s">
        <v>1207</v>
      </c>
      <c r="G2718" s="19" t="s">
        <v>1008</v>
      </c>
      <c r="H2718" s="19" t="s">
        <v>1001</v>
      </c>
      <c r="I2718" s="19" t="s">
        <v>1575</v>
      </c>
      <c r="J2718" s="20">
        <v>19</v>
      </c>
      <c r="K2718" t="s">
        <v>654</v>
      </c>
      <c r="L2718" t="s">
        <v>622</v>
      </c>
      <c r="M2718" t="s">
        <v>623</v>
      </c>
      <c r="N2718" t="s">
        <v>624</v>
      </c>
      <c r="O2718" t="s">
        <v>626</v>
      </c>
    </row>
    <row r="2719" spans="1:15" x14ac:dyDescent="0.35">
      <c r="A2719" s="77">
        <v>0.77808219178082194</v>
      </c>
      <c r="B2719" s="19">
        <v>97318</v>
      </c>
      <c r="C2719" s="19" t="s">
        <v>5022</v>
      </c>
      <c r="D2719" s="19" t="s">
        <v>169</v>
      </c>
      <c r="E2719" s="19" t="s">
        <v>170</v>
      </c>
      <c r="F2719" s="19" t="s">
        <v>1274</v>
      </c>
      <c r="G2719" s="19" t="s">
        <v>1028</v>
      </c>
      <c r="H2719" s="19" t="s">
        <v>1020</v>
      </c>
      <c r="I2719" s="19" t="s">
        <v>1599</v>
      </c>
      <c r="J2719" s="20">
        <v>19</v>
      </c>
      <c r="K2719" t="s">
        <v>631</v>
      </c>
      <c r="L2719" t="s">
        <v>670</v>
      </c>
      <c r="M2719" t="s">
        <v>657</v>
      </c>
      <c r="N2719" t="s">
        <v>641</v>
      </c>
      <c r="O2719" t="s">
        <v>772</v>
      </c>
    </row>
    <row r="2720" spans="1:15" x14ac:dyDescent="0.35">
      <c r="A2720" s="77">
        <v>0.77534246575342469</v>
      </c>
      <c r="B2720" s="19">
        <v>97321</v>
      </c>
      <c r="C2720" s="19" t="s">
        <v>5023</v>
      </c>
      <c r="D2720" s="19" t="s">
        <v>355</v>
      </c>
      <c r="E2720" s="19" t="s">
        <v>356</v>
      </c>
      <c r="F2720" s="19" t="s">
        <v>1100</v>
      </c>
      <c r="G2720" s="19" t="s">
        <v>1028</v>
      </c>
      <c r="H2720" s="19" t="s">
        <v>1020</v>
      </c>
      <c r="I2720" s="19" t="s">
        <v>1599</v>
      </c>
      <c r="J2720" s="20">
        <v>20</v>
      </c>
      <c r="K2720" t="s">
        <v>625</v>
      </c>
      <c r="L2720" t="s">
        <v>622</v>
      </c>
      <c r="M2720" t="s">
        <v>623</v>
      </c>
      <c r="N2720" t="s">
        <v>624</v>
      </c>
      <c r="O2720" t="s">
        <v>649</v>
      </c>
    </row>
    <row r="2721" spans="1:15" x14ac:dyDescent="0.35">
      <c r="A2721" s="77">
        <v>0.77534246575342469</v>
      </c>
      <c r="B2721" s="19">
        <v>97322</v>
      </c>
      <c r="C2721" s="19" t="s">
        <v>5024</v>
      </c>
      <c r="D2721" s="19" t="s">
        <v>181</v>
      </c>
      <c r="E2721" s="19" t="s">
        <v>182</v>
      </c>
      <c r="F2721" s="19" t="s">
        <v>1374</v>
      </c>
      <c r="G2721" s="19" t="s">
        <v>1084</v>
      </c>
      <c r="H2721" s="19" t="s">
        <v>1020</v>
      </c>
      <c r="I2721" s="19" t="s">
        <v>1575</v>
      </c>
      <c r="J2721" s="20">
        <v>41</v>
      </c>
      <c r="K2721" t="s">
        <v>625</v>
      </c>
      <c r="L2721" t="s">
        <v>678</v>
      </c>
      <c r="M2721" t="s">
        <v>623</v>
      </c>
      <c r="N2721" t="s">
        <v>624</v>
      </c>
      <c r="O2721" t="s">
        <v>679</v>
      </c>
    </row>
    <row r="2722" spans="1:15" x14ac:dyDescent="0.35">
      <c r="A2722" s="77">
        <v>0.77534246575342469</v>
      </c>
      <c r="B2722" s="19">
        <v>97327</v>
      </c>
      <c r="C2722" s="19" t="s">
        <v>5025</v>
      </c>
      <c r="D2722" s="19" t="s">
        <v>273</v>
      </c>
      <c r="E2722" s="19" t="s">
        <v>274</v>
      </c>
      <c r="F2722" s="19" t="s">
        <v>1093</v>
      </c>
      <c r="G2722" s="19" t="s">
        <v>1008</v>
      </c>
      <c r="H2722" s="19" t="s">
        <v>1001</v>
      </c>
      <c r="I2722" s="19" t="s">
        <v>1575</v>
      </c>
      <c r="J2722" s="20">
        <v>24</v>
      </c>
      <c r="K2722" t="s">
        <v>636</v>
      </c>
      <c r="L2722" t="s">
        <v>663</v>
      </c>
      <c r="M2722" t="s">
        <v>629</v>
      </c>
      <c r="N2722" t="s">
        <v>646</v>
      </c>
      <c r="O2722" t="s">
        <v>639</v>
      </c>
    </row>
    <row r="2723" spans="1:15" x14ac:dyDescent="0.35">
      <c r="A2723" s="77">
        <v>0.77260273972602744</v>
      </c>
      <c r="B2723" s="19">
        <v>97341</v>
      </c>
      <c r="C2723" s="19" t="s">
        <v>5026</v>
      </c>
      <c r="D2723" s="19" t="s">
        <v>297</v>
      </c>
      <c r="E2723" s="19" t="s">
        <v>298</v>
      </c>
      <c r="F2723" s="19" t="s">
        <v>904</v>
      </c>
      <c r="G2723" s="19" t="s">
        <v>1028</v>
      </c>
      <c r="H2723" s="19" t="s">
        <v>1020</v>
      </c>
      <c r="I2723" s="19" t="s">
        <v>1599</v>
      </c>
      <c r="J2723" s="20">
        <v>27</v>
      </c>
      <c r="K2723" t="s">
        <v>654</v>
      </c>
      <c r="L2723" t="s">
        <v>762</v>
      </c>
      <c r="M2723" t="s">
        <v>629</v>
      </c>
      <c r="N2723" t="s">
        <v>646</v>
      </c>
      <c r="O2723" t="s">
        <v>823</v>
      </c>
    </row>
    <row r="2724" spans="1:15" x14ac:dyDescent="0.35">
      <c r="A2724" s="77">
        <v>0.77260273972602744</v>
      </c>
      <c r="B2724" s="19">
        <v>97345</v>
      </c>
      <c r="C2724" s="19" t="s">
        <v>5027</v>
      </c>
      <c r="D2724" s="19" t="s">
        <v>155</v>
      </c>
      <c r="E2724" s="19" t="s">
        <v>156</v>
      </c>
      <c r="F2724" s="19" t="s">
        <v>896</v>
      </c>
      <c r="G2724" s="19" t="s">
        <v>1008</v>
      </c>
      <c r="H2724" s="19" t="s">
        <v>1001</v>
      </c>
      <c r="I2724" s="19" t="s">
        <v>1599</v>
      </c>
      <c r="J2724" s="20">
        <v>19</v>
      </c>
      <c r="K2724" t="s">
        <v>636</v>
      </c>
      <c r="L2724" t="s">
        <v>663</v>
      </c>
      <c r="M2724" t="s">
        <v>629</v>
      </c>
      <c r="N2724" t="s">
        <v>646</v>
      </c>
      <c r="O2724" t="s">
        <v>639</v>
      </c>
    </row>
    <row r="2725" spans="1:15" x14ac:dyDescent="0.35">
      <c r="A2725" s="77">
        <v>2.1917808219178082E-2</v>
      </c>
      <c r="B2725" s="19">
        <v>97346</v>
      </c>
      <c r="C2725" s="19" t="s">
        <v>5028</v>
      </c>
      <c r="D2725" s="19" t="s">
        <v>362</v>
      </c>
      <c r="E2725" s="19" t="s">
        <v>363</v>
      </c>
      <c r="F2725" s="19" t="s">
        <v>1056</v>
      </c>
      <c r="G2725" s="19" t="s">
        <v>1008</v>
      </c>
      <c r="H2725" s="19" t="s">
        <v>1001</v>
      </c>
      <c r="I2725" s="19" t="s">
        <v>1599</v>
      </c>
      <c r="J2725" s="20">
        <v>21</v>
      </c>
      <c r="K2725" t="s">
        <v>654</v>
      </c>
      <c r="L2725" t="s">
        <v>663</v>
      </c>
      <c r="M2725" t="s">
        <v>629</v>
      </c>
      <c r="N2725" t="s">
        <v>646</v>
      </c>
      <c r="O2725" t="s">
        <v>810</v>
      </c>
    </row>
    <row r="2726" spans="1:15" x14ac:dyDescent="0.35">
      <c r="A2726" s="77">
        <v>0.77260273972602744</v>
      </c>
      <c r="B2726" s="19">
        <v>97347</v>
      </c>
      <c r="C2726" s="19" t="s">
        <v>5029</v>
      </c>
      <c r="D2726" s="19" t="s">
        <v>228</v>
      </c>
      <c r="E2726" s="19" t="s">
        <v>229</v>
      </c>
      <c r="F2726" s="19" t="s">
        <v>1643</v>
      </c>
      <c r="G2726" s="19" t="s">
        <v>1019</v>
      </c>
      <c r="H2726" s="19" t="s">
        <v>1020</v>
      </c>
      <c r="I2726" s="19" t="s">
        <v>1575</v>
      </c>
      <c r="J2726" s="20">
        <v>28</v>
      </c>
      <c r="K2726" t="s">
        <v>668</v>
      </c>
      <c r="L2726" t="s">
        <v>762</v>
      </c>
      <c r="M2726" t="s">
        <v>629</v>
      </c>
      <c r="N2726" t="s">
        <v>646</v>
      </c>
      <c r="O2726" t="s">
        <v>763</v>
      </c>
    </row>
    <row r="2727" spans="1:15" x14ac:dyDescent="0.35">
      <c r="A2727" s="77">
        <v>0.77260273972602744</v>
      </c>
      <c r="B2727" s="19">
        <v>97348</v>
      </c>
      <c r="C2727" s="19" t="s">
        <v>5030</v>
      </c>
      <c r="D2727" s="19" t="s">
        <v>47</v>
      </c>
      <c r="E2727" s="19" t="s">
        <v>48</v>
      </c>
      <c r="F2727" s="19" t="s">
        <v>1232</v>
      </c>
      <c r="G2727" s="19" t="s">
        <v>1057</v>
      </c>
      <c r="H2727" s="19" t="s">
        <v>1001</v>
      </c>
      <c r="I2727" s="19" t="s">
        <v>1575</v>
      </c>
      <c r="J2727" s="20">
        <v>22</v>
      </c>
      <c r="K2727" t="s">
        <v>636</v>
      </c>
      <c r="L2727" t="s">
        <v>622</v>
      </c>
      <c r="M2727" t="s">
        <v>623</v>
      </c>
      <c r="N2727" t="s">
        <v>624</v>
      </c>
      <c r="O2727" t="s">
        <v>649</v>
      </c>
    </row>
    <row r="2728" spans="1:15" x14ac:dyDescent="0.35">
      <c r="A2728" s="77">
        <v>0.77260273972602744</v>
      </c>
      <c r="B2728" s="19">
        <v>97349</v>
      </c>
      <c r="C2728" s="19" t="s">
        <v>5031</v>
      </c>
      <c r="D2728" s="19" t="s">
        <v>105</v>
      </c>
      <c r="E2728" s="19" t="s">
        <v>106</v>
      </c>
      <c r="F2728" s="19" t="s">
        <v>1207</v>
      </c>
      <c r="G2728" s="19" t="s">
        <v>1028</v>
      </c>
      <c r="H2728" s="19" t="s">
        <v>1020</v>
      </c>
      <c r="I2728" s="19" t="s">
        <v>1575</v>
      </c>
      <c r="J2728" s="20">
        <v>26</v>
      </c>
      <c r="K2728" t="s">
        <v>654</v>
      </c>
      <c r="L2728" t="s">
        <v>622</v>
      </c>
      <c r="M2728" t="s">
        <v>623</v>
      </c>
      <c r="N2728" t="s">
        <v>624</v>
      </c>
      <c r="O2728" t="s">
        <v>626</v>
      </c>
    </row>
    <row r="2729" spans="1:15" x14ac:dyDescent="0.35">
      <c r="A2729" s="77">
        <v>0.76164383561643834</v>
      </c>
      <c r="B2729" s="19">
        <v>97362</v>
      </c>
      <c r="C2729" s="19" t="s">
        <v>5032</v>
      </c>
      <c r="D2729" s="19" t="s">
        <v>375</v>
      </c>
      <c r="E2729" s="19" t="s">
        <v>376</v>
      </c>
      <c r="F2729" s="19" t="s">
        <v>1270</v>
      </c>
      <c r="G2729" s="19" t="s">
        <v>1008</v>
      </c>
      <c r="H2729" s="19" t="s">
        <v>1001</v>
      </c>
      <c r="I2729" s="19" t="s">
        <v>1599</v>
      </c>
      <c r="J2729" s="20">
        <v>25</v>
      </c>
      <c r="K2729" t="s">
        <v>636</v>
      </c>
      <c r="L2729" t="s">
        <v>678</v>
      </c>
      <c r="M2729" t="s">
        <v>623</v>
      </c>
      <c r="N2729" t="s">
        <v>624</v>
      </c>
      <c r="O2729" t="s">
        <v>679</v>
      </c>
    </row>
    <row r="2730" spans="1:15" x14ac:dyDescent="0.35">
      <c r="A2730" s="77">
        <v>0.76164383561643834</v>
      </c>
      <c r="B2730" s="19">
        <v>97365</v>
      </c>
      <c r="C2730" s="19" t="s">
        <v>5033</v>
      </c>
      <c r="D2730" s="19" t="s">
        <v>124</v>
      </c>
      <c r="E2730" s="19" t="s">
        <v>125</v>
      </c>
      <c r="F2730" s="19" t="s">
        <v>1398</v>
      </c>
      <c r="G2730" s="19" t="s">
        <v>1019</v>
      </c>
      <c r="H2730" s="19" t="s">
        <v>1020</v>
      </c>
      <c r="I2730" s="19" t="s">
        <v>1575</v>
      </c>
      <c r="J2730" s="20">
        <v>18</v>
      </c>
      <c r="K2730" t="s">
        <v>654</v>
      </c>
      <c r="L2730" t="s">
        <v>661</v>
      </c>
      <c r="M2730" t="s">
        <v>657</v>
      </c>
      <c r="N2730" t="s">
        <v>662</v>
      </c>
      <c r="O2730" t="s">
        <v>632</v>
      </c>
    </row>
    <row r="2731" spans="1:15" x14ac:dyDescent="0.35">
      <c r="A2731" s="77">
        <v>0.76164383561643834</v>
      </c>
      <c r="B2731" s="19">
        <v>97368</v>
      </c>
      <c r="C2731" s="19" t="s">
        <v>5034</v>
      </c>
      <c r="D2731" s="19" t="s">
        <v>191</v>
      </c>
      <c r="E2731" s="19" t="s">
        <v>192</v>
      </c>
      <c r="F2731" s="19" t="s">
        <v>1626</v>
      </c>
      <c r="G2731" s="19" t="s">
        <v>1057</v>
      </c>
      <c r="H2731" s="19" t="s">
        <v>1001</v>
      </c>
      <c r="I2731" s="19" t="s">
        <v>1575</v>
      </c>
      <c r="J2731" s="20">
        <v>31</v>
      </c>
      <c r="K2731" t="s">
        <v>654</v>
      </c>
      <c r="L2731" t="s">
        <v>673</v>
      </c>
      <c r="M2731" t="s">
        <v>623</v>
      </c>
      <c r="N2731" t="s">
        <v>641</v>
      </c>
      <c r="O2731" t="s">
        <v>779</v>
      </c>
    </row>
    <row r="2732" spans="1:15" x14ac:dyDescent="0.35">
      <c r="A2732" s="77">
        <v>0.76164383561643834</v>
      </c>
      <c r="B2732" s="19">
        <v>97376</v>
      </c>
      <c r="C2732" s="19" t="s">
        <v>5035</v>
      </c>
      <c r="D2732" s="19" t="s">
        <v>195</v>
      </c>
      <c r="E2732" s="19" t="s">
        <v>196</v>
      </c>
      <c r="F2732" s="19" t="s">
        <v>908</v>
      </c>
      <c r="G2732" s="19" t="s">
        <v>1028</v>
      </c>
      <c r="H2732" s="19" t="s">
        <v>1020</v>
      </c>
      <c r="I2732" s="19" t="s">
        <v>1599</v>
      </c>
      <c r="J2732" s="20">
        <v>21</v>
      </c>
      <c r="K2732" t="s">
        <v>636</v>
      </c>
      <c r="L2732" t="s">
        <v>670</v>
      </c>
      <c r="M2732" t="s">
        <v>657</v>
      </c>
      <c r="N2732" t="s">
        <v>641</v>
      </c>
      <c r="O2732" t="s">
        <v>676</v>
      </c>
    </row>
    <row r="2733" spans="1:15" x14ac:dyDescent="0.35">
      <c r="A2733" s="77">
        <v>0.75890410958904109</v>
      </c>
      <c r="B2733" s="19">
        <v>97386</v>
      </c>
      <c r="C2733" s="19" t="s">
        <v>5036</v>
      </c>
      <c r="D2733" s="19" t="s">
        <v>426</v>
      </c>
      <c r="E2733" s="19" t="s">
        <v>426</v>
      </c>
      <c r="F2733" s="19" t="s">
        <v>1220</v>
      </c>
      <c r="G2733" s="19" t="s">
        <v>1008</v>
      </c>
      <c r="H2733" s="19" t="s">
        <v>1001</v>
      </c>
      <c r="I2733" s="19" t="s">
        <v>1575</v>
      </c>
      <c r="J2733" s="20">
        <v>21</v>
      </c>
      <c r="K2733" t="s">
        <v>654</v>
      </c>
      <c r="L2733" t="s">
        <v>622</v>
      </c>
      <c r="M2733" t="s">
        <v>623</v>
      </c>
      <c r="N2733" t="s">
        <v>624</v>
      </c>
      <c r="O2733" t="s">
        <v>649</v>
      </c>
    </row>
    <row r="2734" spans="1:15" x14ac:dyDescent="0.35">
      <c r="A2734" s="77">
        <v>0.75890410958904109</v>
      </c>
      <c r="B2734" s="19">
        <v>97390</v>
      </c>
      <c r="C2734" s="19" t="s">
        <v>5037</v>
      </c>
      <c r="D2734" s="19" t="s">
        <v>173</v>
      </c>
      <c r="E2734" s="19" t="s">
        <v>174</v>
      </c>
      <c r="F2734" s="19" t="s">
        <v>901</v>
      </c>
      <c r="G2734" s="19" t="s">
        <v>1008</v>
      </c>
      <c r="H2734" s="19" t="s">
        <v>1001</v>
      </c>
      <c r="I2734" s="19" t="s">
        <v>1575</v>
      </c>
      <c r="J2734" s="20">
        <v>21</v>
      </c>
      <c r="K2734" t="s">
        <v>668</v>
      </c>
      <c r="L2734" t="s">
        <v>656</v>
      </c>
      <c r="M2734" t="s">
        <v>657</v>
      </c>
      <c r="N2734" t="s">
        <v>658</v>
      </c>
      <c r="O2734" t="s">
        <v>632</v>
      </c>
    </row>
    <row r="2735" spans="1:15" x14ac:dyDescent="0.35">
      <c r="A2735" s="77">
        <v>0.75890410958904109</v>
      </c>
      <c r="B2735" s="19">
        <v>97399</v>
      </c>
      <c r="C2735" s="19" t="s">
        <v>5038</v>
      </c>
      <c r="D2735" s="19" t="s">
        <v>250</v>
      </c>
      <c r="E2735" s="19" t="s">
        <v>251</v>
      </c>
      <c r="F2735" s="19" t="s">
        <v>1126</v>
      </c>
      <c r="G2735" s="19" t="s">
        <v>1028</v>
      </c>
      <c r="H2735" s="19" t="s">
        <v>1020</v>
      </c>
      <c r="I2735" s="19" t="s">
        <v>1575</v>
      </c>
      <c r="J2735" s="20">
        <v>20</v>
      </c>
      <c r="K2735" t="s">
        <v>668</v>
      </c>
      <c r="L2735" t="s">
        <v>634</v>
      </c>
      <c r="M2735" t="s">
        <v>629</v>
      </c>
      <c r="N2735" t="s">
        <v>635</v>
      </c>
      <c r="O2735" t="s">
        <v>637</v>
      </c>
    </row>
    <row r="2736" spans="1:15" x14ac:dyDescent="0.35">
      <c r="A2736" s="77">
        <v>0.74520547945205484</v>
      </c>
      <c r="B2736" s="19">
        <v>97420</v>
      </c>
      <c r="C2736" s="19" t="s">
        <v>5039</v>
      </c>
      <c r="D2736" s="19" t="s">
        <v>351</v>
      </c>
      <c r="E2736" s="19" t="s">
        <v>352</v>
      </c>
      <c r="F2736" s="19" t="s">
        <v>1507</v>
      </c>
      <c r="G2736" s="19" t="s">
        <v>1028</v>
      </c>
      <c r="H2736" s="19" t="s">
        <v>1020</v>
      </c>
      <c r="I2736" s="19" t="s">
        <v>1575</v>
      </c>
      <c r="J2736" s="20">
        <v>23</v>
      </c>
      <c r="K2736" t="s">
        <v>636</v>
      </c>
      <c r="L2736" t="s">
        <v>661</v>
      </c>
      <c r="M2736" t="s">
        <v>657</v>
      </c>
      <c r="N2736" t="s">
        <v>662</v>
      </c>
      <c r="O2736" t="s">
        <v>632</v>
      </c>
    </row>
    <row r="2737" spans="1:15" x14ac:dyDescent="0.35">
      <c r="A2737" s="77">
        <v>0.74520547945205484</v>
      </c>
      <c r="B2737" s="19">
        <v>97423</v>
      </c>
      <c r="C2737" s="19" t="s">
        <v>5040</v>
      </c>
      <c r="D2737" s="19" t="s">
        <v>349</v>
      </c>
      <c r="E2737" s="19" t="s">
        <v>350</v>
      </c>
      <c r="F2737" s="19" t="s">
        <v>912</v>
      </c>
      <c r="G2737" s="19" t="s">
        <v>1008</v>
      </c>
      <c r="H2737" s="19" t="s">
        <v>1001</v>
      </c>
      <c r="I2737" s="19" t="s">
        <v>1575</v>
      </c>
      <c r="J2737" s="20">
        <v>34</v>
      </c>
      <c r="K2737" t="s">
        <v>625</v>
      </c>
      <c r="L2737" t="s">
        <v>648</v>
      </c>
      <c r="M2737" t="s">
        <v>623</v>
      </c>
      <c r="N2737" t="s">
        <v>624</v>
      </c>
      <c r="O2737" t="s">
        <v>649</v>
      </c>
    </row>
    <row r="2738" spans="1:15" x14ac:dyDescent="0.35">
      <c r="A2738" s="77">
        <v>0.74520547945205484</v>
      </c>
      <c r="B2738" s="19">
        <v>97425</v>
      </c>
      <c r="C2738" s="19" t="s">
        <v>5041</v>
      </c>
      <c r="D2738" s="19" t="s">
        <v>38</v>
      </c>
      <c r="E2738" s="19" t="s">
        <v>38</v>
      </c>
      <c r="F2738" s="19" t="s">
        <v>711</v>
      </c>
      <c r="G2738" s="19" t="s">
        <v>1019</v>
      </c>
      <c r="H2738" s="19" t="s">
        <v>1020</v>
      </c>
      <c r="I2738" s="19" t="s">
        <v>1575</v>
      </c>
      <c r="J2738" s="20">
        <v>19</v>
      </c>
      <c r="K2738" t="s">
        <v>668</v>
      </c>
      <c r="L2738" t="s">
        <v>691</v>
      </c>
      <c r="M2738" t="s">
        <v>657</v>
      </c>
      <c r="N2738" t="s">
        <v>658</v>
      </c>
      <c r="O2738" t="s">
        <v>632</v>
      </c>
    </row>
    <row r="2739" spans="1:15" x14ac:dyDescent="0.35">
      <c r="A2739" s="77">
        <v>0.74520547945205484</v>
      </c>
      <c r="B2739" s="19">
        <v>97431</v>
      </c>
      <c r="C2739" s="19" t="s">
        <v>5042</v>
      </c>
      <c r="D2739" s="19" t="s">
        <v>165</v>
      </c>
      <c r="E2739" s="19" t="s">
        <v>166</v>
      </c>
      <c r="F2739" s="19" t="s">
        <v>1238</v>
      </c>
      <c r="G2739" s="19" t="s">
        <v>1028</v>
      </c>
      <c r="H2739" s="19" t="s">
        <v>1020</v>
      </c>
      <c r="I2739" s="19" t="s">
        <v>1599</v>
      </c>
      <c r="J2739" s="20">
        <v>21</v>
      </c>
      <c r="K2739" t="s">
        <v>636</v>
      </c>
      <c r="L2739" t="s">
        <v>648</v>
      </c>
      <c r="M2739" t="s">
        <v>623</v>
      </c>
      <c r="N2739" t="s">
        <v>624</v>
      </c>
      <c r="O2739" t="s">
        <v>649</v>
      </c>
    </row>
    <row r="2740" spans="1:15" x14ac:dyDescent="0.35">
      <c r="A2740" s="77">
        <v>0.74520547945205484</v>
      </c>
      <c r="B2740" s="19">
        <v>97437</v>
      </c>
      <c r="C2740" s="19" t="s">
        <v>5043</v>
      </c>
      <c r="D2740" s="19" t="s">
        <v>355</v>
      </c>
      <c r="E2740" s="19" t="s">
        <v>356</v>
      </c>
      <c r="F2740" s="19" t="s">
        <v>1100</v>
      </c>
      <c r="G2740" s="19" t="s">
        <v>1028</v>
      </c>
      <c r="H2740" s="19" t="s">
        <v>1020</v>
      </c>
      <c r="I2740" s="19" t="s">
        <v>1575</v>
      </c>
      <c r="J2740" s="20">
        <v>20</v>
      </c>
      <c r="K2740" t="s">
        <v>625</v>
      </c>
      <c r="L2740" t="s">
        <v>622</v>
      </c>
      <c r="M2740" t="s">
        <v>623</v>
      </c>
      <c r="N2740" t="s">
        <v>624</v>
      </c>
      <c r="O2740" t="s">
        <v>649</v>
      </c>
    </row>
    <row r="2741" spans="1:15" x14ac:dyDescent="0.35">
      <c r="A2741" s="77">
        <v>0.74520547945205484</v>
      </c>
      <c r="B2741" s="19">
        <v>97449</v>
      </c>
      <c r="C2741" s="19" t="s">
        <v>5044</v>
      </c>
      <c r="D2741" s="19" t="s">
        <v>120</v>
      </c>
      <c r="E2741" s="19" t="s">
        <v>121</v>
      </c>
      <c r="F2741" s="19" t="s">
        <v>1236</v>
      </c>
      <c r="G2741" s="19" t="s">
        <v>1008</v>
      </c>
      <c r="H2741" s="19" t="s">
        <v>1001</v>
      </c>
      <c r="I2741" s="19" t="s">
        <v>1575</v>
      </c>
      <c r="J2741" s="20">
        <v>22</v>
      </c>
      <c r="K2741" t="s">
        <v>636</v>
      </c>
      <c r="L2741" t="s">
        <v>673</v>
      </c>
      <c r="M2741" t="s">
        <v>623</v>
      </c>
      <c r="N2741" t="s">
        <v>641</v>
      </c>
      <c r="O2741" t="s">
        <v>748</v>
      </c>
    </row>
    <row r="2742" spans="1:15" x14ac:dyDescent="0.35">
      <c r="A2742" s="77">
        <v>0.74520547945205484</v>
      </c>
      <c r="B2742" s="19">
        <v>97452</v>
      </c>
      <c r="C2742" s="19" t="s">
        <v>5045</v>
      </c>
      <c r="D2742" s="19" t="s">
        <v>13</v>
      </c>
      <c r="E2742" s="19" t="s">
        <v>13</v>
      </c>
      <c r="F2742" s="19" t="s">
        <v>1467</v>
      </c>
      <c r="G2742" s="19" t="s">
        <v>1046</v>
      </c>
      <c r="H2742" s="19" t="s">
        <v>1001</v>
      </c>
      <c r="I2742" s="19" t="s">
        <v>1575</v>
      </c>
      <c r="J2742" s="20">
        <v>22</v>
      </c>
      <c r="K2742" t="s">
        <v>631</v>
      </c>
      <c r="L2742" t="s">
        <v>628</v>
      </c>
      <c r="M2742" t="s">
        <v>629</v>
      </c>
      <c r="N2742" t="s">
        <v>630</v>
      </c>
      <c r="O2742" t="s">
        <v>639</v>
      </c>
    </row>
    <row r="2743" spans="1:15" x14ac:dyDescent="0.35">
      <c r="A2743" s="77">
        <v>0.74520547945205484</v>
      </c>
      <c r="B2743" s="19">
        <v>97456</v>
      </c>
      <c r="C2743" s="19" t="s">
        <v>5046</v>
      </c>
      <c r="D2743" s="19" t="s">
        <v>20</v>
      </c>
      <c r="E2743" s="19" t="s">
        <v>20</v>
      </c>
      <c r="F2743" s="19" t="s">
        <v>1133</v>
      </c>
      <c r="G2743" s="19" t="s">
        <v>1028</v>
      </c>
      <c r="H2743" s="19" t="s">
        <v>1020</v>
      </c>
      <c r="I2743" s="19" t="s">
        <v>1575</v>
      </c>
      <c r="J2743" s="20">
        <v>19</v>
      </c>
      <c r="K2743" t="s">
        <v>654</v>
      </c>
      <c r="L2743" t="s">
        <v>634</v>
      </c>
      <c r="M2743" t="s">
        <v>629</v>
      </c>
      <c r="N2743" t="s">
        <v>635</v>
      </c>
      <c r="O2743" t="s">
        <v>637</v>
      </c>
    </row>
    <row r="2744" spans="1:15" x14ac:dyDescent="0.35">
      <c r="A2744" s="77">
        <v>0.74520547945205484</v>
      </c>
      <c r="B2744" s="19">
        <v>97458</v>
      </c>
      <c r="C2744" s="19" t="s">
        <v>5047</v>
      </c>
      <c r="D2744" s="19" t="s">
        <v>266</v>
      </c>
      <c r="E2744" s="19" t="s">
        <v>267</v>
      </c>
      <c r="F2744" s="19" t="s">
        <v>2070</v>
      </c>
      <c r="G2744" s="19" t="s">
        <v>1084</v>
      </c>
      <c r="H2744" s="19" t="s">
        <v>1001</v>
      </c>
      <c r="I2744" s="19" t="s">
        <v>1599</v>
      </c>
      <c r="J2744" s="20">
        <v>28</v>
      </c>
      <c r="K2744" t="s">
        <v>636</v>
      </c>
      <c r="L2744" t="s">
        <v>634</v>
      </c>
      <c r="M2744" t="s">
        <v>629</v>
      </c>
      <c r="N2744" t="s">
        <v>635</v>
      </c>
      <c r="O2744" t="s">
        <v>637</v>
      </c>
    </row>
    <row r="2745" spans="1:15" x14ac:dyDescent="0.35">
      <c r="A2745" s="77">
        <v>0.74520547945205484</v>
      </c>
      <c r="B2745" s="19">
        <v>97459</v>
      </c>
      <c r="C2745" s="19" t="s">
        <v>5048</v>
      </c>
      <c r="D2745" s="19" t="s">
        <v>266</v>
      </c>
      <c r="E2745" s="19" t="s">
        <v>267</v>
      </c>
      <c r="F2745" s="19" t="s">
        <v>2070</v>
      </c>
      <c r="G2745" s="19" t="s">
        <v>1028</v>
      </c>
      <c r="H2745" s="19" t="s">
        <v>1020</v>
      </c>
      <c r="I2745" s="19" t="s">
        <v>1575</v>
      </c>
      <c r="J2745" s="20">
        <v>19</v>
      </c>
      <c r="K2745" t="s">
        <v>636</v>
      </c>
      <c r="L2745" t="s">
        <v>634</v>
      </c>
      <c r="M2745" t="s">
        <v>629</v>
      </c>
      <c r="N2745" t="s">
        <v>635</v>
      </c>
      <c r="O2745" t="s">
        <v>637</v>
      </c>
    </row>
    <row r="2746" spans="1:15" x14ac:dyDescent="0.35">
      <c r="A2746" s="77">
        <v>0.74520547945205484</v>
      </c>
      <c r="B2746" s="19">
        <v>97461</v>
      </c>
      <c r="C2746" s="19" t="s">
        <v>5049</v>
      </c>
      <c r="D2746" s="19" t="s">
        <v>266</v>
      </c>
      <c r="E2746" s="19" t="s">
        <v>267</v>
      </c>
      <c r="F2746" s="19" t="s">
        <v>2070</v>
      </c>
      <c r="G2746" s="19" t="s">
        <v>1019</v>
      </c>
      <c r="H2746" s="19" t="s">
        <v>1020</v>
      </c>
      <c r="I2746" s="19" t="s">
        <v>1575</v>
      </c>
      <c r="J2746" s="20">
        <v>22</v>
      </c>
      <c r="K2746" t="s">
        <v>636</v>
      </c>
      <c r="L2746" t="s">
        <v>634</v>
      </c>
      <c r="M2746" t="s">
        <v>629</v>
      </c>
      <c r="N2746" t="s">
        <v>635</v>
      </c>
      <c r="O2746" t="s">
        <v>637</v>
      </c>
    </row>
    <row r="2747" spans="1:15" x14ac:dyDescent="0.35">
      <c r="A2747" s="77">
        <v>0.74520547945205484</v>
      </c>
      <c r="B2747" s="19">
        <v>97463</v>
      </c>
      <c r="C2747" s="19" t="s">
        <v>5050</v>
      </c>
      <c r="D2747" s="19" t="s">
        <v>420</v>
      </c>
      <c r="E2747" s="19" t="s">
        <v>420</v>
      </c>
      <c r="F2747" s="19" t="s">
        <v>686</v>
      </c>
      <c r="G2747" s="19" t="s">
        <v>1019</v>
      </c>
      <c r="H2747" s="19" t="s">
        <v>1020</v>
      </c>
      <c r="I2747" s="19" t="s">
        <v>1575</v>
      </c>
      <c r="J2747" s="20">
        <v>23</v>
      </c>
      <c r="K2747" t="s">
        <v>631</v>
      </c>
      <c r="L2747" t="s">
        <v>634</v>
      </c>
      <c r="M2747" t="s">
        <v>629</v>
      </c>
      <c r="N2747" t="s">
        <v>635</v>
      </c>
      <c r="O2747" t="s">
        <v>637</v>
      </c>
    </row>
    <row r="2748" spans="1:15" x14ac:dyDescent="0.35">
      <c r="A2748" s="77">
        <v>0.74520547945205484</v>
      </c>
      <c r="B2748" s="19">
        <v>97464</v>
      </c>
      <c r="C2748" s="19" t="s">
        <v>5051</v>
      </c>
      <c r="D2748" s="19" t="s">
        <v>111</v>
      </c>
      <c r="E2748" s="19" t="s">
        <v>112</v>
      </c>
      <c r="F2748" s="19" t="s">
        <v>1083</v>
      </c>
      <c r="G2748" s="19" t="s">
        <v>1028</v>
      </c>
      <c r="H2748" s="19" t="s">
        <v>1020</v>
      </c>
      <c r="I2748" s="19" t="s">
        <v>1575</v>
      </c>
      <c r="J2748" s="20">
        <v>19</v>
      </c>
      <c r="K2748" t="s">
        <v>654</v>
      </c>
      <c r="L2748" t="s">
        <v>651</v>
      </c>
      <c r="M2748" t="s">
        <v>629</v>
      </c>
      <c r="N2748" t="s">
        <v>630</v>
      </c>
      <c r="O2748" t="s">
        <v>652</v>
      </c>
    </row>
    <row r="2749" spans="1:15" x14ac:dyDescent="0.35">
      <c r="A2749" s="77">
        <v>2.1917808219178082E-2</v>
      </c>
      <c r="B2749" s="19">
        <v>97467</v>
      </c>
      <c r="C2749" s="19" t="s">
        <v>5052</v>
      </c>
      <c r="D2749" s="19" t="s">
        <v>322</v>
      </c>
      <c r="E2749" s="19" t="s">
        <v>323</v>
      </c>
      <c r="F2749" s="19" t="s">
        <v>834</v>
      </c>
      <c r="G2749" s="19" t="s">
        <v>1008</v>
      </c>
      <c r="H2749" s="19" t="s">
        <v>1001</v>
      </c>
      <c r="I2749" s="19" t="s">
        <v>1575</v>
      </c>
      <c r="J2749" s="20">
        <v>21</v>
      </c>
      <c r="K2749" t="s">
        <v>668</v>
      </c>
      <c r="L2749" t="s">
        <v>628</v>
      </c>
      <c r="M2749" t="s">
        <v>629</v>
      </c>
      <c r="N2749" t="s">
        <v>630</v>
      </c>
      <c r="O2749" t="s">
        <v>632</v>
      </c>
    </row>
    <row r="2750" spans="1:15" x14ac:dyDescent="0.35">
      <c r="A2750" s="77">
        <v>0.74520547945205484</v>
      </c>
      <c r="B2750" s="19">
        <v>97473</v>
      </c>
      <c r="C2750" s="19" t="s">
        <v>5053</v>
      </c>
      <c r="D2750" s="19" t="s">
        <v>80</v>
      </c>
      <c r="E2750" s="19" t="s">
        <v>81</v>
      </c>
      <c r="F2750" s="19" t="s">
        <v>1022</v>
      </c>
      <c r="G2750" s="19" t="s">
        <v>1028</v>
      </c>
      <c r="H2750" s="19" t="s">
        <v>1020</v>
      </c>
      <c r="I2750" s="19" t="s">
        <v>1575</v>
      </c>
      <c r="J2750" s="20">
        <v>20</v>
      </c>
      <c r="K2750" t="s">
        <v>654</v>
      </c>
      <c r="L2750" t="s">
        <v>628</v>
      </c>
      <c r="M2750" t="s">
        <v>629</v>
      </c>
      <c r="N2750" t="s">
        <v>630</v>
      </c>
      <c r="O2750" t="s">
        <v>632</v>
      </c>
    </row>
    <row r="2751" spans="1:15" x14ac:dyDescent="0.35">
      <c r="A2751" s="77">
        <v>0.74246575342465748</v>
      </c>
      <c r="B2751" s="19">
        <v>97503</v>
      </c>
      <c r="C2751" s="19" t="s">
        <v>5054</v>
      </c>
      <c r="D2751" s="19" t="s">
        <v>290</v>
      </c>
      <c r="E2751" s="19" t="s">
        <v>291</v>
      </c>
      <c r="F2751" s="19" t="s">
        <v>1182</v>
      </c>
      <c r="G2751" s="19" t="s">
        <v>1028</v>
      </c>
      <c r="H2751" s="19" t="s">
        <v>1020</v>
      </c>
      <c r="I2751" s="19" t="s">
        <v>1575</v>
      </c>
      <c r="J2751" s="20">
        <v>24</v>
      </c>
      <c r="K2751" t="s">
        <v>668</v>
      </c>
      <c r="L2751" t="s">
        <v>663</v>
      </c>
      <c r="M2751" t="s">
        <v>629</v>
      </c>
      <c r="N2751" t="s">
        <v>646</v>
      </c>
      <c r="O2751" t="s">
        <v>639</v>
      </c>
    </row>
    <row r="2752" spans="1:15" x14ac:dyDescent="0.35">
      <c r="A2752" s="77">
        <v>0.74246575342465748</v>
      </c>
      <c r="B2752" s="19">
        <v>97504</v>
      </c>
      <c r="C2752" s="19" t="s">
        <v>5055</v>
      </c>
      <c r="D2752" s="19" t="s">
        <v>290</v>
      </c>
      <c r="E2752" s="19" t="s">
        <v>291</v>
      </c>
      <c r="F2752" s="19" t="s">
        <v>1182</v>
      </c>
      <c r="G2752" s="19" t="s">
        <v>1008</v>
      </c>
      <c r="H2752" s="19" t="s">
        <v>1001</v>
      </c>
      <c r="I2752" s="19" t="s">
        <v>1575</v>
      </c>
      <c r="J2752" s="20">
        <v>26</v>
      </c>
      <c r="K2752" t="s">
        <v>668</v>
      </c>
      <c r="L2752" t="s">
        <v>663</v>
      </c>
      <c r="M2752" t="s">
        <v>629</v>
      </c>
      <c r="N2752" t="s">
        <v>646</v>
      </c>
      <c r="O2752" t="s">
        <v>639</v>
      </c>
    </row>
    <row r="2753" spans="1:15" x14ac:dyDescent="0.35">
      <c r="A2753" s="77">
        <v>0.74246575342465748</v>
      </c>
      <c r="B2753" s="19">
        <v>97508</v>
      </c>
      <c r="C2753" s="19" t="s">
        <v>5056</v>
      </c>
      <c r="D2753" s="19" t="s">
        <v>430</v>
      </c>
      <c r="E2753" s="19" t="e">
        <v>#N/A</v>
      </c>
      <c r="F2753" s="19" t="s">
        <v>1105</v>
      </c>
      <c r="G2753" s="19" t="s">
        <v>1084</v>
      </c>
      <c r="H2753" s="19" t="s">
        <v>1020</v>
      </c>
      <c r="I2753" s="19" t="s">
        <v>1575</v>
      </c>
      <c r="J2753" s="20">
        <v>51</v>
      </c>
      <c r="K2753" t="s">
        <v>654</v>
      </c>
      <c r="L2753" t="s">
        <v>645</v>
      </c>
      <c r="M2753" t="s">
        <v>629</v>
      </c>
      <c r="N2753" t="s">
        <v>646</v>
      </c>
      <c r="O2753" t="s">
        <v>632</v>
      </c>
    </row>
    <row r="2754" spans="1:15" x14ac:dyDescent="0.35">
      <c r="A2754" s="77">
        <v>0.73972602739726023</v>
      </c>
      <c r="B2754" s="19">
        <v>97509</v>
      </c>
      <c r="C2754" s="19" t="s">
        <v>5057</v>
      </c>
      <c r="D2754" s="19" t="s">
        <v>601</v>
      </c>
      <c r="E2754" s="19" t="e">
        <v>#N/A</v>
      </c>
      <c r="F2754" s="19" t="s">
        <v>1136</v>
      </c>
      <c r="G2754" s="19" t="s">
        <v>1019</v>
      </c>
      <c r="H2754" s="19" t="s">
        <v>1020</v>
      </c>
      <c r="I2754" s="19" t="s">
        <v>1599</v>
      </c>
      <c r="J2754" s="20">
        <v>22</v>
      </c>
      <c r="K2754" t="s">
        <v>654</v>
      </c>
      <c r="L2754" t="s">
        <v>651</v>
      </c>
      <c r="M2754" t="s">
        <v>629</v>
      </c>
      <c r="N2754" t="s">
        <v>630</v>
      </c>
      <c r="O2754" t="s">
        <v>715</v>
      </c>
    </row>
    <row r="2755" spans="1:15" x14ac:dyDescent="0.35">
      <c r="A2755" s="77">
        <v>0.74246575342465748</v>
      </c>
      <c r="B2755" s="19">
        <v>97510</v>
      </c>
      <c r="C2755" s="19" t="s">
        <v>5058</v>
      </c>
      <c r="D2755" s="19" t="s">
        <v>403</v>
      </c>
      <c r="E2755" s="19" t="s">
        <v>404</v>
      </c>
      <c r="F2755" s="19" t="s">
        <v>870</v>
      </c>
      <c r="G2755" s="19" t="s">
        <v>1028</v>
      </c>
      <c r="H2755" s="19" t="s">
        <v>1020</v>
      </c>
      <c r="I2755" s="19" t="s">
        <v>1575</v>
      </c>
      <c r="J2755" s="20">
        <v>23</v>
      </c>
      <c r="K2755" t="s">
        <v>631</v>
      </c>
      <c r="L2755" t="s">
        <v>691</v>
      </c>
      <c r="M2755" t="s">
        <v>657</v>
      </c>
      <c r="N2755" t="s">
        <v>658</v>
      </c>
      <c r="O2755" t="s">
        <v>632</v>
      </c>
    </row>
    <row r="2756" spans="1:15" x14ac:dyDescent="0.35">
      <c r="A2756" s="77">
        <v>0.74246575342465748</v>
      </c>
      <c r="B2756" s="19">
        <v>97513</v>
      </c>
      <c r="C2756" s="19" t="s">
        <v>5059</v>
      </c>
      <c r="D2756" s="19" t="s">
        <v>151</v>
      </c>
      <c r="E2756" s="19" t="s">
        <v>152</v>
      </c>
      <c r="F2756" s="19" t="s">
        <v>1557</v>
      </c>
      <c r="G2756" s="19" t="s">
        <v>1028</v>
      </c>
      <c r="H2756" s="19" t="s">
        <v>1020</v>
      </c>
      <c r="I2756" s="19" t="s">
        <v>1575</v>
      </c>
      <c r="J2756" s="20">
        <v>18</v>
      </c>
      <c r="K2756" t="s">
        <v>654</v>
      </c>
      <c r="L2756" t="s">
        <v>691</v>
      </c>
      <c r="M2756" t="s">
        <v>657</v>
      </c>
      <c r="N2756" t="s">
        <v>658</v>
      </c>
      <c r="O2756" t="s">
        <v>632</v>
      </c>
    </row>
    <row r="2757" spans="1:15" x14ac:dyDescent="0.35">
      <c r="A2757" s="77">
        <v>0.73972602739726023</v>
      </c>
      <c r="B2757" s="19">
        <v>97518</v>
      </c>
      <c r="C2757" s="19" t="s">
        <v>5060</v>
      </c>
      <c r="D2757" s="19" t="s">
        <v>181</v>
      </c>
      <c r="E2757" s="19" t="s">
        <v>182</v>
      </c>
      <c r="F2757" s="19" t="s">
        <v>1374</v>
      </c>
      <c r="G2757" s="19" t="s">
        <v>1028</v>
      </c>
      <c r="H2757" s="19" t="s">
        <v>1020</v>
      </c>
      <c r="I2757" s="19" t="s">
        <v>1575</v>
      </c>
      <c r="J2757" s="20">
        <v>21</v>
      </c>
      <c r="K2757" t="s">
        <v>625</v>
      </c>
      <c r="L2757" t="s">
        <v>678</v>
      </c>
      <c r="M2757" t="s">
        <v>623</v>
      </c>
      <c r="N2757" t="s">
        <v>624</v>
      </c>
      <c r="O2757" t="s">
        <v>679</v>
      </c>
    </row>
    <row r="2758" spans="1:15" x14ac:dyDescent="0.35">
      <c r="A2758" s="77">
        <v>0.73972602739726023</v>
      </c>
      <c r="B2758" s="19">
        <v>97521</v>
      </c>
      <c r="C2758" s="19" t="s">
        <v>5061</v>
      </c>
      <c r="D2758" s="19" t="s">
        <v>167</v>
      </c>
      <c r="E2758" s="19" t="s">
        <v>168</v>
      </c>
      <c r="F2758" s="19" t="s">
        <v>2009</v>
      </c>
      <c r="G2758" s="19" t="s">
        <v>1057</v>
      </c>
      <c r="H2758" s="19" t="s">
        <v>1001</v>
      </c>
      <c r="I2758" s="19" t="s">
        <v>1575</v>
      </c>
      <c r="J2758" s="20">
        <v>25</v>
      </c>
      <c r="K2758" t="s">
        <v>636</v>
      </c>
      <c r="L2758" t="s">
        <v>640</v>
      </c>
      <c r="M2758" t="s">
        <v>623</v>
      </c>
      <c r="N2758" t="s">
        <v>641</v>
      </c>
      <c r="O2758" t="s">
        <v>754</v>
      </c>
    </row>
    <row r="2759" spans="1:15" x14ac:dyDescent="0.35">
      <c r="A2759" s="77">
        <v>0.73972602739726023</v>
      </c>
      <c r="B2759" s="19">
        <v>97529</v>
      </c>
      <c r="C2759" s="19" t="s">
        <v>5062</v>
      </c>
      <c r="D2759" s="19" t="s">
        <v>369</v>
      </c>
      <c r="E2759" s="19" t="s">
        <v>370</v>
      </c>
      <c r="F2759" s="19" t="s">
        <v>856</v>
      </c>
      <c r="G2759" s="19" t="s">
        <v>1057</v>
      </c>
      <c r="H2759" s="19" t="s">
        <v>1001</v>
      </c>
      <c r="I2759" s="19" t="s">
        <v>1575</v>
      </c>
      <c r="J2759" s="20">
        <v>23</v>
      </c>
      <c r="K2759" t="s">
        <v>654</v>
      </c>
      <c r="L2759" t="s">
        <v>684</v>
      </c>
      <c r="M2759" t="s">
        <v>623</v>
      </c>
      <c r="N2759" t="s">
        <v>662</v>
      </c>
      <c r="O2759" t="s">
        <v>857</v>
      </c>
    </row>
    <row r="2760" spans="1:15" x14ac:dyDescent="0.35">
      <c r="A2760" s="77">
        <v>0.73972602739726023</v>
      </c>
      <c r="B2760" s="19">
        <v>97532</v>
      </c>
      <c r="C2760" s="19" t="s">
        <v>5063</v>
      </c>
      <c r="D2760" s="19" t="s">
        <v>297</v>
      </c>
      <c r="E2760" s="19" t="s">
        <v>298</v>
      </c>
      <c r="F2760" s="19" t="s">
        <v>904</v>
      </c>
      <c r="G2760" s="19" t="s">
        <v>1019</v>
      </c>
      <c r="H2760" s="19" t="s">
        <v>1020</v>
      </c>
      <c r="I2760" s="19" t="s">
        <v>1575</v>
      </c>
      <c r="J2760" s="20">
        <v>18</v>
      </c>
      <c r="K2760" t="s">
        <v>654</v>
      </c>
      <c r="L2760" t="s">
        <v>762</v>
      </c>
      <c r="M2760" t="s">
        <v>629</v>
      </c>
      <c r="N2760" t="s">
        <v>646</v>
      </c>
      <c r="O2760" t="s">
        <v>823</v>
      </c>
    </row>
    <row r="2761" spans="1:15" x14ac:dyDescent="0.35">
      <c r="A2761" s="77">
        <v>0.73698630136986298</v>
      </c>
      <c r="B2761" s="19">
        <v>97536</v>
      </c>
      <c r="C2761" s="19" t="s">
        <v>5064</v>
      </c>
      <c r="D2761" s="19" t="s">
        <v>417</v>
      </c>
      <c r="E2761" s="19" t="s">
        <v>417</v>
      </c>
      <c r="F2761" s="19" t="s">
        <v>418</v>
      </c>
      <c r="G2761" s="19" t="s">
        <v>1028</v>
      </c>
      <c r="H2761" s="19" t="s">
        <v>1020</v>
      </c>
      <c r="I2761" s="19" t="s">
        <v>1599</v>
      </c>
      <c r="J2761" s="20">
        <v>27</v>
      </c>
      <c r="K2761" t="s">
        <v>654</v>
      </c>
      <c r="L2761" t="s">
        <v>684</v>
      </c>
      <c r="M2761" t="s">
        <v>623</v>
      </c>
      <c r="N2761" t="s">
        <v>662</v>
      </c>
      <c r="O2761" t="s">
        <v>687</v>
      </c>
    </row>
    <row r="2762" spans="1:15" x14ac:dyDescent="0.35">
      <c r="A2762" s="77">
        <v>0.73698630136986298</v>
      </c>
      <c r="B2762" s="19">
        <v>97539</v>
      </c>
      <c r="C2762" s="19" t="s">
        <v>5065</v>
      </c>
      <c r="D2762" s="19" t="s">
        <v>181</v>
      </c>
      <c r="E2762" s="19" t="s">
        <v>182</v>
      </c>
      <c r="F2762" s="19" t="s">
        <v>1374</v>
      </c>
      <c r="G2762" s="19" t="s">
        <v>1019</v>
      </c>
      <c r="H2762" s="19" t="s">
        <v>1020</v>
      </c>
      <c r="I2762" s="19" t="s">
        <v>1575</v>
      </c>
      <c r="J2762" s="20">
        <v>31</v>
      </c>
      <c r="K2762" t="s">
        <v>625</v>
      </c>
      <c r="L2762" t="s">
        <v>678</v>
      </c>
      <c r="M2762" t="s">
        <v>623</v>
      </c>
      <c r="N2762" t="s">
        <v>624</v>
      </c>
      <c r="O2762" t="s">
        <v>679</v>
      </c>
    </row>
    <row r="2763" spans="1:15" x14ac:dyDescent="0.35">
      <c r="A2763" s="77">
        <v>0.73972602739726023</v>
      </c>
      <c r="B2763" s="19">
        <v>97543</v>
      </c>
      <c r="C2763" s="19" t="s">
        <v>5066</v>
      </c>
      <c r="D2763" s="19" t="s">
        <v>320</v>
      </c>
      <c r="E2763" s="19" t="s">
        <v>321</v>
      </c>
      <c r="F2763" s="19" t="s">
        <v>1205</v>
      </c>
      <c r="G2763" s="19" t="s">
        <v>1008</v>
      </c>
      <c r="H2763" s="19" t="s">
        <v>1001</v>
      </c>
      <c r="I2763" s="19" t="s">
        <v>1575</v>
      </c>
      <c r="J2763" s="20">
        <v>22</v>
      </c>
      <c r="K2763" t="s">
        <v>668</v>
      </c>
      <c r="L2763" t="s">
        <v>707</v>
      </c>
      <c r="M2763" t="s">
        <v>629</v>
      </c>
      <c r="N2763" t="s">
        <v>635</v>
      </c>
      <c r="O2763" t="s">
        <v>708</v>
      </c>
    </row>
    <row r="2764" spans="1:15" x14ac:dyDescent="0.35">
      <c r="A2764" s="77">
        <v>0.73972602739726023</v>
      </c>
      <c r="B2764" s="19">
        <v>97546</v>
      </c>
      <c r="C2764" s="19" t="s">
        <v>5067</v>
      </c>
      <c r="D2764" s="19" t="s">
        <v>397</v>
      </c>
      <c r="E2764" s="19" t="s">
        <v>398</v>
      </c>
      <c r="F2764" s="19" t="s">
        <v>867</v>
      </c>
      <c r="G2764" s="19" t="s">
        <v>1008</v>
      </c>
      <c r="H2764" s="19" t="s">
        <v>1001</v>
      </c>
      <c r="I2764" s="19" t="s">
        <v>1575</v>
      </c>
      <c r="J2764" s="20">
        <v>23</v>
      </c>
      <c r="K2764" t="s">
        <v>625</v>
      </c>
      <c r="L2764" t="s">
        <v>634</v>
      </c>
      <c r="M2764" t="s">
        <v>629</v>
      </c>
      <c r="N2764" t="s">
        <v>635</v>
      </c>
      <c r="O2764" t="s">
        <v>637</v>
      </c>
    </row>
    <row r="2765" spans="1:15" x14ac:dyDescent="0.35">
      <c r="A2765" s="77">
        <v>0.73698630136986298</v>
      </c>
      <c r="B2765" s="19">
        <v>97551</v>
      </c>
      <c r="C2765" s="19" t="s">
        <v>5068</v>
      </c>
      <c r="D2765" s="19" t="s">
        <v>175</v>
      </c>
      <c r="E2765" s="19" t="s">
        <v>176</v>
      </c>
      <c r="F2765" s="19" t="s">
        <v>1538</v>
      </c>
      <c r="G2765" s="19" t="s">
        <v>1057</v>
      </c>
      <c r="H2765" s="19" t="s">
        <v>1001</v>
      </c>
      <c r="I2765" s="19" t="s">
        <v>1575</v>
      </c>
      <c r="J2765" s="20">
        <v>21</v>
      </c>
      <c r="K2765" t="s">
        <v>668</v>
      </c>
      <c r="L2765" t="s">
        <v>707</v>
      </c>
      <c r="M2765" t="s">
        <v>629</v>
      </c>
      <c r="N2765" t="s">
        <v>635</v>
      </c>
      <c r="O2765" t="s">
        <v>710</v>
      </c>
    </row>
    <row r="2766" spans="1:15" x14ac:dyDescent="0.35">
      <c r="A2766" s="77">
        <v>0.73698630136986298</v>
      </c>
      <c r="B2766" s="19">
        <v>97552</v>
      </c>
      <c r="C2766" s="19" t="s">
        <v>5069</v>
      </c>
      <c r="D2766" s="19" t="s">
        <v>31</v>
      </c>
      <c r="E2766" s="19" t="s">
        <v>31</v>
      </c>
      <c r="F2766" s="19" t="s">
        <v>675</v>
      </c>
      <c r="G2766" s="19" t="s">
        <v>1008</v>
      </c>
      <c r="H2766" s="19" t="s">
        <v>1001</v>
      </c>
      <c r="I2766" s="19" t="s">
        <v>1575</v>
      </c>
      <c r="J2766" s="20">
        <v>21</v>
      </c>
      <c r="K2766" t="s">
        <v>654</v>
      </c>
      <c r="L2766" t="s">
        <v>670</v>
      </c>
      <c r="M2766" t="s">
        <v>657</v>
      </c>
      <c r="N2766" t="s">
        <v>641</v>
      </c>
      <c r="O2766" t="s">
        <v>676</v>
      </c>
    </row>
    <row r="2767" spans="1:15" x14ac:dyDescent="0.35">
      <c r="A2767" s="77">
        <v>0.73698630136986298</v>
      </c>
      <c r="B2767" s="19">
        <v>97555</v>
      </c>
      <c r="C2767" s="19" t="s">
        <v>5070</v>
      </c>
      <c r="D2767" s="19" t="s">
        <v>100</v>
      </c>
      <c r="E2767" s="19" t="s">
        <v>101</v>
      </c>
      <c r="F2767" s="19" t="s">
        <v>2786</v>
      </c>
      <c r="G2767" s="19" t="s">
        <v>1008</v>
      </c>
      <c r="H2767" s="19" t="s">
        <v>1001</v>
      </c>
      <c r="I2767" s="19" t="s">
        <v>1599</v>
      </c>
      <c r="J2767" s="20">
        <v>23</v>
      </c>
      <c r="K2767" t="s">
        <v>654</v>
      </c>
      <c r="L2767" t="s">
        <v>651</v>
      </c>
      <c r="M2767" t="s">
        <v>629</v>
      </c>
      <c r="N2767" t="s">
        <v>630</v>
      </c>
      <c r="O2767" t="s">
        <v>705</v>
      </c>
    </row>
    <row r="2768" spans="1:15" x14ac:dyDescent="0.35">
      <c r="A2768" s="77">
        <v>0.72602739726027399</v>
      </c>
      <c r="B2768" s="19">
        <v>97563</v>
      </c>
      <c r="C2768" s="19" t="s">
        <v>5071</v>
      </c>
      <c r="D2768" s="19" t="s">
        <v>43</v>
      </c>
      <c r="E2768" s="19" t="s">
        <v>44</v>
      </c>
      <c r="F2768" s="19" t="s">
        <v>2355</v>
      </c>
      <c r="G2768" s="19" t="s">
        <v>3508</v>
      </c>
      <c r="H2768" s="19" t="s">
        <v>1020</v>
      </c>
      <c r="I2768" s="19" t="s">
        <v>1575</v>
      </c>
      <c r="J2768" s="20">
        <v>18</v>
      </c>
      <c r="K2768" t="s">
        <v>654</v>
      </c>
      <c r="L2768" t="s">
        <v>634</v>
      </c>
      <c r="M2768" t="s">
        <v>629</v>
      </c>
      <c r="N2768" t="s">
        <v>635</v>
      </c>
      <c r="O2768" t="s">
        <v>637</v>
      </c>
    </row>
    <row r="2769" spans="1:15" x14ac:dyDescent="0.35">
      <c r="A2769" s="77">
        <v>0.72602739726027399</v>
      </c>
      <c r="B2769" s="19">
        <v>97564</v>
      </c>
      <c r="C2769" s="19" t="s">
        <v>5072</v>
      </c>
      <c r="D2769" s="19" t="s">
        <v>43</v>
      </c>
      <c r="E2769" s="19" t="s">
        <v>44</v>
      </c>
      <c r="F2769" s="19" t="s">
        <v>2355</v>
      </c>
      <c r="G2769" s="19" t="s">
        <v>3508</v>
      </c>
      <c r="H2769" s="19" t="s">
        <v>1020</v>
      </c>
      <c r="I2769" s="19" t="s">
        <v>1575</v>
      </c>
      <c r="J2769" s="20">
        <v>18</v>
      </c>
      <c r="K2769" t="s">
        <v>654</v>
      </c>
      <c r="L2769" t="s">
        <v>634</v>
      </c>
      <c r="M2769" t="s">
        <v>629</v>
      </c>
      <c r="N2769" t="s">
        <v>635</v>
      </c>
      <c r="O2769" t="s">
        <v>637</v>
      </c>
    </row>
    <row r="2770" spans="1:15" x14ac:dyDescent="0.35">
      <c r="A2770" s="77">
        <v>0.72054794520547949</v>
      </c>
      <c r="B2770" s="19">
        <v>97565</v>
      </c>
      <c r="C2770" s="19" t="s">
        <v>5073</v>
      </c>
      <c r="D2770" s="19" t="s">
        <v>12</v>
      </c>
      <c r="E2770" s="19" t="s">
        <v>12</v>
      </c>
      <c r="F2770" s="19" t="s">
        <v>1145</v>
      </c>
      <c r="G2770" s="19" t="s">
        <v>3508</v>
      </c>
      <c r="H2770" s="19" t="s">
        <v>1020</v>
      </c>
      <c r="I2770" s="19" t="s">
        <v>1575</v>
      </c>
      <c r="J2770" s="20">
        <v>18</v>
      </c>
      <c r="K2770" t="s">
        <v>636</v>
      </c>
      <c r="L2770" t="s">
        <v>634</v>
      </c>
      <c r="M2770" t="s">
        <v>629</v>
      </c>
      <c r="N2770" t="s">
        <v>635</v>
      </c>
      <c r="O2770" t="s">
        <v>637</v>
      </c>
    </row>
    <row r="2771" spans="1:15" x14ac:dyDescent="0.35">
      <c r="A2771" s="77">
        <v>0.73424657534246573</v>
      </c>
      <c r="B2771" s="19">
        <v>97572</v>
      </c>
      <c r="C2771" s="19" t="s">
        <v>5074</v>
      </c>
      <c r="D2771" s="19" t="s">
        <v>377</v>
      </c>
      <c r="E2771" s="19" t="s">
        <v>378</v>
      </c>
      <c r="F2771" s="19" t="s">
        <v>862</v>
      </c>
      <c r="G2771" s="19" t="s">
        <v>1019</v>
      </c>
      <c r="H2771" s="19" t="s">
        <v>1020</v>
      </c>
      <c r="I2771" s="19" t="s">
        <v>1575</v>
      </c>
      <c r="J2771" s="20">
        <v>22</v>
      </c>
      <c r="K2771" t="s">
        <v>631</v>
      </c>
      <c r="L2771" t="s">
        <v>661</v>
      </c>
      <c r="M2771" t="s">
        <v>657</v>
      </c>
      <c r="N2771" t="s">
        <v>662</v>
      </c>
      <c r="O2771" t="s">
        <v>632</v>
      </c>
    </row>
    <row r="2772" spans="1:15" x14ac:dyDescent="0.35">
      <c r="A2772" s="77">
        <v>0.73424657534246573</v>
      </c>
      <c r="B2772" s="19">
        <v>97587</v>
      </c>
      <c r="C2772" s="19" t="s">
        <v>5075</v>
      </c>
      <c r="D2772" s="19" t="s">
        <v>11</v>
      </c>
      <c r="E2772" s="19" t="s">
        <v>11</v>
      </c>
      <c r="F2772" s="19" t="s">
        <v>627</v>
      </c>
      <c r="G2772" s="19" t="s">
        <v>3508</v>
      </c>
      <c r="H2772" s="19" t="s">
        <v>1020</v>
      </c>
      <c r="I2772" s="19" t="s">
        <v>1599</v>
      </c>
      <c r="J2772" s="20">
        <v>17</v>
      </c>
      <c r="K2772" t="s">
        <v>631</v>
      </c>
      <c r="L2772" t="s">
        <v>628</v>
      </c>
      <c r="M2772" t="s">
        <v>629</v>
      </c>
      <c r="N2772" t="s">
        <v>630</v>
      </c>
      <c r="O2772" t="s">
        <v>632</v>
      </c>
    </row>
    <row r="2773" spans="1:15" x14ac:dyDescent="0.35">
      <c r="A2773" s="77">
        <v>0.73424657534246573</v>
      </c>
      <c r="B2773" s="19">
        <v>97590</v>
      </c>
      <c r="C2773" s="19" t="s">
        <v>5076</v>
      </c>
      <c r="D2773" s="19" t="s">
        <v>273</v>
      </c>
      <c r="E2773" s="19" t="s">
        <v>274</v>
      </c>
      <c r="F2773" s="19" t="s">
        <v>1093</v>
      </c>
      <c r="G2773" s="19" t="s">
        <v>1008</v>
      </c>
      <c r="H2773" s="19" t="s">
        <v>1001</v>
      </c>
      <c r="I2773" s="19" t="s">
        <v>1575</v>
      </c>
      <c r="J2773" s="20">
        <v>35</v>
      </c>
      <c r="K2773" t="s">
        <v>636</v>
      </c>
      <c r="L2773" t="s">
        <v>663</v>
      </c>
      <c r="M2773" t="s">
        <v>629</v>
      </c>
      <c r="N2773" t="s">
        <v>646</v>
      </c>
      <c r="O2773" t="s">
        <v>639</v>
      </c>
    </row>
    <row r="2774" spans="1:15" x14ac:dyDescent="0.35">
      <c r="A2774" s="77">
        <v>0.73150684931506849</v>
      </c>
      <c r="B2774" s="19">
        <v>97593</v>
      </c>
      <c r="C2774" s="19" t="s">
        <v>5077</v>
      </c>
      <c r="D2774" s="19" t="s">
        <v>38</v>
      </c>
      <c r="E2774" s="19" t="s">
        <v>38</v>
      </c>
      <c r="F2774" s="19" t="s">
        <v>711</v>
      </c>
      <c r="G2774" s="19" t="s">
        <v>1008</v>
      </c>
      <c r="H2774" s="19" t="s">
        <v>1001</v>
      </c>
      <c r="I2774" s="19" t="s">
        <v>1575</v>
      </c>
      <c r="J2774" s="20">
        <v>25</v>
      </c>
      <c r="K2774" t="s">
        <v>668</v>
      </c>
      <c r="L2774" t="s">
        <v>691</v>
      </c>
      <c r="M2774" t="s">
        <v>657</v>
      </c>
      <c r="N2774" t="s">
        <v>658</v>
      </c>
      <c r="O2774" t="s">
        <v>632</v>
      </c>
    </row>
    <row r="2775" spans="1:15" x14ac:dyDescent="0.35">
      <c r="A2775" s="77">
        <v>0.72602739726027399</v>
      </c>
      <c r="B2775" s="19">
        <v>97594</v>
      </c>
      <c r="C2775" s="19" t="s">
        <v>5078</v>
      </c>
      <c r="D2775" s="19" t="s">
        <v>397</v>
      </c>
      <c r="E2775" s="19" t="s">
        <v>398</v>
      </c>
      <c r="F2775" s="19" t="s">
        <v>867</v>
      </c>
      <c r="G2775" s="19" t="s">
        <v>3508</v>
      </c>
      <c r="H2775" s="19" t="s">
        <v>1020</v>
      </c>
      <c r="I2775" s="19" t="s">
        <v>1599</v>
      </c>
      <c r="J2775" s="20">
        <v>17</v>
      </c>
      <c r="K2775" t="s">
        <v>625</v>
      </c>
      <c r="L2775" t="s">
        <v>634</v>
      </c>
      <c r="M2775" t="s">
        <v>629</v>
      </c>
      <c r="N2775" t="s">
        <v>635</v>
      </c>
      <c r="O2775" t="s">
        <v>637</v>
      </c>
    </row>
    <row r="2776" spans="1:15" x14ac:dyDescent="0.35">
      <c r="A2776" s="77">
        <v>0.72602739726027399</v>
      </c>
      <c r="B2776" s="19">
        <v>97595</v>
      </c>
      <c r="C2776" s="19" t="s">
        <v>5079</v>
      </c>
      <c r="D2776" s="19" t="s">
        <v>151</v>
      </c>
      <c r="E2776" s="19" t="s">
        <v>152</v>
      </c>
      <c r="F2776" s="19" t="s">
        <v>1557</v>
      </c>
      <c r="G2776" s="19" t="s">
        <v>3508</v>
      </c>
      <c r="H2776" s="19" t="s">
        <v>1020</v>
      </c>
      <c r="I2776" s="19" t="s">
        <v>1575</v>
      </c>
      <c r="J2776" s="20">
        <v>16</v>
      </c>
      <c r="K2776" t="s">
        <v>654</v>
      </c>
      <c r="L2776" t="s">
        <v>691</v>
      </c>
      <c r="M2776" t="s">
        <v>657</v>
      </c>
      <c r="N2776" t="s">
        <v>658</v>
      </c>
      <c r="O2776" t="s">
        <v>632</v>
      </c>
    </row>
    <row r="2777" spans="1:15" x14ac:dyDescent="0.35">
      <c r="A2777" s="77">
        <v>0.73150684931506849</v>
      </c>
      <c r="B2777" s="19">
        <v>97607</v>
      </c>
      <c r="C2777" s="19" t="s">
        <v>5080</v>
      </c>
      <c r="D2777" s="19" t="s">
        <v>341</v>
      </c>
      <c r="E2777" s="19" t="s">
        <v>342</v>
      </c>
      <c r="F2777" s="19" t="s">
        <v>1264</v>
      </c>
      <c r="G2777" s="19" t="s">
        <v>1008</v>
      </c>
      <c r="H2777" s="19" t="s">
        <v>1001</v>
      </c>
      <c r="I2777" s="19" t="s">
        <v>1575</v>
      </c>
      <c r="J2777" s="20">
        <v>25</v>
      </c>
      <c r="K2777" t="s">
        <v>636</v>
      </c>
      <c r="L2777" t="s">
        <v>678</v>
      </c>
      <c r="M2777" t="s">
        <v>623</v>
      </c>
      <c r="N2777" t="s">
        <v>624</v>
      </c>
      <c r="O2777" t="s">
        <v>679</v>
      </c>
    </row>
    <row r="2778" spans="1:15" x14ac:dyDescent="0.35">
      <c r="A2778" s="77">
        <v>0.73150684931506849</v>
      </c>
      <c r="B2778" s="19">
        <v>97614</v>
      </c>
      <c r="C2778" s="19" t="s">
        <v>5081</v>
      </c>
      <c r="D2778" s="19" t="s">
        <v>120</v>
      </c>
      <c r="E2778" s="19" t="s">
        <v>121</v>
      </c>
      <c r="F2778" s="19" t="s">
        <v>1236</v>
      </c>
      <c r="G2778" s="19" t="s">
        <v>1028</v>
      </c>
      <c r="H2778" s="19" t="s">
        <v>1020</v>
      </c>
      <c r="I2778" s="19" t="s">
        <v>1575</v>
      </c>
      <c r="J2778" s="20">
        <v>22</v>
      </c>
      <c r="K2778" t="s">
        <v>636</v>
      </c>
      <c r="L2778" t="s">
        <v>673</v>
      </c>
      <c r="M2778" t="s">
        <v>623</v>
      </c>
      <c r="N2778" t="s">
        <v>641</v>
      </c>
      <c r="O2778" t="s">
        <v>748</v>
      </c>
    </row>
    <row r="2779" spans="1:15" x14ac:dyDescent="0.35">
      <c r="A2779" s="77">
        <v>0.73150684931506849</v>
      </c>
      <c r="B2779" s="19">
        <v>97618</v>
      </c>
      <c r="C2779" s="19" t="s">
        <v>5082</v>
      </c>
      <c r="D2779" s="19" t="s">
        <v>97</v>
      </c>
      <c r="E2779" s="19" t="s">
        <v>98</v>
      </c>
      <c r="F2779" s="19" t="s">
        <v>2395</v>
      </c>
      <c r="G2779" s="19" t="s">
        <v>1028</v>
      </c>
      <c r="H2779" s="19" t="s">
        <v>1020</v>
      </c>
      <c r="I2779" s="19" t="s">
        <v>1575</v>
      </c>
      <c r="J2779" s="20">
        <v>21</v>
      </c>
      <c r="K2779" t="s">
        <v>654</v>
      </c>
      <c r="L2779" t="s">
        <v>666</v>
      </c>
      <c r="M2779" t="s">
        <v>629</v>
      </c>
      <c r="N2779" t="s">
        <v>635</v>
      </c>
      <c r="O2779" t="s">
        <v>739</v>
      </c>
    </row>
    <row r="2780" spans="1:15" x14ac:dyDescent="0.35">
      <c r="A2780" s="77">
        <v>0.72602739726027399</v>
      </c>
      <c r="B2780" s="19">
        <v>97621</v>
      </c>
      <c r="C2780" s="19" t="s">
        <v>5083</v>
      </c>
      <c r="D2780" s="19" t="s">
        <v>51</v>
      </c>
      <c r="E2780" s="19" t="s">
        <v>52</v>
      </c>
      <c r="F2780" s="19" t="s">
        <v>921</v>
      </c>
      <c r="G2780" s="19" t="s">
        <v>1028</v>
      </c>
      <c r="H2780" s="19" t="s">
        <v>1020</v>
      </c>
      <c r="I2780" s="19" t="s">
        <v>1575</v>
      </c>
      <c r="J2780" s="20">
        <v>41</v>
      </c>
      <c r="K2780" t="s">
        <v>636</v>
      </c>
      <c r="L2780" t="s">
        <v>656</v>
      </c>
      <c r="M2780" t="s">
        <v>657</v>
      </c>
      <c r="N2780" t="s">
        <v>658</v>
      </c>
      <c r="O2780" t="s">
        <v>718</v>
      </c>
    </row>
    <row r="2781" spans="1:15" x14ac:dyDescent="0.35">
      <c r="A2781" s="77">
        <v>0.72602739726027399</v>
      </c>
      <c r="B2781" s="19">
        <v>97623</v>
      </c>
      <c r="C2781" s="19" t="s">
        <v>5084</v>
      </c>
      <c r="D2781" s="19" t="s">
        <v>58</v>
      </c>
      <c r="E2781" s="19" t="s">
        <v>59</v>
      </c>
      <c r="F2781" s="19" t="s">
        <v>1650</v>
      </c>
      <c r="G2781" s="19" t="s">
        <v>3508</v>
      </c>
      <c r="H2781" s="19" t="s">
        <v>1020</v>
      </c>
      <c r="I2781" s="19" t="s">
        <v>1599</v>
      </c>
      <c r="J2781" s="20">
        <v>17</v>
      </c>
      <c r="K2781" t="s">
        <v>668</v>
      </c>
      <c r="L2781" t="s">
        <v>651</v>
      </c>
      <c r="M2781" t="s">
        <v>629</v>
      </c>
      <c r="N2781" t="s">
        <v>630</v>
      </c>
      <c r="O2781" t="s">
        <v>705</v>
      </c>
    </row>
    <row r="2782" spans="1:15" x14ac:dyDescent="0.35">
      <c r="A2782" s="77">
        <v>0.72602739726027399</v>
      </c>
      <c r="B2782" s="19">
        <v>97624</v>
      </c>
      <c r="C2782" s="19" t="s">
        <v>5085</v>
      </c>
      <c r="D2782" s="19" t="s">
        <v>149</v>
      </c>
      <c r="E2782" s="19" t="s">
        <v>150</v>
      </c>
      <c r="F2782" s="19" t="s">
        <v>1548</v>
      </c>
      <c r="G2782" s="19" t="s">
        <v>3508</v>
      </c>
      <c r="H2782" s="19" t="s">
        <v>1020</v>
      </c>
      <c r="I2782" s="19" t="s">
        <v>1575</v>
      </c>
      <c r="J2782" s="20">
        <v>20</v>
      </c>
      <c r="K2782" t="s">
        <v>654</v>
      </c>
      <c r="L2782" t="s">
        <v>648</v>
      </c>
      <c r="M2782" t="s">
        <v>623</v>
      </c>
      <c r="N2782" t="s">
        <v>624</v>
      </c>
      <c r="O2782" t="s">
        <v>725</v>
      </c>
    </row>
    <row r="2783" spans="1:15" x14ac:dyDescent="0.35">
      <c r="A2783" s="77">
        <v>0.72602739726027399</v>
      </c>
      <c r="B2783" s="19">
        <v>97629</v>
      </c>
      <c r="C2783" s="19" t="s">
        <v>5086</v>
      </c>
      <c r="D2783" s="19" t="s">
        <v>183</v>
      </c>
      <c r="E2783" s="19" t="s">
        <v>184</v>
      </c>
      <c r="F2783" s="19" t="s">
        <v>1532</v>
      </c>
      <c r="G2783" s="19" t="s">
        <v>3508</v>
      </c>
      <c r="H2783" s="19" t="s">
        <v>1020</v>
      </c>
      <c r="I2783" s="19" t="s">
        <v>1575</v>
      </c>
      <c r="J2783" s="20">
        <v>16</v>
      </c>
      <c r="K2783" t="s">
        <v>654</v>
      </c>
      <c r="L2783" t="s">
        <v>648</v>
      </c>
      <c r="M2783" t="s">
        <v>623</v>
      </c>
      <c r="N2783" t="s">
        <v>624</v>
      </c>
      <c r="O2783" t="s">
        <v>725</v>
      </c>
    </row>
    <row r="2784" spans="1:15" x14ac:dyDescent="0.35">
      <c r="A2784" s="77">
        <v>0.72602739726027399</v>
      </c>
      <c r="B2784" s="19">
        <v>97632</v>
      </c>
      <c r="C2784" s="19" t="s">
        <v>5087</v>
      </c>
      <c r="D2784" s="19" t="s">
        <v>328</v>
      </c>
      <c r="E2784" s="19" t="s">
        <v>329</v>
      </c>
      <c r="F2784" s="19" t="s">
        <v>838</v>
      </c>
      <c r="G2784" s="19" t="s">
        <v>3508</v>
      </c>
      <c r="H2784" s="19" t="s">
        <v>1020</v>
      </c>
      <c r="I2784" s="19" t="s">
        <v>1599</v>
      </c>
      <c r="J2784" s="20">
        <v>18</v>
      </c>
      <c r="K2784" t="s">
        <v>631</v>
      </c>
      <c r="L2784" t="s">
        <v>645</v>
      </c>
      <c r="M2784" t="s">
        <v>629</v>
      </c>
      <c r="N2784" t="s">
        <v>646</v>
      </c>
      <c r="O2784" t="s">
        <v>632</v>
      </c>
    </row>
    <row r="2785" spans="1:15" x14ac:dyDescent="0.35">
      <c r="A2785" s="77">
        <v>0.72602739726027399</v>
      </c>
      <c r="B2785" s="19">
        <v>97638</v>
      </c>
      <c r="C2785" s="19" t="s">
        <v>5088</v>
      </c>
      <c r="D2785" s="19" t="s">
        <v>16</v>
      </c>
      <c r="E2785" s="19" t="s">
        <v>16</v>
      </c>
      <c r="F2785" s="19" t="s">
        <v>1211</v>
      </c>
      <c r="G2785" s="19" t="s">
        <v>3508</v>
      </c>
      <c r="H2785" s="19" t="s">
        <v>1020</v>
      </c>
      <c r="I2785" s="19" t="s">
        <v>1599</v>
      </c>
      <c r="J2785" s="20">
        <v>17</v>
      </c>
      <c r="K2785" t="s">
        <v>631</v>
      </c>
      <c r="L2785" t="s">
        <v>645</v>
      </c>
      <c r="M2785" t="s">
        <v>629</v>
      </c>
      <c r="N2785" t="s">
        <v>646</v>
      </c>
      <c r="O2785" t="s">
        <v>632</v>
      </c>
    </row>
    <row r="2786" spans="1:15" x14ac:dyDescent="0.35">
      <c r="A2786" s="77">
        <v>0.72602739726027399</v>
      </c>
      <c r="B2786" s="19">
        <v>97642</v>
      </c>
      <c r="C2786" s="19" t="s">
        <v>5089</v>
      </c>
      <c r="D2786" s="19" t="s">
        <v>115</v>
      </c>
      <c r="E2786" s="19" t="s">
        <v>116</v>
      </c>
      <c r="F2786" s="19" t="s">
        <v>1383</v>
      </c>
      <c r="G2786" s="19" t="s">
        <v>3508</v>
      </c>
      <c r="H2786" s="19" t="s">
        <v>1020</v>
      </c>
      <c r="I2786" s="19" t="s">
        <v>1575</v>
      </c>
      <c r="J2786" s="20">
        <v>18</v>
      </c>
      <c r="K2786" t="s">
        <v>631</v>
      </c>
      <c r="L2786" t="s">
        <v>670</v>
      </c>
      <c r="M2786" t="s">
        <v>657</v>
      </c>
      <c r="N2786" t="s">
        <v>641</v>
      </c>
      <c r="O2786" t="s">
        <v>671</v>
      </c>
    </row>
    <row r="2787" spans="1:15" x14ac:dyDescent="0.35">
      <c r="A2787" s="77">
        <v>0.72328767123287674</v>
      </c>
      <c r="B2787" s="19">
        <v>97646</v>
      </c>
      <c r="C2787" s="19" t="s">
        <v>5090</v>
      </c>
      <c r="D2787" s="19" t="s">
        <v>37</v>
      </c>
      <c r="E2787" s="19" t="s">
        <v>37</v>
      </c>
      <c r="F2787" s="19" t="s">
        <v>1480</v>
      </c>
      <c r="G2787" s="19" t="s">
        <v>1038</v>
      </c>
      <c r="H2787" s="19" t="s">
        <v>1020</v>
      </c>
      <c r="I2787" s="19" t="s">
        <v>1575</v>
      </c>
      <c r="J2787" s="20">
        <v>52</v>
      </c>
      <c r="K2787" t="s">
        <v>654</v>
      </c>
      <c r="L2787" t="s">
        <v>648</v>
      </c>
      <c r="M2787" t="s">
        <v>623</v>
      </c>
      <c r="N2787" t="s">
        <v>624</v>
      </c>
      <c r="O2787" t="s">
        <v>649</v>
      </c>
    </row>
    <row r="2788" spans="1:15" x14ac:dyDescent="0.35">
      <c r="A2788" s="77">
        <v>0.72328767123287674</v>
      </c>
      <c r="B2788" s="19">
        <v>97647</v>
      </c>
      <c r="C2788" s="19" t="s">
        <v>5091</v>
      </c>
      <c r="D2788" s="19" t="s">
        <v>355</v>
      </c>
      <c r="E2788" s="19" t="s">
        <v>356</v>
      </c>
      <c r="F2788" s="19" t="s">
        <v>1100</v>
      </c>
      <c r="G2788" s="19" t="s">
        <v>1028</v>
      </c>
      <c r="H2788" s="19" t="s">
        <v>1020</v>
      </c>
      <c r="I2788" s="19" t="s">
        <v>1575</v>
      </c>
      <c r="J2788" s="20">
        <v>18</v>
      </c>
      <c r="K2788" t="s">
        <v>625</v>
      </c>
      <c r="L2788" t="s">
        <v>622</v>
      </c>
      <c r="M2788" t="s">
        <v>623</v>
      </c>
      <c r="N2788" t="s">
        <v>624</v>
      </c>
      <c r="O2788" t="s">
        <v>649</v>
      </c>
    </row>
    <row r="2789" spans="1:15" x14ac:dyDescent="0.35">
      <c r="A2789" s="77">
        <v>0.72054794520547949</v>
      </c>
      <c r="B2789" s="19">
        <v>97656</v>
      </c>
      <c r="C2789" s="19" t="s">
        <v>5092</v>
      </c>
      <c r="D2789" s="19" t="s">
        <v>130</v>
      </c>
      <c r="E2789" s="19" t="s">
        <v>131</v>
      </c>
      <c r="F2789" s="19" t="s">
        <v>1693</v>
      </c>
      <c r="G2789" s="19" t="s">
        <v>3508</v>
      </c>
      <c r="H2789" s="19" t="s">
        <v>1020</v>
      </c>
      <c r="I2789" s="19" t="s">
        <v>1599</v>
      </c>
      <c r="J2789" s="20">
        <v>17</v>
      </c>
      <c r="K2789" t="s">
        <v>654</v>
      </c>
      <c r="L2789" t="s">
        <v>670</v>
      </c>
      <c r="M2789" t="s">
        <v>657</v>
      </c>
      <c r="N2789" t="s">
        <v>641</v>
      </c>
      <c r="O2789" t="s">
        <v>752</v>
      </c>
    </row>
    <row r="2790" spans="1:15" x14ac:dyDescent="0.35">
      <c r="A2790" s="77">
        <v>0.72054794520547949</v>
      </c>
      <c r="B2790" s="19">
        <v>97658</v>
      </c>
      <c r="C2790" s="19" t="s">
        <v>5093</v>
      </c>
      <c r="D2790" s="19" t="s">
        <v>284</v>
      </c>
      <c r="E2790" s="19" t="s">
        <v>285</v>
      </c>
      <c r="F2790" s="19" t="s">
        <v>1150</v>
      </c>
      <c r="G2790" s="19" t="s">
        <v>3508</v>
      </c>
      <c r="H2790" s="19" t="s">
        <v>1020</v>
      </c>
      <c r="I2790" s="19" t="s">
        <v>1599</v>
      </c>
      <c r="J2790" s="20">
        <v>17</v>
      </c>
      <c r="K2790" t="s">
        <v>625</v>
      </c>
      <c r="L2790" t="s">
        <v>661</v>
      </c>
      <c r="M2790" t="s">
        <v>657</v>
      </c>
      <c r="N2790" t="s">
        <v>662</v>
      </c>
      <c r="O2790" t="s">
        <v>632</v>
      </c>
    </row>
    <row r="2791" spans="1:15" x14ac:dyDescent="0.35">
      <c r="A2791" s="77">
        <v>0.72054794520547949</v>
      </c>
      <c r="B2791" s="19">
        <v>97659</v>
      </c>
      <c r="C2791" s="19" t="s">
        <v>5094</v>
      </c>
      <c r="D2791" s="19" t="s">
        <v>284</v>
      </c>
      <c r="E2791" s="19" t="s">
        <v>285</v>
      </c>
      <c r="F2791" s="19" t="s">
        <v>1150</v>
      </c>
      <c r="G2791" s="19" t="s">
        <v>3508</v>
      </c>
      <c r="H2791" s="19" t="s">
        <v>1020</v>
      </c>
      <c r="I2791" s="19" t="s">
        <v>1599</v>
      </c>
      <c r="J2791" s="20">
        <v>17</v>
      </c>
      <c r="K2791" t="s">
        <v>625</v>
      </c>
      <c r="L2791" t="s">
        <v>661</v>
      </c>
      <c r="M2791" t="s">
        <v>657</v>
      </c>
      <c r="N2791" t="s">
        <v>662</v>
      </c>
      <c r="O2791" t="s">
        <v>632</v>
      </c>
    </row>
    <row r="2792" spans="1:15" x14ac:dyDescent="0.35">
      <c r="A2792" s="77">
        <v>0.72054794520547949</v>
      </c>
      <c r="B2792" s="19">
        <v>97660</v>
      </c>
      <c r="C2792" s="19" t="s">
        <v>5095</v>
      </c>
      <c r="D2792" s="19" t="s">
        <v>284</v>
      </c>
      <c r="E2792" s="19" t="s">
        <v>285</v>
      </c>
      <c r="F2792" s="19" t="s">
        <v>1150</v>
      </c>
      <c r="G2792" s="19" t="s">
        <v>3508</v>
      </c>
      <c r="H2792" s="19" t="s">
        <v>1020</v>
      </c>
      <c r="I2792" s="19" t="s">
        <v>1599</v>
      </c>
      <c r="J2792" s="20">
        <v>17</v>
      </c>
      <c r="K2792" t="s">
        <v>625</v>
      </c>
      <c r="L2792" t="s">
        <v>661</v>
      </c>
      <c r="M2792" t="s">
        <v>657</v>
      </c>
      <c r="N2792" t="s">
        <v>662</v>
      </c>
      <c r="O2792" t="s">
        <v>632</v>
      </c>
    </row>
    <row r="2793" spans="1:15" x14ac:dyDescent="0.35">
      <c r="A2793" s="77">
        <v>0.72054794520547949</v>
      </c>
      <c r="B2793" s="19">
        <v>97661</v>
      </c>
      <c r="C2793" s="19" t="s">
        <v>5096</v>
      </c>
      <c r="D2793" s="19" t="s">
        <v>280</v>
      </c>
      <c r="E2793" s="19" t="s">
        <v>281</v>
      </c>
      <c r="F2793" s="19" t="s">
        <v>1223</v>
      </c>
      <c r="G2793" s="19" t="s">
        <v>1057</v>
      </c>
      <c r="H2793" s="19" t="s">
        <v>1001</v>
      </c>
      <c r="I2793" s="19" t="s">
        <v>1575</v>
      </c>
      <c r="J2793" s="20">
        <v>20</v>
      </c>
      <c r="K2793" t="s">
        <v>631</v>
      </c>
      <c r="L2793" t="s">
        <v>691</v>
      </c>
      <c r="M2793" t="s">
        <v>657</v>
      </c>
      <c r="N2793" t="s">
        <v>658</v>
      </c>
      <c r="O2793" t="s">
        <v>632</v>
      </c>
    </row>
    <row r="2794" spans="1:15" x14ac:dyDescent="0.35">
      <c r="A2794" s="77">
        <v>0.72054794520547949</v>
      </c>
      <c r="B2794" s="19">
        <v>97662</v>
      </c>
      <c r="C2794" s="19" t="s">
        <v>5097</v>
      </c>
      <c r="D2794" s="19" t="s">
        <v>339</v>
      </c>
      <c r="E2794" s="19" t="s">
        <v>340</v>
      </c>
      <c r="F2794" s="19" t="s">
        <v>1024</v>
      </c>
      <c r="G2794" s="19" t="s">
        <v>3508</v>
      </c>
      <c r="H2794" s="19" t="s">
        <v>1020</v>
      </c>
      <c r="I2794" s="19" t="s">
        <v>1575</v>
      </c>
      <c r="J2794" s="20">
        <v>19</v>
      </c>
      <c r="K2794" t="s">
        <v>631</v>
      </c>
      <c r="L2794" t="s">
        <v>651</v>
      </c>
      <c r="M2794" t="s">
        <v>629</v>
      </c>
      <c r="N2794" t="s">
        <v>630</v>
      </c>
      <c r="O2794" t="s">
        <v>705</v>
      </c>
    </row>
    <row r="2795" spans="1:15" x14ac:dyDescent="0.35">
      <c r="A2795" s="77">
        <v>0.72054794520547949</v>
      </c>
      <c r="B2795" s="19">
        <v>97663</v>
      </c>
      <c r="C2795" s="19" t="s">
        <v>5098</v>
      </c>
      <c r="D2795" s="19" t="s">
        <v>339</v>
      </c>
      <c r="E2795" s="19" t="s">
        <v>340</v>
      </c>
      <c r="F2795" s="19" t="s">
        <v>1024</v>
      </c>
      <c r="G2795" s="19" t="s">
        <v>3508</v>
      </c>
      <c r="H2795" s="19" t="s">
        <v>1020</v>
      </c>
      <c r="I2795" s="19" t="s">
        <v>1575</v>
      </c>
      <c r="J2795" s="20">
        <v>17</v>
      </c>
      <c r="K2795" t="s">
        <v>631</v>
      </c>
      <c r="L2795" t="s">
        <v>651</v>
      </c>
      <c r="M2795" t="s">
        <v>629</v>
      </c>
      <c r="N2795" t="s">
        <v>630</v>
      </c>
      <c r="O2795" t="s">
        <v>705</v>
      </c>
    </row>
    <row r="2796" spans="1:15" x14ac:dyDescent="0.35">
      <c r="A2796" s="77">
        <v>0.72054794520547949</v>
      </c>
      <c r="B2796" s="19">
        <v>97664</v>
      </c>
      <c r="C2796" s="19" t="s">
        <v>5099</v>
      </c>
      <c r="D2796" s="19" t="s">
        <v>64</v>
      </c>
      <c r="E2796" s="19" t="s">
        <v>65</v>
      </c>
      <c r="F2796" s="19" t="s">
        <v>1197</v>
      </c>
      <c r="G2796" s="19" t="s">
        <v>3508</v>
      </c>
      <c r="H2796" s="19" t="s">
        <v>1020</v>
      </c>
      <c r="I2796" s="19" t="s">
        <v>1599</v>
      </c>
      <c r="J2796" s="20">
        <v>18</v>
      </c>
      <c r="K2796" t="s">
        <v>654</v>
      </c>
      <c r="L2796" t="s">
        <v>651</v>
      </c>
      <c r="M2796" t="s">
        <v>629</v>
      </c>
      <c r="N2796" t="s">
        <v>630</v>
      </c>
      <c r="O2796" t="s">
        <v>705</v>
      </c>
    </row>
    <row r="2797" spans="1:15" x14ac:dyDescent="0.35">
      <c r="A2797" s="77">
        <v>0.72054794520547949</v>
      </c>
      <c r="B2797" s="19">
        <v>97665</v>
      </c>
      <c r="C2797" s="19" t="s">
        <v>5100</v>
      </c>
      <c r="D2797" s="19" t="s">
        <v>64</v>
      </c>
      <c r="E2797" s="19" t="s">
        <v>65</v>
      </c>
      <c r="F2797" s="19" t="s">
        <v>1197</v>
      </c>
      <c r="G2797" s="19" t="s">
        <v>3508</v>
      </c>
      <c r="H2797" s="19" t="s">
        <v>1020</v>
      </c>
      <c r="I2797" s="19" t="s">
        <v>1599</v>
      </c>
      <c r="J2797" s="20">
        <v>18</v>
      </c>
      <c r="K2797" t="s">
        <v>654</v>
      </c>
      <c r="L2797" t="s">
        <v>651</v>
      </c>
      <c r="M2797" t="s">
        <v>629</v>
      </c>
      <c r="N2797" t="s">
        <v>630</v>
      </c>
      <c r="O2797" t="s">
        <v>705</v>
      </c>
    </row>
    <row r="2798" spans="1:15" x14ac:dyDescent="0.35">
      <c r="A2798" s="77">
        <v>0.72054794520547949</v>
      </c>
      <c r="B2798" s="19">
        <v>97667</v>
      </c>
      <c r="C2798" s="19" t="s">
        <v>5101</v>
      </c>
      <c r="D2798" s="19" t="s">
        <v>165</v>
      </c>
      <c r="E2798" s="19" t="s">
        <v>166</v>
      </c>
      <c r="F2798" s="19" t="s">
        <v>1238</v>
      </c>
      <c r="G2798" s="19" t="s">
        <v>1019</v>
      </c>
      <c r="H2798" s="19" t="s">
        <v>1020</v>
      </c>
      <c r="I2798" s="19" t="s">
        <v>1575</v>
      </c>
      <c r="J2798" s="20">
        <v>31</v>
      </c>
      <c r="K2798" t="s">
        <v>636</v>
      </c>
      <c r="L2798" t="s">
        <v>648</v>
      </c>
      <c r="M2798" t="s">
        <v>623</v>
      </c>
      <c r="N2798" t="s">
        <v>624</v>
      </c>
      <c r="O2798" t="s">
        <v>649</v>
      </c>
    </row>
    <row r="2799" spans="1:15" x14ac:dyDescent="0.35">
      <c r="A2799" s="77">
        <v>0.72054794520547949</v>
      </c>
      <c r="B2799" s="19">
        <v>97668</v>
      </c>
      <c r="C2799" s="19" t="s">
        <v>5102</v>
      </c>
      <c r="D2799" s="19" t="s">
        <v>124</v>
      </c>
      <c r="E2799" s="19" t="s">
        <v>125</v>
      </c>
      <c r="F2799" s="19" t="s">
        <v>1398</v>
      </c>
      <c r="G2799" s="19" t="s">
        <v>1008</v>
      </c>
      <c r="H2799" s="19" t="s">
        <v>1001</v>
      </c>
      <c r="I2799" s="19" t="s">
        <v>1575</v>
      </c>
      <c r="J2799" s="20">
        <v>24</v>
      </c>
      <c r="K2799" t="s">
        <v>654</v>
      </c>
      <c r="L2799" t="s">
        <v>661</v>
      </c>
      <c r="M2799" t="s">
        <v>657</v>
      </c>
      <c r="N2799" t="s">
        <v>662</v>
      </c>
      <c r="O2799" t="s">
        <v>632</v>
      </c>
    </row>
    <row r="2800" spans="1:15" x14ac:dyDescent="0.35">
      <c r="A2800" s="77">
        <v>0.72054794520547949</v>
      </c>
      <c r="B2800" s="19">
        <v>97670</v>
      </c>
      <c r="C2800" s="19" t="s">
        <v>5103</v>
      </c>
      <c r="D2800" s="19" t="s">
        <v>183</v>
      </c>
      <c r="E2800" s="19" t="s">
        <v>184</v>
      </c>
      <c r="F2800" s="19" t="s">
        <v>1532</v>
      </c>
      <c r="G2800" s="19" t="s">
        <v>1028</v>
      </c>
      <c r="H2800" s="19" t="s">
        <v>1020</v>
      </c>
      <c r="I2800" s="19" t="s">
        <v>1575</v>
      </c>
      <c r="J2800" s="20">
        <v>24</v>
      </c>
      <c r="K2800" t="s">
        <v>654</v>
      </c>
      <c r="L2800" t="s">
        <v>648</v>
      </c>
      <c r="M2800" t="s">
        <v>623</v>
      </c>
      <c r="N2800" t="s">
        <v>624</v>
      </c>
      <c r="O2800" t="s">
        <v>725</v>
      </c>
    </row>
    <row r="2801" spans="1:15" x14ac:dyDescent="0.35">
      <c r="A2801" s="77">
        <v>0.72054794520547949</v>
      </c>
      <c r="B2801" s="19">
        <v>97674</v>
      </c>
      <c r="C2801" s="19" t="s">
        <v>5104</v>
      </c>
      <c r="D2801" s="19" t="s">
        <v>295</v>
      </c>
      <c r="E2801" s="19" t="s">
        <v>296</v>
      </c>
      <c r="F2801" s="19" t="s">
        <v>1095</v>
      </c>
      <c r="G2801" s="19" t="s">
        <v>3508</v>
      </c>
      <c r="H2801" s="19" t="s">
        <v>1020</v>
      </c>
      <c r="I2801" s="19" t="s">
        <v>1599</v>
      </c>
      <c r="J2801" s="20">
        <v>18</v>
      </c>
      <c r="K2801" t="s">
        <v>654</v>
      </c>
      <c r="L2801" t="s">
        <v>651</v>
      </c>
      <c r="M2801" t="s">
        <v>629</v>
      </c>
      <c r="N2801" t="s">
        <v>630</v>
      </c>
      <c r="O2801" t="s">
        <v>705</v>
      </c>
    </row>
    <row r="2802" spans="1:15" x14ac:dyDescent="0.35">
      <c r="A2802" s="77">
        <v>0.72054794520547949</v>
      </c>
      <c r="B2802" s="19">
        <v>97675</v>
      </c>
      <c r="C2802" s="19" t="s">
        <v>5105</v>
      </c>
      <c r="D2802" s="19" t="s">
        <v>295</v>
      </c>
      <c r="E2802" s="19" t="s">
        <v>296</v>
      </c>
      <c r="F2802" s="19" t="s">
        <v>1095</v>
      </c>
      <c r="G2802" s="19" t="s">
        <v>3508</v>
      </c>
      <c r="H2802" s="19" t="s">
        <v>1020</v>
      </c>
      <c r="I2802" s="19" t="s">
        <v>1599</v>
      </c>
      <c r="J2802" s="20">
        <v>17</v>
      </c>
      <c r="K2802" t="s">
        <v>654</v>
      </c>
      <c r="L2802" t="s">
        <v>651</v>
      </c>
      <c r="M2802" t="s">
        <v>629</v>
      </c>
      <c r="N2802" t="s">
        <v>630</v>
      </c>
      <c r="O2802" t="s">
        <v>705</v>
      </c>
    </row>
    <row r="2803" spans="1:15" x14ac:dyDescent="0.35">
      <c r="A2803" s="77">
        <v>0.72054794520547949</v>
      </c>
      <c r="B2803" s="19">
        <v>97677</v>
      </c>
      <c r="C2803" s="19" t="s">
        <v>5106</v>
      </c>
      <c r="D2803" s="19" t="s">
        <v>23</v>
      </c>
      <c r="E2803" s="19" t="s">
        <v>23</v>
      </c>
      <c r="F2803" s="19" t="s">
        <v>660</v>
      </c>
      <c r="G2803" s="19" t="s">
        <v>1028</v>
      </c>
      <c r="H2803" s="19" t="s">
        <v>1020</v>
      </c>
      <c r="I2803" s="19" t="s">
        <v>1575</v>
      </c>
      <c r="J2803" s="20">
        <v>19</v>
      </c>
      <c r="K2803" t="s">
        <v>631</v>
      </c>
      <c r="L2803" t="s">
        <v>661</v>
      </c>
      <c r="M2803" t="s">
        <v>657</v>
      </c>
      <c r="N2803" t="s">
        <v>662</v>
      </c>
      <c r="O2803" t="s">
        <v>632</v>
      </c>
    </row>
    <row r="2804" spans="1:15" x14ac:dyDescent="0.35">
      <c r="A2804" s="77">
        <v>0.72054794520547949</v>
      </c>
      <c r="B2804" s="19">
        <v>97678</v>
      </c>
      <c r="C2804" s="19" t="s">
        <v>5107</v>
      </c>
      <c r="D2804" s="19" t="s">
        <v>45</v>
      </c>
      <c r="E2804" s="19" t="s">
        <v>46</v>
      </c>
      <c r="F2804" s="19" t="s">
        <v>1122</v>
      </c>
      <c r="G2804" s="19" t="s">
        <v>3508</v>
      </c>
      <c r="H2804" s="19" t="s">
        <v>1020</v>
      </c>
      <c r="I2804" s="19" t="s">
        <v>1599</v>
      </c>
      <c r="J2804" s="20">
        <v>17</v>
      </c>
      <c r="K2804" t="s">
        <v>631</v>
      </c>
      <c r="L2804" t="s">
        <v>651</v>
      </c>
      <c r="M2804" t="s">
        <v>629</v>
      </c>
      <c r="N2804" t="s">
        <v>630</v>
      </c>
      <c r="O2804" t="s">
        <v>705</v>
      </c>
    </row>
    <row r="2805" spans="1:15" x14ac:dyDescent="0.35">
      <c r="A2805" s="77">
        <v>0.72054794520547949</v>
      </c>
      <c r="B2805" s="19">
        <v>97679</v>
      </c>
      <c r="C2805" s="19" t="s">
        <v>5108</v>
      </c>
      <c r="D2805" s="19" t="s">
        <v>45</v>
      </c>
      <c r="E2805" s="19" t="s">
        <v>46</v>
      </c>
      <c r="F2805" s="19" t="s">
        <v>1122</v>
      </c>
      <c r="G2805" s="19" t="s">
        <v>3508</v>
      </c>
      <c r="H2805" s="19" t="s">
        <v>1020</v>
      </c>
      <c r="I2805" s="19" t="s">
        <v>1599</v>
      </c>
      <c r="J2805" s="20">
        <v>18</v>
      </c>
      <c r="K2805" t="s">
        <v>631</v>
      </c>
      <c r="L2805" t="s">
        <v>651</v>
      </c>
      <c r="M2805" t="s">
        <v>629</v>
      </c>
      <c r="N2805" t="s">
        <v>630</v>
      </c>
      <c r="O2805" t="s">
        <v>705</v>
      </c>
    </row>
    <row r="2806" spans="1:15" x14ac:dyDescent="0.35">
      <c r="A2806" s="77">
        <v>0.72054794520547949</v>
      </c>
      <c r="B2806" s="19">
        <v>97682</v>
      </c>
      <c r="C2806" s="19" t="s">
        <v>5109</v>
      </c>
      <c r="D2806" s="19" t="s">
        <v>39</v>
      </c>
      <c r="E2806" s="19" t="s">
        <v>39</v>
      </c>
      <c r="F2806" s="19" t="s">
        <v>1168</v>
      </c>
      <c r="G2806" s="19" t="s">
        <v>3508</v>
      </c>
      <c r="H2806" s="19" t="s">
        <v>1020</v>
      </c>
      <c r="I2806" s="19" t="s">
        <v>1599</v>
      </c>
      <c r="J2806" s="20">
        <v>17</v>
      </c>
      <c r="K2806" t="s">
        <v>636</v>
      </c>
      <c r="L2806" t="s">
        <v>661</v>
      </c>
      <c r="M2806" t="s">
        <v>657</v>
      </c>
      <c r="N2806" t="s">
        <v>662</v>
      </c>
      <c r="O2806" t="s">
        <v>632</v>
      </c>
    </row>
    <row r="2807" spans="1:15" x14ac:dyDescent="0.35">
      <c r="A2807" s="77">
        <v>0.72054794520547949</v>
      </c>
      <c r="B2807" s="19">
        <v>97684</v>
      </c>
      <c r="C2807" s="19" t="s">
        <v>5110</v>
      </c>
      <c r="D2807" s="19" t="s">
        <v>39</v>
      </c>
      <c r="E2807" s="19" t="s">
        <v>39</v>
      </c>
      <c r="F2807" s="19" t="s">
        <v>1168</v>
      </c>
      <c r="G2807" s="19" t="s">
        <v>3508</v>
      </c>
      <c r="H2807" s="19" t="s">
        <v>1020</v>
      </c>
      <c r="I2807" s="19" t="s">
        <v>1599</v>
      </c>
      <c r="J2807" s="20">
        <v>17</v>
      </c>
      <c r="K2807" t="s">
        <v>636</v>
      </c>
      <c r="L2807" t="s">
        <v>661</v>
      </c>
      <c r="M2807" t="s">
        <v>657</v>
      </c>
      <c r="N2807" t="s">
        <v>662</v>
      </c>
      <c r="O2807" t="s">
        <v>632</v>
      </c>
    </row>
    <row r="2808" spans="1:15" x14ac:dyDescent="0.35">
      <c r="A2808" s="77">
        <v>0.72054794520547949</v>
      </c>
      <c r="B2808" s="19">
        <v>97719</v>
      </c>
      <c r="C2808" s="19" t="s">
        <v>5111</v>
      </c>
      <c r="D2808" s="19" t="s">
        <v>309</v>
      </c>
      <c r="E2808" s="19" t="s">
        <v>310</v>
      </c>
      <c r="F2808" s="19" t="s">
        <v>1234</v>
      </c>
      <c r="G2808" s="19" t="s">
        <v>1084</v>
      </c>
      <c r="H2808" s="19" t="s">
        <v>1020</v>
      </c>
      <c r="I2808" s="19" t="s">
        <v>1599</v>
      </c>
      <c r="J2808" s="20">
        <v>24</v>
      </c>
      <c r="K2808" t="s">
        <v>668</v>
      </c>
      <c r="L2808" t="s">
        <v>666</v>
      </c>
      <c r="M2808" t="s">
        <v>629</v>
      </c>
      <c r="N2808" t="s">
        <v>635</v>
      </c>
      <c r="O2808" t="s">
        <v>637</v>
      </c>
    </row>
    <row r="2809" spans="1:15" x14ac:dyDescent="0.35">
      <c r="A2809" s="77">
        <v>0.72602739726027399</v>
      </c>
      <c r="B2809" s="19">
        <v>97722</v>
      </c>
      <c r="C2809" s="19" t="s">
        <v>5112</v>
      </c>
      <c r="D2809" s="19" t="s">
        <v>16</v>
      </c>
      <c r="E2809" s="19" t="s">
        <v>16</v>
      </c>
      <c r="F2809" s="19" t="s">
        <v>1211</v>
      </c>
      <c r="G2809" s="19" t="s">
        <v>3508</v>
      </c>
      <c r="H2809" s="19" t="s">
        <v>1020</v>
      </c>
      <c r="I2809" s="19" t="s">
        <v>1599</v>
      </c>
      <c r="J2809" s="20">
        <v>17</v>
      </c>
      <c r="K2809" t="s">
        <v>631</v>
      </c>
      <c r="L2809" t="s">
        <v>645</v>
      </c>
      <c r="M2809" t="s">
        <v>629</v>
      </c>
      <c r="N2809" t="s">
        <v>646</v>
      </c>
      <c r="O2809" t="s">
        <v>632</v>
      </c>
    </row>
    <row r="2810" spans="1:15" x14ac:dyDescent="0.35">
      <c r="A2810" s="77">
        <v>0.72602739726027399</v>
      </c>
      <c r="B2810" s="19">
        <v>97723</v>
      </c>
      <c r="C2810" s="19" t="s">
        <v>5113</v>
      </c>
      <c r="D2810" s="19" t="s">
        <v>385</v>
      </c>
      <c r="E2810" s="19" t="s">
        <v>386</v>
      </c>
      <c r="F2810" s="19" t="s">
        <v>1059</v>
      </c>
      <c r="G2810" s="19" t="s">
        <v>3508</v>
      </c>
      <c r="H2810" s="19" t="s">
        <v>1020</v>
      </c>
      <c r="I2810" s="19" t="s">
        <v>1599</v>
      </c>
      <c r="J2810" s="20">
        <v>18</v>
      </c>
      <c r="K2810" t="s">
        <v>631</v>
      </c>
      <c r="L2810" t="s">
        <v>663</v>
      </c>
      <c r="M2810" t="s">
        <v>629</v>
      </c>
      <c r="N2810" t="s">
        <v>646</v>
      </c>
      <c r="O2810" t="s">
        <v>810</v>
      </c>
    </row>
    <row r="2811" spans="1:15" x14ac:dyDescent="0.35">
      <c r="A2811" s="77">
        <v>0.72054794520547949</v>
      </c>
      <c r="B2811" s="19">
        <v>97724</v>
      </c>
      <c r="C2811" s="19" t="s">
        <v>5114</v>
      </c>
      <c r="D2811" s="19" t="s">
        <v>193</v>
      </c>
      <c r="E2811" s="19" t="s">
        <v>194</v>
      </c>
      <c r="F2811" s="19" t="s">
        <v>2422</v>
      </c>
      <c r="G2811" s="19" t="s">
        <v>3508</v>
      </c>
      <c r="H2811" s="19" t="s">
        <v>1020</v>
      </c>
      <c r="I2811" s="19" t="s">
        <v>1575</v>
      </c>
      <c r="J2811" s="20">
        <v>17</v>
      </c>
      <c r="K2811" t="s">
        <v>654</v>
      </c>
      <c r="L2811" t="s">
        <v>670</v>
      </c>
      <c r="M2811" t="s">
        <v>657</v>
      </c>
      <c r="N2811" t="s">
        <v>641</v>
      </c>
      <c r="O2811" t="s">
        <v>676</v>
      </c>
    </row>
    <row r="2812" spans="1:15" x14ac:dyDescent="0.35">
      <c r="A2812" s="77">
        <v>0.72054794520547949</v>
      </c>
      <c r="B2812" s="19">
        <v>97725</v>
      </c>
      <c r="C2812" s="19" t="s">
        <v>5115</v>
      </c>
      <c r="D2812" s="19" t="s">
        <v>328</v>
      </c>
      <c r="E2812" s="19" t="s">
        <v>329</v>
      </c>
      <c r="F2812" s="19" t="s">
        <v>838</v>
      </c>
      <c r="G2812" s="19" t="s">
        <v>3508</v>
      </c>
      <c r="H2812" s="19" t="s">
        <v>1020</v>
      </c>
      <c r="I2812" s="19" t="s">
        <v>1599</v>
      </c>
      <c r="J2812" s="20">
        <v>17</v>
      </c>
      <c r="K2812" t="s">
        <v>631</v>
      </c>
      <c r="L2812" t="s">
        <v>645</v>
      </c>
      <c r="M2812" t="s">
        <v>629</v>
      </c>
      <c r="N2812" t="s">
        <v>646</v>
      </c>
      <c r="O2812" t="s">
        <v>632</v>
      </c>
    </row>
    <row r="2813" spans="1:15" x14ac:dyDescent="0.35">
      <c r="A2813" s="77">
        <v>0.72602739726027399</v>
      </c>
      <c r="B2813" s="19">
        <v>97727</v>
      </c>
      <c r="C2813" s="19" t="s">
        <v>5116</v>
      </c>
      <c r="D2813" s="19" t="s">
        <v>197</v>
      </c>
      <c r="E2813" s="19" t="s">
        <v>198</v>
      </c>
      <c r="F2813" s="19" t="s">
        <v>1297</v>
      </c>
      <c r="G2813" s="19" t="s">
        <v>3508</v>
      </c>
      <c r="H2813" s="19" t="s">
        <v>1020</v>
      </c>
      <c r="I2813" s="19" t="s">
        <v>1599</v>
      </c>
      <c r="J2813" s="20">
        <v>18</v>
      </c>
      <c r="K2813" t="s">
        <v>654</v>
      </c>
      <c r="L2813" t="s">
        <v>645</v>
      </c>
      <c r="M2813" t="s">
        <v>629</v>
      </c>
      <c r="N2813" t="s">
        <v>646</v>
      </c>
      <c r="O2813" t="s">
        <v>632</v>
      </c>
    </row>
    <row r="2814" spans="1:15" x14ac:dyDescent="0.35">
      <c r="A2814" s="77">
        <v>0.72602739726027399</v>
      </c>
      <c r="B2814" s="19">
        <v>97728</v>
      </c>
      <c r="C2814" s="19" t="s">
        <v>5117</v>
      </c>
      <c r="D2814" s="19" t="s">
        <v>197</v>
      </c>
      <c r="E2814" s="19" t="s">
        <v>198</v>
      </c>
      <c r="F2814" s="19" t="s">
        <v>1297</v>
      </c>
      <c r="G2814" s="19" t="s">
        <v>3508</v>
      </c>
      <c r="H2814" s="19" t="s">
        <v>1020</v>
      </c>
      <c r="I2814" s="19" t="s">
        <v>1599</v>
      </c>
      <c r="J2814" s="20">
        <v>17</v>
      </c>
      <c r="K2814" t="s">
        <v>654</v>
      </c>
      <c r="L2814" t="s">
        <v>645</v>
      </c>
      <c r="M2814" t="s">
        <v>629</v>
      </c>
      <c r="N2814" t="s">
        <v>646</v>
      </c>
      <c r="O2814" t="s">
        <v>632</v>
      </c>
    </row>
    <row r="2815" spans="1:15" x14ac:dyDescent="0.35">
      <c r="A2815" s="77">
        <v>0.72602739726027399</v>
      </c>
      <c r="B2815" s="19">
        <v>97729</v>
      </c>
      <c r="C2815" s="19" t="s">
        <v>5118</v>
      </c>
      <c r="D2815" s="19" t="s">
        <v>411</v>
      </c>
      <c r="E2815" s="19" t="s">
        <v>412</v>
      </c>
      <c r="F2815" s="19" t="s">
        <v>1225</v>
      </c>
      <c r="G2815" s="19" t="s">
        <v>3508</v>
      </c>
      <c r="H2815" s="19" t="s">
        <v>1020</v>
      </c>
      <c r="I2815" s="19" t="s">
        <v>1599</v>
      </c>
      <c r="J2815" s="20">
        <v>17</v>
      </c>
      <c r="K2815" t="s">
        <v>636</v>
      </c>
      <c r="L2815" t="s">
        <v>691</v>
      </c>
      <c r="M2815" t="s">
        <v>657</v>
      </c>
      <c r="N2815" t="s">
        <v>658</v>
      </c>
      <c r="O2815" t="s">
        <v>632</v>
      </c>
    </row>
    <row r="2816" spans="1:15" x14ac:dyDescent="0.35">
      <c r="A2816" s="77">
        <v>2.1917808219178082E-2</v>
      </c>
      <c r="B2816" s="19">
        <v>97740</v>
      </c>
      <c r="C2816" s="19" t="s">
        <v>1862</v>
      </c>
      <c r="D2816" s="19" t="s">
        <v>256</v>
      </c>
      <c r="E2816" s="19" t="s">
        <v>257</v>
      </c>
      <c r="F2816" s="19" t="s">
        <v>1005</v>
      </c>
      <c r="G2816" s="19" t="s">
        <v>1008</v>
      </c>
      <c r="H2816" s="19" t="s">
        <v>1001</v>
      </c>
      <c r="I2816" s="19" t="s">
        <v>1575</v>
      </c>
      <c r="J2816" s="20">
        <v>21</v>
      </c>
      <c r="K2816" t="s">
        <v>668</v>
      </c>
      <c r="L2816" t="s">
        <v>651</v>
      </c>
      <c r="M2816" t="s">
        <v>629</v>
      </c>
      <c r="N2816" t="s">
        <v>630</v>
      </c>
      <c r="O2816" t="s">
        <v>705</v>
      </c>
    </row>
    <row r="2817" spans="1:15" x14ac:dyDescent="0.35">
      <c r="A2817" s="77">
        <v>0.71780821917808224</v>
      </c>
      <c r="B2817" s="19">
        <v>97742</v>
      </c>
      <c r="C2817" s="19" t="s">
        <v>5119</v>
      </c>
      <c r="D2817" s="19" t="s">
        <v>165</v>
      </c>
      <c r="E2817" s="19" t="s">
        <v>166</v>
      </c>
      <c r="F2817" s="19" t="s">
        <v>1238</v>
      </c>
      <c r="G2817" s="19" t="s">
        <v>1008</v>
      </c>
      <c r="H2817" s="19" t="s">
        <v>1001</v>
      </c>
      <c r="I2817" s="19" t="s">
        <v>1575</v>
      </c>
      <c r="J2817" s="20">
        <v>18</v>
      </c>
      <c r="K2817" t="s">
        <v>636</v>
      </c>
      <c r="L2817" t="s">
        <v>648</v>
      </c>
      <c r="M2817" t="s">
        <v>623</v>
      </c>
      <c r="N2817" t="s">
        <v>624</v>
      </c>
      <c r="O2817" t="s">
        <v>649</v>
      </c>
    </row>
    <row r="2818" spans="1:15" x14ac:dyDescent="0.35">
      <c r="A2818" s="77">
        <v>0.71780821917808224</v>
      </c>
      <c r="B2818" s="19">
        <v>97747</v>
      </c>
      <c r="C2818" s="19" t="s">
        <v>5120</v>
      </c>
      <c r="D2818" s="19" t="s">
        <v>149</v>
      </c>
      <c r="E2818" s="19" t="s">
        <v>150</v>
      </c>
      <c r="F2818" s="19" t="s">
        <v>1548</v>
      </c>
      <c r="G2818" s="19" t="s">
        <v>3508</v>
      </c>
      <c r="H2818" s="19" t="s">
        <v>1020</v>
      </c>
      <c r="I2818" s="19" t="s">
        <v>1575</v>
      </c>
      <c r="J2818" s="20">
        <v>18</v>
      </c>
      <c r="K2818" t="s">
        <v>654</v>
      </c>
      <c r="L2818" t="s">
        <v>648</v>
      </c>
      <c r="M2818" t="s">
        <v>623</v>
      </c>
      <c r="N2818" t="s">
        <v>624</v>
      </c>
      <c r="O2818" t="s">
        <v>725</v>
      </c>
    </row>
    <row r="2819" spans="1:15" x14ac:dyDescent="0.35">
      <c r="A2819" s="77">
        <v>0.71780821917808224</v>
      </c>
      <c r="B2819" s="19">
        <v>97748</v>
      </c>
      <c r="C2819" s="19" t="s">
        <v>5121</v>
      </c>
      <c r="D2819" s="19" t="s">
        <v>183</v>
      </c>
      <c r="E2819" s="19" t="s">
        <v>184</v>
      </c>
      <c r="F2819" s="19" t="s">
        <v>1532</v>
      </c>
      <c r="G2819" s="19" t="s">
        <v>1028</v>
      </c>
      <c r="H2819" s="19" t="s">
        <v>1020</v>
      </c>
      <c r="I2819" s="19" t="s">
        <v>1575</v>
      </c>
      <c r="J2819" s="20">
        <v>34</v>
      </c>
      <c r="K2819" t="s">
        <v>654</v>
      </c>
      <c r="L2819" t="s">
        <v>648</v>
      </c>
      <c r="M2819" t="s">
        <v>623</v>
      </c>
      <c r="N2819" t="s">
        <v>624</v>
      </c>
      <c r="O2819" t="s">
        <v>725</v>
      </c>
    </row>
    <row r="2820" spans="1:15" x14ac:dyDescent="0.35">
      <c r="A2820" s="77">
        <v>0.71780821917808224</v>
      </c>
      <c r="B2820" s="19">
        <v>97750</v>
      </c>
      <c r="C2820" s="19" t="s">
        <v>5122</v>
      </c>
      <c r="D2820" s="19" t="s">
        <v>355</v>
      </c>
      <c r="E2820" s="19" t="s">
        <v>356</v>
      </c>
      <c r="F2820" s="19" t="s">
        <v>1100</v>
      </c>
      <c r="G2820" s="19" t="s">
        <v>1028</v>
      </c>
      <c r="H2820" s="19" t="s">
        <v>1020</v>
      </c>
      <c r="I2820" s="19" t="s">
        <v>1575</v>
      </c>
      <c r="J2820" s="20">
        <v>24</v>
      </c>
      <c r="K2820" t="s">
        <v>625</v>
      </c>
      <c r="L2820" t="s">
        <v>622</v>
      </c>
      <c r="M2820" t="s">
        <v>623</v>
      </c>
      <c r="N2820" t="s">
        <v>624</v>
      </c>
      <c r="O2820" t="s">
        <v>649</v>
      </c>
    </row>
    <row r="2821" spans="1:15" x14ac:dyDescent="0.35">
      <c r="A2821" s="77">
        <v>0.71780821917808224</v>
      </c>
      <c r="B2821" s="19">
        <v>97751</v>
      </c>
      <c r="C2821" s="19" t="s">
        <v>5123</v>
      </c>
      <c r="D2821" s="19" t="s">
        <v>355</v>
      </c>
      <c r="E2821" s="19" t="s">
        <v>356</v>
      </c>
      <c r="F2821" s="19" t="s">
        <v>1100</v>
      </c>
      <c r="G2821" s="19" t="s">
        <v>1028</v>
      </c>
      <c r="H2821" s="19" t="s">
        <v>1020</v>
      </c>
      <c r="I2821" s="19" t="s">
        <v>1575</v>
      </c>
      <c r="J2821" s="20">
        <v>19</v>
      </c>
      <c r="K2821" t="s">
        <v>625</v>
      </c>
      <c r="L2821" t="s">
        <v>622</v>
      </c>
      <c r="M2821" t="s">
        <v>623</v>
      </c>
      <c r="N2821" t="s">
        <v>624</v>
      </c>
      <c r="O2821" t="s">
        <v>649</v>
      </c>
    </row>
    <row r="2822" spans="1:15" x14ac:dyDescent="0.35">
      <c r="A2822" s="77">
        <v>0.71780821917808224</v>
      </c>
      <c r="B2822" s="19">
        <v>97752</v>
      </c>
      <c r="C2822" s="19" t="s">
        <v>5124</v>
      </c>
      <c r="D2822" s="19" t="s">
        <v>124</v>
      </c>
      <c r="E2822" s="19" t="s">
        <v>125</v>
      </c>
      <c r="F2822" s="19" t="s">
        <v>1398</v>
      </c>
      <c r="G2822" s="19" t="s">
        <v>3508</v>
      </c>
      <c r="H2822" s="19" t="s">
        <v>1020</v>
      </c>
      <c r="I2822" s="19" t="s">
        <v>1599</v>
      </c>
      <c r="J2822" s="20">
        <v>17</v>
      </c>
      <c r="K2822" t="s">
        <v>654</v>
      </c>
      <c r="L2822" t="s">
        <v>661</v>
      </c>
      <c r="M2822" t="s">
        <v>657</v>
      </c>
      <c r="N2822" t="s">
        <v>662</v>
      </c>
      <c r="O2822" t="s">
        <v>632</v>
      </c>
    </row>
    <row r="2823" spans="1:15" x14ac:dyDescent="0.35">
      <c r="A2823" s="77">
        <v>0.71780821917808224</v>
      </c>
      <c r="B2823" s="19">
        <v>97753</v>
      </c>
      <c r="C2823" s="19" t="s">
        <v>5125</v>
      </c>
      <c r="D2823" s="19" t="s">
        <v>124</v>
      </c>
      <c r="E2823" s="19" t="s">
        <v>125</v>
      </c>
      <c r="F2823" s="19" t="s">
        <v>1398</v>
      </c>
      <c r="G2823" s="19" t="s">
        <v>3508</v>
      </c>
      <c r="H2823" s="19" t="s">
        <v>1020</v>
      </c>
      <c r="I2823" s="19" t="s">
        <v>1599</v>
      </c>
      <c r="J2823" s="20">
        <v>17</v>
      </c>
      <c r="K2823" t="s">
        <v>654</v>
      </c>
      <c r="L2823" t="s">
        <v>661</v>
      </c>
      <c r="M2823" t="s">
        <v>657</v>
      </c>
      <c r="N2823" t="s">
        <v>662</v>
      </c>
      <c r="O2823" t="s">
        <v>632</v>
      </c>
    </row>
    <row r="2824" spans="1:15" x14ac:dyDescent="0.35">
      <c r="A2824" s="77">
        <v>0.72602739726027399</v>
      </c>
      <c r="B2824" s="19">
        <v>97755</v>
      </c>
      <c r="C2824" s="19" t="s">
        <v>5126</v>
      </c>
      <c r="D2824" s="19" t="s">
        <v>215</v>
      </c>
      <c r="E2824" s="19" t="s">
        <v>216</v>
      </c>
      <c r="F2824" s="19" t="s">
        <v>1081</v>
      </c>
      <c r="G2824" s="19" t="s">
        <v>3508</v>
      </c>
      <c r="H2824" s="19" t="s">
        <v>1020</v>
      </c>
      <c r="I2824" s="19" t="s">
        <v>1575</v>
      </c>
      <c r="J2824" s="20">
        <v>15</v>
      </c>
      <c r="K2824" t="s">
        <v>654</v>
      </c>
      <c r="L2824" t="s">
        <v>640</v>
      </c>
      <c r="M2824" t="s">
        <v>623</v>
      </c>
      <c r="N2824" t="s">
        <v>624</v>
      </c>
      <c r="O2824" t="s">
        <v>789</v>
      </c>
    </row>
    <row r="2825" spans="1:15" x14ac:dyDescent="0.35">
      <c r="A2825" s="77">
        <v>0.72602739726027399</v>
      </c>
      <c r="B2825" s="19">
        <v>97756</v>
      </c>
      <c r="C2825" s="19" t="s">
        <v>5127</v>
      </c>
      <c r="D2825" s="19" t="s">
        <v>215</v>
      </c>
      <c r="E2825" s="19" t="s">
        <v>216</v>
      </c>
      <c r="F2825" s="19" t="s">
        <v>1081</v>
      </c>
      <c r="G2825" s="19" t="s">
        <v>3508</v>
      </c>
      <c r="H2825" s="19" t="s">
        <v>1020</v>
      </c>
      <c r="I2825" s="19" t="s">
        <v>1599</v>
      </c>
      <c r="J2825" s="20">
        <v>17</v>
      </c>
      <c r="K2825" t="s">
        <v>654</v>
      </c>
      <c r="L2825" t="s">
        <v>640</v>
      </c>
      <c r="M2825" t="s">
        <v>623</v>
      </c>
      <c r="N2825" t="s">
        <v>624</v>
      </c>
      <c r="O2825" t="s">
        <v>789</v>
      </c>
    </row>
    <row r="2826" spans="1:15" x14ac:dyDescent="0.35">
      <c r="A2826" s="77">
        <v>0.72602739726027399</v>
      </c>
      <c r="B2826" s="19">
        <v>97757</v>
      </c>
      <c r="C2826" s="19" t="s">
        <v>5128</v>
      </c>
      <c r="D2826" s="19" t="s">
        <v>215</v>
      </c>
      <c r="E2826" s="19" t="s">
        <v>216</v>
      </c>
      <c r="F2826" s="19" t="s">
        <v>1081</v>
      </c>
      <c r="G2826" s="19" t="s">
        <v>3508</v>
      </c>
      <c r="H2826" s="19" t="s">
        <v>1020</v>
      </c>
      <c r="I2826" s="19" t="s">
        <v>1599</v>
      </c>
      <c r="J2826" s="20">
        <v>18</v>
      </c>
      <c r="K2826" t="s">
        <v>654</v>
      </c>
      <c r="L2826" t="s">
        <v>640</v>
      </c>
      <c r="M2826" t="s">
        <v>623</v>
      </c>
      <c r="N2826" t="s">
        <v>624</v>
      </c>
      <c r="O2826" t="s">
        <v>789</v>
      </c>
    </row>
    <row r="2827" spans="1:15" x14ac:dyDescent="0.35">
      <c r="A2827" s="77">
        <v>0.71506849315068488</v>
      </c>
      <c r="B2827" s="19">
        <v>97767</v>
      </c>
      <c r="C2827" s="19" t="s">
        <v>5129</v>
      </c>
      <c r="D2827" s="19" t="s">
        <v>256</v>
      </c>
      <c r="E2827" s="19" t="s">
        <v>257</v>
      </c>
      <c r="F2827" s="19" t="s">
        <v>1005</v>
      </c>
      <c r="G2827" s="19" t="s">
        <v>3508</v>
      </c>
      <c r="H2827" s="19" t="s">
        <v>1020</v>
      </c>
      <c r="I2827" s="19" t="s">
        <v>1575</v>
      </c>
      <c r="J2827" s="20">
        <v>17</v>
      </c>
      <c r="K2827" t="s">
        <v>668</v>
      </c>
      <c r="L2827" t="s">
        <v>651</v>
      </c>
      <c r="M2827" t="s">
        <v>629</v>
      </c>
      <c r="N2827" t="s">
        <v>630</v>
      </c>
      <c r="O2827" t="s">
        <v>705</v>
      </c>
    </row>
    <row r="2828" spans="1:15" x14ac:dyDescent="0.35">
      <c r="A2828" s="77">
        <v>0.71506849315068488</v>
      </c>
      <c r="B2828" s="19">
        <v>97769</v>
      </c>
      <c r="C2828" s="19" t="s">
        <v>5130</v>
      </c>
      <c r="D2828" s="19" t="s">
        <v>218</v>
      </c>
      <c r="E2828" s="19" t="s">
        <v>219</v>
      </c>
      <c r="F2828" s="19" t="s">
        <v>1372</v>
      </c>
      <c r="G2828" s="19" t="s">
        <v>3508</v>
      </c>
      <c r="H2828" s="19" t="s">
        <v>1020</v>
      </c>
      <c r="I2828" s="19" t="s">
        <v>1575</v>
      </c>
      <c r="J2828" s="20">
        <v>17</v>
      </c>
      <c r="K2828" t="s">
        <v>625</v>
      </c>
      <c r="L2828" t="s">
        <v>661</v>
      </c>
      <c r="M2828" t="s">
        <v>657</v>
      </c>
      <c r="N2828" t="s">
        <v>662</v>
      </c>
      <c r="O2828" t="s">
        <v>632</v>
      </c>
    </row>
    <row r="2829" spans="1:15" x14ac:dyDescent="0.35">
      <c r="A2829" s="77">
        <v>0.71506849315068488</v>
      </c>
      <c r="B2829" s="19">
        <v>97770</v>
      </c>
      <c r="C2829" s="19" t="s">
        <v>5131</v>
      </c>
      <c r="D2829" s="19" t="s">
        <v>218</v>
      </c>
      <c r="E2829" s="19" t="s">
        <v>219</v>
      </c>
      <c r="F2829" s="19" t="s">
        <v>1372</v>
      </c>
      <c r="G2829" s="19" t="s">
        <v>3508</v>
      </c>
      <c r="H2829" s="19" t="s">
        <v>1020</v>
      </c>
      <c r="I2829" s="19" t="s">
        <v>1575</v>
      </c>
      <c r="J2829" s="20">
        <v>19</v>
      </c>
      <c r="K2829" t="s">
        <v>625</v>
      </c>
      <c r="L2829" t="s">
        <v>661</v>
      </c>
      <c r="M2829" t="s">
        <v>657</v>
      </c>
      <c r="N2829" t="s">
        <v>662</v>
      </c>
      <c r="O2829" t="s">
        <v>632</v>
      </c>
    </row>
    <row r="2830" spans="1:15" x14ac:dyDescent="0.35">
      <c r="A2830" s="77">
        <v>0.71506849315068488</v>
      </c>
      <c r="B2830" s="19">
        <v>97771</v>
      </c>
      <c r="C2830" s="19" t="s">
        <v>5132</v>
      </c>
      <c r="D2830" s="19" t="s">
        <v>218</v>
      </c>
      <c r="E2830" s="19" t="s">
        <v>219</v>
      </c>
      <c r="F2830" s="19" t="s">
        <v>1372</v>
      </c>
      <c r="G2830" s="19" t="s">
        <v>3508</v>
      </c>
      <c r="H2830" s="19" t="s">
        <v>1020</v>
      </c>
      <c r="I2830" s="19" t="s">
        <v>1575</v>
      </c>
      <c r="J2830" s="20">
        <v>18</v>
      </c>
      <c r="K2830" t="s">
        <v>625</v>
      </c>
      <c r="L2830" t="s">
        <v>661</v>
      </c>
      <c r="M2830" t="s">
        <v>657</v>
      </c>
      <c r="N2830" t="s">
        <v>662</v>
      </c>
      <c r="O2830" t="s">
        <v>632</v>
      </c>
    </row>
    <row r="2831" spans="1:15" x14ac:dyDescent="0.35">
      <c r="A2831" s="77">
        <v>0.71506849315068488</v>
      </c>
      <c r="B2831" s="19">
        <v>97772</v>
      </c>
      <c r="C2831" s="19" t="s">
        <v>5133</v>
      </c>
      <c r="D2831" s="19" t="s">
        <v>355</v>
      </c>
      <c r="E2831" s="19" t="s">
        <v>356</v>
      </c>
      <c r="F2831" s="19" t="s">
        <v>1100</v>
      </c>
      <c r="G2831" s="19" t="s">
        <v>3508</v>
      </c>
      <c r="H2831" s="19" t="s">
        <v>1020</v>
      </c>
      <c r="I2831" s="19" t="s">
        <v>1599</v>
      </c>
      <c r="J2831" s="20">
        <v>18</v>
      </c>
      <c r="K2831" t="s">
        <v>625</v>
      </c>
      <c r="L2831" t="s">
        <v>622</v>
      </c>
      <c r="M2831" t="s">
        <v>623</v>
      </c>
      <c r="N2831" t="s">
        <v>624</v>
      </c>
      <c r="O2831" t="s">
        <v>649</v>
      </c>
    </row>
    <row r="2832" spans="1:15" x14ac:dyDescent="0.35">
      <c r="A2832" s="77">
        <v>0.71506849315068488</v>
      </c>
      <c r="B2832" s="19">
        <v>97774</v>
      </c>
      <c r="C2832" s="19" t="s">
        <v>5134</v>
      </c>
      <c r="D2832" s="19" t="s">
        <v>284</v>
      </c>
      <c r="E2832" s="19" t="s">
        <v>285</v>
      </c>
      <c r="F2832" s="19" t="s">
        <v>1150</v>
      </c>
      <c r="G2832" s="19" t="s">
        <v>3508</v>
      </c>
      <c r="H2832" s="19" t="s">
        <v>1020</v>
      </c>
      <c r="I2832" s="19" t="s">
        <v>1599</v>
      </c>
      <c r="J2832" s="20">
        <v>17</v>
      </c>
      <c r="K2832" t="s">
        <v>625</v>
      </c>
      <c r="L2832" t="s">
        <v>661</v>
      </c>
      <c r="M2832" t="s">
        <v>657</v>
      </c>
      <c r="N2832" t="s">
        <v>662</v>
      </c>
      <c r="O2832" t="s">
        <v>632</v>
      </c>
    </row>
    <row r="2833" spans="1:15" x14ac:dyDescent="0.35">
      <c r="A2833" s="77">
        <v>0.72602739726027399</v>
      </c>
      <c r="B2833" s="19">
        <v>97777</v>
      </c>
      <c r="C2833" s="19" t="s">
        <v>5135</v>
      </c>
      <c r="D2833" s="19" t="s">
        <v>215</v>
      </c>
      <c r="E2833" s="19" t="s">
        <v>216</v>
      </c>
      <c r="F2833" s="19" t="s">
        <v>1081</v>
      </c>
      <c r="G2833" s="19" t="s">
        <v>3508</v>
      </c>
      <c r="H2833" s="19" t="s">
        <v>1020</v>
      </c>
      <c r="I2833" s="19" t="s">
        <v>1575</v>
      </c>
      <c r="J2833" s="20">
        <v>16</v>
      </c>
      <c r="K2833" t="s">
        <v>654</v>
      </c>
      <c r="L2833" t="s">
        <v>640</v>
      </c>
      <c r="M2833" t="s">
        <v>623</v>
      </c>
      <c r="N2833" t="s">
        <v>624</v>
      </c>
      <c r="O2833" t="s">
        <v>789</v>
      </c>
    </row>
    <row r="2834" spans="1:15" x14ac:dyDescent="0.35">
      <c r="A2834" s="77">
        <v>0.71506849315068488</v>
      </c>
      <c r="B2834" s="19">
        <v>97779</v>
      </c>
      <c r="C2834" s="19" t="s">
        <v>5136</v>
      </c>
      <c r="D2834" s="19" t="s">
        <v>377</v>
      </c>
      <c r="E2834" s="19" t="s">
        <v>378</v>
      </c>
      <c r="F2834" s="19" t="s">
        <v>862</v>
      </c>
      <c r="G2834" s="19" t="s">
        <v>1028</v>
      </c>
      <c r="H2834" s="19" t="s">
        <v>1020</v>
      </c>
      <c r="I2834" s="19" t="s">
        <v>1575</v>
      </c>
      <c r="J2834" s="20">
        <v>21</v>
      </c>
      <c r="K2834" t="s">
        <v>631</v>
      </c>
      <c r="L2834" t="s">
        <v>661</v>
      </c>
      <c r="M2834" t="s">
        <v>657</v>
      </c>
      <c r="N2834" t="s">
        <v>662</v>
      </c>
      <c r="O2834" t="s">
        <v>632</v>
      </c>
    </row>
    <row r="2835" spans="1:15" x14ac:dyDescent="0.35">
      <c r="A2835" s="77">
        <v>0.71506849315068488</v>
      </c>
      <c r="B2835" s="19">
        <v>97780</v>
      </c>
      <c r="C2835" s="19" t="s">
        <v>5137</v>
      </c>
      <c r="D2835" s="19" t="s">
        <v>377</v>
      </c>
      <c r="E2835" s="19" t="s">
        <v>378</v>
      </c>
      <c r="F2835" s="19" t="s">
        <v>862</v>
      </c>
      <c r="G2835" s="19" t="s">
        <v>1084</v>
      </c>
      <c r="H2835" s="19" t="s">
        <v>1001</v>
      </c>
      <c r="I2835" s="19" t="s">
        <v>1575</v>
      </c>
      <c r="J2835" s="20">
        <v>42</v>
      </c>
      <c r="K2835" t="s">
        <v>631</v>
      </c>
      <c r="L2835" t="s">
        <v>661</v>
      </c>
      <c r="M2835" t="s">
        <v>657</v>
      </c>
      <c r="N2835" t="s">
        <v>662</v>
      </c>
      <c r="O2835" t="s">
        <v>632</v>
      </c>
    </row>
    <row r="2836" spans="1:15" x14ac:dyDescent="0.35">
      <c r="A2836" s="77">
        <v>0.71506849315068488</v>
      </c>
      <c r="B2836" s="19">
        <v>97782</v>
      </c>
      <c r="C2836" s="19" t="s">
        <v>5138</v>
      </c>
      <c r="D2836" s="19" t="s">
        <v>375</v>
      </c>
      <c r="E2836" s="19" t="s">
        <v>376</v>
      </c>
      <c r="F2836" s="19" t="s">
        <v>1270</v>
      </c>
      <c r="G2836" s="19" t="s">
        <v>3508</v>
      </c>
      <c r="H2836" s="19" t="s">
        <v>1020</v>
      </c>
      <c r="I2836" s="19" t="s">
        <v>1575</v>
      </c>
      <c r="J2836" s="20">
        <v>18</v>
      </c>
      <c r="K2836" t="s">
        <v>636</v>
      </c>
      <c r="L2836" t="s">
        <v>678</v>
      </c>
      <c r="M2836" t="s">
        <v>623</v>
      </c>
      <c r="N2836" t="s">
        <v>624</v>
      </c>
      <c r="O2836" t="s">
        <v>679</v>
      </c>
    </row>
    <row r="2837" spans="1:15" x14ac:dyDescent="0.35">
      <c r="A2837" s="77">
        <v>0.71506849315068488</v>
      </c>
      <c r="B2837" s="19">
        <v>97783</v>
      </c>
      <c r="C2837" s="19" t="s">
        <v>5139</v>
      </c>
      <c r="D2837" s="19" t="s">
        <v>124</v>
      </c>
      <c r="E2837" s="19" t="s">
        <v>125</v>
      </c>
      <c r="F2837" s="19" t="s">
        <v>1398</v>
      </c>
      <c r="G2837" s="19" t="s">
        <v>3508</v>
      </c>
      <c r="H2837" s="19" t="s">
        <v>1020</v>
      </c>
      <c r="I2837" s="19" t="s">
        <v>1599</v>
      </c>
      <c r="J2837" s="20">
        <v>18</v>
      </c>
      <c r="K2837" t="s">
        <v>654</v>
      </c>
      <c r="L2837" t="s">
        <v>661</v>
      </c>
      <c r="M2837" t="s">
        <v>657</v>
      </c>
      <c r="N2837" t="s">
        <v>662</v>
      </c>
      <c r="O2837" t="s">
        <v>632</v>
      </c>
    </row>
    <row r="2838" spans="1:15" x14ac:dyDescent="0.35">
      <c r="A2838" s="77">
        <v>0.71506849315068488</v>
      </c>
      <c r="B2838" s="19">
        <v>97785</v>
      </c>
      <c r="C2838" s="19" t="s">
        <v>5140</v>
      </c>
      <c r="D2838" s="19" t="s">
        <v>53</v>
      </c>
      <c r="E2838" s="19" t="s">
        <v>54</v>
      </c>
      <c r="F2838" s="19" t="s">
        <v>1308</v>
      </c>
      <c r="G2838" s="19" t="s">
        <v>1008</v>
      </c>
      <c r="H2838" s="19" t="s">
        <v>1001</v>
      </c>
      <c r="I2838" s="19" t="s">
        <v>1575</v>
      </c>
      <c r="J2838" s="20">
        <v>20</v>
      </c>
      <c r="K2838" t="s">
        <v>668</v>
      </c>
      <c r="L2838" t="s">
        <v>691</v>
      </c>
      <c r="M2838" t="s">
        <v>657</v>
      </c>
      <c r="N2838" t="s">
        <v>658</v>
      </c>
      <c r="O2838" t="s">
        <v>632</v>
      </c>
    </row>
    <row r="2839" spans="1:15" x14ac:dyDescent="0.35">
      <c r="A2839" s="77">
        <v>0.71506849315068488</v>
      </c>
      <c r="B2839" s="19">
        <v>97786</v>
      </c>
      <c r="C2839" s="19" t="s">
        <v>5141</v>
      </c>
      <c r="D2839" s="19" t="s">
        <v>335</v>
      </c>
      <c r="E2839" s="19" t="s">
        <v>336</v>
      </c>
      <c r="F2839" s="19" t="s">
        <v>841</v>
      </c>
      <c r="G2839" s="19" t="s">
        <v>1028</v>
      </c>
      <c r="H2839" s="19" t="s">
        <v>1020</v>
      </c>
      <c r="I2839" s="19" t="s">
        <v>1575</v>
      </c>
      <c r="J2839" s="20">
        <v>18</v>
      </c>
      <c r="K2839" t="s">
        <v>636</v>
      </c>
      <c r="L2839" t="s">
        <v>622</v>
      </c>
      <c r="M2839" t="s">
        <v>623</v>
      </c>
      <c r="N2839" t="s">
        <v>624</v>
      </c>
      <c r="O2839" t="s">
        <v>649</v>
      </c>
    </row>
    <row r="2840" spans="1:15" x14ac:dyDescent="0.35">
      <c r="A2840" s="77">
        <v>0.71506849315068488</v>
      </c>
      <c r="B2840" s="19">
        <v>97789</v>
      </c>
      <c r="C2840" s="19" t="s">
        <v>5142</v>
      </c>
      <c r="D2840" s="19" t="s">
        <v>58</v>
      </c>
      <c r="E2840" s="19" t="s">
        <v>59</v>
      </c>
      <c r="F2840" s="19" t="s">
        <v>1650</v>
      </c>
      <c r="G2840" s="19" t="s">
        <v>1028</v>
      </c>
      <c r="H2840" s="19" t="s">
        <v>1020</v>
      </c>
      <c r="I2840" s="19" t="s">
        <v>1575</v>
      </c>
      <c r="J2840" s="20">
        <v>27</v>
      </c>
      <c r="K2840" t="s">
        <v>668</v>
      </c>
      <c r="L2840" t="s">
        <v>651</v>
      </c>
      <c r="M2840" t="s">
        <v>629</v>
      </c>
      <c r="N2840" t="s">
        <v>630</v>
      </c>
      <c r="O2840" t="s">
        <v>705</v>
      </c>
    </row>
    <row r="2841" spans="1:15" x14ac:dyDescent="0.35">
      <c r="A2841" s="77">
        <v>0.71506849315068488</v>
      </c>
      <c r="B2841" s="19">
        <v>97796</v>
      </c>
      <c r="C2841" s="19" t="s">
        <v>5143</v>
      </c>
      <c r="D2841" s="19" t="s">
        <v>171</v>
      </c>
      <c r="E2841" s="19" t="s">
        <v>172</v>
      </c>
      <c r="F2841" s="19" t="s">
        <v>2239</v>
      </c>
      <c r="G2841" s="19" t="s">
        <v>1008</v>
      </c>
      <c r="H2841" s="19" t="s">
        <v>1001</v>
      </c>
      <c r="I2841" s="19" t="s">
        <v>1575</v>
      </c>
      <c r="J2841" s="20">
        <v>18</v>
      </c>
      <c r="K2841" t="s">
        <v>654</v>
      </c>
      <c r="L2841" t="s">
        <v>661</v>
      </c>
      <c r="M2841" t="s">
        <v>657</v>
      </c>
      <c r="N2841" t="s">
        <v>662</v>
      </c>
      <c r="O2841" t="s">
        <v>632</v>
      </c>
    </row>
    <row r="2842" spans="1:15" x14ac:dyDescent="0.35">
      <c r="A2842" s="77">
        <v>0.71506849315068488</v>
      </c>
      <c r="B2842" s="19">
        <v>97801</v>
      </c>
      <c r="C2842" s="19" t="s">
        <v>5144</v>
      </c>
      <c r="D2842" s="19" t="s">
        <v>311</v>
      </c>
      <c r="E2842" s="19" t="s">
        <v>312</v>
      </c>
      <c r="F2842" s="19" t="s">
        <v>1140</v>
      </c>
      <c r="G2842" s="19" t="s">
        <v>1008</v>
      </c>
      <c r="H2842" s="19" t="s">
        <v>1001</v>
      </c>
      <c r="I2842" s="19" t="s">
        <v>1575</v>
      </c>
      <c r="J2842" s="20">
        <v>20</v>
      </c>
      <c r="K2842" t="s">
        <v>631</v>
      </c>
      <c r="L2842" t="s">
        <v>628</v>
      </c>
      <c r="M2842" t="s">
        <v>629</v>
      </c>
      <c r="N2842" t="s">
        <v>630</v>
      </c>
      <c r="O2842" t="s">
        <v>632</v>
      </c>
    </row>
    <row r="2843" spans="1:15" x14ac:dyDescent="0.35">
      <c r="A2843" s="77">
        <v>0.71232876712328763</v>
      </c>
      <c r="B2843" s="19">
        <v>97803</v>
      </c>
      <c r="C2843" s="19" t="s">
        <v>5145</v>
      </c>
      <c r="D2843" s="19" t="s">
        <v>273</v>
      </c>
      <c r="E2843" s="19" t="s">
        <v>274</v>
      </c>
      <c r="F2843" s="19" t="s">
        <v>1093</v>
      </c>
      <c r="G2843" s="19" t="s">
        <v>3508</v>
      </c>
      <c r="H2843" s="19" t="s">
        <v>1020</v>
      </c>
      <c r="I2843" s="19" t="s">
        <v>1575</v>
      </c>
      <c r="J2843" s="20">
        <v>17</v>
      </c>
      <c r="K2843" t="s">
        <v>636</v>
      </c>
      <c r="L2843" t="s">
        <v>663</v>
      </c>
      <c r="M2843" t="s">
        <v>629</v>
      </c>
      <c r="N2843" t="s">
        <v>646</v>
      </c>
      <c r="O2843" t="s">
        <v>639</v>
      </c>
    </row>
    <row r="2844" spans="1:15" x14ac:dyDescent="0.35">
      <c r="A2844" s="77">
        <v>0.71232876712328763</v>
      </c>
      <c r="B2844" s="19">
        <v>97805</v>
      </c>
      <c r="C2844" s="19" t="s">
        <v>5146</v>
      </c>
      <c r="D2844" s="19" t="s">
        <v>64</v>
      </c>
      <c r="E2844" s="19" t="s">
        <v>65</v>
      </c>
      <c r="F2844" s="19" t="s">
        <v>1197</v>
      </c>
      <c r="G2844" s="19" t="s">
        <v>1028</v>
      </c>
      <c r="H2844" s="19" t="s">
        <v>1020</v>
      </c>
      <c r="I2844" s="19" t="s">
        <v>1575</v>
      </c>
      <c r="J2844" s="20">
        <v>21</v>
      </c>
      <c r="K2844" t="s">
        <v>654</v>
      </c>
      <c r="L2844" t="s">
        <v>651</v>
      </c>
      <c r="M2844" t="s">
        <v>629</v>
      </c>
      <c r="N2844" t="s">
        <v>630</v>
      </c>
      <c r="O2844" t="s">
        <v>705</v>
      </c>
    </row>
    <row r="2845" spans="1:15" x14ac:dyDescent="0.35">
      <c r="A2845" s="77">
        <v>0.71232876712328763</v>
      </c>
      <c r="B2845" s="19">
        <v>97807</v>
      </c>
      <c r="C2845" s="19" t="s">
        <v>5147</v>
      </c>
      <c r="D2845" s="19" t="s">
        <v>377</v>
      </c>
      <c r="E2845" s="19" t="s">
        <v>378</v>
      </c>
      <c r="F2845" s="19" t="s">
        <v>862</v>
      </c>
      <c r="G2845" s="19" t="s">
        <v>1028</v>
      </c>
      <c r="H2845" s="19" t="s">
        <v>1020</v>
      </c>
      <c r="I2845" s="19" t="s">
        <v>1575</v>
      </c>
      <c r="J2845" s="20">
        <v>20</v>
      </c>
      <c r="K2845" t="s">
        <v>631</v>
      </c>
      <c r="L2845" t="s">
        <v>661</v>
      </c>
      <c r="M2845" t="s">
        <v>657</v>
      </c>
      <c r="N2845" t="s">
        <v>662</v>
      </c>
      <c r="O2845" t="s">
        <v>632</v>
      </c>
    </row>
    <row r="2846" spans="1:15" x14ac:dyDescent="0.35">
      <c r="A2846" s="77">
        <v>0.71232876712328763</v>
      </c>
      <c r="B2846" s="19">
        <v>97809</v>
      </c>
      <c r="C2846" s="19" t="s">
        <v>5148</v>
      </c>
      <c r="D2846" s="19" t="s">
        <v>181</v>
      </c>
      <c r="E2846" s="19" t="s">
        <v>182</v>
      </c>
      <c r="F2846" s="19" t="s">
        <v>1374</v>
      </c>
      <c r="G2846" s="19" t="s">
        <v>1019</v>
      </c>
      <c r="H2846" s="19" t="s">
        <v>1020</v>
      </c>
      <c r="I2846" s="19" t="s">
        <v>1575</v>
      </c>
      <c r="J2846" s="20">
        <v>25</v>
      </c>
      <c r="K2846" t="s">
        <v>625</v>
      </c>
      <c r="L2846" t="s">
        <v>678</v>
      </c>
      <c r="M2846" t="s">
        <v>623</v>
      </c>
      <c r="N2846" t="s">
        <v>624</v>
      </c>
      <c r="O2846" t="s">
        <v>679</v>
      </c>
    </row>
    <row r="2847" spans="1:15" x14ac:dyDescent="0.35">
      <c r="A2847" s="77">
        <v>0.71232876712328763</v>
      </c>
      <c r="B2847" s="19">
        <v>97812</v>
      </c>
      <c r="C2847" s="19" t="s">
        <v>5149</v>
      </c>
      <c r="D2847" s="19" t="s">
        <v>23</v>
      </c>
      <c r="E2847" s="19" t="s">
        <v>23</v>
      </c>
      <c r="F2847" s="19" t="s">
        <v>660</v>
      </c>
      <c r="G2847" s="19" t="s">
        <v>1019</v>
      </c>
      <c r="H2847" s="19" t="s">
        <v>1020</v>
      </c>
      <c r="I2847" s="19" t="s">
        <v>1575</v>
      </c>
      <c r="J2847" s="20">
        <v>24</v>
      </c>
      <c r="K2847" t="s">
        <v>631</v>
      </c>
      <c r="L2847" t="s">
        <v>661</v>
      </c>
      <c r="M2847" t="s">
        <v>657</v>
      </c>
      <c r="N2847" t="s">
        <v>662</v>
      </c>
      <c r="O2847" t="s">
        <v>632</v>
      </c>
    </row>
    <row r="2848" spans="1:15" x14ac:dyDescent="0.35">
      <c r="A2848" s="77">
        <v>0.71506849315068488</v>
      </c>
      <c r="B2848" s="19">
        <v>97814</v>
      </c>
      <c r="C2848" s="19" t="s">
        <v>5150</v>
      </c>
      <c r="D2848" s="19" t="s">
        <v>43</v>
      </c>
      <c r="E2848" s="19" t="s">
        <v>44</v>
      </c>
      <c r="F2848" s="19" t="s">
        <v>2355</v>
      </c>
      <c r="G2848" s="19" t="s">
        <v>1019</v>
      </c>
      <c r="H2848" s="19" t="s">
        <v>1020</v>
      </c>
      <c r="I2848" s="19" t="s">
        <v>1575</v>
      </c>
      <c r="J2848" s="20">
        <v>20</v>
      </c>
      <c r="K2848" t="s">
        <v>654</v>
      </c>
      <c r="L2848" t="s">
        <v>634</v>
      </c>
      <c r="M2848" t="s">
        <v>629</v>
      </c>
      <c r="N2848" t="s">
        <v>635</v>
      </c>
      <c r="O2848" t="s">
        <v>637</v>
      </c>
    </row>
    <row r="2849" spans="1:15" x14ac:dyDescent="0.35">
      <c r="A2849" s="77">
        <v>0.71506849315068488</v>
      </c>
      <c r="B2849" s="19">
        <v>97815</v>
      </c>
      <c r="C2849" s="19" t="s">
        <v>5151</v>
      </c>
      <c r="D2849" s="19" t="s">
        <v>266</v>
      </c>
      <c r="E2849" s="19" t="s">
        <v>267</v>
      </c>
      <c r="F2849" s="19" t="s">
        <v>2070</v>
      </c>
      <c r="G2849" s="19" t="s">
        <v>1028</v>
      </c>
      <c r="H2849" s="19" t="s">
        <v>1020</v>
      </c>
      <c r="I2849" s="19" t="s">
        <v>1575</v>
      </c>
      <c r="J2849" s="20">
        <v>27</v>
      </c>
      <c r="K2849" t="s">
        <v>636</v>
      </c>
      <c r="L2849" t="s">
        <v>634</v>
      </c>
      <c r="M2849" t="s">
        <v>629</v>
      </c>
      <c r="N2849" t="s">
        <v>635</v>
      </c>
      <c r="O2849" t="s">
        <v>637</v>
      </c>
    </row>
    <row r="2850" spans="1:15" x14ac:dyDescent="0.35">
      <c r="A2850" s="77">
        <v>0.72602739726027399</v>
      </c>
      <c r="B2850" s="19">
        <v>97823</v>
      </c>
      <c r="C2850" s="19" t="s">
        <v>5152</v>
      </c>
      <c r="D2850" s="19" t="s">
        <v>191</v>
      </c>
      <c r="E2850" s="19" t="s">
        <v>192</v>
      </c>
      <c r="F2850" s="19" t="s">
        <v>1626</v>
      </c>
      <c r="G2850" s="19" t="s">
        <v>3508</v>
      </c>
      <c r="H2850" s="19" t="s">
        <v>1020</v>
      </c>
      <c r="I2850" s="19" t="s">
        <v>1575</v>
      </c>
      <c r="J2850" s="20">
        <v>19</v>
      </c>
      <c r="K2850" t="s">
        <v>654</v>
      </c>
      <c r="L2850" t="s">
        <v>673</v>
      </c>
      <c r="M2850" t="s">
        <v>623</v>
      </c>
      <c r="N2850" t="s">
        <v>641</v>
      </c>
      <c r="O2850" t="s">
        <v>779</v>
      </c>
    </row>
    <row r="2851" spans="1:15" x14ac:dyDescent="0.35">
      <c r="A2851" s="77">
        <v>0.72602739726027399</v>
      </c>
      <c r="B2851" s="19">
        <v>97824</v>
      </c>
      <c r="C2851" s="19" t="s">
        <v>5153</v>
      </c>
      <c r="D2851" s="19" t="s">
        <v>191</v>
      </c>
      <c r="E2851" s="19" t="s">
        <v>192</v>
      </c>
      <c r="F2851" s="19" t="s">
        <v>1626</v>
      </c>
      <c r="G2851" s="19" t="s">
        <v>3508</v>
      </c>
      <c r="H2851" s="19" t="s">
        <v>1020</v>
      </c>
      <c r="I2851" s="19" t="s">
        <v>1575</v>
      </c>
      <c r="J2851" s="20">
        <v>16</v>
      </c>
      <c r="K2851" t="s">
        <v>654</v>
      </c>
      <c r="L2851" t="s">
        <v>673</v>
      </c>
      <c r="M2851" t="s">
        <v>623</v>
      </c>
      <c r="N2851" t="s">
        <v>641</v>
      </c>
      <c r="O2851" t="s">
        <v>779</v>
      </c>
    </row>
    <row r="2852" spans="1:15" x14ac:dyDescent="0.35">
      <c r="A2852" s="77">
        <v>0.71506849315068488</v>
      </c>
      <c r="B2852" s="19">
        <v>97826</v>
      </c>
      <c r="C2852" s="19" t="s">
        <v>5154</v>
      </c>
      <c r="D2852" s="19" t="s">
        <v>20</v>
      </c>
      <c r="E2852" s="19" t="s">
        <v>20</v>
      </c>
      <c r="F2852" s="19" t="s">
        <v>1133</v>
      </c>
      <c r="G2852" s="19" t="s">
        <v>1084</v>
      </c>
      <c r="H2852" s="19" t="s">
        <v>1001</v>
      </c>
      <c r="I2852" s="19" t="s">
        <v>1599</v>
      </c>
      <c r="J2852" s="20">
        <v>23</v>
      </c>
      <c r="K2852" t="s">
        <v>654</v>
      </c>
      <c r="L2852" t="s">
        <v>634</v>
      </c>
      <c r="M2852" t="s">
        <v>629</v>
      </c>
      <c r="N2852" t="s">
        <v>635</v>
      </c>
      <c r="O2852" t="s">
        <v>637</v>
      </c>
    </row>
    <row r="2853" spans="1:15" x14ac:dyDescent="0.35">
      <c r="A2853" s="77">
        <v>0.71232876712328763</v>
      </c>
      <c r="B2853" s="19">
        <v>97829</v>
      </c>
      <c r="C2853" s="19" t="s">
        <v>5155</v>
      </c>
      <c r="D2853" s="19" t="s">
        <v>266</v>
      </c>
      <c r="E2853" s="19" t="s">
        <v>267</v>
      </c>
      <c r="F2853" s="19" t="s">
        <v>2070</v>
      </c>
      <c r="G2853" s="19" t="s">
        <v>1028</v>
      </c>
      <c r="H2853" s="19" t="s">
        <v>1020</v>
      </c>
      <c r="I2853" s="19" t="s">
        <v>1575</v>
      </c>
      <c r="J2853" s="20">
        <v>21</v>
      </c>
      <c r="K2853" t="s">
        <v>636</v>
      </c>
      <c r="L2853" t="s">
        <v>634</v>
      </c>
      <c r="M2853" t="s">
        <v>629</v>
      </c>
      <c r="N2853" t="s">
        <v>635</v>
      </c>
      <c r="O2853" t="s">
        <v>637</v>
      </c>
    </row>
    <row r="2854" spans="1:15" x14ac:dyDescent="0.35">
      <c r="A2854" s="77">
        <v>0.72602739726027399</v>
      </c>
      <c r="B2854" s="19">
        <v>97830</v>
      </c>
      <c r="C2854" s="19" t="s">
        <v>5156</v>
      </c>
      <c r="D2854" s="19" t="s">
        <v>12</v>
      </c>
      <c r="E2854" s="19" t="s">
        <v>12</v>
      </c>
      <c r="F2854" s="19" t="s">
        <v>1145</v>
      </c>
      <c r="G2854" s="19" t="s">
        <v>3508</v>
      </c>
      <c r="H2854" s="19" t="s">
        <v>1020</v>
      </c>
      <c r="I2854" s="19" t="s">
        <v>1575</v>
      </c>
      <c r="J2854" s="20">
        <v>16</v>
      </c>
      <c r="K2854" t="s">
        <v>636</v>
      </c>
      <c r="L2854" t="s">
        <v>634</v>
      </c>
      <c r="M2854" t="s">
        <v>629</v>
      </c>
      <c r="N2854" t="s">
        <v>635</v>
      </c>
      <c r="O2854" t="s">
        <v>637</v>
      </c>
    </row>
    <row r="2855" spans="1:15" x14ac:dyDescent="0.35">
      <c r="A2855" s="77">
        <v>0.72054794520547949</v>
      </c>
      <c r="B2855" s="19">
        <v>97832</v>
      </c>
      <c r="C2855" s="19" t="s">
        <v>5157</v>
      </c>
      <c r="D2855" s="19" t="s">
        <v>12</v>
      </c>
      <c r="E2855" s="19" t="s">
        <v>12</v>
      </c>
      <c r="F2855" s="19" t="s">
        <v>1145</v>
      </c>
      <c r="G2855" s="19" t="s">
        <v>3508</v>
      </c>
      <c r="H2855" s="19" t="s">
        <v>1020</v>
      </c>
      <c r="I2855" s="19" t="s">
        <v>1575</v>
      </c>
      <c r="J2855" s="20">
        <v>18</v>
      </c>
      <c r="K2855" t="s">
        <v>636</v>
      </c>
      <c r="L2855" t="s">
        <v>634</v>
      </c>
      <c r="M2855" t="s">
        <v>629</v>
      </c>
      <c r="N2855" t="s">
        <v>635</v>
      </c>
      <c r="O2855" t="s">
        <v>637</v>
      </c>
    </row>
    <row r="2856" spans="1:15" x14ac:dyDescent="0.35">
      <c r="A2856" s="77">
        <v>0.72054794520547949</v>
      </c>
      <c r="B2856" s="19">
        <v>97833</v>
      </c>
      <c r="C2856" s="19" t="s">
        <v>5158</v>
      </c>
      <c r="D2856" s="19" t="s">
        <v>373</v>
      </c>
      <c r="E2856" s="19" t="s">
        <v>374</v>
      </c>
      <c r="F2856" s="19" t="s">
        <v>1033</v>
      </c>
      <c r="G2856" s="19" t="s">
        <v>3508</v>
      </c>
      <c r="H2856" s="19" t="s">
        <v>1020</v>
      </c>
      <c r="I2856" s="19" t="s">
        <v>1575</v>
      </c>
      <c r="J2856" s="20">
        <v>18</v>
      </c>
      <c r="K2856" t="s">
        <v>654</v>
      </c>
      <c r="L2856" t="s">
        <v>634</v>
      </c>
      <c r="M2856" t="s">
        <v>629</v>
      </c>
      <c r="N2856" t="s">
        <v>635</v>
      </c>
      <c r="O2856" t="s">
        <v>637</v>
      </c>
    </row>
    <row r="2857" spans="1:15" x14ac:dyDescent="0.35">
      <c r="A2857" s="77">
        <v>0.72054794520547949</v>
      </c>
      <c r="B2857" s="19">
        <v>97834</v>
      </c>
      <c r="C2857" s="19" t="s">
        <v>5159</v>
      </c>
      <c r="D2857" s="19" t="s">
        <v>373</v>
      </c>
      <c r="E2857" s="19" t="s">
        <v>374</v>
      </c>
      <c r="F2857" s="19" t="s">
        <v>1033</v>
      </c>
      <c r="G2857" s="19" t="s">
        <v>3508</v>
      </c>
      <c r="H2857" s="19" t="s">
        <v>1020</v>
      </c>
      <c r="I2857" s="19" t="s">
        <v>1599</v>
      </c>
      <c r="J2857" s="20">
        <v>17</v>
      </c>
      <c r="K2857" t="s">
        <v>654</v>
      </c>
      <c r="L2857" t="s">
        <v>634</v>
      </c>
      <c r="M2857" t="s">
        <v>629</v>
      </c>
      <c r="N2857" t="s">
        <v>635</v>
      </c>
      <c r="O2857" t="s">
        <v>637</v>
      </c>
    </row>
    <row r="2858" spans="1:15" x14ac:dyDescent="0.35">
      <c r="A2858" s="77">
        <v>0.72054794520547949</v>
      </c>
      <c r="B2858" s="19">
        <v>97836</v>
      </c>
      <c r="C2858" s="19" t="s">
        <v>1566</v>
      </c>
      <c r="D2858" s="19" t="s">
        <v>373</v>
      </c>
      <c r="E2858" s="19" t="s">
        <v>374</v>
      </c>
      <c r="F2858" s="19" t="s">
        <v>1033</v>
      </c>
      <c r="G2858" s="19" t="s">
        <v>3508</v>
      </c>
      <c r="H2858" s="19" t="s">
        <v>1020</v>
      </c>
      <c r="I2858" s="19" t="s">
        <v>1599</v>
      </c>
      <c r="J2858" s="20">
        <v>18</v>
      </c>
      <c r="K2858" t="s">
        <v>654</v>
      </c>
      <c r="L2858" t="s">
        <v>634</v>
      </c>
      <c r="M2858" t="s">
        <v>629</v>
      </c>
      <c r="N2858" t="s">
        <v>635</v>
      </c>
      <c r="O2858" t="s">
        <v>637</v>
      </c>
    </row>
    <row r="2859" spans="1:15" x14ac:dyDescent="0.35">
      <c r="A2859" s="77">
        <v>0.71780821917808224</v>
      </c>
      <c r="B2859" s="19">
        <v>97838</v>
      </c>
      <c r="C2859" s="19" t="s">
        <v>5160</v>
      </c>
      <c r="D2859" s="19" t="s">
        <v>243</v>
      </c>
      <c r="E2859" s="19" t="s">
        <v>244</v>
      </c>
      <c r="F2859" s="19" t="s">
        <v>1318</v>
      </c>
      <c r="G2859" s="19" t="s">
        <v>3508</v>
      </c>
      <c r="H2859" s="19" t="s">
        <v>1020</v>
      </c>
      <c r="I2859" s="19" t="s">
        <v>1599</v>
      </c>
      <c r="J2859" s="20">
        <v>17</v>
      </c>
      <c r="K2859" t="s">
        <v>631</v>
      </c>
      <c r="L2859" t="s">
        <v>707</v>
      </c>
      <c r="M2859" t="s">
        <v>629</v>
      </c>
      <c r="N2859" t="s">
        <v>635</v>
      </c>
      <c r="O2859" t="s">
        <v>710</v>
      </c>
    </row>
    <row r="2860" spans="1:15" x14ac:dyDescent="0.35">
      <c r="A2860" s="77">
        <v>0.71780821917808224</v>
      </c>
      <c r="B2860" s="19">
        <v>97840</v>
      </c>
      <c r="C2860" s="19" t="s">
        <v>5161</v>
      </c>
      <c r="D2860" s="19" t="s">
        <v>243</v>
      </c>
      <c r="E2860" s="19" t="s">
        <v>244</v>
      </c>
      <c r="F2860" s="19" t="s">
        <v>1318</v>
      </c>
      <c r="G2860" s="19" t="s">
        <v>3508</v>
      </c>
      <c r="H2860" s="19" t="s">
        <v>1020</v>
      </c>
      <c r="I2860" s="19" t="s">
        <v>1599</v>
      </c>
      <c r="J2860" s="20">
        <v>17</v>
      </c>
      <c r="K2860" t="s">
        <v>631</v>
      </c>
      <c r="L2860" t="s">
        <v>707</v>
      </c>
      <c r="M2860" t="s">
        <v>629</v>
      </c>
      <c r="N2860" t="s">
        <v>635</v>
      </c>
      <c r="O2860" t="s">
        <v>710</v>
      </c>
    </row>
    <row r="2861" spans="1:15" x14ac:dyDescent="0.35">
      <c r="A2861" s="77">
        <v>0.72054794520547949</v>
      </c>
      <c r="B2861" s="19">
        <v>97841</v>
      </c>
      <c r="C2861" s="19" t="s">
        <v>5162</v>
      </c>
      <c r="D2861" s="19" t="s">
        <v>97</v>
      </c>
      <c r="E2861" s="19" t="s">
        <v>98</v>
      </c>
      <c r="F2861" s="19" t="s">
        <v>2395</v>
      </c>
      <c r="G2861" s="19" t="s">
        <v>3508</v>
      </c>
      <c r="H2861" s="19" t="s">
        <v>1020</v>
      </c>
      <c r="I2861" s="19" t="s">
        <v>1599</v>
      </c>
      <c r="J2861" s="20">
        <v>18</v>
      </c>
      <c r="K2861" t="s">
        <v>654</v>
      </c>
      <c r="L2861" t="s">
        <v>666</v>
      </c>
      <c r="M2861" t="s">
        <v>629</v>
      </c>
      <c r="N2861" t="s">
        <v>635</v>
      </c>
      <c r="O2861" t="s">
        <v>739</v>
      </c>
    </row>
    <row r="2862" spans="1:15" x14ac:dyDescent="0.35">
      <c r="A2862" s="77">
        <v>0.72054794520547949</v>
      </c>
      <c r="B2862" s="19">
        <v>97842</v>
      </c>
      <c r="C2862" s="19" t="s">
        <v>5163</v>
      </c>
      <c r="D2862" s="19" t="s">
        <v>163</v>
      </c>
      <c r="E2862" s="19" t="s">
        <v>164</v>
      </c>
      <c r="F2862" s="19" t="s">
        <v>1174</v>
      </c>
      <c r="G2862" s="19" t="s">
        <v>3508</v>
      </c>
      <c r="H2862" s="19" t="s">
        <v>1020</v>
      </c>
      <c r="I2862" s="19" t="s">
        <v>1575</v>
      </c>
      <c r="J2862" s="20">
        <v>17</v>
      </c>
      <c r="K2862" t="s">
        <v>654</v>
      </c>
      <c r="L2862" t="s">
        <v>634</v>
      </c>
      <c r="M2862" t="s">
        <v>629</v>
      </c>
      <c r="N2862" t="s">
        <v>635</v>
      </c>
      <c r="O2862" t="s">
        <v>637</v>
      </c>
    </row>
    <row r="2863" spans="1:15" x14ac:dyDescent="0.35">
      <c r="A2863" s="77">
        <v>0.72602739726027399</v>
      </c>
      <c r="B2863" s="19">
        <v>97843</v>
      </c>
      <c r="C2863" s="19" t="s">
        <v>5164</v>
      </c>
      <c r="D2863" s="19" t="s">
        <v>111</v>
      </c>
      <c r="E2863" s="19" t="s">
        <v>112</v>
      </c>
      <c r="F2863" s="19" t="s">
        <v>1083</v>
      </c>
      <c r="G2863" s="19" t="s">
        <v>3508</v>
      </c>
      <c r="H2863" s="19" t="s">
        <v>1020</v>
      </c>
      <c r="I2863" s="19" t="s">
        <v>1599</v>
      </c>
      <c r="J2863" s="20">
        <v>18</v>
      </c>
      <c r="K2863" t="s">
        <v>654</v>
      </c>
      <c r="L2863" t="s">
        <v>651</v>
      </c>
      <c r="M2863" t="s">
        <v>629</v>
      </c>
      <c r="N2863" t="s">
        <v>630</v>
      </c>
      <c r="O2863" t="s">
        <v>652</v>
      </c>
    </row>
    <row r="2864" spans="1:15" x14ac:dyDescent="0.35">
      <c r="A2864" s="77">
        <v>0.72602739726027399</v>
      </c>
      <c r="B2864" s="19">
        <v>97845</v>
      </c>
      <c r="C2864" s="19" t="s">
        <v>5165</v>
      </c>
      <c r="D2864" s="19" t="s">
        <v>111</v>
      </c>
      <c r="E2864" s="19" t="s">
        <v>112</v>
      </c>
      <c r="F2864" s="19" t="s">
        <v>1083</v>
      </c>
      <c r="G2864" s="19" t="s">
        <v>3508</v>
      </c>
      <c r="H2864" s="19" t="s">
        <v>1020</v>
      </c>
      <c r="I2864" s="19" t="s">
        <v>1575</v>
      </c>
      <c r="J2864" s="20">
        <v>17</v>
      </c>
      <c r="K2864" t="s">
        <v>654</v>
      </c>
      <c r="L2864" t="s">
        <v>651</v>
      </c>
      <c r="M2864" t="s">
        <v>629</v>
      </c>
      <c r="N2864" t="s">
        <v>630</v>
      </c>
      <c r="O2864" t="s">
        <v>652</v>
      </c>
    </row>
    <row r="2865" spans="1:15" x14ac:dyDescent="0.35">
      <c r="A2865" s="77">
        <v>0.72602739726027399</v>
      </c>
      <c r="B2865" s="19">
        <v>97846</v>
      </c>
      <c r="C2865" s="19" t="s">
        <v>5166</v>
      </c>
      <c r="D2865" s="19" t="s">
        <v>111</v>
      </c>
      <c r="E2865" s="19" t="s">
        <v>112</v>
      </c>
      <c r="F2865" s="19" t="s">
        <v>1083</v>
      </c>
      <c r="G2865" s="19" t="s">
        <v>3508</v>
      </c>
      <c r="H2865" s="19" t="s">
        <v>1020</v>
      </c>
      <c r="I2865" s="19" t="s">
        <v>1575</v>
      </c>
      <c r="J2865" s="20">
        <v>18</v>
      </c>
      <c r="K2865" t="s">
        <v>654</v>
      </c>
      <c r="L2865" t="s">
        <v>651</v>
      </c>
      <c r="M2865" t="s">
        <v>629</v>
      </c>
      <c r="N2865" t="s">
        <v>630</v>
      </c>
      <c r="O2865" t="s">
        <v>652</v>
      </c>
    </row>
    <row r="2866" spans="1:15" x14ac:dyDescent="0.35">
      <c r="A2866" s="77">
        <v>0.70410958904109588</v>
      </c>
      <c r="B2866" s="19">
        <v>97852</v>
      </c>
      <c r="C2866" s="19" t="s">
        <v>5167</v>
      </c>
      <c r="D2866" s="19" t="s">
        <v>30</v>
      </c>
      <c r="E2866" s="19" t="s">
        <v>30</v>
      </c>
      <c r="F2866" s="19" t="s">
        <v>672</v>
      </c>
      <c r="G2866" s="19" t="s">
        <v>1028</v>
      </c>
      <c r="H2866" s="19" t="s">
        <v>1020</v>
      </c>
      <c r="I2866" s="19" t="s">
        <v>1575</v>
      </c>
      <c r="J2866" s="20">
        <v>21</v>
      </c>
      <c r="K2866" t="s">
        <v>636</v>
      </c>
      <c r="L2866" t="s">
        <v>673</v>
      </c>
      <c r="M2866" t="s">
        <v>623</v>
      </c>
      <c r="N2866" t="s">
        <v>641</v>
      </c>
      <c r="O2866" t="s">
        <v>674</v>
      </c>
    </row>
    <row r="2867" spans="1:15" x14ac:dyDescent="0.35">
      <c r="A2867" s="77">
        <v>0.70684931506849313</v>
      </c>
      <c r="B2867" s="19">
        <v>97855</v>
      </c>
      <c r="C2867" s="19" t="s">
        <v>5168</v>
      </c>
      <c r="D2867" s="19" t="s">
        <v>102</v>
      </c>
      <c r="E2867" s="19" t="s">
        <v>103</v>
      </c>
      <c r="F2867" s="19" t="s">
        <v>1306</v>
      </c>
      <c r="G2867" s="19" t="s">
        <v>1000</v>
      </c>
      <c r="H2867" s="19" t="s">
        <v>1001</v>
      </c>
      <c r="I2867" s="19" t="s">
        <v>1599</v>
      </c>
      <c r="J2867" s="20">
        <v>40</v>
      </c>
      <c r="K2867" t="s">
        <v>654</v>
      </c>
      <c r="L2867" t="s">
        <v>707</v>
      </c>
      <c r="M2867" t="s">
        <v>629</v>
      </c>
      <c r="N2867" t="s">
        <v>635</v>
      </c>
      <c r="O2867" t="s">
        <v>708</v>
      </c>
    </row>
    <row r="2868" spans="1:15" x14ac:dyDescent="0.35">
      <c r="A2868" s="77">
        <v>0.70410958904109588</v>
      </c>
      <c r="B2868" s="19">
        <v>97856</v>
      </c>
      <c r="C2868" s="19" t="s">
        <v>5169</v>
      </c>
      <c r="D2868" s="19" t="s">
        <v>49</v>
      </c>
      <c r="E2868" s="19" t="s">
        <v>50</v>
      </c>
      <c r="F2868" s="19" t="s">
        <v>1213</v>
      </c>
      <c r="G2868" s="19" t="s">
        <v>1028</v>
      </c>
      <c r="H2868" s="19" t="s">
        <v>1020</v>
      </c>
      <c r="I2868" s="19" t="s">
        <v>1575</v>
      </c>
      <c r="J2868" s="20">
        <v>24</v>
      </c>
      <c r="K2868" t="s">
        <v>625</v>
      </c>
      <c r="L2868" t="s">
        <v>648</v>
      </c>
      <c r="M2868" t="s">
        <v>623</v>
      </c>
      <c r="N2868" t="s">
        <v>624</v>
      </c>
      <c r="O2868" t="s">
        <v>649</v>
      </c>
    </row>
    <row r="2869" spans="1:15" x14ac:dyDescent="0.35">
      <c r="A2869" s="77">
        <v>0.70410958904109588</v>
      </c>
      <c r="B2869" s="19">
        <v>97859</v>
      </c>
      <c r="C2869" s="19" t="s">
        <v>5170</v>
      </c>
      <c r="D2869" s="19" t="s">
        <v>124</v>
      </c>
      <c r="E2869" s="19" t="s">
        <v>125</v>
      </c>
      <c r="F2869" s="19" t="s">
        <v>1398</v>
      </c>
      <c r="G2869" s="19" t="s">
        <v>1028</v>
      </c>
      <c r="H2869" s="19" t="s">
        <v>1020</v>
      </c>
      <c r="I2869" s="19" t="s">
        <v>1575</v>
      </c>
      <c r="J2869" s="20">
        <v>19</v>
      </c>
      <c r="K2869" t="s">
        <v>654</v>
      </c>
      <c r="L2869" t="s">
        <v>661</v>
      </c>
      <c r="M2869" t="s">
        <v>657</v>
      </c>
      <c r="N2869" t="s">
        <v>662</v>
      </c>
      <c r="O2869" t="s">
        <v>632</v>
      </c>
    </row>
    <row r="2870" spans="1:15" x14ac:dyDescent="0.35">
      <c r="A2870" s="77">
        <v>0.70410958904109588</v>
      </c>
      <c r="B2870" s="19">
        <v>97860</v>
      </c>
      <c r="C2870" s="19" t="s">
        <v>5171</v>
      </c>
      <c r="D2870" s="19" t="s">
        <v>333</v>
      </c>
      <c r="E2870" s="19" t="s">
        <v>334</v>
      </c>
      <c r="F2870" s="19" t="s">
        <v>1333</v>
      </c>
      <c r="G2870" s="19" t="s">
        <v>1028</v>
      </c>
      <c r="H2870" s="19" t="s">
        <v>1020</v>
      </c>
      <c r="I2870" s="19" t="s">
        <v>1575</v>
      </c>
      <c r="J2870" s="20">
        <v>30</v>
      </c>
      <c r="K2870" t="s">
        <v>636</v>
      </c>
      <c r="L2870" t="s">
        <v>666</v>
      </c>
      <c r="M2870" t="s">
        <v>629</v>
      </c>
      <c r="N2870" t="s">
        <v>630</v>
      </c>
      <c r="O2870" t="s">
        <v>652</v>
      </c>
    </row>
    <row r="2871" spans="1:15" x14ac:dyDescent="0.35">
      <c r="A2871" s="77">
        <v>0.70136986301369864</v>
      </c>
      <c r="B2871" s="19">
        <v>97868</v>
      </c>
      <c r="C2871" s="19" t="s">
        <v>5172</v>
      </c>
      <c r="D2871" s="19" t="s">
        <v>600</v>
      </c>
      <c r="E2871" s="19" t="e">
        <v>#N/A</v>
      </c>
      <c r="F2871" s="19" t="s">
        <v>1201</v>
      </c>
      <c r="G2871" s="19" t="s">
        <v>1028</v>
      </c>
      <c r="H2871" s="19" t="s">
        <v>1020</v>
      </c>
      <c r="I2871" s="19" t="s">
        <v>1575</v>
      </c>
      <c r="J2871" s="20">
        <v>26</v>
      </c>
      <c r="K2871" t="s">
        <v>668</v>
      </c>
      <c r="L2871" t="s">
        <v>622</v>
      </c>
      <c r="M2871" t="s">
        <v>623</v>
      </c>
      <c r="N2871" t="s">
        <v>624</v>
      </c>
      <c r="O2871" t="s">
        <v>649</v>
      </c>
    </row>
    <row r="2872" spans="1:15" x14ac:dyDescent="0.35">
      <c r="A2872" s="77">
        <v>0.70136986301369864</v>
      </c>
      <c r="B2872" s="19">
        <v>97874</v>
      </c>
      <c r="C2872" s="19" t="s">
        <v>5173</v>
      </c>
      <c r="D2872" s="19" t="s">
        <v>181</v>
      </c>
      <c r="E2872" s="19" t="s">
        <v>182</v>
      </c>
      <c r="F2872" s="19" t="s">
        <v>1374</v>
      </c>
      <c r="G2872" s="19" t="s">
        <v>3508</v>
      </c>
      <c r="H2872" s="19" t="s">
        <v>1020</v>
      </c>
      <c r="I2872" s="19" t="s">
        <v>1575</v>
      </c>
      <c r="J2872" s="20">
        <v>14</v>
      </c>
      <c r="K2872" t="s">
        <v>625</v>
      </c>
      <c r="L2872" t="s">
        <v>678</v>
      </c>
      <c r="M2872" t="s">
        <v>623</v>
      </c>
      <c r="N2872" t="s">
        <v>624</v>
      </c>
      <c r="O2872" t="s">
        <v>679</v>
      </c>
    </row>
    <row r="2873" spans="1:15" x14ac:dyDescent="0.35">
      <c r="A2873" s="77">
        <v>0.70410958904109588</v>
      </c>
      <c r="B2873" s="19">
        <v>97876</v>
      </c>
      <c r="C2873" s="19" t="s">
        <v>5174</v>
      </c>
      <c r="D2873" s="19" t="s">
        <v>157</v>
      </c>
      <c r="E2873" s="19" t="s">
        <v>158</v>
      </c>
      <c r="F2873" s="19" t="s">
        <v>1012</v>
      </c>
      <c r="G2873" s="19" t="s">
        <v>1008</v>
      </c>
      <c r="H2873" s="19" t="s">
        <v>1001</v>
      </c>
      <c r="I2873" s="19" t="s">
        <v>1575</v>
      </c>
      <c r="J2873" s="20">
        <v>18</v>
      </c>
      <c r="K2873" t="s">
        <v>668</v>
      </c>
      <c r="L2873" t="s">
        <v>670</v>
      </c>
      <c r="M2873" t="s">
        <v>657</v>
      </c>
      <c r="N2873" t="s">
        <v>641</v>
      </c>
      <c r="O2873" t="s">
        <v>671</v>
      </c>
    </row>
    <row r="2874" spans="1:15" x14ac:dyDescent="0.35">
      <c r="A2874" s="77">
        <v>0.70136986301369864</v>
      </c>
      <c r="B2874" s="19">
        <v>97877</v>
      </c>
      <c r="C2874" s="19" t="s">
        <v>5175</v>
      </c>
      <c r="D2874" s="19" t="s">
        <v>113</v>
      </c>
      <c r="E2874" s="19" t="s">
        <v>114</v>
      </c>
      <c r="F2874" s="19" t="s">
        <v>1871</v>
      </c>
      <c r="G2874" s="19" t="s">
        <v>3508</v>
      </c>
      <c r="H2874" s="19" t="s">
        <v>1020</v>
      </c>
      <c r="I2874" s="19" t="s">
        <v>1575</v>
      </c>
      <c r="J2874" s="20">
        <v>17</v>
      </c>
      <c r="K2874" t="s">
        <v>654</v>
      </c>
      <c r="L2874" t="s">
        <v>661</v>
      </c>
      <c r="M2874" t="s">
        <v>657</v>
      </c>
      <c r="N2874" t="s">
        <v>662</v>
      </c>
      <c r="O2874" t="s">
        <v>632</v>
      </c>
    </row>
    <row r="2875" spans="1:15" x14ac:dyDescent="0.35">
      <c r="A2875" s="77">
        <v>0.70136986301369864</v>
      </c>
      <c r="B2875" s="19">
        <v>97881</v>
      </c>
      <c r="C2875" s="19" t="s">
        <v>5176</v>
      </c>
      <c r="D2875" s="19" t="s">
        <v>245</v>
      </c>
      <c r="E2875" s="19" t="s">
        <v>246</v>
      </c>
      <c r="F2875" s="19" t="s">
        <v>1365</v>
      </c>
      <c r="G2875" s="19" t="s">
        <v>1008</v>
      </c>
      <c r="H2875" s="19" t="s">
        <v>1001</v>
      </c>
      <c r="I2875" s="19" t="s">
        <v>1575</v>
      </c>
      <c r="J2875" s="20">
        <v>21</v>
      </c>
      <c r="K2875" t="s">
        <v>654</v>
      </c>
      <c r="L2875" t="s">
        <v>678</v>
      </c>
      <c r="M2875" t="s">
        <v>623</v>
      </c>
      <c r="N2875" t="s">
        <v>624</v>
      </c>
      <c r="O2875" t="s">
        <v>679</v>
      </c>
    </row>
    <row r="2876" spans="1:15" x14ac:dyDescent="0.35">
      <c r="A2876" s="77">
        <v>0.70136986301369864</v>
      </c>
      <c r="B2876" s="19">
        <v>97883</v>
      </c>
      <c r="C2876" s="19" t="s">
        <v>5177</v>
      </c>
      <c r="D2876" s="19" t="s">
        <v>147</v>
      </c>
      <c r="E2876" s="19" t="s">
        <v>148</v>
      </c>
      <c r="F2876" s="19" t="s">
        <v>1396</v>
      </c>
      <c r="G2876" s="19" t="s">
        <v>1057</v>
      </c>
      <c r="H2876" s="19" t="s">
        <v>1001</v>
      </c>
      <c r="I2876" s="19" t="s">
        <v>1575</v>
      </c>
      <c r="J2876" s="20">
        <v>21</v>
      </c>
      <c r="K2876" t="s">
        <v>636</v>
      </c>
      <c r="L2876" t="s">
        <v>661</v>
      </c>
      <c r="M2876" t="s">
        <v>657</v>
      </c>
      <c r="N2876" t="s">
        <v>662</v>
      </c>
      <c r="O2876" t="s">
        <v>632</v>
      </c>
    </row>
    <row r="2877" spans="1:15" x14ac:dyDescent="0.35">
      <c r="A2877" s="77">
        <v>0.70136986301369864</v>
      </c>
      <c r="B2877" s="19">
        <v>97887</v>
      </c>
      <c r="C2877" s="19" t="s">
        <v>5178</v>
      </c>
      <c r="D2877" s="19" t="s">
        <v>124</v>
      </c>
      <c r="E2877" s="19" t="s">
        <v>125</v>
      </c>
      <c r="F2877" s="19" t="s">
        <v>1398</v>
      </c>
      <c r="G2877" s="19" t="s">
        <v>3508</v>
      </c>
      <c r="H2877" s="19" t="s">
        <v>1020</v>
      </c>
      <c r="I2877" s="19" t="s">
        <v>1599</v>
      </c>
      <c r="J2877" s="20">
        <v>19</v>
      </c>
      <c r="K2877" t="s">
        <v>654</v>
      </c>
      <c r="L2877" t="s">
        <v>661</v>
      </c>
      <c r="M2877" t="s">
        <v>657</v>
      </c>
      <c r="N2877" t="s">
        <v>662</v>
      </c>
      <c r="O2877" t="s">
        <v>632</v>
      </c>
    </row>
    <row r="2878" spans="1:15" x14ac:dyDescent="0.35">
      <c r="A2878" s="77">
        <v>0.70136986301369864</v>
      </c>
      <c r="B2878" s="19">
        <v>97888</v>
      </c>
      <c r="C2878" s="19" t="s">
        <v>5179</v>
      </c>
      <c r="D2878" s="19" t="s">
        <v>349</v>
      </c>
      <c r="E2878" s="19" t="s">
        <v>350</v>
      </c>
      <c r="F2878" s="19" t="s">
        <v>912</v>
      </c>
      <c r="G2878" s="19" t="s">
        <v>3508</v>
      </c>
      <c r="H2878" s="19" t="s">
        <v>1020</v>
      </c>
      <c r="I2878" s="19" t="s">
        <v>1599</v>
      </c>
      <c r="J2878" s="20">
        <v>18</v>
      </c>
      <c r="K2878" t="s">
        <v>625</v>
      </c>
      <c r="L2878" t="s">
        <v>648</v>
      </c>
      <c r="M2878" t="s">
        <v>623</v>
      </c>
      <c r="N2878" t="s">
        <v>624</v>
      </c>
      <c r="O2878" t="s">
        <v>649</v>
      </c>
    </row>
    <row r="2879" spans="1:15" x14ac:dyDescent="0.35">
      <c r="A2879" s="77">
        <v>0.70136986301369864</v>
      </c>
      <c r="B2879" s="19">
        <v>97889</v>
      </c>
      <c r="C2879" s="19" t="s">
        <v>5180</v>
      </c>
      <c r="D2879" s="19" t="s">
        <v>349</v>
      </c>
      <c r="E2879" s="19" t="s">
        <v>350</v>
      </c>
      <c r="F2879" s="19" t="s">
        <v>912</v>
      </c>
      <c r="G2879" s="19" t="s">
        <v>3508</v>
      </c>
      <c r="H2879" s="19" t="s">
        <v>1020</v>
      </c>
      <c r="I2879" s="19" t="s">
        <v>1599</v>
      </c>
      <c r="J2879" s="20">
        <v>17</v>
      </c>
      <c r="K2879" t="s">
        <v>625</v>
      </c>
      <c r="L2879" t="s">
        <v>648</v>
      </c>
      <c r="M2879" t="s">
        <v>623</v>
      </c>
      <c r="N2879" t="s">
        <v>624</v>
      </c>
      <c r="O2879" t="s">
        <v>649</v>
      </c>
    </row>
    <row r="2880" spans="1:15" x14ac:dyDescent="0.35">
      <c r="A2880" s="77">
        <v>0.70136986301369864</v>
      </c>
      <c r="B2880" s="19">
        <v>97890</v>
      </c>
      <c r="C2880" s="19" t="s">
        <v>5181</v>
      </c>
      <c r="D2880" s="19" t="s">
        <v>349</v>
      </c>
      <c r="E2880" s="19" t="s">
        <v>350</v>
      </c>
      <c r="F2880" s="19" t="s">
        <v>912</v>
      </c>
      <c r="G2880" s="19" t="s">
        <v>3508</v>
      </c>
      <c r="H2880" s="19" t="s">
        <v>1020</v>
      </c>
      <c r="I2880" s="19" t="s">
        <v>1599</v>
      </c>
      <c r="J2880" s="20">
        <v>18</v>
      </c>
      <c r="K2880" t="s">
        <v>625</v>
      </c>
      <c r="L2880" t="s">
        <v>648</v>
      </c>
      <c r="M2880" t="s">
        <v>623</v>
      </c>
      <c r="N2880" t="s">
        <v>624</v>
      </c>
      <c r="O2880" t="s">
        <v>649</v>
      </c>
    </row>
    <row r="2881" spans="1:15" x14ac:dyDescent="0.35">
      <c r="A2881" s="77">
        <v>0.70684931506849313</v>
      </c>
      <c r="B2881" s="19">
        <v>97892</v>
      </c>
      <c r="C2881" s="19" t="s">
        <v>5182</v>
      </c>
      <c r="D2881" s="19" t="s">
        <v>183</v>
      </c>
      <c r="E2881" s="19" t="s">
        <v>184</v>
      </c>
      <c r="F2881" s="19" t="s">
        <v>1532</v>
      </c>
      <c r="G2881" s="19" t="s">
        <v>3508</v>
      </c>
      <c r="H2881" s="19" t="s">
        <v>1020</v>
      </c>
      <c r="I2881" s="19" t="s">
        <v>1575</v>
      </c>
      <c r="J2881" s="20">
        <v>17</v>
      </c>
      <c r="K2881" t="s">
        <v>654</v>
      </c>
      <c r="L2881" t="s">
        <v>648</v>
      </c>
      <c r="M2881" t="s">
        <v>623</v>
      </c>
      <c r="N2881" t="s">
        <v>624</v>
      </c>
      <c r="O2881" t="s">
        <v>725</v>
      </c>
    </row>
    <row r="2882" spans="1:15" x14ac:dyDescent="0.35">
      <c r="A2882" s="77">
        <v>0.70136986301369864</v>
      </c>
      <c r="B2882" s="19">
        <v>97901</v>
      </c>
      <c r="C2882" s="19" t="s">
        <v>5183</v>
      </c>
      <c r="D2882" s="19" t="s">
        <v>197</v>
      </c>
      <c r="E2882" s="19" t="s">
        <v>198</v>
      </c>
      <c r="F2882" s="19" t="s">
        <v>1297</v>
      </c>
      <c r="G2882" s="19" t="s">
        <v>1019</v>
      </c>
      <c r="H2882" s="19" t="s">
        <v>1020</v>
      </c>
      <c r="I2882" s="19" t="s">
        <v>1575</v>
      </c>
      <c r="J2882" s="20">
        <v>21</v>
      </c>
      <c r="K2882" t="s">
        <v>654</v>
      </c>
      <c r="L2882" t="s">
        <v>645</v>
      </c>
      <c r="M2882" t="s">
        <v>629</v>
      </c>
      <c r="N2882" t="s">
        <v>646</v>
      </c>
      <c r="O2882" t="s">
        <v>632</v>
      </c>
    </row>
    <row r="2883" spans="1:15" x14ac:dyDescent="0.35">
      <c r="A2883" s="77">
        <v>0.69863013698630139</v>
      </c>
      <c r="B2883" s="19">
        <v>97908</v>
      </c>
      <c r="C2883" s="19" t="s">
        <v>5184</v>
      </c>
      <c r="D2883" s="19" t="s">
        <v>245</v>
      </c>
      <c r="E2883" s="19" t="s">
        <v>246</v>
      </c>
      <c r="F2883" s="19" t="s">
        <v>1365</v>
      </c>
      <c r="G2883" s="19" t="s">
        <v>1057</v>
      </c>
      <c r="H2883" s="19" t="s">
        <v>1001</v>
      </c>
      <c r="I2883" s="19" t="s">
        <v>1575</v>
      </c>
      <c r="J2883" s="20">
        <v>22</v>
      </c>
      <c r="K2883" t="s">
        <v>654</v>
      </c>
      <c r="L2883" t="s">
        <v>678</v>
      </c>
      <c r="M2883" t="s">
        <v>623</v>
      </c>
      <c r="N2883" t="s">
        <v>624</v>
      </c>
      <c r="O2883" t="s">
        <v>679</v>
      </c>
    </row>
    <row r="2884" spans="1:15" x14ac:dyDescent="0.35">
      <c r="A2884" s="77">
        <v>0.69863013698630139</v>
      </c>
      <c r="B2884" s="19">
        <v>97909</v>
      </c>
      <c r="C2884" s="19" t="s">
        <v>5185</v>
      </c>
      <c r="D2884" s="19" t="s">
        <v>113</v>
      </c>
      <c r="E2884" s="19" t="s">
        <v>114</v>
      </c>
      <c r="F2884" s="19" t="s">
        <v>1871</v>
      </c>
      <c r="G2884" s="19" t="s">
        <v>1084</v>
      </c>
      <c r="H2884" s="19" t="s">
        <v>1020</v>
      </c>
      <c r="I2884" s="19" t="s">
        <v>1575</v>
      </c>
      <c r="J2884" s="20">
        <v>47</v>
      </c>
      <c r="K2884" t="s">
        <v>654</v>
      </c>
      <c r="L2884" t="s">
        <v>661</v>
      </c>
      <c r="M2884" t="s">
        <v>657</v>
      </c>
      <c r="N2884" t="s">
        <v>662</v>
      </c>
      <c r="O2884" t="s">
        <v>632</v>
      </c>
    </row>
    <row r="2885" spans="1:15" x14ac:dyDescent="0.35">
      <c r="A2885" s="77">
        <v>0.69863013698630139</v>
      </c>
      <c r="B2885" s="19">
        <v>97910</v>
      </c>
      <c r="C2885" s="19" t="s">
        <v>5186</v>
      </c>
      <c r="D2885" s="19" t="s">
        <v>113</v>
      </c>
      <c r="E2885" s="19" t="s">
        <v>114</v>
      </c>
      <c r="F2885" s="19" t="s">
        <v>1871</v>
      </c>
      <c r="G2885" s="19" t="s">
        <v>3508</v>
      </c>
      <c r="H2885" s="19" t="s">
        <v>1020</v>
      </c>
      <c r="I2885" s="19" t="s">
        <v>1599</v>
      </c>
      <c r="J2885" s="20">
        <v>17</v>
      </c>
      <c r="K2885" t="s">
        <v>654</v>
      </c>
      <c r="L2885" t="s">
        <v>661</v>
      </c>
      <c r="M2885" t="s">
        <v>657</v>
      </c>
      <c r="N2885" t="s">
        <v>662</v>
      </c>
      <c r="O2885" t="s">
        <v>632</v>
      </c>
    </row>
    <row r="2886" spans="1:15" x14ac:dyDescent="0.35">
      <c r="A2886" s="77">
        <v>0.69863013698630139</v>
      </c>
      <c r="B2886" s="19">
        <v>97917</v>
      </c>
      <c r="C2886" s="19" t="s">
        <v>5187</v>
      </c>
      <c r="D2886" s="19" t="s">
        <v>165</v>
      </c>
      <c r="E2886" s="19" t="s">
        <v>166</v>
      </c>
      <c r="F2886" s="19" t="s">
        <v>1238</v>
      </c>
      <c r="G2886" s="19" t="s">
        <v>1028</v>
      </c>
      <c r="H2886" s="19" t="s">
        <v>1020</v>
      </c>
      <c r="I2886" s="19" t="s">
        <v>1575</v>
      </c>
      <c r="J2886" s="20">
        <v>21</v>
      </c>
      <c r="K2886" t="s">
        <v>636</v>
      </c>
      <c r="L2886" t="s">
        <v>648</v>
      </c>
      <c r="M2886" t="s">
        <v>623</v>
      </c>
      <c r="N2886" t="s">
        <v>624</v>
      </c>
      <c r="O2886" t="s">
        <v>649</v>
      </c>
    </row>
    <row r="2887" spans="1:15" x14ac:dyDescent="0.35">
      <c r="A2887" s="77">
        <v>0.69863013698630139</v>
      </c>
      <c r="B2887" s="19">
        <v>97927</v>
      </c>
      <c r="C2887" s="19" t="s">
        <v>5188</v>
      </c>
      <c r="D2887" s="19" t="s">
        <v>199</v>
      </c>
      <c r="E2887" s="19" t="s">
        <v>200</v>
      </c>
      <c r="F2887" s="19" t="s">
        <v>1496</v>
      </c>
      <c r="G2887" s="19" t="s">
        <v>3508</v>
      </c>
      <c r="H2887" s="19" t="s">
        <v>1020</v>
      </c>
      <c r="I2887" s="19" t="s">
        <v>1599</v>
      </c>
      <c r="J2887" s="20">
        <v>17</v>
      </c>
      <c r="K2887" t="s">
        <v>654</v>
      </c>
      <c r="L2887" t="s">
        <v>737</v>
      </c>
      <c r="M2887" t="s">
        <v>657</v>
      </c>
      <c r="N2887" t="s">
        <v>641</v>
      </c>
      <c r="O2887" t="s">
        <v>738</v>
      </c>
    </row>
    <row r="2888" spans="1:15" x14ac:dyDescent="0.35">
      <c r="A2888" s="77">
        <v>0.70136986301369864</v>
      </c>
      <c r="B2888" s="19">
        <v>97931</v>
      </c>
      <c r="C2888" s="19" t="s">
        <v>5189</v>
      </c>
      <c r="D2888" s="19" t="s">
        <v>371</v>
      </c>
      <c r="E2888" s="19" t="s">
        <v>372</v>
      </c>
      <c r="F2888" s="19" t="s">
        <v>2222</v>
      </c>
      <c r="G2888" s="19" t="s">
        <v>1028</v>
      </c>
      <c r="H2888" s="19" t="s">
        <v>1020</v>
      </c>
      <c r="I2888" s="19" t="s">
        <v>1575</v>
      </c>
      <c r="J2888" s="20">
        <v>25</v>
      </c>
      <c r="K2888" t="s">
        <v>668</v>
      </c>
      <c r="L2888" t="s">
        <v>640</v>
      </c>
      <c r="M2888" t="s">
        <v>623</v>
      </c>
      <c r="N2888" t="s">
        <v>641</v>
      </c>
      <c r="O2888" t="s">
        <v>859</v>
      </c>
    </row>
    <row r="2889" spans="1:15" x14ac:dyDescent="0.35">
      <c r="A2889" s="77">
        <v>0.69863013698630139</v>
      </c>
      <c r="B2889" s="19">
        <v>97933</v>
      </c>
      <c r="C2889" s="19" t="s">
        <v>5190</v>
      </c>
      <c r="D2889" s="19" t="s">
        <v>197</v>
      </c>
      <c r="E2889" s="19" t="s">
        <v>198</v>
      </c>
      <c r="F2889" s="19" t="s">
        <v>1297</v>
      </c>
      <c r="G2889" s="19" t="s">
        <v>1057</v>
      </c>
      <c r="H2889" s="19" t="s">
        <v>1001</v>
      </c>
      <c r="I2889" s="19" t="s">
        <v>1599</v>
      </c>
      <c r="J2889" s="20">
        <v>21</v>
      </c>
      <c r="K2889" t="s">
        <v>654</v>
      </c>
      <c r="L2889" t="s">
        <v>645</v>
      </c>
      <c r="M2889" t="s">
        <v>629</v>
      </c>
      <c r="N2889" t="s">
        <v>646</v>
      </c>
      <c r="O2889" t="s">
        <v>632</v>
      </c>
    </row>
    <row r="2890" spans="1:15" x14ac:dyDescent="0.35">
      <c r="A2890" s="77">
        <v>0.70136986301369864</v>
      </c>
      <c r="B2890" s="19">
        <v>97944</v>
      </c>
      <c r="C2890" s="19" t="s">
        <v>5191</v>
      </c>
      <c r="D2890" s="19" t="s">
        <v>145</v>
      </c>
      <c r="E2890" s="19" t="s">
        <v>146</v>
      </c>
      <c r="F2890" s="19" t="s">
        <v>1015</v>
      </c>
      <c r="G2890" s="19" t="s">
        <v>3508</v>
      </c>
      <c r="H2890" s="19" t="s">
        <v>1020</v>
      </c>
      <c r="I2890" s="19" t="s">
        <v>1599</v>
      </c>
      <c r="J2890" s="20">
        <v>18</v>
      </c>
      <c r="K2890" t="s">
        <v>636</v>
      </c>
      <c r="L2890" t="s">
        <v>737</v>
      </c>
      <c r="M2890" t="s">
        <v>657</v>
      </c>
      <c r="N2890" t="s">
        <v>641</v>
      </c>
      <c r="O2890" t="s">
        <v>757</v>
      </c>
    </row>
    <row r="2891" spans="1:15" x14ac:dyDescent="0.35">
      <c r="A2891" s="77">
        <v>0.69863013698630139</v>
      </c>
      <c r="B2891" s="19">
        <v>97946</v>
      </c>
      <c r="C2891" s="19" t="s">
        <v>5192</v>
      </c>
      <c r="D2891" s="19" t="s">
        <v>93</v>
      </c>
      <c r="E2891" s="19" t="s">
        <v>94</v>
      </c>
      <c r="F2891" s="19" t="s">
        <v>919</v>
      </c>
      <c r="G2891" s="19" t="s">
        <v>1028</v>
      </c>
      <c r="H2891" s="19" t="s">
        <v>1020</v>
      </c>
      <c r="I2891" s="19" t="s">
        <v>1575</v>
      </c>
      <c r="J2891" s="20">
        <v>19</v>
      </c>
      <c r="K2891" t="s">
        <v>654</v>
      </c>
      <c r="L2891" t="s">
        <v>691</v>
      </c>
      <c r="M2891" t="s">
        <v>657</v>
      </c>
      <c r="N2891" t="s">
        <v>658</v>
      </c>
      <c r="O2891" t="s">
        <v>632</v>
      </c>
    </row>
    <row r="2892" spans="1:15" x14ac:dyDescent="0.35">
      <c r="A2892" s="77">
        <v>0.69589041095890414</v>
      </c>
      <c r="B2892" s="19">
        <v>97953</v>
      </c>
      <c r="C2892" s="19" t="s">
        <v>5193</v>
      </c>
      <c r="D2892" s="19" t="s">
        <v>155</v>
      </c>
      <c r="E2892" s="19" t="s">
        <v>156</v>
      </c>
      <c r="F2892" s="19" t="s">
        <v>896</v>
      </c>
      <c r="G2892" s="19" t="s">
        <v>1008</v>
      </c>
      <c r="H2892" s="19" t="s">
        <v>1001</v>
      </c>
      <c r="I2892" s="19" t="s">
        <v>1575</v>
      </c>
      <c r="J2892" s="20">
        <v>23</v>
      </c>
      <c r="K2892" t="s">
        <v>636</v>
      </c>
      <c r="L2892" t="s">
        <v>663</v>
      </c>
      <c r="M2892" t="s">
        <v>629</v>
      </c>
      <c r="N2892" t="s">
        <v>646</v>
      </c>
      <c r="O2892" t="s">
        <v>639</v>
      </c>
    </row>
    <row r="2893" spans="1:15" x14ac:dyDescent="0.35">
      <c r="A2893" s="77">
        <v>0.72054794520547949</v>
      </c>
      <c r="B2893" s="19">
        <v>97957</v>
      </c>
      <c r="C2893" s="19" t="s">
        <v>5194</v>
      </c>
      <c r="D2893" s="19" t="s">
        <v>197</v>
      </c>
      <c r="E2893" s="19" t="s">
        <v>198</v>
      </c>
      <c r="F2893" s="19" t="s">
        <v>1297</v>
      </c>
      <c r="G2893" s="19" t="s">
        <v>3508</v>
      </c>
      <c r="H2893" s="19" t="s">
        <v>1020</v>
      </c>
      <c r="I2893" s="19" t="s">
        <v>1575</v>
      </c>
      <c r="J2893" s="20">
        <v>19</v>
      </c>
      <c r="K2893" t="s">
        <v>654</v>
      </c>
      <c r="L2893" t="s">
        <v>645</v>
      </c>
      <c r="M2893" t="s">
        <v>629</v>
      </c>
      <c r="N2893" t="s">
        <v>646</v>
      </c>
      <c r="O2893" t="s">
        <v>632</v>
      </c>
    </row>
    <row r="2894" spans="1:15" x14ac:dyDescent="0.35">
      <c r="A2894" s="77">
        <v>0.72054794520547949</v>
      </c>
      <c r="B2894" s="19">
        <v>97960</v>
      </c>
      <c r="C2894" s="19" t="s">
        <v>5195</v>
      </c>
      <c r="D2894" s="19" t="s">
        <v>197</v>
      </c>
      <c r="E2894" s="19" t="s">
        <v>198</v>
      </c>
      <c r="F2894" s="19" t="s">
        <v>1297</v>
      </c>
      <c r="G2894" s="19" t="s">
        <v>3508</v>
      </c>
      <c r="H2894" s="19" t="s">
        <v>1020</v>
      </c>
      <c r="I2894" s="19" t="s">
        <v>1575</v>
      </c>
      <c r="J2894" s="20">
        <v>17</v>
      </c>
      <c r="K2894" t="s">
        <v>654</v>
      </c>
      <c r="L2894" t="s">
        <v>645</v>
      </c>
      <c r="M2894" t="s">
        <v>629</v>
      </c>
      <c r="N2894" t="s">
        <v>646</v>
      </c>
      <c r="O2894" t="s">
        <v>632</v>
      </c>
    </row>
    <row r="2895" spans="1:15" x14ac:dyDescent="0.35">
      <c r="A2895" s="77">
        <v>0.69589041095890414</v>
      </c>
      <c r="B2895" s="19">
        <v>97961</v>
      </c>
      <c r="C2895" s="19" t="s">
        <v>5196</v>
      </c>
      <c r="D2895" s="19" t="s">
        <v>305</v>
      </c>
      <c r="E2895" s="19" t="s">
        <v>306</v>
      </c>
      <c r="F2895" s="19" t="s">
        <v>1086</v>
      </c>
      <c r="G2895" s="19" t="s">
        <v>1008</v>
      </c>
      <c r="H2895" s="19" t="s">
        <v>1001</v>
      </c>
      <c r="I2895" s="19" t="s">
        <v>1575</v>
      </c>
      <c r="J2895" s="20">
        <v>27</v>
      </c>
      <c r="K2895" t="s">
        <v>654</v>
      </c>
      <c r="L2895" t="s">
        <v>622</v>
      </c>
      <c r="M2895" t="s">
        <v>623</v>
      </c>
      <c r="N2895" t="s">
        <v>624</v>
      </c>
      <c r="O2895" t="s">
        <v>826</v>
      </c>
    </row>
    <row r="2896" spans="1:15" x14ac:dyDescent="0.35">
      <c r="A2896" s="77">
        <v>0.69589041095890414</v>
      </c>
      <c r="B2896" s="19">
        <v>97962</v>
      </c>
      <c r="C2896" s="19" t="s">
        <v>5197</v>
      </c>
      <c r="D2896" s="19" t="s">
        <v>305</v>
      </c>
      <c r="E2896" s="19" t="s">
        <v>306</v>
      </c>
      <c r="F2896" s="19" t="s">
        <v>1086</v>
      </c>
      <c r="G2896" s="19" t="s">
        <v>1028</v>
      </c>
      <c r="H2896" s="19" t="s">
        <v>1020</v>
      </c>
      <c r="I2896" s="19" t="s">
        <v>1575</v>
      </c>
      <c r="J2896" s="20">
        <v>23</v>
      </c>
      <c r="K2896" t="s">
        <v>654</v>
      </c>
      <c r="L2896" t="s">
        <v>622</v>
      </c>
      <c r="M2896" t="s">
        <v>623</v>
      </c>
      <c r="N2896" t="s">
        <v>624</v>
      </c>
      <c r="O2896" t="s">
        <v>826</v>
      </c>
    </row>
    <row r="2897" spans="1:15" x14ac:dyDescent="0.35">
      <c r="A2897" s="77">
        <v>0.69589041095890414</v>
      </c>
      <c r="B2897" s="19">
        <v>97969</v>
      </c>
      <c r="C2897" s="19" t="s">
        <v>5198</v>
      </c>
      <c r="D2897" s="19" t="s">
        <v>66</v>
      </c>
      <c r="E2897" s="19" t="s">
        <v>67</v>
      </c>
      <c r="F2897" s="19" t="s">
        <v>1708</v>
      </c>
      <c r="G2897" s="19" t="s">
        <v>1028</v>
      </c>
      <c r="H2897" s="19" t="s">
        <v>1020</v>
      </c>
      <c r="I2897" s="19" t="s">
        <v>1599</v>
      </c>
      <c r="J2897" s="20">
        <v>19</v>
      </c>
      <c r="K2897" t="s">
        <v>654</v>
      </c>
      <c r="L2897" t="s">
        <v>645</v>
      </c>
      <c r="M2897" t="s">
        <v>629</v>
      </c>
      <c r="N2897" t="s">
        <v>646</v>
      </c>
      <c r="O2897" t="s">
        <v>632</v>
      </c>
    </row>
    <row r="2898" spans="1:15" x14ac:dyDescent="0.35">
      <c r="A2898" s="77">
        <v>0.69589041095890414</v>
      </c>
      <c r="B2898" s="19">
        <v>97974</v>
      </c>
      <c r="C2898" s="19" t="s">
        <v>5199</v>
      </c>
      <c r="D2898" s="19" t="s">
        <v>38</v>
      </c>
      <c r="E2898" s="19" t="s">
        <v>38</v>
      </c>
      <c r="F2898" s="19" t="s">
        <v>711</v>
      </c>
      <c r="G2898" s="19" t="s">
        <v>1019</v>
      </c>
      <c r="H2898" s="19" t="s">
        <v>1020</v>
      </c>
      <c r="I2898" s="19" t="s">
        <v>1575</v>
      </c>
      <c r="J2898" s="20">
        <v>21</v>
      </c>
      <c r="K2898" t="s">
        <v>668</v>
      </c>
      <c r="L2898" t="s">
        <v>691</v>
      </c>
      <c r="M2898" t="s">
        <v>657</v>
      </c>
      <c r="N2898" t="s">
        <v>658</v>
      </c>
      <c r="O2898" t="s">
        <v>632</v>
      </c>
    </row>
    <row r="2899" spans="1:15" x14ac:dyDescent="0.35">
      <c r="A2899" s="77">
        <v>0.69315068493150689</v>
      </c>
      <c r="B2899" s="19">
        <v>97977</v>
      </c>
      <c r="C2899" s="19" t="s">
        <v>5200</v>
      </c>
      <c r="D2899" s="19" t="s">
        <v>357</v>
      </c>
      <c r="E2899" s="19" t="s">
        <v>358</v>
      </c>
      <c r="F2899" s="19" t="s">
        <v>1161</v>
      </c>
      <c r="G2899" s="19" t="s">
        <v>1028</v>
      </c>
      <c r="H2899" s="19" t="s">
        <v>1020</v>
      </c>
      <c r="I2899" s="19" t="s">
        <v>1575</v>
      </c>
      <c r="J2899" s="20">
        <v>23</v>
      </c>
      <c r="K2899" t="s">
        <v>668</v>
      </c>
      <c r="L2899" t="s">
        <v>640</v>
      </c>
      <c r="M2899" t="s">
        <v>623</v>
      </c>
      <c r="N2899" t="s">
        <v>641</v>
      </c>
      <c r="O2899" t="s">
        <v>852</v>
      </c>
    </row>
    <row r="2900" spans="1:15" x14ac:dyDescent="0.35">
      <c r="A2900" s="77">
        <v>0.68767123287671228</v>
      </c>
      <c r="B2900" s="19">
        <v>97978</v>
      </c>
      <c r="C2900" s="19" t="s">
        <v>5201</v>
      </c>
      <c r="D2900" s="19" t="s">
        <v>151</v>
      </c>
      <c r="E2900" s="19" t="s">
        <v>152</v>
      </c>
      <c r="F2900" s="19" t="s">
        <v>1557</v>
      </c>
      <c r="G2900" s="19" t="s">
        <v>3508</v>
      </c>
      <c r="H2900" s="19" t="s">
        <v>1020</v>
      </c>
      <c r="I2900" s="19" t="s">
        <v>1599</v>
      </c>
      <c r="J2900" s="20">
        <v>17</v>
      </c>
      <c r="K2900" t="s">
        <v>654</v>
      </c>
      <c r="L2900" t="s">
        <v>691</v>
      </c>
      <c r="M2900" t="s">
        <v>657</v>
      </c>
      <c r="N2900" t="s">
        <v>658</v>
      </c>
      <c r="O2900" t="s">
        <v>632</v>
      </c>
    </row>
    <row r="2901" spans="1:15" x14ac:dyDescent="0.35">
      <c r="A2901" s="77">
        <v>0.68767123287671228</v>
      </c>
      <c r="B2901" s="19">
        <v>97979</v>
      </c>
      <c r="C2901" s="19" t="s">
        <v>5202</v>
      </c>
      <c r="D2901" s="19" t="s">
        <v>151</v>
      </c>
      <c r="E2901" s="19" t="s">
        <v>152</v>
      </c>
      <c r="F2901" s="19" t="s">
        <v>1557</v>
      </c>
      <c r="G2901" s="19" t="s">
        <v>3508</v>
      </c>
      <c r="H2901" s="19" t="s">
        <v>1020</v>
      </c>
      <c r="I2901" s="19" t="s">
        <v>1599</v>
      </c>
      <c r="J2901" s="20">
        <v>17</v>
      </c>
      <c r="K2901" t="s">
        <v>654</v>
      </c>
      <c r="L2901" t="s">
        <v>691</v>
      </c>
      <c r="M2901" t="s">
        <v>657</v>
      </c>
      <c r="N2901" t="s">
        <v>658</v>
      </c>
      <c r="O2901" t="s">
        <v>632</v>
      </c>
    </row>
    <row r="2902" spans="1:15" x14ac:dyDescent="0.35">
      <c r="A2902" s="77">
        <v>0.69315068493150689</v>
      </c>
      <c r="B2902" s="19">
        <v>97980</v>
      </c>
      <c r="C2902" s="19" t="s">
        <v>5203</v>
      </c>
      <c r="D2902" s="19" t="s">
        <v>419</v>
      </c>
      <c r="E2902" s="19" t="s">
        <v>419</v>
      </c>
      <c r="F2902" s="19" t="s">
        <v>695</v>
      </c>
      <c r="G2902" s="19" t="s">
        <v>1038</v>
      </c>
      <c r="H2902" s="19" t="s">
        <v>1020</v>
      </c>
      <c r="I2902" s="19" t="s">
        <v>1575</v>
      </c>
      <c r="J2902" s="20">
        <v>23</v>
      </c>
      <c r="K2902" t="s">
        <v>654</v>
      </c>
      <c r="L2902" t="s">
        <v>628</v>
      </c>
      <c r="M2902" t="s">
        <v>629</v>
      </c>
      <c r="N2902" t="s">
        <v>630</v>
      </c>
      <c r="O2902" t="s">
        <v>632</v>
      </c>
    </row>
    <row r="2903" spans="1:15" x14ac:dyDescent="0.35">
      <c r="A2903" s="77">
        <v>0.69315068493150689</v>
      </c>
      <c r="B2903" s="19">
        <v>97982</v>
      </c>
      <c r="C2903" s="19" t="s">
        <v>5204</v>
      </c>
      <c r="D2903" s="19" t="s">
        <v>18</v>
      </c>
      <c r="E2903" s="19" t="s">
        <v>18</v>
      </c>
      <c r="F2903" s="19" t="s">
        <v>650</v>
      </c>
      <c r="G2903" s="19" t="s">
        <v>1008</v>
      </c>
      <c r="H2903" s="19" t="s">
        <v>1001</v>
      </c>
      <c r="I2903" s="19" t="s">
        <v>1575</v>
      </c>
      <c r="J2903" s="20">
        <v>20</v>
      </c>
      <c r="K2903" t="s">
        <v>636</v>
      </c>
      <c r="L2903" t="s">
        <v>651</v>
      </c>
      <c r="M2903" t="s">
        <v>629</v>
      </c>
      <c r="N2903" t="s">
        <v>630</v>
      </c>
      <c r="O2903" t="s">
        <v>652</v>
      </c>
    </row>
    <row r="2904" spans="1:15" x14ac:dyDescent="0.35">
      <c r="A2904" s="77">
        <v>0.69315068493150689</v>
      </c>
      <c r="B2904" s="19">
        <v>97983</v>
      </c>
      <c r="C2904" s="19" t="s">
        <v>5205</v>
      </c>
      <c r="D2904" s="19" t="s">
        <v>18</v>
      </c>
      <c r="E2904" s="19" t="s">
        <v>18</v>
      </c>
      <c r="F2904" s="19" t="s">
        <v>650</v>
      </c>
      <c r="G2904" s="19" t="s">
        <v>1028</v>
      </c>
      <c r="H2904" s="19" t="s">
        <v>1020</v>
      </c>
      <c r="I2904" s="19" t="s">
        <v>1575</v>
      </c>
      <c r="J2904" s="20">
        <v>21</v>
      </c>
      <c r="K2904" t="s">
        <v>636</v>
      </c>
      <c r="L2904" t="s">
        <v>651</v>
      </c>
      <c r="M2904" t="s">
        <v>629</v>
      </c>
      <c r="N2904" t="s">
        <v>630</v>
      </c>
      <c r="O2904" t="s">
        <v>652</v>
      </c>
    </row>
    <row r="2905" spans="1:15" x14ac:dyDescent="0.35">
      <c r="A2905" s="77">
        <v>0.69315068493150689</v>
      </c>
      <c r="B2905" s="19">
        <v>97987</v>
      </c>
      <c r="C2905" s="19" t="s">
        <v>5206</v>
      </c>
      <c r="D2905" s="19" t="s">
        <v>49</v>
      </c>
      <c r="E2905" s="19" t="s">
        <v>50</v>
      </c>
      <c r="F2905" s="19" t="s">
        <v>1213</v>
      </c>
      <c r="G2905" s="19" t="s">
        <v>1028</v>
      </c>
      <c r="H2905" s="19" t="s">
        <v>1020</v>
      </c>
      <c r="I2905" s="19" t="s">
        <v>1599</v>
      </c>
      <c r="J2905" s="20">
        <v>20</v>
      </c>
      <c r="K2905" t="s">
        <v>625</v>
      </c>
      <c r="L2905" t="s">
        <v>648</v>
      </c>
      <c r="M2905" t="s">
        <v>623</v>
      </c>
      <c r="N2905" t="s">
        <v>624</v>
      </c>
      <c r="O2905" t="s">
        <v>649</v>
      </c>
    </row>
    <row r="2906" spans="1:15" x14ac:dyDescent="0.35">
      <c r="A2906" s="77">
        <v>0.69315068493150689</v>
      </c>
      <c r="B2906" s="19">
        <v>97991</v>
      </c>
      <c r="C2906" s="19" t="s">
        <v>5207</v>
      </c>
      <c r="D2906" s="19" t="s">
        <v>149</v>
      </c>
      <c r="E2906" s="19" t="s">
        <v>150</v>
      </c>
      <c r="F2906" s="19" t="s">
        <v>1548</v>
      </c>
      <c r="G2906" s="19" t="s">
        <v>3508</v>
      </c>
      <c r="H2906" s="19" t="s">
        <v>1020</v>
      </c>
      <c r="I2906" s="19" t="s">
        <v>1575</v>
      </c>
      <c r="J2906" s="20">
        <v>17</v>
      </c>
      <c r="K2906" t="s">
        <v>654</v>
      </c>
      <c r="L2906" t="s">
        <v>648</v>
      </c>
      <c r="M2906" t="s">
        <v>623</v>
      </c>
      <c r="N2906" t="s">
        <v>624</v>
      </c>
      <c r="O2906" t="s">
        <v>725</v>
      </c>
    </row>
    <row r="2907" spans="1:15" x14ac:dyDescent="0.35">
      <c r="A2907" s="77">
        <v>0.69315068493150689</v>
      </c>
      <c r="B2907" s="19">
        <v>97992</v>
      </c>
      <c r="C2907" s="19" t="s">
        <v>5208</v>
      </c>
      <c r="D2907" s="19" t="s">
        <v>218</v>
      </c>
      <c r="E2907" s="19" t="s">
        <v>219</v>
      </c>
      <c r="F2907" s="19" t="s">
        <v>1372</v>
      </c>
      <c r="G2907" s="19" t="s">
        <v>3508</v>
      </c>
      <c r="H2907" s="19" t="s">
        <v>1020</v>
      </c>
      <c r="I2907" s="19" t="s">
        <v>1575</v>
      </c>
      <c r="J2907" s="20">
        <v>19</v>
      </c>
      <c r="K2907" t="s">
        <v>625</v>
      </c>
      <c r="L2907" t="s">
        <v>661</v>
      </c>
      <c r="M2907" t="s">
        <v>657</v>
      </c>
      <c r="N2907" t="s">
        <v>662</v>
      </c>
      <c r="O2907" t="s">
        <v>632</v>
      </c>
    </row>
    <row r="2908" spans="1:15" x14ac:dyDescent="0.35">
      <c r="A2908" s="77">
        <v>0.69315068493150689</v>
      </c>
      <c r="B2908" s="19">
        <v>97998</v>
      </c>
      <c r="C2908" s="19" t="s">
        <v>5209</v>
      </c>
      <c r="D2908" s="19" t="s">
        <v>34</v>
      </c>
      <c r="E2908" s="19" t="s">
        <v>34</v>
      </c>
      <c r="F2908" s="19" t="s">
        <v>1066</v>
      </c>
      <c r="G2908" s="19" t="s">
        <v>1028</v>
      </c>
      <c r="H2908" s="19" t="s">
        <v>1020</v>
      </c>
      <c r="I2908" s="19" t="s">
        <v>1575</v>
      </c>
      <c r="J2908" s="20">
        <v>20</v>
      </c>
      <c r="K2908" t="s">
        <v>654</v>
      </c>
      <c r="L2908" t="s">
        <v>656</v>
      </c>
      <c r="M2908" t="s">
        <v>657</v>
      </c>
      <c r="N2908" t="s">
        <v>658</v>
      </c>
      <c r="O2908" t="s">
        <v>632</v>
      </c>
    </row>
    <row r="2909" spans="1:15" x14ac:dyDescent="0.35">
      <c r="A2909" s="77">
        <v>0.68493150684931503</v>
      </c>
      <c r="B2909" s="19">
        <v>98006</v>
      </c>
      <c r="C2909" s="19" t="s">
        <v>5210</v>
      </c>
      <c r="D2909" s="19" t="s">
        <v>31</v>
      </c>
      <c r="E2909" s="19" t="s">
        <v>31</v>
      </c>
      <c r="F2909" s="19" t="s">
        <v>675</v>
      </c>
      <c r="G2909" s="19" t="s">
        <v>3508</v>
      </c>
      <c r="H2909" s="19" t="s">
        <v>1020</v>
      </c>
      <c r="I2909" s="19" t="s">
        <v>1599</v>
      </c>
      <c r="J2909" s="20">
        <v>17</v>
      </c>
      <c r="K2909" t="s">
        <v>654</v>
      </c>
      <c r="L2909" t="s">
        <v>670</v>
      </c>
      <c r="M2909" t="s">
        <v>657</v>
      </c>
      <c r="N2909" t="s">
        <v>641</v>
      </c>
      <c r="O2909" t="s">
        <v>676</v>
      </c>
    </row>
    <row r="2910" spans="1:15" x14ac:dyDescent="0.35">
      <c r="A2910" s="77">
        <v>0.68493150684931503</v>
      </c>
      <c r="B2910" s="19">
        <v>98008</v>
      </c>
      <c r="C2910" s="19" t="s">
        <v>5211</v>
      </c>
      <c r="D2910" s="19" t="s">
        <v>351</v>
      </c>
      <c r="E2910" s="19" t="s">
        <v>352</v>
      </c>
      <c r="F2910" s="19" t="s">
        <v>1507</v>
      </c>
      <c r="G2910" s="19" t="s">
        <v>1028</v>
      </c>
      <c r="H2910" s="19" t="s">
        <v>1020</v>
      </c>
      <c r="I2910" s="19" t="s">
        <v>1575</v>
      </c>
      <c r="J2910" s="20">
        <v>22</v>
      </c>
      <c r="K2910" t="s">
        <v>636</v>
      </c>
      <c r="L2910" t="s">
        <v>661</v>
      </c>
      <c r="M2910" t="s">
        <v>657</v>
      </c>
      <c r="N2910" t="s">
        <v>662</v>
      </c>
      <c r="O2910" t="s">
        <v>632</v>
      </c>
    </row>
    <row r="2911" spans="1:15" x14ac:dyDescent="0.35">
      <c r="A2911" s="77">
        <v>0.68493150684931503</v>
      </c>
      <c r="B2911" s="19">
        <v>98014</v>
      </c>
      <c r="C2911" s="19" t="s">
        <v>5212</v>
      </c>
      <c r="D2911" s="19" t="s">
        <v>220</v>
      </c>
      <c r="E2911" s="19" t="s">
        <v>221</v>
      </c>
      <c r="F2911" s="19" t="s">
        <v>2309</v>
      </c>
      <c r="G2911" s="19" t="s">
        <v>1084</v>
      </c>
      <c r="H2911" s="19" t="s">
        <v>1020</v>
      </c>
      <c r="I2911" s="19" t="s">
        <v>1599</v>
      </c>
      <c r="J2911" s="20">
        <v>27</v>
      </c>
      <c r="K2911" t="s">
        <v>668</v>
      </c>
      <c r="L2911" t="s">
        <v>648</v>
      </c>
      <c r="M2911" t="s">
        <v>623</v>
      </c>
      <c r="N2911" t="s">
        <v>624</v>
      </c>
      <c r="O2911" t="s">
        <v>649</v>
      </c>
    </row>
    <row r="2912" spans="1:15" x14ac:dyDescent="0.35">
      <c r="A2912" s="77">
        <v>0.68493150684931503</v>
      </c>
      <c r="B2912" s="19">
        <v>98016</v>
      </c>
      <c r="C2912" s="19" t="s">
        <v>5213</v>
      </c>
      <c r="D2912" s="19" t="s">
        <v>171</v>
      </c>
      <c r="E2912" s="19" t="s">
        <v>172</v>
      </c>
      <c r="F2912" s="19" t="s">
        <v>2239</v>
      </c>
      <c r="G2912" s="19" t="s">
        <v>1084</v>
      </c>
      <c r="H2912" s="19" t="s">
        <v>1001</v>
      </c>
      <c r="I2912" s="19" t="s">
        <v>1575</v>
      </c>
      <c r="J2912" s="20">
        <v>35</v>
      </c>
      <c r="K2912" t="s">
        <v>654</v>
      </c>
      <c r="L2912" t="s">
        <v>661</v>
      </c>
      <c r="M2912" t="s">
        <v>657</v>
      </c>
      <c r="N2912" t="s">
        <v>662</v>
      </c>
      <c r="O2912" t="s">
        <v>632</v>
      </c>
    </row>
    <row r="2913" spans="1:15" x14ac:dyDescent="0.35">
      <c r="A2913" s="77">
        <v>0.68493150684931503</v>
      </c>
      <c r="B2913" s="19">
        <v>98017</v>
      </c>
      <c r="C2913" s="19" t="s">
        <v>5214</v>
      </c>
      <c r="D2913" s="19" t="s">
        <v>377</v>
      </c>
      <c r="E2913" s="19" t="s">
        <v>378</v>
      </c>
      <c r="F2913" s="19" t="s">
        <v>862</v>
      </c>
      <c r="G2913" s="19" t="s">
        <v>1028</v>
      </c>
      <c r="H2913" s="19" t="s">
        <v>1020</v>
      </c>
      <c r="I2913" s="19" t="s">
        <v>1575</v>
      </c>
      <c r="J2913" s="20">
        <v>19</v>
      </c>
      <c r="K2913" t="s">
        <v>631</v>
      </c>
      <c r="L2913" t="s">
        <v>661</v>
      </c>
      <c r="M2913" t="s">
        <v>657</v>
      </c>
      <c r="N2913" t="s">
        <v>662</v>
      </c>
      <c r="O2913" t="s">
        <v>632</v>
      </c>
    </row>
    <row r="2914" spans="1:15" x14ac:dyDescent="0.35">
      <c r="A2914" s="77">
        <v>0.68493150684931503</v>
      </c>
      <c r="B2914" s="19">
        <v>98018</v>
      </c>
      <c r="C2914" s="19" t="s">
        <v>5215</v>
      </c>
      <c r="D2914" s="19" t="s">
        <v>159</v>
      </c>
      <c r="E2914" s="19" t="s">
        <v>160</v>
      </c>
      <c r="F2914" s="19" t="s">
        <v>1488</v>
      </c>
      <c r="G2914" s="19" t="s">
        <v>3508</v>
      </c>
      <c r="H2914" s="19" t="s">
        <v>1020</v>
      </c>
      <c r="I2914" s="19" t="s">
        <v>1575</v>
      </c>
      <c r="J2914" s="20">
        <v>16</v>
      </c>
      <c r="K2914" t="s">
        <v>654</v>
      </c>
      <c r="L2914" t="s">
        <v>678</v>
      </c>
      <c r="M2914" t="s">
        <v>623</v>
      </c>
      <c r="N2914" t="s">
        <v>624</v>
      </c>
      <c r="O2914" t="s">
        <v>679</v>
      </c>
    </row>
    <row r="2915" spans="1:15" x14ac:dyDescent="0.35">
      <c r="A2915" s="77">
        <v>0.68493150684931503</v>
      </c>
      <c r="B2915" s="19">
        <v>98021</v>
      </c>
      <c r="C2915" s="19" t="s">
        <v>5216</v>
      </c>
      <c r="D2915" s="19" t="s">
        <v>145</v>
      </c>
      <c r="E2915" s="19" t="s">
        <v>146</v>
      </c>
      <c r="F2915" s="19" t="s">
        <v>1015</v>
      </c>
      <c r="G2915" s="19" t="s">
        <v>1008</v>
      </c>
      <c r="H2915" s="19" t="s">
        <v>1001</v>
      </c>
      <c r="I2915" s="19" t="s">
        <v>1575</v>
      </c>
      <c r="J2915" s="20">
        <v>19</v>
      </c>
      <c r="K2915" t="s">
        <v>636</v>
      </c>
      <c r="L2915" t="s">
        <v>737</v>
      </c>
      <c r="M2915" t="s">
        <v>657</v>
      </c>
      <c r="N2915" t="s">
        <v>641</v>
      </c>
      <c r="O2915" t="s">
        <v>757</v>
      </c>
    </row>
    <row r="2916" spans="1:15" x14ac:dyDescent="0.35">
      <c r="A2916" s="77">
        <v>0.68493150684931503</v>
      </c>
      <c r="B2916" s="19">
        <v>98023</v>
      </c>
      <c r="C2916" s="19" t="s">
        <v>5217</v>
      </c>
      <c r="D2916" s="19" t="s">
        <v>38</v>
      </c>
      <c r="E2916" s="19" t="s">
        <v>38</v>
      </c>
      <c r="F2916" s="19" t="s">
        <v>711</v>
      </c>
      <c r="G2916" s="19" t="s">
        <v>1028</v>
      </c>
      <c r="H2916" s="19" t="s">
        <v>1020</v>
      </c>
      <c r="I2916" s="19" t="s">
        <v>1575</v>
      </c>
      <c r="J2916" s="20">
        <v>22</v>
      </c>
      <c r="K2916" t="s">
        <v>668</v>
      </c>
      <c r="L2916" t="s">
        <v>691</v>
      </c>
      <c r="M2916" t="s">
        <v>657</v>
      </c>
      <c r="N2916" t="s">
        <v>658</v>
      </c>
      <c r="O2916" t="s">
        <v>632</v>
      </c>
    </row>
    <row r="2917" spans="1:15" x14ac:dyDescent="0.35">
      <c r="A2917" s="77">
        <v>0.68219178082191778</v>
      </c>
      <c r="B2917" s="19">
        <v>98035</v>
      </c>
      <c r="C2917" s="19" t="s">
        <v>5218</v>
      </c>
      <c r="D2917" s="19" t="s">
        <v>284</v>
      </c>
      <c r="E2917" s="19" t="s">
        <v>285</v>
      </c>
      <c r="F2917" s="19" t="s">
        <v>1150</v>
      </c>
      <c r="G2917" s="19" t="s">
        <v>1028</v>
      </c>
      <c r="H2917" s="19" t="s">
        <v>1020</v>
      </c>
      <c r="I2917" s="19" t="s">
        <v>1575</v>
      </c>
      <c r="J2917" s="20">
        <v>21</v>
      </c>
      <c r="K2917" t="s">
        <v>625</v>
      </c>
      <c r="L2917" t="s">
        <v>661</v>
      </c>
      <c r="M2917" t="s">
        <v>657</v>
      </c>
      <c r="N2917" t="s">
        <v>662</v>
      </c>
      <c r="O2917" t="s">
        <v>632</v>
      </c>
    </row>
    <row r="2918" spans="1:15" x14ac:dyDescent="0.35">
      <c r="A2918" s="77">
        <v>0.68219178082191778</v>
      </c>
      <c r="B2918" s="19">
        <v>98038</v>
      </c>
      <c r="C2918" s="19" t="s">
        <v>5219</v>
      </c>
      <c r="D2918" s="19" t="s">
        <v>49</v>
      </c>
      <c r="E2918" s="19" t="s">
        <v>50</v>
      </c>
      <c r="F2918" s="19" t="s">
        <v>1213</v>
      </c>
      <c r="G2918" s="19" t="s">
        <v>1008</v>
      </c>
      <c r="H2918" s="19" t="s">
        <v>1001</v>
      </c>
      <c r="I2918" s="19" t="s">
        <v>1575</v>
      </c>
      <c r="J2918" s="20">
        <v>19</v>
      </c>
      <c r="K2918" t="s">
        <v>625</v>
      </c>
      <c r="L2918" t="s">
        <v>648</v>
      </c>
      <c r="M2918" t="s">
        <v>623</v>
      </c>
      <c r="N2918" t="s">
        <v>624</v>
      </c>
      <c r="O2918" t="s">
        <v>649</v>
      </c>
    </row>
    <row r="2919" spans="1:15" x14ac:dyDescent="0.35">
      <c r="A2919" s="77">
        <v>0.68219178082191778</v>
      </c>
      <c r="B2919" s="19">
        <v>98040</v>
      </c>
      <c r="C2919" s="19" t="s">
        <v>5220</v>
      </c>
      <c r="D2919" s="19" t="s">
        <v>335</v>
      </c>
      <c r="E2919" s="19" t="s">
        <v>336</v>
      </c>
      <c r="F2919" s="19" t="s">
        <v>841</v>
      </c>
      <c r="G2919" s="19" t="s">
        <v>1019</v>
      </c>
      <c r="H2919" s="19" t="s">
        <v>1020</v>
      </c>
      <c r="I2919" s="19" t="s">
        <v>1575</v>
      </c>
      <c r="J2919" s="20">
        <v>21</v>
      </c>
      <c r="K2919" t="s">
        <v>636</v>
      </c>
      <c r="L2919" t="s">
        <v>622</v>
      </c>
      <c r="M2919" t="s">
        <v>623</v>
      </c>
      <c r="N2919" t="s">
        <v>624</v>
      </c>
      <c r="O2919" t="s">
        <v>649</v>
      </c>
    </row>
    <row r="2920" spans="1:15" x14ac:dyDescent="0.35">
      <c r="A2920" s="77">
        <v>0.68219178082191778</v>
      </c>
      <c r="B2920" s="19">
        <v>98043</v>
      </c>
      <c r="C2920" s="19" t="s">
        <v>5221</v>
      </c>
      <c r="D2920" s="19" t="s">
        <v>137</v>
      </c>
      <c r="E2920" s="19" t="s">
        <v>138</v>
      </c>
      <c r="F2920" s="19" t="s">
        <v>1115</v>
      </c>
      <c r="G2920" s="19" t="s">
        <v>1008</v>
      </c>
      <c r="H2920" s="19" t="s">
        <v>1001</v>
      </c>
      <c r="I2920" s="19" t="s">
        <v>1575</v>
      </c>
      <c r="J2920" s="20">
        <v>27</v>
      </c>
      <c r="K2920" t="s">
        <v>636</v>
      </c>
      <c r="L2920" t="s">
        <v>684</v>
      </c>
      <c r="M2920" t="s">
        <v>623</v>
      </c>
      <c r="N2920" t="s">
        <v>662</v>
      </c>
      <c r="O2920" t="s">
        <v>685</v>
      </c>
    </row>
    <row r="2921" spans="1:15" x14ac:dyDescent="0.35">
      <c r="A2921" s="77">
        <v>0.68219178082191778</v>
      </c>
      <c r="B2921" s="19">
        <v>98045</v>
      </c>
      <c r="C2921" s="19" t="s">
        <v>5222</v>
      </c>
      <c r="D2921" s="19" t="s">
        <v>107</v>
      </c>
      <c r="E2921" s="19" t="s">
        <v>108</v>
      </c>
      <c r="F2921" s="19" t="s">
        <v>2702</v>
      </c>
      <c r="G2921" s="19" t="s">
        <v>1028</v>
      </c>
      <c r="H2921" s="19" t="s">
        <v>1020</v>
      </c>
      <c r="I2921" s="19" t="s">
        <v>1575</v>
      </c>
      <c r="J2921" s="20">
        <v>23</v>
      </c>
      <c r="K2921" t="s">
        <v>668</v>
      </c>
      <c r="L2921" t="s">
        <v>691</v>
      </c>
      <c r="M2921" t="s">
        <v>657</v>
      </c>
      <c r="N2921" t="s">
        <v>658</v>
      </c>
      <c r="O2921" t="s">
        <v>632</v>
      </c>
    </row>
    <row r="2922" spans="1:15" x14ac:dyDescent="0.35">
      <c r="A2922" s="77">
        <v>0.68219178082191778</v>
      </c>
      <c r="B2922" s="19">
        <v>98049</v>
      </c>
      <c r="C2922" s="19" t="s">
        <v>5223</v>
      </c>
      <c r="D2922" s="19" t="s">
        <v>11</v>
      </c>
      <c r="E2922" s="19" t="s">
        <v>11</v>
      </c>
      <c r="F2922" s="19" t="s">
        <v>627</v>
      </c>
      <c r="G2922" s="19" t="s">
        <v>1008</v>
      </c>
      <c r="H2922" s="19" t="s">
        <v>1001</v>
      </c>
      <c r="I2922" s="19" t="s">
        <v>1575</v>
      </c>
      <c r="J2922" s="20">
        <v>22</v>
      </c>
      <c r="K2922" t="s">
        <v>631</v>
      </c>
      <c r="L2922" t="s">
        <v>628</v>
      </c>
      <c r="M2922" t="s">
        <v>629</v>
      </c>
      <c r="N2922" t="s">
        <v>630</v>
      </c>
      <c r="O2922" t="s">
        <v>632</v>
      </c>
    </row>
    <row r="2923" spans="1:15" x14ac:dyDescent="0.35">
      <c r="A2923" s="77">
        <v>0.68219178082191778</v>
      </c>
      <c r="B2923" s="19">
        <v>98055</v>
      </c>
      <c r="C2923" s="19" t="s">
        <v>5224</v>
      </c>
      <c r="D2923" s="19" t="s">
        <v>262</v>
      </c>
      <c r="E2923" s="19" t="s">
        <v>263</v>
      </c>
      <c r="F2923" s="19" t="s">
        <v>2336</v>
      </c>
      <c r="G2923" s="19" t="s">
        <v>1028</v>
      </c>
      <c r="H2923" s="19" t="s">
        <v>1020</v>
      </c>
      <c r="I2923" s="19" t="s">
        <v>1575</v>
      </c>
      <c r="J2923" s="20">
        <v>25</v>
      </c>
      <c r="K2923" t="s">
        <v>668</v>
      </c>
      <c r="L2923" t="s">
        <v>663</v>
      </c>
      <c r="M2923" t="s">
        <v>629</v>
      </c>
      <c r="N2923" t="s">
        <v>646</v>
      </c>
      <c r="O2923" t="s">
        <v>810</v>
      </c>
    </row>
    <row r="2924" spans="1:15" x14ac:dyDescent="0.35">
      <c r="A2924" s="77">
        <v>0.68219178082191778</v>
      </c>
      <c r="B2924" s="19">
        <v>98056</v>
      </c>
      <c r="C2924" s="19" t="s">
        <v>5225</v>
      </c>
      <c r="D2924" s="19" t="s">
        <v>118</v>
      </c>
      <c r="E2924" s="19" t="s">
        <v>119</v>
      </c>
      <c r="F2924" s="19" t="s">
        <v>1360</v>
      </c>
      <c r="G2924" s="19" t="s">
        <v>1019</v>
      </c>
      <c r="H2924" s="19" t="s">
        <v>1020</v>
      </c>
      <c r="I2924" s="19" t="s">
        <v>1575</v>
      </c>
      <c r="J2924" s="20">
        <v>26</v>
      </c>
      <c r="K2924" t="s">
        <v>625</v>
      </c>
      <c r="L2924" t="s">
        <v>656</v>
      </c>
      <c r="M2924" t="s">
        <v>657</v>
      </c>
      <c r="N2924" t="s">
        <v>658</v>
      </c>
      <c r="O2924" t="s">
        <v>632</v>
      </c>
    </row>
    <row r="2925" spans="1:15" x14ac:dyDescent="0.35">
      <c r="A2925" s="77">
        <v>0.68219178082191778</v>
      </c>
      <c r="B2925" s="19">
        <v>98058</v>
      </c>
      <c r="C2925" s="19" t="s">
        <v>5226</v>
      </c>
      <c r="D2925" s="19" t="s">
        <v>34</v>
      </c>
      <c r="E2925" s="19" t="s">
        <v>34</v>
      </c>
      <c r="F2925" s="19" t="s">
        <v>1066</v>
      </c>
      <c r="G2925" s="19" t="s">
        <v>1028</v>
      </c>
      <c r="H2925" s="19" t="s">
        <v>1020</v>
      </c>
      <c r="I2925" s="19" t="s">
        <v>1575</v>
      </c>
      <c r="J2925" s="20">
        <v>26</v>
      </c>
      <c r="K2925" t="s">
        <v>654</v>
      </c>
      <c r="L2925" t="s">
        <v>656</v>
      </c>
      <c r="M2925" t="s">
        <v>657</v>
      </c>
      <c r="N2925" t="s">
        <v>658</v>
      </c>
      <c r="O2925" t="s">
        <v>632</v>
      </c>
    </row>
    <row r="2926" spans="1:15" x14ac:dyDescent="0.35">
      <c r="A2926" s="77">
        <v>0.68219178082191778</v>
      </c>
      <c r="B2926" s="19">
        <v>98065</v>
      </c>
      <c r="C2926" s="19" t="s">
        <v>5227</v>
      </c>
      <c r="D2926" s="19" t="s">
        <v>387</v>
      </c>
      <c r="E2926" s="19" t="s">
        <v>388</v>
      </c>
      <c r="F2926" s="19" t="s">
        <v>1142</v>
      </c>
      <c r="G2926" s="19" t="s">
        <v>1084</v>
      </c>
      <c r="H2926" s="19" t="s">
        <v>1001</v>
      </c>
      <c r="I2926" s="19" t="s">
        <v>1599</v>
      </c>
      <c r="J2926" s="20">
        <v>28</v>
      </c>
      <c r="K2926" t="s">
        <v>642</v>
      </c>
      <c r="L2926" t="s">
        <v>634</v>
      </c>
      <c r="M2926" t="s">
        <v>629</v>
      </c>
      <c r="N2926" t="s">
        <v>630</v>
      </c>
      <c r="O2926" t="s">
        <v>734</v>
      </c>
    </row>
    <row r="2927" spans="1:15" x14ac:dyDescent="0.35">
      <c r="A2927" s="77">
        <v>0.68219178082191778</v>
      </c>
      <c r="B2927" s="19">
        <v>98068</v>
      </c>
      <c r="C2927" s="19" t="s">
        <v>5228</v>
      </c>
      <c r="D2927" s="19" t="s">
        <v>135</v>
      </c>
      <c r="E2927" s="19" t="s">
        <v>136</v>
      </c>
      <c r="F2927" s="19" t="s">
        <v>2393</v>
      </c>
      <c r="G2927" s="19" t="s">
        <v>1028</v>
      </c>
      <c r="H2927" s="19" t="s">
        <v>1020</v>
      </c>
      <c r="I2927" s="19" t="s">
        <v>1575</v>
      </c>
      <c r="J2927" s="20">
        <v>38</v>
      </c>
      <c r="K2927" t="s">
        <v>668</v>
      </c>
      <c r="L2927" t="s">
        <v>651</v>
      </c>
      <c r="M2927" t="s">
        <v>629</v>
      </c>
      <c r="N2927" t="s">
        <v>630</v>
      </c>
      <c r="O2927" t="s">
        <v>652</v>
      </c>
    </row>
    <row r="2928" spans="1:15" x14ac:dyDescent="0.35">
      <c r="A2928" s="77">
        <v>0.70684931506849313</v>
      </c>
      <c r="B2928" s="19">
        <v>98072</v>
      </c>
      <c r="C2928" s="19" t="s">
        <v>5229</v>
      </c>
      <c r="D2928" s="19" t="s">
        <v>68</v>
      </c>
      <c r="E2928" s="19" t="s">
        <v>69</v>
      </c>
      <c r="F2928" s="19" t="s">
        <v>1078</v>
      </c>
      <c r="G2928" s="19" t="s">
        <v>3508</v>
      </c>
      <c r="H2928" s="19" t="s">
        <v>1020</v>
      </c>
      <c r="I2928" s="19" t="s">
        <v>1575</v>
      </c>
      <c r="J2928" s="20">
        <v>16</v>
      </c>
      <c r="K2928" t="s">
        <v>636</v>
      </c>
      <c r="L2928" t="s">
        <v>670</v>
      </c>
      <c r="M2928" t="s">
        <v>657</v>
      </c>
      <c r="N2928" t="s">
        <v>641</v>
      </c>
      <c r="O2928" t="s">
        <v>671</v>
      </c>
    </row>
    <row r="2929" spans="1:15" x14ac:dyDescent="0.35">
      <c r="A2929" s="77">
        <v>0.67945205479452053</v>
      </c>
      <c r="B2929" s="19">
        <v>98081</v>
      </c>
      <c r="C2929" s="19" t="s">
        <v>5230</v>
      </c>
      <c r="D2929" s="19" t="s">
        <v>237</v>
      </c>
      <c r="E2929" s="19" t="s">
        <v>238</v>
      </c>
      <c r="F2929" s="19" t="s">
        <v>1070</v>
      </c>
      <c r="G2929" s="19" t="s">
        <v>1028</v>
      </c>
      <c r="H2929" s="19" t="s">
        <v>1020</v>
      </c>
      <c r="I2929" s="19" t="s">
        <v>1599</v>
      </c>
      <c r="J2929" s="20">
        <v>22</v>
      </c>
      <c r="K2929" t="s">
        <v>631</v>
      </c>
      <c r="L2929" t="s">
        <v>661</v>
      </c>
      <c r="M2929" t="s">
        <v>657</v>
      </c>
      <c r="N2929" t="s">
        <v>662</v>
      </c>
      <c r="O2929" t="s">
        <v>632</v>
      </c>
    </row>
    <row r="2930" spans="1:15" x14ac:dyDescent="0.35">
      <c r="A2930" s="77">
        <v>0.70684931506849313</v>
      </c>
      <c r="B2930" s="19">
        <v>98082</v>
      </c>
      <c r="C2930" s="19" t="s">
        <v>5231</v>
      </c>
      <c r="D2930" s="19" t="s">
        <v>68</v>
      </c>
      <c r="E2930" s="19" t="s">
        <v>69</v>
      </c>
      <c r="F2930" s="19" t="s">
        <v>1078</v>
      </c>
      <c r="G2930" s="19" t="s">
        <v>3508</v>
      </c>
      <c r="H2930" s="19" t="s">
        <v>1020</v>
      </c>
      <c r="I2930" s="19" t="s">
        <v>1575</v>
      </c>
      <c r="J2930" s="20">
        <v>16</v>
      </c>
      <c r="K2930" t="s">
        <v>636</v>
      </c>
      <c r="L2930" t="s">
        <v>670</v>
      </c>
      <c r="M2930" t="s">
        <v>657</v>
      </c>
      <c r="N2930" t="s">
        <v>641</v>
      </c>
      <c r="O2930" t="s">
        <v>671</v>
      </c>
    </row>
    <row r="2931" spans="1:15" x14ac:dyDescent="0.35">
      <c r="A2931" s="77">
        <v>0.67945205479452053</v>
      </c>
      <c r="B2931" s="19">
        <v>98084</v>
      </c>
      <c r="C2931" s="19" t="s">
        <v>5232</v>
      </c>
      <c r="D2931" s="19" t="s">
        <v>113</v>
      </c>
      <c r="E2931" s="19" t="s">
        <v>114</v>
      </c>
      <c r="F2931" s="19" t="s">
        <v>1871</v>
      </c>
      <c r="G2931" s="19" t="s">
        <v>3508</v>
      </c>
      <c r="H2931" s="19" t="s">
        <v>1020</v>
      </c>
      <c r="I2931" s="19" t="s">
        <v>1575</v>
      </c>
      <c r="J2931" s="20">
        <v>17</v>
      </c>
      <c r="K2931" t="s">
        <v>654</v>
      </c>
      <c r="L2931" t="s">
        <v>661</v>
      </c>
      <c r="M2931" t="s">
        <v>657</v>
      </c>
      <c r="N2931" t="s">
        <v>662</v>
      </c>
      <c r="O2931" t="s">
        <v>632</v>
      </c>
    </row>
    <row r="2932" spans="1:15" x14ac:dyDescent="0.35">
      <c r="A2932" s="77">
        <v>0.18082191780821918</v>
      </c>
      <c r="B2932" s="19">
        <v>98089</v>
      </c>
      <c r="C2932" s="19" t="s">
        <v>5233</v>
      </c>
      <c r="D2932" s="19" t="s">
        <v>199</v>
      </c>
      <c r="E2932" s="19" t="s">
        <v>200</v>
      </c>
      <c r="F2932" s="19" t="s">
        <v>1496</v>
      </c>
      <c r="G2932" s="19" t="s">
        <v>3508</v>
      </c>
      <c r="H2932" s="19" t="s">
        <v>1020</v>
      </c>
      <c r="I2932" s="19" t="s">
        <v>1575</v>
      </c>
      <c r="J2932" s="20">
        <v>15</v>
      </c>
      <c r="K2932" t="s">
        <v>654</v>
      </c>
      <c r="L2932" t="s">
        <v>737</v>
      </c>
      <c r="M2932" t="s">
        <v>657</v>
      </c>
      <c r="N2932" t="s">
        <v>641</v>
      </c>
      <c r="O2932" t="s">
        <v>738</v>
      </c>
    </row>
    <row r="2933" spans="1:15" x14ac:dyDescent="0.35">
      <c r="A2933" s="77">
        <v>0.68493150684931503</v>
      </c>
      <c r="B2933" s="19">
        <v>98095</v>
      </c>
      <c r="C2933" s="19" t="s">
        <v>5234</v>
      </c>
      <c r="D2933" s="19" t="s">
        <v>191</v>
      </c>
      <c r="E2933" s="19" t="s">
        <v>192</v>
      </c>
      <c r="F2933" s="19" t="s">
        <v>1626</v>
      </c>
      <c r="G2933" s="19" t="s">
        <v>3508</v>
      </c>
      <c r="H2933" s="19" t="s">
        <v>1020</v>
      </c>
      <c r="I2933" s="19" t="s">
        <v>1575</v>
      </c>
      <c r="J2933" s="20">
        <v>17</v>
      </c>
      <c r="K2933" t="s">
        <v>654</v>
      </c>
      <c r="L2933" t="s">
        <v>673</v>
      </c>
      <c r="M2933" t="s">
        <v>623</v>
      </c>
      <c r="N2933" t="s">
        <v>641</v>
      </c>
      <c r="O2933" t="s">
        <v>779</v>
      </c>
    </row>
    <row r="2934" spans="1:15" x14ac:dyDescent="0.35">
      <c r="A2934" s="77">
        <v>0.67945205479452053</v>
      </c>
      <c r="B2934" s="19">
        <v>98096</v>
      </c>
      <c r="C2934" s="19" t="s">
        <v>4947</v>
      </c>
      <c r="D2934" s="19" t="s">
        <v>181</v>
      </c>
      <c r="E2934" s="19" t="s">
        <v>182</v>
      </c>
      <c r="F2934" s="19" t="s">
        <v>1374</v>
      </c>
      <c r="G2934" s="19" t="s">
        <v>1019</v>
      </c>
      <c r="H2934" s="19" t="s">
        <v>1020</v>
      </c>
      <c r="I2934" s="19" t="s">
        <v>1575</v>
      </c>
      <c r="J2934" s="20">
        <v>24</v>
      </c>
      <c r="K2934" t="s">
        <v>625</v>
      </c>
      <c r="L2934" t="s">
        <v>678</v>
      </c>
      <c r="M2934" t="s">
        <v>623</v>
      </c>
      <c r="N2934" t="s">
        <v>624</v>
      </c>
      <c r="O2934" t="s">
        <v>679</v>
      </c>
    </row>
    <row r="2935" spans="1:15" x14ac:dyDescent="0.35">
      <c r="A2935" s="77">
        <v>0.67945205479452053</v>
      </c>
      <c r="B2935" s="19">
        <v>98100</v>
      </c>
      <c r="C2935" s="19" t="s">
        <v>5235</v>
      </c>
      <c r="D2935" s="19" t="s">
        <v>64</v>
      </c>
      <c r="E2935" s="19" t="s">
        <v>65</v>
      </c>
      <c r="F2935" s="19" t="s">
        <v>1197</v>
      </c>
      <c r="G2935" s="19" t="s">
        <v>1057</v>
      </c>
      <c r="H2935" s="19" t="s">
        <v>1001</v>
      </c>
      <c r="I2935" s="19" t="s">
        <v>1575</v>
      </c>
      <c r="J2935" s="20">
        <v>23</v>
      </c>
      <c r="K2935" t="s">
        <v>654</v>
      </c>
      <c r="L2935" t="s">
        <v>651</v>
      </c>
      <c r="M2935" t="s">
        <v>629</v>
      </c>
      <c r="N2935" t="s">
        <v>630</v>
      </c>
      <c r="O2935" t="s">
        <v>705</v>
      </c>
    </row>
    <row r="2936" spans="1:15" x14ac:dyDescent="0.35">
      <c r="A2936" s="77">
        <v>0.67945205479452053</v>
      </c>
      <c r="B2936" s="19">
        <v>98106</v>
      </c>
      <c r="C2936" s="19" t="s">
        <v>5236</v>
      </c>
      <c r="D2936" s="19" t="s">
        <v>51</v>
      </c>
      <c r="E2936" s="19" t="s">
        <v>52</v>
      </c>
      <c r="F2936" s="19" t="s">
        <v>921</v>
      </c>
      <c r="G2936" s="19" t="s">
        <v>1019</v>
      </c>
      <c r="H2936" s="19" t="s">
        <v>1020</v>
      </c>
      <c r="I2936" s="19" t="s">
        <v>1599</v>
      </c>
      <c r="J2936" s="20">
        <v>21</v>
      </c>
      <c r="K2936" t="s">
        <v>636</v>
      </c>
      <c r="L2936" t="s">
        <v>656</v>
      </c>
      <c r="M2936" t="s">
        <v>657</v>
      </c>
      <c r="N2936" t="s">
        <v>658</v>
      </c>
      <c r="O2936" t="s">
        <v>718</v>
      </c>
    </row>
    <row r="2937" spans="1:15" x14ac:dyDescent="0.35">
      <c r="A2937" s="77">
        <v>0.67945205479452053</v>
      </c>
      <c r="B2937" s="19">
        <v>98107</v>
      </c>
      <c r="C2937" s="19" t="s">
        <v>5237</v>
      </c>
      <c r="D2937" s="19" t="s">
        <v>153</v>
      </c>
      <c r="E2937" s="19" t="s">
        <v>154</v>
      </c>
      <c r="F2937" s="19" t="s">
        <v>2384</v>
      </c>
      <c r="G2937" s="19" t="s">
        <v>1028</v>
      </c>
      <c r="H2937" s="19" t="s">
        <v>1020</v>
      </c>
      <c r="I2937" s="19" t="s">
        <v>1575</v>
      </c>
      <c r="J2937" s="20">
        <v>32</v>
      </c>
      <c r="K2937" t="s">
        <v>654</v>
      </c>
      <c r="L2937" t="s">
        <v>762</v>
      </c>
      <c r="M2937" t="s">
        <v>629</v>
      </c>
      <c r="N2937" t="s">
        <v>646</v>
      </c>
      <c r="O2937" t="s">
        <v>763</v>
      </c>
    </row>
    <row r="2938" spans="1:15" x14ac:dyDescent="0.35">
      <c r="A2938" s="77">
        <v>0.67945205479452053</v>
      </c>
      <c r="B2938" s="19">
        <v>98108</v>
      </c>
      <c r="C2938" s="19" t="s">
        <v>5238</v>
      </c>
      <c r="D2938" s="19" t="s">
        <v>95</v>
      </c>
      <c r="E2938" s="19" t="s">
        <v>96</v>
      </c>
      <c r="F2938" s="19" t="s">
        <v>1188</v>
      </c>
      <c r="G2938" s="19" t="s">
        <v>3508</v>
      </c>
      <c r="H2938" s="19" t="s">
        <v>1020</v>
      </c>
      <c r="I2938" s="19" t="s">
        <v>1575</v>
      </c>
      <c r="J2938" s="20">
        <v>17</v>
      </c>
      <c r="K2938" t="s">
        <v>636</v>
      </c>
      <c r="L2938" t="s">
        <v>737</v>
      </c>
      <c r="M2938" t="s">
        <v>657</v>
      </c>
      <c r="N2938" t="s">
        <v>641</v>
      </c>
      <c r="O2938" t="s">
        <v>738</v>
      </c>
    </row>
    <row r="2939" spans="1:15" x14ac:dyDescent="0.35">
      <c r="A2939" s="77">
        <v>0.67945205479452053</v>
      </c>
      <c r="B2939" s="19">
        <v>98109</v>
      </c>
      <c r="C2939" s="19" t="s">
        <v>5239</v>
      </c>
      <c r="D2939" s="19" t="s">
        <v>157</v>
      </c>
      <c r="E2939" s="19" t="s">
        <v>158</v>
      </c>
      <c r="F2939" s="19" t="s">
        <v>1012</v>
      </c>
      <c r="G2939" s="19" t="s">
        <v>1028</v>
      </c>
      <c r="H2939" s="19" t="s">
        <v>1020</v>
      </c>
      <c r="I2939" s="19" t="s">
        <v>1575</v>
      </c>
      <c r="J2939" s="20">
        <v>21</v>
      </c>
      <c r="K2939" t="s">
        <v>668</v>
      </c>
      <c r="L2939" t="s">
        <v>670</v>
      </c>
      <c r="M2939" t="s">
        <v>657</v>
      </c>
      <c r="N2939" t="s">
        <v>641</v>
      </c>
      <c r="O2939" t="s">
        <v>671</v>
      </c>
    </row>
    <row r="2940" spans="1:15" x14ac:dyDescent="0.35">
      <c r="A2940" s="77">
        <v>0.67945205479452053</v>
      </c>
      <c r="B2940" s="19">
        <v>98111</v>
      </c>
      <c r="C2940" s="19" t="s">
        <v>5240</v>
      </c>
      <c r="D2940" s="19" t="s">
        <v>206</v>
      </c>
      <c r="E2940" s="19" t="s">
        <v>207</v>
      </c>
      <c r="F2940" s="19" t="s">
        <v>2447</v>
      </c>
      <c r="G2940" s="19" t="s">
        <v>1028</v>
      </c>
      <c r="H2940" s="19" t="s">
        <v>1020</v>
      </c>
      <c r="I2940" s="19" t="s">
        <v>1575</v>
      </c>
      <c r="J2940" s="20">
        <v>37</v>
      </c>
      <c r="K2940" t="s">
        <v>668</v>
      </c>
      <c r="L2940" t="s">
        <v>666</v>
      </c>
      <c r="M2940" t="s">
        <v>629</v>
      </c>
      <c r="N2940" t="s">
        <v>630</v>
      </c>
      <c r="O2940" t="s">
        <v>652</v>
      </c>
    </row>
    <row r="2941" spans="1:15" x14ac:dyDescent="0.35">
      <c r="A2941" s="77">
        <v>0.67945205479452053</v>
      </c>
      <c r="B2941" s="19">
        <v>98112</v>
      </c>
      <c r="C2941" s="19" t="s">
        <v>5241</v>
      </c>
      <c r="D2941" s="19" t="s">
        <v>397</v>
      </c>
      <c r="E2941" s="19" t="s">
        <v>398</v>
      </c>
      <c r="F2941" s="19" t="s">
        <v>867</v>
      </c>
      <c r="G2941" s="19" t="s">
        <v>1028</v>
      </c>
      <c r="H2941" s="19" t="s">
        <v>1020</v>
      </c>
      <c r="I2941" s="19" t="s">
        <v>1575</v>
      </c>
      <c r="J2941" s="20">
        <v>22</v>
      </c>
      <c r="K2941" t="s">
        <v>625</v>
      </c>
      <c r="L2941" t="s">
        <v>634</v>
      </c>
      <c r="M2941" t="s">
        <v>629</v>
      </c>
      <c r="N2941" t="s">
        <v>635</v>
      </c>
      <c r="O2941" t="s">
        <v>637</v>
      </c>
    </row>
    <row r="2942" spans="1:15" x14ac:dyDescent="0.35">
      <c r="A2942" s="77">
        <v>0.67945205479452053</v>
      </c>
      <c r="B2942" s="19">
        <v>98113</v>
      </c>
      <c r="C2942" s="19" t="s">
        <v>5242</v>
      </c>
      <c r="D2942" s="19" t="s">
        <v>397</v>
      </c>
      <c r="E2942" s="19" t="s">
        <v>398</v>
      </c>
      <c r="F2942" s="19" t="s">
        <v>867</v>
      </c>
      <c r="G2942" s="19" t="s">
        <v>1028</v>
      </c>
      <c r="H2942" s="19" t="s">
        <v>1020</v>
      </c>
      <c r="I2942" s="19" t="s">
        <v>1575</v>
      </c>
      <c r="J2942" s="20">
        <v>19</v>
      </c>
      <c r="K2942" t="s">
        <v>625</v>
      </c>
      <c r="L2942" t="s">
        <v>634</v>
      </c>
      <c r="M2942" t="s">
        <v>629</v>
      </c>
      <c r="N2942" t="s">
        <v>635</v>
      </c>
      <c r="O2942" t="s">
        <v>637</v>
      </c>
    </row>
    <row r="2943" spans="1:15" x14ac:dyDescent="0.35">
      <c r="A2943" s="77">
        <v>0.67945205479452053</v>
      </c>
      <c r="B2943" s="19">
        <v>98114</v>
      </c>
      <c r="C2943" s="19" t="s">
        <v>5243</v>
      </c>
      <c r="D2943" s="19" t="s">
        <v>397</v>
      </c>
      <c r="E2943" s="19" t="s">
        <v>398</v>
      </c>
      <c r="F2943" s="19" t="s">
        <v>867</v>
      </c>
      <c r="G2943" s="19" t="s">
        <v>1028</v>
      </c>
      <c r="H2943" s="19" t="s">
        <v>1020</v>
      </c>
      <c r="I2943" s="19" t="s">
        <v>1575</v>
      </c>
      <c r="J2943" s="20">
        <v>19</v>
      </c>
      <c r="K2943" t="s">
        <v>625</v>
      </c>
      <c r="L2943" t="s">
        <v>634</v>
      </c>
      <c r="M2943" t="s">
        <v>629</v>
      </c>
      <c r="N2943" t="s">
        <v>635</v>
      </c>
      <c r="O2943" t="s">
        <v>637</v>
      </c>
    </row>
    <row r="2944" spans="1:15" x14ac:dyDescent="0.35">
      <c r="A2944" s="77">
        <v>0.67671232876712328</v>
      </c>
      <c r="B2944" s="19">
        <v>98118</v>
      </c>
      <c r="C2944" s="19" t="s">
        <v>5244</v>
      </c>
      <c r="D2944" s="19" t="s">
        <v>45</v>
      </c>
      <c r="E2944" s="19" t="s">
        <v>46</v>
      </c>
      <c r="F2944" s="19" t="s">
        <v>1122</v>
      </c>
      <c r="G2944" s="19" t="s">
        <v>1028</v>
      </c>
      <c r="H2944" s="19" t="s">
        <v>1020</v>
      </c>
      <c r="I2944" s="19" t="s">
        <v>1599</v>
      </c>
      <c r="J2944" s="20">
        <v>21</v>
      </c>
      <c r="K2944" t="s">
        <v>631</v>
      </c>
      <c r="L2944" t="s">
        <v>651</v>
      </c>
      <c r="M2944" t="s">
        <v>629</v>
      </c>
      <c r="N2944" t="s">
        <v>630</v>
      </c>
      <c r="O2944" t="s">
        <v>705</v>
      </c>
    </row>
    <row r="2945" spans="1:15" x14ac:dyDescent="0.35">
      <c r="A2945" s="77">
        <v>0.67671232876712328</v>
      </c>
      <c r="B2945" s="19">
        <v>98120</v>
      </c>
      <c r="C2945" s="19" t="s">
        <v>5245</v>
      </c>
      <c r="D2945" s="19" t="s">
        <v>429</v>
      </c>
      <c r="E2945" s="19" t="s">
        <v>429</v>
      </c>
      <c r="F2945" s="19" t="s">
        <v>1240</v>
      </c>
      <c r="G2945" s="19" t="s">
        <v>1057</v>
      </c>
      <c r="H2945" s="19" t="s">
        <v>1001</v>
      </c>
      <c r="I2945" s="19" t="s">
        <v>1599</v>
      </c>
      <c r="J2945" s="20">
        <v>24</v>
      </c>
      <c r="K2945" t="s">
        <v>654</v>
      </c>
      <c r="L2945" t="s">
        <v>678</v>
      </c>
      <c r="M2945" t="s">
        <v>623</v>
      </c>
      <c r="N2945" t="s">
        <v>624</v>
      </c>
      <c r="O2945" t="s">
        <v>679</v>
      </c>
    </row>
    <row r="2946" spans="1:15" x14ac:dyDescent="0.35">
      <c r="A2946" s="77">
        <v>0.68767123287671228</v>
      </c>
      <c r="B2946" s="19">
        <v>98122</v>
      </c>
      <c r="C2946" s="19" t="s">
        <v>5246</v>
      </c>
      <c r="D2946" s="19" t="s">
        <v>250</v>
      </c>
      <c r="E2946" s="19" t="s">
        <v>251</v>
      </c>
      <c r="F2946" s="19" t="s">
        <v>1126</v>
      </c>
      <c r="G2946" s="19" t="s">
        <v>3508</v>
      </c>
      <c r="H2946" s="19" t="s">
        <v>1020</v>
      </c>
      <c r="I2946" s="19" t="s">
        <v>1575</v>
      </c>
      <c r="J2946" s="20">
        <v>15</v>
      </c>
      <c r="K2946" t="s">
        <v>668</v>
      </c>
      <c r="L2946" t="s">
        <v>634</v>
      </c>
      <c r="M2946" t="s">
        <v>629</v>
      </c>
      <c r="N2946" t="s">
        <v>635</v>
      </c>
      <c r="O2946" t="s">
        <v>637</v>
      </c>
    </row>
    <row r="2947" spans="1:15" x14ac:dyDescent="0.35">
      <c r="A2947" s="77">
        <v>0.67671232876712328</v>
      </c>
      <c r="B2947" s="19">
        <v>98123</v>
      </c>
      <c r="C2947" s="19" t="s">
        <v>5247</v>
      </c>
      <c r="D2947" s="19" t="s">
        <v>39</v>
      </c>
      <c r="E2947" s="19" t="s">
        <v>39</v>
      </c>
      <c r="F2947" s="19" t="s">
        <v>1168</v>
      </c>
      <c r="G2947" s="19" t="s">
        <v>1057</v>
      </c>
      <c r="H2947" s="19" t="s">
        <v>1001</v>
      </c>
      <c r="I2947" s="19" t="s">
        <v>1575</v>
      </c>
      <c r="J2947" s="20">
        <v>27</v>
      </c>
      <c r="K2947" t="s">
        <v>636</v>
      </c>
      <c r="L2947" t="s">
        <v>661</v>
      </c>
      <c r="M2947" t="s">
        <v>657</v>
      </c>
      <c r="N2947" t="s">
        <v>662</v>
      </c>
      <c r="O2947" t="s">
        <v>632</v>
      </c>
    </row>
    <row r="2948" spans="1:15" x14ac:dyDescent="0.35">
      <c r="A2948" s="77">
        <v>0.70410958904109588</v>
      </c>
      <c r="B2948" s="19">
        <v>98130</v>
      </c>
      <c r="C2948" s="19" t="s">
        <v>5248</v>
      </c>
      <c r="D2948" s="19" t="s">
        <v>12</v>
      </c>
      <c r="E2948" s="19" t="s">
        <v>12</v>
      </c>
      <c r="F2948" s="19" t="s">
        <v>1145</v>
      </c>
      <c r="G2948" s="19" t="s">
        <v>3508</v>
      </c>
      <c r="H2948" s="19" t="s">
        <v>1020</v>
      </c>
      <c r="I2948" s="19" t="s">
        <v>1575</v>
      </c>
      <c r="J2948" s="20">
        <v>16</v>
      </c>
      <c r="K2948" t="s">
        <v>636</v>
      </c>
      <c r="L2948" t="s">
        <v>634</v>
      </c>
      <c r="M2948" t="s">
        <v>629</v>
      </c>
      <c r="N2948" t="s">
        <v>635</v>
      </c>
      <c r="O2948" t="s">
        <v>637</v>
      </c>
    </row>
    <row r="2949" spans="1:15" x14ac:dyDescent="0.35">
      <c r="A2949" s="77">
        <v>0.67945205479452053</v>
      </c>
      <c r="B2949" s="19">
        <v>98131</v>
      </c>
      <c r="C2949" s="19" t="s">
        <v>5249</v>
      </c>
      <c r="D2949" s="19" t="s">
        <v>266</v>
      </c>
      <c r="E2949" s="19" t="s">
        <v>267</v>
      </c>
      <c r="F2949" s="19" t="s">
        <v>2070</v>
      </c>
      <c r="G2949" s="19" t="s">
        <v>3508</v>
      </c>
      <c r="H2949" s="19" t="s">
        <v>1020</v>
      </c>
      <c r="I2949" s="19" t="s">
        <v>1575</v>
      </c>
      <c r="J2949" s="20">
        <v>16</v>
      </c>
      <c r="K2949" t="s">
        <v>636</v>
      </c>
      <c r="L2949" t="s">
        <v>634</v>
      </c>
      <c r="M2949" t="s">
        <v>629</v>
      </c>
      <c r="N2949" t="s">
        <v>635</v>
      </c>
      <c r="O2949" t="s">
        <v>637</v>
      </c>
    </row>
    <row r="2950" spans="1:15" x14ac:dyDescent="0.35">
      <c r="A2950" s="77">
        <v>0.67671232876712328</v>
      </c>
      <c r="B2950" s="19">
        <v>98132</v>
      </c>
      <c r="C2950" s="19" t="s">
        <v>5250</v>
      </c>
      <c r="D2950" s="19" t="s">
        <v>20</v>
      </c>
      <c r="E2950" s="19" t="s">
        <v>20</v>
      </c>
      <c r="F2950" s="19" t="s">
        <v>1133</v>
      </c>
      <c r="G2950" s="19" t="s">
        <v>3508</v>
      </c>
      <c r="H2950" s="19" t="s">
        <v>1020</v>
      </c>
      <c r="I2950" s="19" t="s">
        <v>1575</v>
      </c>
      <c r="J2950" s="20">
        <v>16</v>
      </c>
      <c r="K2950" t="s">
        <v>654</v>
      </c>
      <c r="L2950" t="s">
        <v>634</v>
      </c>
      <c r="M2950" t="s">
        <v>629</v>
      </c>
      <c r="N2950" t="s">
        <v>635</v>
      </c>
      <c r="O2950" t="s">
        <v>637</v>
      </c>
    </row>
    <row r="2951" spans="1:15" x14ac:dyDescent="0.35">
      <c r="A2951" s="77">
        <v>0.66301369863013704</v>
      </c>
      <c r="B2951" s="19">
        <v>98134</v>
      </c>
      <c r="C2951" s="19" t="s">
        <v>5251</v>
      </c>
      <c r="D2951" s="19" t="s">
        <v>247</v>
      </c>
      <c r="E2951" s="19" t="s">
        <v>248</v>
      </c>
      <c r="F2951" s="19" t="s">
        <v>1726</v>
      </c>
      <c r="G2951" s="19" t="s">
        <v>3508</v>
      </c>
      <c r="H2951" s="19" t="s">
        <v>1020</v>
      </c>
      <c r="I2951" s="19" t="s">
        <v>1599</v>
      </c>
      <c r="J2951" s="20">
        <v>17</v>
      </c>
      <c r="K2951" t="s">
        <v>668</v>
      </c>
      <c r="L2951" t="s">
        <v>634</v>
      </c>
      <c r="M2951" t="s">
        <v>629</v>
      </c>
      <c r="N2951" t="s">
        <v>635</v>
      </c>
      <c r="O2951" t="s">
        <v>637</v>
      </c>
    </row>
    <row r="2952" spans="1:15" x14ac:dyDescent="0.35">
      <c r="A2952" s="77">
        <v>0.70684931506849313</v>
      </c>
      <c r="B2952" s="19">
        <v>98135</v>
      </c>
      <c r="C2952" s="19" t="s">
        <v>5252</v>
      </c>
      <c r="D2952" s="19" t="s">
        <v>420</v>
      </c>
      <c r="E2952" s="19" t="s">
        <v>420</v>
      </c>
      <c r="F2952" s="19" t="s">
        <v>686</v>
      </c>
      <c r="G2952" s="19" t="s">
        <v>3508</v>
      </c>
      <c r="H2952" s="19" t="s">
        <v>1020</v>
      </c>
      <c r="I2952" s="19" t="s">
        <v>1575</v>
      </c>
      <c r="J2952" s="20">
        <v>16</v>
      </c>
      <c r="K2952" t="s">
        <v>631</v>
      </c>
      <c r="L2952" t="s">
        <v>634</v>
      </c>
      <c r="M2952" t="s">
        <v>629</v>
      </c>
      <c r="N2952" t="s">
        <v>635</v>
      </c>
      <c r="O2952" t="s">
        <v>637</v>
      </c>
    </row>
    <row r="2953" spans="1:15" x14ac:dyDescent="0.35">
      <c r="A2953" s="77">
        <v>0.67671232876712328</v>
      </c>
      <c r="B2953" s="19">
        <v>98137</v>
      </c>
      <c r="C2953" s="19" t="s">
        <v>5253</v>
      </c>
      <c r="D2953" s="19" t="s">
        <v>365</v>
      </c>
      <c r="E2953" s="19" t="s">
        <v>366</v>
      </c>
      <c r="F2953" s="19" t="s">
        <v>1117</v>
      </c>
      <c r="G2953" s="19" t="s">
        <v>1084</v>
      </c>
      <c r="H2953" s="19" t="s">
        <v>1001</v>
      </c>
      <c r="I2953" s="19" t="s">
        <v>1575</v>
      </c>
      <c r="J2953" s="20">
        <v>19</v>
      </c>
      <c r="K2953" t="s">
        <v>668</v>
      </c>
      <c r="L2953" t="s">
        <v>691</v>
      </c>
      <c r="M2953" t="s">
        <v>657</v>
      </c>
      <c r="N2953" t="s">
        <v>658</v>
      </c>
      <c r="O2953" t="s">
        <v>632</v>
      </c>
    </row>
    <row r="2954" spans="1:15" x14ac:dyDescent="0.35">
      <c r="A2954" s="77">
        <v>0.67671232876712328</v>
      </c>
      <c r="B2954" s="19">
        <v>98138</v>
      </c>
      <c r="C2954" s="19" t="s">
        <v>3566</v>
      </c>
      <c r="D2954" s="19" t="s">
        <v>153</v>
      </c>
      <c r="E2954" s="19" t="s">
        <v>154</v>
      </c>
      <c r="F2954" s="19" t="s">
        <v>2384</v>
      </c>
      <c r="G2954" s="19" t="s">
        <v>1028</v>
      </c>
      <c r="H2954" s="19" t="s">
        <v>1020</v>
      </c>
      <c r="I2954" s="19" t="s">
        <v>1575</v>
      </c>
      <c r="J2954" s="20">
        <v>25</v>
      </c>
      <c r="K2954" t="s">
        <v>654</v>
      </c>
      <c r="L2954" t="s">
        <v>762</v>
      </c>
      <c r="M2954" t="s">
        <v>629</v>
      </c>
      <c r="N2954" t="s">
        <v>646</v>
      </c>
      <c r="O2954" t="s">
        <v>763</v>
      </c>
    </row>
    <row r="2955" spans="1:15" x14ac:dyDescent="0.35">
      <c r="A2955" s="77">
        <v>0.67671232876712328</v>
      </c>
      <c r="B2955" s="19">
        <v>98141</v>
      </c>
      <c r="C2955" s="19" t="s">
        <v>5254</v>
      </c>
      <c r="D2955" s="19" t="s">
        <v>13</v>
      </c>
      <c r="E2955" s="19" t="s">
        <v>13</v>
      </c>
      <c r="F2955" s="19" t="s">
        <v>1467</v>
      </c>
      <c r="G2955" s="19" t="s">
        <v>1008</v>
      </c>
      <c r="H2955" s="19" t="s">
        <v>1001</v>
      </c>
      <c r="I2955" s="19" t="s">
        <v>1575</v>
      </c>
      <c r="J2955" s="20">
        <v>29</v>
      </c>
      <c r="K2955" t="s">
        <v>631</v>
      </c>
      <c r="L2955" t="s">
        <v>628</v>
      </c>
      <c r="M2955" t="s">
        <v>629</v>
      </c>
      <c r="N2955" t="s">
        <v>630</v>
      </c>
      <c r="O2955" t="s">
        <v>639</v>
      </c>
    </row>
    <row r="2956" spans="1:15" x14ac:dyDescent="0.35">
      <c r="A2956" s="77">
        <v>0.67397260273972603</v>
      </c>
      <c r="B2956" s="19">
        <v>98143</v>
      </c>
      <c r="C2956" s="19" t="s">
        <v>5255</v>
      </c>
      <c r="D2956" s="19" t="s">
        <v>268</v>
      </c>
      <c r="E2956" s="19" t="s">
        <v>269</v>
      </c>
      <c r="F2956" s="19" t="s">
        <v>2161</v>
      </c>
      <c r="G2956" s="19" t="s">
        <v>1057</v>
      </c>
      <c r="H2956" s="19" t="s">
        <v>1001</v>
      </c>
      <c r="I2956" s="19" t="s">
        <v>1575</v>
      </c>
      <c r="J2956" s="20">
        <v>29</v>
      </c>
      <c r="K2956" t="s">
        <v>654</v>
      </c>
      <c r="L2956" t="s">
        <v>666</v>
      </c>
      <c r="M2956" t="s">
        <v>629</v>
      </c>
      <c r="N2956" t="s">
        <v>635</v>
      </c>
      <c r="O2956" t="s">
        <v>637</v>
      </c>
    </row>
    <row r="2957" spans="1:15" x14ac:dyDescent="0.35">
      <c r="A2957" s="77">
        <v>0.67397260273972603</v>
      </c>
      <c r="B2957" s="19">
        <v>98144</v>
      </c>
      <c r="C2957" s="19" t="s">
        <v>5256</v>
      </c>
      <c r="D2957" s="19" t="s">
        <v>355</v>
      </c>
      <c r="E2957" s="19" t="s">
        <v>356</v>
      </c>
      <c r="F2957" s="19" t="s">
        <v>1100</v>
      </c>
      <c r="G2957" s="19" t="s">
        <v>1028</v>
      </c>
      <c r="H2957" s="19" t="s">
        <v>1020</v>
      </c>
      <c r="I2957" s="19" t="s">
        <v>1575</v>
      </c>
      <c r="J2957" s="20">
        <v>27</v>
      </c>
      <c r="K2957" t="s">
        <v>625</v>
      </c>
      <c r="L2957" t="s">
        <v>622</v>
      </c>
      <c r="M2957" t="s">
        <v>623</v>
      </c>
      <c r="N2957" t="s">
        <v>624</v>
      </c>
      <c r="O2957" t="s">
        <v>649</v>
      </c>
    </row>
    <row r="2958" spans="1:15" x14ac:dyDescent="0.35">
      <c r="A2958" s="77">
        <v>0.67945205479452053</v>
      </c>
      <c r="B2958" s="19">
        <v>98154</v>
      </c>
      <c r="C2958" s="19" t="s">
        <v>5257</v>
      </c>
      <c r="D2958" s="19" t="s">
        <v>266</v>
      </c>
      <c r="E2958" s="19" t="s">
        <v>267</v>
      </c>
      <c r="F2958" s="19" t="s">
        <v>2070</v>
      </c>
      <c r="G2958" s="19" t="s">
        <v>3508</v>
      </c>
      <c r="H2958" s="19" t="s">
        <v>1020</v>
      </c>
      <c r="I2958" s="19" t="s">
        <v>1575</v>
      </c>
      <c r="J2958" s="20">
        <v>16</v>
      </c>
      <c r="K2958" t="s">
        <v>636</v>
      </c>
      <c r="L2958" t="s">
        <v>634</v>
      </c>
      <c r="M2958" t="s">
        <v>629</v>
      </c>
      <c r="N2958" t="s">
        <v>635</v>
      </c>
      <c r="O2958" t="s">
        <v>637</v>
      </c>
    </row>
    <row r="2959" spans="1:15" x14ac:dyDescent="0.35">
      <c r="A2959" s="77">
        <v>0.66849315068493154</v>
      </c>
      <c r="B2959" s="19">
        <v>98155</v>
      </c>
      <c r="C2959" s="19" t="s">
        <v>5258</v>
      </c>
      <c r="D2959" s="19" t="s">
        <v>118</v>
      </c>
      <c r="E2959" s="19" t="s">
        <v>119</v>
      </c>
      <c r="F2959" s="19" t="s">
        <v>1360</v>
      </c>
      <c r="G2959" s="19" t="s">
        <v>1008</v>
      </c>
      <c r="H2959" s="19" t="s">
        <v>1001</v>
      </c>
      <c r="I2959" s="19" t="s">
        <v>1575</v>
      </c>
      <c r="J2959" s="20">
        <v>19</v>
      </c>
      <c r="K2959" t="s">
        <v>625</v>
      </c>
      <c r="L2959" t="s">
        <v>656</v>
      </c>
      <c r="M2959" t="s">
        <v>657</v>
      </c>
      <c r="N2959" t="s">
        <v>658</v>
      </c>
      <c r="O2959" t="s">
        <v>632</v>
      </c>
    </row>
    <row r="2960" spans="1:15" x14ac:dyDescent="0.35">
      <c r="A2960" s="77">
        <v>0.66849315068493154</v>
      </c>
      <c r="B2960" s="19">
        <v>98156</v>
      </c>
      <c r="C2960" s="19" t="s">
        <v>5259</v>
      </c>
      <c r="D2960" s="19" t="s">
        <v>118</v>
      </c>
      <c r="E2960" s="19" t="s">
        <v>119</v>
      </c>
      <c r="F2960" s="19" t="s">
        <v>1360</v>
      </c>
      <c r="G2960" s="19" t="s">
        <v>1028</v>
      </c>
      <c r="H2960" s="19" t="s">
        <v>1020</v>
      </c>
      <c r="I2960" s="19" t="s">
        <v>1575</v>
      </c>
      <c r="J2960" s="20">
        <v>19</v>
      </c>
      <c r="K2960" t="s">
        <v>625</v>
      </c>
      <c r="L2960" t="s">
        <v>656</v>
      </c>
      <c r="M2960" t="s">
        <v>657</v>
      </c>
      <c r="N2960" t="s">
        <v>658</v>
      </c>
      <c r="O2960" t="s">
        <v>632</v>
      </c>
    </row>
    <row r="2961" spans="1:15" x14ac:dyDescent="0.35">
      <c r="A2961" s="77">
        <v>0.67671232876712328</v>
      </c>
      <c r="B2961" s="19">
        <v>98160</v>
      </c>
      <c r="C2961" s="19" t="s">
        <v>5260</v>
      </c>
      <c r="D2961" s="19" t="s">
        <v>95</v>
      </c>
      <c r="E2961" s="19" t="s">
        <v>96</v>
      </c>
      <c r="F2961" s="19" t="s">
        <v>1188</v>
      </c>
      <c r="G2961" s="19" t="s">
        <v>3508</v>
      </c>
      <c r="H2961" s="19" t="s">
        <v>1020</v>
      </c>
      <c r="I2961" s="19" t="s">
        <v>1575</v>
      </c>
      <c r="J2961" s="20">
        <v>18</v>
      </c>
      <c r="K2961" t="s">
        <v>636</v>
      </c>
      <c r="L2961" t="s">
        <v>737</v>
      </c>
      <c r="M2961" t="s">
        <v>657</v>
      </c>
      <c r="N2961" t="s">
        <v>641</v>
      </c>
      <c r="O2961" t="s">
        <v>738</v>
      </c>
    </row>
    <row r="2962" spans="1:15" x14ac:dyDescent="0.35">
      <c r="A2962" s="77">
        <v>0.66301369863013704</v>
      </c>
      <c r="B2962" s="19">
        <v>98164</v>
      </c>
      <c r="C2962" s="19" t="s">
        <v>5261</v>
      </c>
      <c r="D2962" s="19" t="s">
        <v>349</v>
      </c>
      <c r="E2962" s="19" t="s">
        <v>350</v>
      </c>
      <c r="F2962" s="19" t="s">
        <v>912</v>
      </c>
      <c r="G2962" s="19" t="s">
        <v>1019</v>
      </c>
      <c r="H2962" s="19" t="s">
        <v>1020</v>
      </c>
      <c r="I2962" s="19" t="s">
        <v>1575</v>
      </c>
      <c r="J2962" s="20">
        <v>21</v>
      </c>
      <c r="K2962" t="s">
        <v>625</v>
      </c>
      <c r="L2962" t="s">
        <v>648</v>
      </c>
      <c r="M2962" t="s">
        <v>623</v>
      </c>
      <c r="N2962" t="s">
        <v>624</v>
      </c>
      <c r="O2962" t="s">
        <v>649</v>
      </c>
    </row>
    <row r="2963" spans="1:15" x14ac:dyDescent="0.35">
      <c r="A2963" s="77">
        <v>0.66301369863013704</v>
      </c>
      <c r="B2963" s="19">
        <v>98166</v>
      </c>
      <c r="C2963" s="19" t="s">
        <v>5262</v>
      </c>
      <c r="D2963" s="19" t="s">
        <v>169</v>
      </c>
      <c r="E2963" s="19" t="s">
        <v>170</v>
      </c>
      <c r="F2963" s="19" t="s">
        <v>1274</v>
      </c>
      <c r="G2963" s="19" t="s">
        <v>1028</v>
      </c>
      <c r="H2963" s="19" t="s">
        <v>1020</v>
      </c>
      <c r="I2963" s="19" t="s">
        <v>1575</v>
      </c>
      <c r="J2963" s="20">
        <v>22</v>
      </c>
      <c r="K2963" t="s">
        <v>631</v>
      </c>
      <c r="L2963" t="s">
        <v>670</v>
      </c>
      <c r="M2963" t="s">
        <v>657</v>
      </c>
      <c r="N2963" t="s">
        <v>641</v>
      </c>
      <c r="O2963" t="s">
        <v>772</v>
      </c>
    </row>
    <row r="2964" spans="1:15" x14ac:dyDescent="0.35">
      <c r="A2964" s="77">
        <v>0.66301369863013704</v>
      </c>
      <c r="B2964" s="19">
        <v>98167</v>
      </c>
      <c r="C2964" s="19" t="s">
        <v>5263</v>
      </c>
      <c r="D2964" s="19" t="s">
        <v>39</v>
      </c>
      <c r="E2964" s="19" t="s">
        <v>39</v>
      </c>
      <c r="F2964" s="19" t="s">
        <v>1168</v>
      </c>
      <c r="G2964" s="19" t="s">
        <v>1028</v>
      </c>
      <c r="H2964" s="19" t="s">
        <v>1020</v>
      </c>
      <c r="I2964" s="19" t="s">
        <v>1599</v>
      </c>
      <c r="J2964" s="20">
        <v>24</v>
      </c>
      <c r="K2964" t="s">
        <v>636</v>
      </c>
      <c r="L2964" t="s">
        <v>661</v>
      </c>
      <c r="M2964" t="s">
        <v>657</v>
      </c>
      <c r="N2964" t="s">
        <v>662</v>
      </c>
      <c r="O2964" t="s">
        <v>632</v>
      </c>
    </row>
    <row r="2965" spans="1:15" x14ac:dyDescent="0.35">
      <c r="A2965" s="77">
        <v>0.66301369863013704</v>
      </c>
      <c r="B2965" s="19">
        <v>98168</v>
      </c>
      <c r="C2965" s="19" t="s">
        <v>5264</v>
      </c>
      <c r="D2965" s="19" t="s">
        <v>169</v>
      </c>
      <c r="E2965" s="19" t="s">
        <v>170</v>
      </c>
      <c r="F2965" s="19" t="s">
        <v>1274</v>
      </c>
      <c r="G2965" s="19" t="s">
        <v>1028</v>
      </c>
      <c r="H2965" s="19" t="s">
        <v>1020</v>
      </c>
      <c r="I2965" s="19" t="s">
        <v>1575</v>
      </c>
      <c r="J2965" s="20">
        <v>23</v>
      </c>
      <c r="K2965" t="s">
        <v>631</v>
      </c>
      <c r="L2965" t="s">
        <v>670</v>
      </c>
      <c r="M2965" t="s">
        <v>657</v>
      </c>
      <c r="N2965" t="s">
        <v>641</v>
      </c>
      <c r="O2965" t="s">
        <v>772</v>
      </c>
    </row>
    <row r="2966" spans="1:15" x14ac:dyDescent="0.35">
      <c r="A2966" s="77">
        <v>0.66301369863013704</v>
      </c>
      <c r="B2966" s="19">
        <v>98171</v>
      </c>
      <c r="C2966" s="19" t="s">
        <v>5265</v>
      </c>
      <c r="D2966" s="19" t="s">
        <v>295</v>
      </c>
      <c r="E2966" s="19" t="s">
        <v>296</v>
      </c>
      <c r="F2966" s="19" t="s">
        <v>1095</v>
      </c>
      <c r="G2966" s="19" t="s">
        <v>1028</v>
      </c>
      <c r="H2966" s="19" t="s">
        <v>1020</v>
      </c>
      <c r="I2966" s="19" t="s">
        <v>1575</v>
      </c>
      <c r="J2966" s="20">
        <v>22</v>
      </c>
      <c r="K2966" t="s">
        <v>654</v>
      </c>
      <c r="L2966" t="s">
        <v>651</v>
      </c>
      <c r="M2966" t="s">
        <v>629</v>
      </c>
      <c r="N2966" t="s">
        <v>630</v>
      </c>
      <c r="O2966" t="s">
        <v>705</v>
      </c>
    </row>
    <row r="2967" spans="1:15" x14ac:dyDescent="0.35">
      <c r="A2967" s="77">
        <v>0.66301369863013704</v>
      </c>
      <c r="B2967" s="19">
        <v>98174</v>
      </c>
      <c r="C2967" s="19" t="s">
        <v>5266</v>
      </c>
      <c r="D2967" s="19" t="s">
        <v>8</v>
      </c>
      <c r="E2967" s="19" t="s">
        <v>8</v>
      </c>
      <c r="F2967" s="19" t="s">
        <v>1176</v>
      </c>
      <c r="G2967" s="19" t="s">
        <v>1028</v>
      </c>
      <c r="H2967" s="19" t="s">
        <v>1020</v>
      </c>
      <c r="I2967" s="19" t="s">
        <v>1575</v>
      </c>
      <c r="J2967" s="20">
        <v>23</v>
      </c>
      <c r="K2967" t="s">
        <v>625</v>
      </c>
      <c r="L2967" t="s">
        <v>622</v>
      </c>
      <c r="M2967" t="s">
        <v>623</v>
      </c>
      <c r="N2967" t="s">
        <v>624</v>
      </c>
      <c r="O2967" t="s">
        <v>626</v>
      </c>
    </row>
    <row r="2968" spans="1:15" x14ac:dyDescent="0.35">
      <c r="A2968" s="77">
        <v>0.66301369863013704</v>
      </c>
      <c r="B2968" s="19">
        <v>98175</v>
      </c>
      <c r="C2968" s="19" t="s">
        <v>5267</v>
      </c>
      <c r="D2968" s="19" t="s">
        <v>351</v>
      </c>
      <c r="E2968" s="19" t="s">
        <v>352</v>
      </c>
      <c r="F2968" s="19" t="s">
        <v>1507</v>
      </c>
      <c r="G2968" s="19" t="s">
        <v>1028</v>
      </c>
      <c r="H2968" s="19" t="s">
        <v>1020</v>
      </c>
      <c r="I2968" s="19" t="s">
        <v>1575</v>
      </c>
      <c r="J2968" s="20">
        <v>23</v>
      </c>
      <c r="K2968" t="s">
        <v>636</v>
      </c>
      <c r="L2968" t="s">
        <v>661</v>
      </c>
      <c r="M2968" t="s">
        <v>657</v>
      </c>
      <c r="N2968" t="s">
        <v>662</v>
      </c>
      <c r="O2968" t="s">
        <v>632</v>
      </c>
    </row>
    <row r="2969" spans="1:15" x14ac:dyDescent="0.35">
      <c r="A2969" s="77">
        <v>0.66301369863013704</v>
      </c>
      <c r="B2969" s="19">
        <v>98179</v>
      </c>
      <c r="C2969" s="19" t="s">
        <v>5268</v>
      </c>
      <c r="D2969" s="19" t="s">
        <v>126</v>
      </c>
      <c r="E2969" s="19" t="s">
        <v>127</v>
      </c>
      <c r="F2969" s="19" t="s">
        <v>1152</v>
      </c>
      <c r="G2969" s="19" t="s">
        <v>1019</v>
      </c>
      <c r="H2969" s="19" t="s">
        <v>1020</v>
      </c>
      <c r="I2969" s="19" t="s">
        <v>1575</v>
      </c>
      <c r="J2969" s="20">
        <v>23</v>
      </c>
      <c r="K2969" t="s">
        <v>654</v>
      </c>
      <c r="L2969" t="s">
        <v>628</v>
      </c>
      <c r="M2969" t="s">
        <v>629</v>
      </c>
      <c r="N2969" t="s">
        <v>630</v>
      </c>
      <c r="O2969" t="s">
        <v>632</v>
      </c>
    </row>
    <row r="2970" spans="1:15" x14ac:dyDescent="0.35">
      <c r="A2970" s="77">
        <v>0.66301369863013704</v>
      </c>
      <c r="B2970" s="19">
        <v>98181</v>
      </c>
      <c r="C2970" s="19" t="s">
        <v>5269</v>
      </c>
      <c r="D2970" s="19" t="s">
        <v>333</v>
      </c>
      <c r="E2970" s="19" t="s">
        <v>334</v>
      </c>
      <c r="F2970" s="19" t="s">
        <v>1333</v>
      </c>
      <c r="G2970" s="19" t="s">
        <v>1019</v>
      </c>
      <c r="H2970" s="19" t="s">
        <v>1020</v>
      </c>
      <c r="I2970" s="19" t="s">
        <v>1575</v>
      </c>
      <c r="J2970" s="20">
        <v>26</v>
      </c>
      <c r="K2970" t="s">
        <v>636</v>
      </c>
      <c r="L2970" t="s">
        <v>666</v>
      </c>
      <c r="M2970" t="s">
        <v>629</v>
      </c>
      <c r="N2970" t="s">
        <v>630</v>
      </c>
      <c r="O2970" t="s">
        <v>652</v>
      </c>
    </row>
    <row r="2971" spans="1:15" x14ac:dyDescent="0.35">
      <c r="A2971" s="77">
        <v>0.66301369863013704</v>
      </c>
      <c r="B2971" s="19">
        <v>98182</v>
      </c>
      <c r="C2971" s="19" t="s">
        <v>5270</v>
      </c>
      <c r="D2971" s="19" t="s">
        <v>271</v>
      </c>
      <c r="E2971" s="19" t="s">
        <v>272</v>
      </c>
      <c r="F2971" s="19" t="s">
        <v>2611</v>
      </c>
      <c r="G2971" s="19" t="s">
        <v>1057</v>
      </c>
      <c r="H2971" s="19" t="s">
        <v>1001</v>
      </c>
      <c r="I2971" s="19" t="s">
        <v>1575</v>
      </c>
      <c r="J2971" s="20">
        <v>25</v>
      </c>
      <c r="K2971" t="s">
        <v>654</v>
      </c>
      <c r="L2971" t="s">
        <v>666</v>
      </c>
      <c r="M2971" t="s">
        <v>629</v>
      </c>
      <c r="N2971" t="s">
        <v>635</v>
      </c>
      <c r="O2971" t="s">
        <v>739</v>
      </c>
    </row>
    <row r="2972" spans="1:15" x14ac:dyDescent="0.35">
      <c r="A2972" s="77">
        <v>0.66301369863013704</v>
      </c>
      <c r="B2972" s="19">
        <v>98199</v>
      </c>
      <c r="C2972" s="19" t="s">
        <v>5271</v>
      </c>
      <c r="D2972" s="19" t="s">
        <v>422</v>
      </c>
      <c r="E2972" s="19" t="s">
        <v>422</v>
      </c>
      <c r="F2972" s="19" t="s">
        <v>423</v>
      </c>
      <c r="G2972" s="19" t="s">
        <v>1028</v>
      </c>
      <c r="H2972" s="19" t="s">
        <v>1020</v>
      </c>
      <c r="I2972" s="19" t="s">
        <v>1575</v>
      </c>
      <c r="J2972" s="20">
        <v>20</v>
      </c>
      <c r="K2972" t="s">
        <v>654</v>
      </c>
      <c r="L2972" t="s">
        <v>673</v>
      </c>
      <c r="M2972" t="s">
        <v>623</v>
      </c>
      <c r="N2972" t="s">
        <v>641</v>
      </c>
      <c r="O2972" t="s">
        <v>697</v>
      </c>
    </row>
    <row r="2973" spans="1:15" x14ac:dyDescent="0.35">
      <c r="A2973" s="77">
        <v>0.66301369863013704</v>
      </c>
      <c r="B2973" s="19">
        <v>98201</v>
      </c>
      <c r="C2973" s="19" t="s">
        <v>5272</v>
      </c>
      <c r="D2973" s="19" t="s">
        <v>330</v>
      </c>
      <c r="E2973" s="19" t="s">
        <v>331</v>
      </c>
      <c r="F2973" s="19" t="s">
        <v>332</v>
      </c>
      <c r="G2973" s="19" t="s">
        <v>1019</v>
      </c>
      <c r="H2973" s="19" t="s">
        <v>1020</v>
      </c>
      <c r="I2973" s="19" t="s">
        <v>1599</v>
      </c>
      <c r="J2973" s="20">
        <v>20</v>
      </c>
      <c r="K2973" t="s">
        <v>636</v>
      </c>
      <c r="L2973" t="s">
        <v>762</v>
      </c>
      <c r="M2973" t="s">
        <v>629</v>
      </c>
      <c r="N2973" t="s">
        <v>646</v>
      </c>
      <c r="O2973" t="s">
        <v>839</v>
      </c>
    </row>
    <row r="2974" spans="1:15" x14ac:dyDescent="0.35">
      <c r="A2974" s="77">
        <v>0.66301369863013704</v>
      </c>
      <c r="B2974" s="19">
        <v>98202</v>
      </c>
      <c r="C2974" s="19" t="s">
        <v>5273</v>
      </c>
      <c r="D2974" s="19" t="s">
        <v>153</v>
      </c>
      <c r="E2974" s="19" t="s">
        <v>154</v>
      </c>
      <c r="F2974" s="19" t="s">
        <v>2384</v>
      </c>
      <c r="G2974" s="19" t="s">
        <v>1028</v>
      </c>
      <c r="H2974" s="19" t="s">
        <v>1020</v>
      </c>
      <c r="I2974" s="19" t="s">
        <v>1575</v>
      </c>
      <c r="J2974" s="20">
        <v>24</v>
      </c>
      <c r="K2974" t="s">
        <v>654</v>
      </c>
      <c r="L2974" t="s">
        <v>762</v>
      </c>
      <c r="M2974" t="s">
        <v>629</v>
      </c>
      <c r="N2974" t="s">
        <v>646</v>
      </c>
      <c r="O2974" t="s">
        <v>763</v>
      </c>
    </row>
    <row r="2975" spans="1:15" x14ac:dyDescent="0.35">
      <c r="A2975" s="77">
        <v>0.66301369863013704</v>
      </c>
      <c r="B2975" s="19">
        <v>98204</v>
      </c>
      <c r="C2975" s="19" t="s">
        <v>5274</v>
      </c>
      <c r="D2975" s="19" t="s">
        <v>239</v>
      </c>
      <c r="E2975" s="19" t="s">
        <v>240</v>
      </c>
      <c r="F2975" s="19" t="s">
        <v>798</v>
      </c>
      <c r="G2975" s="19" t="s">
        <v>1028</v>
      </c>
      <c r="H2975" s="19" t="s">
        <v>1020</v>
      </c>
      <c r="I2975" s="19" t="s">
        <v>1599</v>
      </c>
      <c r="J2975" s="20">
        <v>19</v>
      </c>
      <c r="K2975" t="s">
        <v>636</v>
      </c>
      <c r="L2975" t="s">
        <v>628</v>
      </c>
      <c r="M2975" t="s">
        <v>629</v>
      </c>
      <c r="N2975" t="s">
        <v>646</v>
      </c>
      <c r="O2975" t="s">
        <v>632</v>
      </c>
    </row>
    <row r="2976" spans="1:15" x14ac:dyDescent="0.35">
      <c r="A2976" s="77">
        <v>0.66301369863013704</v>
      </c>
      <c r="B2976" s="19">
        <v>98205</v>
      </c>
      <c r="C2976" s="19" t="s">
        <v>5275</v>
      </c>
      <c r="D2976" s="19" t="s">
        <v>430</v>
      </c>
      <c r="E2976" s="19" t="e">
        <v>#N/A</v>
      </c>
      <c r="F2976" s="19" t="s">
        <v>1105</v>
      </c>
      <c r="G2976" s="19" t="s">
        <v>1028</v>
      </c>
      <c r="H2976" s="19" t="s">
        <v>1020</v>
      </c>
      <c r="I2976" s="19" t="s">
        <v>1575</v>
      </c>
      <c r="J2976" s="20">
        <v>20</v>
      </c>
      <c r="K2976" t="s">
        <v>654</v>
      </c>
      <c r="L2976" t="s">
        <v>645</v>
      </c>
      <c r="M2976" t="s">
        <v>629</v>
      </c>
      <c r="N2976" t="s">
        <v>646</v>
      </c>
      <c r="O2976" t="s">
        <v>632</v>
      </c>
    </row>
    <row r="2977" spans="1:15" x14ac:dyDescent="0.35">
      <c r="A2977" s="77">
        <v>0.66027397260273968</v>
      </c>
      <c r="B2977" s="19">
        <v>98214</v>
      </c>
      <c r="C2977" s="19" t="s">
        <v>5276</v>
      </c>
      <c r="D2977" s="19" t="s">
        <v>183</v>
      </c>
      <c r="E2977" s="19" t="s">
        <v>184</v>
      </c>
      <c r="F2977" s="19" t="s">
        <v>1532</v>
      </c>
      <c r="G2977" s="19" t="s">
        <v>1019</v>
      </c>
      <c r="H2977" s="19" t="s">
        <v>1020</v>
      </c>
      <c r="I2977" s="19" t="s">
        <v>1575</v>
      </c>
      <c r="J2977" s="20">
        <v>24</v>
      </c>
      <c r="K2977" t="s">
        <v>654</v>
      </c>
      <c r="L2977" t="s">
        <v>648</v>
      </c>
      <c r="M2977" t="s">
        <v>623</v>
      </c>
      <c r="N2977" t="s">
        <v>624</v>
      </c>
      <c r="O2977" t="s">
        <v>725</v>
      </c>
    </row>
    <row r="2978" spans="1:15" x14ac:dyDescent="0.35">
      <c r="A2978" s="77">
        <v>0.66027397260273968</v>
      </c>
      <c r="B2978" s="19">
        <v>98217</v>
      </c>
      <c r="C2978" s="19" t="s">
        <v>5277</v>
      </c>
      <c r="D2978" s="19" t="s">
        <v>8</v>
      </c>
      <c r="E2978" s="19" t="s">
        <v>8</v>
      </c>
      <c r="F2978" s="19" t="s">
        <v>1176</v>
      </c>
      <c r="G2978" s="19" t="s">
        <v>1008</v>
      </c>
      <c r="H2978" s="19" t="s">
        <v>1001</v>
      </c>
      <c r="I2978" s="19" t="s">
        <v>1575</v>
      </c>
      <c r="J2978" s="20">
        <v>26</v>
      </c>
      <c r="K2978" t="s">
        <v>625</v>
      </c>
      <c r="L2978" t="s">
        <v>622</v>
      </c>
      <c r="M2978" t="s">
        <v>623</v>
      </c>
      <c r="N2978" t="s">
        <v>624</v>
      </c>
      <c r="O2978" t="s">
        <v>626</v>
      </c>
    </row>
    <row r="2979" spans="1:15" x14ac:dyDescent="0.35">
      <c r="A2979" s="77">
        <v>0.70684931506849313</v>
      </c>
      <c r="B2979" s="19">
        <v>98218</v>
      </c>
      <c r="C2979" s="19" t="s">
        <v>5278</v>
      </c>
      <c r="D2979" s="19" t="s">
        <v>153</v>
      </c>
      <c r="E2979" s="19" t="s">
        <v>154</v>
      </c>
      <c r="F2979" s="19" t="s">
        <v>2384</v>
      </c>
      <c r="G2979" s="19" t="s">
        <v>3508</v>
      </c>
      <c r="H2979" s="19" t="s">
        <v>1020</v>
      </c>
      <c r="I2979" s="19" t="s">
        <v>1575</v>
      </c>
      <c r="J2979" s="20">
        <v>17</v>
      </c>
      <c r="K2979" t="s">
        <v>654</v>
      </c>
      <c r="L2979" t="s">
        <v>762</v>
      </c>
      <c r="M2979" t="s">
        <v>629</v>
      </c>
      <c r="N2979" t="s">
        <v>646</v>
      </c>
      <c r="O2979" t="s">
        <v>763</v>
      </c>
    </row>
    <row r="2980" spans="1:15" x14ac:dyDescent="0.35">
      <c r="A2980" s="77">
        <v>0.70684931506849313</v>
      </c>
      <c r="B2980" s="19">
        <v>98226</v>
      </c>
      <c r="C2980" s="19" t="s">
        <v>5279</v>
      </c>
      <c r="D2980" s="19" t="s">
        <v>153</v>
      </c>
      <c r="E2980" s="19" t="s">
        <v>154</v>
      </c>
      <c r="F2980" s="19" t="s">
        <v>2384</v>
      </c>
      <c r="G2980" s="19" t="s">
        <v>3508</v>
      </c>
      <c r="H2980" s="19" t="s">
        <v>1020</v>
      </c>
      <c r="I2980" s="19" t="s">
        <v>1599</v>
      </c>
      <c r="J2980" s="20">
        <v>17</v>
      </c>
      <c r="K2980" t="s">
        <v>654</v>
      </c>
      <c r="L2980" t="s">
        <v>762</v>
      </c>
      <c r="M2980" t="s">
        <v>629</v>
      </c>
      <c r="N2980" t="s">
        <v>646</v>
      </c>
      <c r="O2980" t="s">
        <v>763</v>
      </c>
    </row>
    <row r="2981" spans="1:15" x14ac:dyDescent="0.35">
      <c r="A2981" s="77">
        <v>0.66027397260273968</v>
      </c>
      <c r="B2981" s="19">
        <v>98228</v>
      </c>
      <c r="C2981" s="19" t="s">
        <v>5280</v>
      </c>
      <c r="D2981" s="19" t="s">
        <v>93</v>
      </c>
      <c r="E2981" s="19" t="s">
        <v>94</v>
      </c>
      <c r="F2981" s="19" t="s">
        <v>919</v>
      </c>
      <c r="G2981" s="19" t="s">
        <v>1019</v>
      </c>
      <c r="H2981" s="19" t="s">
        <v>1020</v>
      </c>
      <c r="I2981" s="19" t="s">
        <v>1575</v>
      </c>
      <c r="J2981" s="20">
        <v>23</v>
      </c>
      <c r="K2981" t="s">
        <v>654</v>
      </c>
      <c r="L2981" t="s">
        <v>691</v>
      </c>
      <c r="M2981" t="s">
        <v>657</v>
      </c>
      <c r="N2981" t="s">
        <v>658</v>
      </c>
      <c r="O2981" t="s">
        <v>632</v>
      </c>
    </row>
    <row r="2982" spans="1:15" x14ac:dyDescent="0.35">
      <c r="A2982" s="77">
        <v>0.66301369863013704</v>
      </c>
      <c r="B2982" s="19">
        <v>98232</v>
      </c>
      <c r="C2982" s="19" t="s">
        <v>5281</v>
      </c>
      <c r="D2982" s="19" t="s">
        <v>42</v>
      </c>
      <c r="E2982" s="19" t="s">
        <v>42</v>
      </c>
      <c r="F2982" s="19" t="s">
        <v>1262</v>
      </c>
      <c r="G2982" s="19" t="s">
        <v>1028</v>
      </c>
      <c r="H2982" s="19" t="s">
        <v>1020</v>
      </c>
      <c r="I2982" s="19" t="s">
        <v>1575</v>
      </c>
      <c r="J2982" s="20">
        <v>24</v>
      </c>
      <c r="K2982" t="s">
        <v>625</v>
      </c>
      <c r="L2982" t="s">
        <v>628</v>
      </c>
      <c r="M2982" t="s">
        <v>629</v>
      </c>
      <c r="N2982" t="s">
        <v>630</v>
      </c>
      <c r="O2982" t="s">
        <v>632</v>
      </c>
    </row>
    <row r="2983" spans="1:15" x14ac:dyDescent="0.35">
      <c r="A2983" s="77">
        <v>0.66301369863013704</v>
      </c>
      <c r="B2983" s="19">
        <v>98235</v>
      </c>
      <c r="C2983" s="19" t="s">
        <v>5282</v>
      </c>
      <c r="D2983" s="19" t="s">
        <v>328</v>
      </c>
      <c r="E2983" s="19" t="s">
        <v>329</v>
      </c>
      <c r="F2983" s="19" t="s">
        <v>838</v>
      </c>
      <c r="G2983" s="19" t="s">
        <v>1019</v>
      </c>
      <c r="H2983" s="19" t="s">
        <v>1020</v>
      </c>
      <c r="I2983" s="19" t="s">
        <v>1575</v>
      </c>
      <c r="J2983" s="20">
        <v>28</v>
      </c>
      <c r="K2983" t="s">
        <v>631</v>
      </c>
      <c r="L2983" t="s">
        <v>645</v>
      </c>
      <c r="M2983" t="s">
        <v>629</v>
      </c>
      <c r="N2983" t="s">
        <v>646</v>
      </c>
      <c r="O2983" t="s">
        <v>632</v>
      </c>
    </row>
    <row r="2984" spans="1:15" x14ac:dyDescent="0.35">
      <c r="A2984" s="77">
        <v>0.66301369863013704</v>
      </c>
      <c r="B2984" s="19">
        <v>98238</v>
      </c>
      <c r="C2984" s="19" t="s">
        <v>5283</v>
      </c>
      <c r="D2984" s="19" t="s">
        <v>258</v>
      </c>
      <c r="E2984" s="19" t="s">
        <v>259</v>
      </c>
      <c r="F2984" s="19" t="s">
        <v>1349</v>
      </c>
      <c r="G2984" s="19" t="s">
        <v>1028</v>
      </c>
      <c r="H2984" s="19" t="s">
        <v>1020</v>
      </c>
      <c r="I2984" s="19" t="s">
        <v>1575</v>
      </c>
      <c r="J2984" s="20">
        <v>19</v>
      </c>
      <c r="K2984" t="s">
        <v>668</v>
      </c>
      <c r="L2984" t="s">
        <v>691</v>
      </c>
      <c r="M2984" t="s">
        <v>657</v>
      </c>
      <c r="N2984" t="s">
        <v>658</v>
      </c>
      <c r="O2984" t="s">
        <v>632</v>
      </c>
    </row>
    <row r="2985" spans="1:15" x14ac:dyDescent="0.35">
      <c r="A2985" s="77">
        <v>0.65753424657534243</v>
      </c>
      <c r="B2985" s="19">
        <v>98241</v>
      </c>
      <c r="C2985" s="19" t="s">
        <v>5284</v>
      </c>
      <c r="D2985" s="19" t="s">
        <v>41</v>
      </c>
      <c r="E2985" s="19" t="s">
        <v>41</v>
      </c>
      <c r="F2985" s="19" t="s">
        <v>1157</v>
      </c>
      <c r="G2985" s="19" t="s">
        <v>1028</v>
      </c>
      <c r="H2985" s="19" t="s">
        <v>1020</v>
      </c>
      <c r="I2985" s="19" t="s">
        <v>1599</v>
      </c>
      <c r="J2985" s="20">
        <v>16</v>
      </c>
      <c r="K2985" t="s">
        <v>625</v>
      </c>
      <c r="L2985" t="s">
        <v>691</v>
      </c>
      <c r="M2985" t="s">
        <v>657</v>
      </c>
      <c r="N2985" t="s">
        <v>658</v>
      </c>
      <c r="O2985" t="s">
        <v>632</v>
      </c>
    </row>
    <row r="2986" spans="1:15" x14ac:dyDescent="0.35">
      <c r="A2986" s="77">
        <v>0.65753424657534243</v>
      </c>
      <c r="B2986" s="19">
        <v>98243</v>
      </c>
      <c r="C2986" s="19" t="s">
        <v>5285</v>
      </c>
      <c r="D2986" s="19" t="s">
        <v>237</v>
      </c>
      <c r="E2986" s="19" t="s">
        <v>238</v>
      </c>
      <c r="F2986" s="19" t="s">
        <v>1070</v>
      </c>
      <c r="G2986" s="19" t="s">
        <v>1028</v>
      </c>
      <c r="H2986" s="19" t="s">
        <v>1020</v>
      </c>
      <c r="I2986" s="19" t="s">
        <v>1575</v>
      </c>
      <c r="J2986" s="20">
        <v>24</v>
      </c>
      <c r="K2986" t="s">
        <v>631</v>
      </c>
      <c r="L2986" t="s">
        <v>661</v>
      </c>
      <c r="M2986" t="s">
        <v>657</v>
      </c>
      <c r="N2986" t="s">
        <v>662</v>
      </c>
      <c r="O2986" t="s">
        <v>632</v>
      </c>
    </row>
    <row r="2987" spans="1:15" x14ac:dyDescent="0.35">
      <c r="A2987" s="77">
        <v>0.65753424657534243</v>
      </c>
      <c r="B2987" s="19">
        <v>98246</v>
      </c>
      <c r="C2987" s="19" t="s">
        <v>5286</v>
      </c>
      <c r="D2987" s="19" t="s">
        <v>41</v>
      </c>
      <c r="E2987" s="19" t="s">
        <v>41</v>
      </c>
      <c r="F2987" s="19" t="s">
        <v>1157</v>
      </c>
      <c r="G2987" s="19" t="s">
        <v>1008</v>
      </c>
      <c r="H2987" s="19" t="s">
        <v>1001</v>
      </c>
      <c r="I2987" s="19" t="s">
        <v>1575</v>
      </c>
      <c r="J2987" s="20">
        <v>22</v>
      </c>
      <c r="K2987" t="s">
        <v>625</v>
      </c>
      <c r="L2987" t="s">
        <v>691</v>
      </c>
      <c r="M2987" t="s">
        <v>657</v>
      </c>
      <c r="N2987" t="s">
        <v>658</v>
      </c>
      <c r="O2987" t="s">
        <v>632</v>
      </c>
    </row>
    <row r="2988" spans="1:15" x14ac:dyDescent="0.35">
      <c r="A2988" s="77">
        <v>0.66027397260273968</v>
      </c>
      <c r="B2988" s="19">
        <v>98248</v>
      </c>
      <c r="C2988" s="19" t="s">
        <v>5287</v>
      </c>
      <c r="D2988" s="19" t="s">
        <v>258</v>
      </c>
      <c r="E2988" s="19" t="s">
        <v>259</v>
      </c>
      <c r="F2988" s="19" t="s">
        <v>1349</v>
      </c>
      <c r="G2988" s="19" t="s">
        <v>3508</v>
      </c>
      <c r="H2988" s="19" t="s">
        <v>1020</v>
      </c>
      <c r="I2988" s="19" t="s">
        <v>1575</v>
      </c>
      <c r="J2988" s="20">
        <v>17</v>
      </c>
      <c r="K2988" t="s">
        <v>668</v>
      </c>
      <c r="L2988" t="s">
        <v>691</v>
      </c>
      <c r="M2988" t="s">
        <v>657</v>
      </c>
      <c r="N2988" t="s">
        <v>658</v>
      </c>
      <c r="O2988" t="s">
        <v>632</v>
      </c>
    </row>
    <row r="2989" spans="1:15" x14ac:dyDescent="0.35">
      <c r="A2989" s="77">
        <v>0.66301369863013704</v>
      </c>
      <c r="B2989" s="19">
        <v>98253</v>
      </c>
      <c r="C2989" s="19" t="s">
        <v>5288</v>
      </c>
      <c r="D2989" s="19" t="s">
        <v>371</v>
      </c>
      <c r="E2989" s="19" t="s">
        <v>372</v>
      </c>
      <c r="F2989" s="19" t="s">
        <v>2222</v>
      </c>
      <c r="G2989" s="19" t="s">
        <v>1028</v>
      </c>
      <c r="H2989" s="19" t="s">
        <v>1020</v>
      </c>
      <c r="I2989" s="19" t="s">
        <v>1575</v>
      </c>
      <c r="J2989" s="20">
        <v>23</v>
      </c>
      <c r="K2989" t="s">
        <v>668</v>
      </c>
      <c r="L2989" t="s">
        <v>640</v>
      </c>
      <c r="M2989" t="s">
        <v>623</v>
      </c>
      <c r="N2989" t="s">
        <v>641</v>
      </c>
      <c r="O2989" t="s">
        <v>859</v>
      </c>
    </row>
    <row r="2990" spans="1:15" x14ac:dyDescent="0.35">
      <c r="A2990" s="77">
        <v>0.66301369863013704</v>
      </c>
      <c r="B2990" s="19">
        <v>98257</v>
      </c>
      <c r="C2990" s="19" t="s">
        <v>5289</v>
      </c>
      <c r="D2990" s="19" t="s">
        <v>16</v>
      </c>
      <c r="E2990" s="19" t="s">
        <v>16</v>
      </c>
      <c r="F2990" s="19" t="s">
        <v>1211</v>
      </c>
      <c r="G2990" s="19" t="s">
        <v>1008</v>
      </c>
      <c r="H2990" s="19" t="s">
        <v>1001</v>
      </c>
      <c r="I2990" s="19" t="s">
        <v>1575</v>
      </c>
      <c r="J2990" s="20">
        <v>25</v>
      </c>
      <c r="K2990" t="s">
        <v>631</v>
      </c>
      <c r="L2990" t="s">
        <v>645</v>
      </c>
      <c r="M2990" t="s">
        <v>629</v>
      </c>
      <c r="N2990" t="s">
        <v>646</v>
      </c>
      <c r="O2990" t="s">
        <v>632</v>
      </c>
    </row>
    <row r="2991" spans="1:15" x14ac:dyDescent="0.35">
      <c r="A2991" s="77">
        <v>0.66027397260273968</v>
      </c>
      <c r="B2991" s="19">
        <v>98259</v>
      </c>
      <c r="C2991" s="19" t="s">
        <v>5290</v>
      </c>
      <c r="D2991" s="19" t="s">
        <v>130</v>
      </c>
      <c r="E2991" s="19" t="s">
        <v>131</v>
      </c>
      <c r="F2991" s="19" t="s">
        <v>1693</v>
      </c>
      <c r="G2991" s="19" t="s">
        <v>1028</v>
      </c>
      <c r="H2991" s="19" t="s">
        <v>1020</v>
      </c>
      <c r="I2991" s="19" t="s">
        <v>1575</v>
      </c>
      <c r="J2991" s="20">
        <v>19</v>
      </c>
      <c r="K2991" t="s">
        <v>654</v>
      </c>
      <c r="L2991" t="s">
        <v>670</v>
      </c>
      <c r="M2991" t="s">
        <v>657</v>
      </c>
      <c r="N2991" t="s">
        <v>641</v>
      </c>
      <c r="O2991" t="s">
        <v>752</v>
      </c>
    </row>
    <row r="2992" spans="1:15" x14ac:dyDescent="0.35">
      <c r="A2992" s="77">
        <v>0.66301369863013704</v>
      </c>
      <c r="B2992" s="19">
        <v>98260</v>
      </c>
      <c r="C2992" s="19" t="s">
        <v>5291</v>
      </c>
      <c r="D2992" s="19" t="s">
        <v>379</v>
      </c>
      <c r="E2992" s="19" t="s">
        <v>380</v>
      </c>
      <c r="F2992" s="19" t="s">
        <v>381</v>
      </c>
      <c r="G2992" s="19" t="s">
        <v>1008</v>
      </c>
      <c r="H2992" s="19" t="s">
        <v>1001</v>
      </c>
      <c r="I2992" s="19" t="s">
        <v>1575</v>
      </c>
      <c r="J2992" s="20">
        <v>22</v>
      </c>
      <c r="K2992" t="s">
        <v>636</v>
      </c>
      <c r="L2992" t="s">
        <v>628</v>
      </c>
      <c r="M2992" t="s">
        <v>629</v>
      </c>
      <c r="N2992" t="s">
        <v>630</v>
      </c>
      <c r="O2992" t="s">
        <v>632</v>
      </c>
    </row>
    <row r="2993" spans="1:15" x14ac:dyDescent="0.35">
      <c r="A2993" s="77">
        <v>0.65479452054794518</v>
      </c>
      <c r="B2993" s="19">
        <v>98268</v>
      </c>
      <c r="C2993" s="19" t="s">
        <v>5292</v>
      </c>
      <c r="D2993" s="19" t="s">
        <v>237</v>
      </c>
      <c r="E2993" s="19" t="s">
        <v>238</v>
      </c>
      <c r="F2993" s="19" t="s">
        <v>1070</v>
      </c>
      <c r="G2993" s="19" t="s">
        <v>1008</v>
      </c>
      <c r="H2993" s="19" t="s">
        <v>1001</v>
      </c>
      <c r="I2993" s="19" t="s">
        <v>1575</v>
      </c>
      <c r="J2993" s="20">
        <v>19</v>
      </c>
      <c r="K2993" t="s">
        <v>631</v>
      </c>
      <c r="L2993" t="s">
        <v>661</v>
      </c>
      <c r="M2993" t="s">
        <v>657</v>
      </c>
      <c r="N2993" t="s">
        <v>662</v>
      </c>
      <c r="O2993" t="s">
        <v>632</v>
      </c>
    </row>
    <row r="2994" spans="1:15" x14ac:dyDescent="0.35">
      <c r="A2994" s="77">
        <v>0.65479452054794518</v>
      </c>
      <c r="B2994" s="19">
        <v>98271</v>
      </c>
      <c r="C2994" s="19" t="s">
        <v>5293</v>
      </c>
      <c r="D2994" s="19" t="s">
        <v>47</v>
      </c>
      <c r="E2994" s="19" t="s">
        <v>48</v>
      </c>
      <c r="F2994" s="19" t="s">
        <v>1232</v>
      </c>
      <c r="G2994" s="19" t="s">
        <v>1008</v>
      </c>
      <c r="H2994" s="19" t="s">
        <v>1001</v>
      </c>
      <c r="I2994" s="19" t="s">
        <v>1575</v>
      </c>
      <c r="J2994" s="20">
        <v>22</v>
      </c>
      <c r="K2994" t="s">
        <v>636</v>
      </c>
      <c r="L2994" t="s">
        <v>622</v>
      </c>
      <c r="M2994" t="s">
        <v>623</v>
      </c>
      <c r="N2994" t="s">
        <v>624</v>
      </c>
      <c r="O2994" t="s">
        <v>649</v>
      </c>
    </row>
    <row r="2995" spans="1:15" x14ac:dyDescent="0.35">
      <c r="A2995" s="77">
        <v>0.66027397260273968</v>
      </c>
      <c r="B2995" s="19">
        <v>98276</v>
      </c>
      <c r="C2995" s="19" t="s">
        <v>5294</v>
      </c>
      <c r="D2995" s="19" t="s">
        <v>31</v>
      </c>
      <c r="E2995" s="19" t="s">
        <v>31</v>
      </c>
      <c r="F2995" s="19" t="s">
        <v>675</v>
      </c>
      <c r="G2995" s="19" t="s">
        <v>1028</v>
      </c>
      <c r="H2995" s="19" t="s">
        <v>1020</v>
      </c>
      <c r="I2995" s="19" t="s">
        <v>1575</v>
      </c>
      <c r="J2995" s="20">
        <v>21</v>
      </c>
      <c r="K2995" t="s">
        <v>654</v>
      </c>
      <c r="L2995" t="s">
        <v>670</v>
      </c>
      <c r="M2995" t="s">
        <v>657</v>
      </c>
      <c r="N2995" t="s">
        <v>641</v>
      </c>
      <c r="O2995" t="s">
        <v>676</v>
      </c>
    </row>
    <row r="2996" spans="1:15" x14ac:dyDescent="0.35">
      <c r="A2996" s="77">
        <v>0.65479452054794518</v>
      </c>
      <c r="B2996" s="19">
        <v>98278</v>
      </c>
      <c r="C2996" s="19" t="s">
        <v>5295</v>
      </c>
      <c r="D2996" s="19" t="s">
        <v>181</v>
      </c>
      <c r="E2996" s="19" t="s">
        <v>182</v>
      </c>
      <c r="F2996" s="19" t="s">
        <v>1374</v>
      </c>
      <c r="G2996" s="19" t="s">
        <v>1084</v>
      </c>
      <c r="H2996" s="19" t="s">
        <v>1001</v>
      </c>
      <c r="I2996" s="19" t="s">
        <v>1599</v>
      </c>
      <c r="J2996" s="20">
        <v>23</v>
      </c>
      <c r="K2996" t="s">
        <v>625</v>
      </c>
      <c r="L2996" t="s">
        <v>678</v>
      </c>
      <c r="M2996" t="s">
        <v>623</v>
      </c>
      <c r="N2996" t="s">
        <v>624</v>
      </c>
      <c r="O2996" t="s">
        <v>679</v>
      </c>
    </row>
    <row r="2997" spans="1:15" x14ac:dyDescent="0.35">
      <c r="A2997" s="77">
        <v>0.65479452054794518</v>
      </c>
      <c r="B2997" s="19">
        <v>98293</v>
      </c>
      <c r="C2997" s="19" t="s">
        <v>5296</v>
      </c>
      <c r="D2997" s="19" t="s">
        <v>21</v>
      </c>
      <c r="E2997" s="19" t="s">
        <v>21</v>
      </c>
      <c r="F2997" s="19" t="s">
        <v>22</v>
      </c>
      <c r="G2997" s="19" t="s">
        <v>1028</v>
      </c>
      <c r="H2997" s="19" t="s">
        <v>1020</v>
      </c>
      <c r="I2997" s="19" t="s">
        <v>1575</v>
      </c>
      <c r="J2997" s="20">
        <v>20</v>
      </c>
      <c r="K2997" t="s">
        <v>654</v>
      </c>
      <c r="L2997" t="s">
        <v>656</v>
      </c>
      <c r="M2997" t="s">
        <v>657</v>
      </c>
      <c r="N2997" t="s">
        <v>658</v>
      </c>
      <c r="O2997" t="s">
        <v>659</v>
      </c>
    </row>
    <row r="2998" spans="1:15" x14ac:dyDescent="0.35">
      <c r="A2998" s="77">
        <v>0.65479452054794518</v>
      </c>
      <c r="B2998" s="19">
        <v>98294</v>
      </c>
      <c r="C2998" s="19" t="s">
        <v>5297</v>
      </c>
      <c r="D2998" s="19" t="s">
        <v>21</v>
      </c>
      <c r="E2998" s="19" t="s">
        <v>21</v>
      </c>
      <c r="F2998" s="19" t="s">
        <v>22</v>
      </c>
      <c r="G2998" s="19" t="s">
        <v>1019</v>
      </c>
      <c r="H2998" s="19" t="s">
        <v>1020</v>
      </c>
      <c r="I2998" s="19" t="s">
        <v>1575</v>
      </c>
      <c r="J2998" s="20">
        <v>37</v>
      </c>
      <c r="K2998" t="s">
        <v>654</v>
      </c>
      <c r="L2998" t="s">
        <v>656</v>
      </c>
      <c r="M2998" t="s">
        <v>657</v>
      </c>
      <c r="N2998" t="s">
        <v>658</v>
      </c>
      <c r="O2998" t="s">
        <v>659</v>
      </c>
    </row>
    <row r="2999" spans="1:15" x14ac:dyDescent="0.35">
      <c r="A2999" s="77">
        <v>0.66301369863013704</v>
      </c>
      <c r="B2999" s="19">
        <v>98297</v>
      </c>
      <c r="C2999" s="19" t="s">
        <v>5298</v>
      </c>
      <c r="D2999" s="19" t="s">
        <v>419</v>
      </c>
      <c r="E2999" s="19" t="s">
        <v>419</v>
      </c>
      <c r="F2999" s="19" t="s">
        <v>695</v>
      </c>
      <c r="G2999" s="19" t="s">
        <v>1045</v>
      </c>
      <c r="H2999" s="19" t="s">
        <v>1001</v>
      </c>
      <c r="I2999" s="19" t="s">
        <v>1575</v>
      </c>
      <c r="J2999" s="20">
        <v>26</v>
      </c>
      <c r="K2999" t="s">
        <v>654</v>
      </c>
      <c r="L2999" t="s">
        <v>628</v>
      </c>
      <c r="M2999" t="s">
        <v>629</v>
      </c>
      <c r="N2999" t="s">
        <v>630</v>
      </c>
      <c r="O2999" t="s">
        <v>632</v>
      </c>
    </row>
    <row r="3000" spans="1:15" x14ac:dyDescent="0.35">
      <c r="A3000" s="77">
        <v>0.64931506849315068</v>
      </c>
      <c r="B3000" s="19">
        <v>98302</v>
      </c>
      <c r="C3000" s="19" t="s">
        <v>5299</v>
      </c>
      <c r="D3000" s="19" t="s">
        <v>415</v>
      </c>
      <c r="E3000" s="19" t="s">
        <v>416</v>
      </c>
      <c r="F3000" s="19" t="s">
        <v>1199</v>
      </c>
      <c r="G3000" s="19" t="s">
        <v>3508</v>
      </c>
      <c r="H3000" s="19" t="s">
        <v>1020</v>
      </c>
      <c r="I3000" s="19" t="s">
        <v>1599</v>
      </c>
      <c r="J3000" s="20">
        <v>17</v>
      </c>
      <c r="K3000" t="s">
        <v>668</v>
      </c>
      <c r="L3000" t="s">
        <v>666</v>
      </c>
      <c r="M3000" t="s">
        <v>629</v>
      </c>
      <c r="N3000" t="s">
        <v>635</v>
      </c>
      <c r="O3000" t="s">
        <v>637</v>
      </c>
    </row>
    <row r="3001" spans="1:15" x14ac:dyDescent="0.35">
      <c r="A3001" s="77">
        <v>0.65753424657534243</v>
      </c>
      <c r="B3001" s="19">
        <v>98304</v>
      </c>
      <c r="C3001" s="19" t="s">
        <v>5300</v>
      </c>
      <c r="D3001" s="19" t="s">
        <v>397</v>
      </c>
      <c r="E3001" s="19" t="s">
        <v>398</v>
      </c>
      <c r="F3001" s="19" t="s">
        <v>867</v>
      </c>
      <c r="G3001" s="19" t="s">
        <v>3508</v>
      </c>
      <c r="H3001" s="19" t="s">
        <v>1020</v>
      </c>
      <c r="I3001" s="19" t="s">
        <v>1575</v>
      </c>
      <c r="J3001" s="20">
        <v>15</v>
      </c>
      <c r="K3001" t="s">
        <v>625</v>
      </c>
      <c r="L3001" t="s">
        <v>634</v>
      </c>
      <c r="M3001" t="s">
        <v>629</v>
      </c>
      <c r="N3001" t="s">
        <v>635</v>
      </c>
      <c r="O3001" t="s">
        <v>637</v>
      </c>
    </row>
    <row r="3002" spans="1:15" x14ac:dyDescent="0.35">
      <c r="A3002" s="77">
        <v>0.65479452054794518</v>
      </c>
      <c r="B3002" s="19">
        <v>98316</v>
      </c>
      <c r="C3002" s="19" t="s">
        <v>5301</v>
      </c>
      <c r="D3002" s="19" t="s">
        <v>38</v>
      </c>
      <c r="E3002" s="19" t="s">
        <v>38</v>
      </c>
      <c r="F3002" s="19" t="s">
        <v>711</v>
      </c>
      <c r="G3002" s="19" t="s">
        <v>1028</v>
      </c>
      <c r="H3002" s="19" t="s">
        <v>1020</v>
      </c>
      <c r="I3002" s="19" t="s">
        <v>1575</v>
      </c>
      <c r="J3002" s="20">
        <v>19</v>
      </c>
      <c r="K3002" t="s">
        <v>668</v>
      </c>
      <c r="L3002" t="s">
        <v>691</v>
      </c>
      <c r="M3002" t="s">
        <v>657</v>
      </c>
      <c r="N3002" t="s">
        <v>658</v>
      </c>
      <c r="O3002" t="s">
        <v>632</v>
      </c>
    </row>
    <row r="3003" spans="1:15" x14ac:dyDescent="0.35">
      <c r="A3003" s="77">
        <v>0.64657534246575343</v>
      </c>
      <c r="B3003" s="19">
        <v>98326</v>
      </c>
      <c r="C3003" s="19" t="s">
        <v>5302</v>
      </c>
      <c r="D3003" s="19" t="s">
        <v>349</v>
      </c>
      <c r="E3003" s="19" t="s">
        <v>350</v>
      </c>
      <c r="F3003" s="19" t="s">
        <v>912</v>
      </c>
      <c r="G3003" s="19" t="s">
        <v>1028</v>
      </c>
      <c r="H3003" s="19" t="s">
        <v>1020</v>
      </c>
      <c r="I3003" s="19" t="s">
        <v>1575</v>
      </c>
      <c r="J3003" s="20">
        <v>23</v>
      </c>
      <c r="K3003" t="s">
        <v>625</v>
      </c>
      <c r="L3003" t="s">
        <v>648</v>
      </c>
      <c r="M3003" t="s">
        <v>623</v>
      </c>
      <c r="N3003" t="s">
        <v>624</v>
      </c>
      <c r="O3003" t="s">
        <v>649</v>
      </c>
    </row>
    <row r="3004" spans="1:15" x14ac:dyDescent="0.35">
      <c r="A3004" s="77">
        <v>0.64657534246575343</v>
      </c>
      <c r="B3004" s="19">
        <v>98327</v>
      </c>
      <c r="C3004" s="19" t="s">
        <v>5303</v>
      </c>
      <c r="D3004" s="19" t="s">
        <v>23</v>
      </c>
      <c r="E3004" s="19" t="s">
        <v>23</v>
      </c>
      <c r="F3004" s="19" t="s">
        <v>660</v>
      </c>
      <c r="G3004" s="19" t="s">
        <v>1028</v>
      </c>
      <c r="H3004" s="19" t="s">
        <v>1020</v>
      </c>
      <c r="I3004" s="19" t="s">
        <v>1599</v>
      </c>
      <c r="J3004" s="20">
        <v>23</v>
      </c>
      <c r="K3004" t="s">
        <v>631</v>
      </c>
      <c r="L3004" t="s">
        <v>661</v>
      </c>
      <c r="M3004" t="s">
        <v>657</v>
      </c>
      <c r="N3004" t="s">
        <v>662</v>
      </c>
      <c r="O3004" t="s">
        <v>632</v>
      </c>
    </row>
    <row r="3005" spans="1:15" x14ac:dyDescent="0.35">
      <c r="A3005" s="77">
        <v>0.64657534246575343</v>
      </c>
      <c r="B3005" s="19">
        <v>98331</v>
      </c>
      <c r="C3005" s="19" t="s">
        <v>5304</v>
      </c>
      <c r="D3005" s="19" t="s">
        <v>375</v>
      </c>
      <c r="E3005" s="19" t="s">
        <v>376</v>
      </c>
      <c r="F3005" s="19" t="s">
        <v>1270</v>
      </c>
      <c r="G3005" s="19" t="s">
        <v>3508</v>
      </c>
      <c r="H3005" s="19" t="s">
        <v>1020</v>
      </c>
      <c r="I3005" s="19" t="s">
        <v>1575</v>
      </c>
      <c r="J3005" s="20">
        <v>15</v>
      </c>
      <c r="K3005" t="s">
        <v>636</v>
      </c>
      <c r="L3005" t="s">
        <v>678</v>
      </c>
      <c r="M3005" t="s">
        <v>623</v>
      </c>
      <c r="N3005" t="s">
        <v>624</v>
      </c>
      <c r="O3005" t="s">
        <v>679</v>
      </c>
    </row>
    <row r="3006" spans="1:15" x14ac:dyDescent="0.35">
      <c r="A3006" s="77">
        <v>0.64657534246575343</v>
      </c>
      <c r="B3006" s="19">
        <v>98332</v>
      </c>
      <c r="C3006" s="19" t="s">
        <v>5305</v>
      </c>
      <c r="D3006" s="19" t="s">
        <v>49</v>
      </c>
      <c r="E3006" s="19" t="s">
        <v>50</v>
      </c>
      <c r="F3006" s="19" t="s">
        <v>1213</v>
      </c>
      <c r="G3006" s="19" t="s">
        <v>1084</v>
      </c>
      <c r="H3006" s="19" t="s">
        <v>1001</v>
      </c>
      <c r="I3006" s="19" t="s">
        <v>1599</v>
      </c>
      <c r="J3006" s="20">
        <v>27</v>
      </c>
      <c r="K3006" t="s">
        <v>625</v>
      </c>
      <c r="L3006" t="s">
        <v>648</v>
      </c>
      <c r="M3006" t="s">
        <v>623</v>
      </c>
      <c r="N3006" t="s">
        <v>624</v>
      </c>
      <c r="O3006" t="s">
        <v>649</v>
      </c>
    </row>
    <row r="3007" spans="1:15" x14ac:dyDescent="0.35">
      <c r="A3007" s="77">
        <v>0.64931506849315068</v>
      </c>
      <c r="B3007" s="19">
        <v>98335</v>
      </c>
      <c r="C3007" s="19" t="s">
        <v>5306</v>
      </c>
      <c r="D3007" s="19" t="s">
        <v>43</v>
      </c>
      <c r="E3007" s="19" t="s">
        <v>44</v>
      </c>
      <c r="F3007" s="19" t="s">
        <v>2355</v>
      </c>
      <c r="G3007" s="19" t="s">
        <v>3508</v>
      </c>
      <c r="H3007" s="19" t="s">
        <v>1020</v>
      </c>
      <c r="I3007" s="19" t="s">
        <v>1575</v>
      </c>
      <c r="J3007" s="20">
        <v>16</v>
      </c>
      <c r="K3007" t="s">
        <v>654</v>
      </c>
      <c r="L3007" t="s">
        <v>634</v>
      </c>
      <c r="M3007" t="s">
        <v>629</v>
      </c>
      <c r="N3007" t="s">
        <v>635</v>
      </c>
      <c r="O3007" t="s">
        <v>637</v>
      </c>
    </row>
    <row r="3008" spans="1:15" x14ac:dyDescent="0.35">
      <c r="A3008" s="77">
        <v>0.64657534246575343</v>
      </c>
      <c r="B3008" s="19">
        <v>98337</v>
      </c>
      <c r="C3008" s="19" t="s">
        <v>5307</v>
      </c>
      <c r="D3008" s="19" t="s">
        <v>271</v>
      </c>
      <c r="E3008" s="19" t="s">
        <v>272</v>
      </c>
      <c r="F3008" s="19" t="s">
        <v>2611</v>
      </c>
      <c r="G3008" s="19" t="s">
        <v>1028</v>
      </c>
      <c r="H3008" s="19" t="s">
        <v>1020</v>
      </c>
      <c r="I3008" s="19" t="s">
        <v>1599</v>
      </c>
      <c r="J3008" s="20">
        <v>21</v>
      </c>
      <c r="K3008" t="s">
        <v>654</v>
      </c>
      <c r="L3008" t="s">
        <v>666</v>
      </c>
      <c r="M3008" t="s">
        <v>629</v>
      </c>
      <c r="N3008" t="s">
        <v>635</v>
      </c>
      <c r="O3008" t="s">
        <v>739</v>
      </c>
    </row>
    <row r="3009" spans="1:15" x14ac:dyDescent="0.35">
      <c r="A3009" s="77">
        <v>0.64657534246575343</v>
      </c>
      <c r="B3009" s="19">
        <v>98339</v>
      </c>
      <c r="C3009" s="19" t="s">
        <v>5308</v>
      </c>
      <c r="D3009" s="19" t="s">
        <v>126</v>
      </c>
      <c r="E3009" s="19" t="s">
        <v>127</v>
      </c>
      <c r="F3009" s="19" t="s">
        <v>1152</v>
      </c>
      <c r="G3009" s="19" t="s">
        <v>1028</v>
      </c>
      <c r="H3009" s="19" t="s">
        <v>1020</v>
      </c>
      <c r="I3009" s="19" t="s">
        <v>1575</v>
      </c>
      <c r="J3009" s="20">
        <v>22</v>
      </c>
      <c r="K3009" t="s">
        <v>654</v>
      </c>
      <c r="L3009" t="s">
        <v>628</v>
      </c>
      <c r="M3009" t="s">
        <v>629</v>
      </c>
      <c r="N3009" t="s">
        <v>630</v>
      </c>
      <c r="O3009" t="s">
        <v>632</v>
      </c>
    </row>
    <row r="3010" spans="1:15" x14ac:dyDescent="0.35">
      <c r="A3010" s="77">
        <v>0.64657534246575343</v>
      </c>
      <c r="B3010" s="19">
        <v>98347</v>
      </c>
      <c r="C3010" s="19" t="s">
        <v>5309</v>
      </c>
      <c r="D3010" s="19" t="s">
        <v>28</v>
      </c>
      <c r="E3010" s="19" t="s">
        <v>28</v>
      </c>
      <c r="F3010" s="19" t="s">
        <v>916</v>
      </c>
      <c r="G3010" s="19" t="s">
        <v>1057</v>
      </c>
      <c r="H3010" s="19" t="s">
        <v>1001</v>
      </c>
      <c r="I3010" s="19" t="s">
        <v>1575</v>
      </c>
      <c r="J3010" s="20">
        <v>39</v>
      </c>
      <c r="K3010" t="s">
        <v>654</v>
      </c>
      <c r="L3010" t="s">
        <v>670</v>
      </c>
      <c r="M3010" t="s">
        <v>657</v>
      </c>
      <c r="N3010" t="s">
        <v>641</v>
      </c>
      <c r="O3010" t="s">
        <v>671</v>
      </c>
    </row>
    <row r="3011" spans="1:15" x14ac:dyDescent="0.35">
      <c r="A3011" s="77">
        <v>0.64383561643835618</v>
      </c>
      <c r="B3011" s="19">
        <v>98361</v>
      </c>
      <c r="C3011" s="19" t="s">
        <v>5310</v>
      </c>
      <c r="D3011" s="19" t="s">
        <v>47</v>
      </c>
      <c r="E3011" s="19" t="s">
        <v>48</v>
      </c>
      <c r="F3011" s="19" t="s">
        <v>1232</v>
      </c>
      <c r="G3011" s="19" t="s">
        <v>1084</v>
      </c>
      <c r="H3011" s="19" t="s">
        <v>1001</v>
      </c>
      <c r="I3011" s="19" t="s">
        <v>1599</v>
      </c>
      <c r="J3011" s="20">
        <v>20</v>
      </c>
      <c r="K3011" t="s">
        <v>636</v>
      </c>
      <c r="L3011" t="s">
        <v>622</v>
      </c>
      <c r="M3011" t="s">
        <v>623</v>
      </c>
      <c r="N3011" t="s">
        <v>624</v>
      </c>
      <c r="O3011" t="s">
        <v>649</v>
      </c>
    </row>
    <row r="3012" spans="1:15" x14ac:dyDescent="0.35">
      <c r="A3012" s="77">
        <v>0.64383561643835618</v>
      </c>
      <c r="B3012" s="19">
        <v>98363</v>
      </c>
      <c r="C3012" s="19" t="s">
        <v>5311</v>
      </c>
      <c r="D3012" s="19" t="s">
        <v>315</v>
      </c>
      <c r="E3012" s="19" t="s">
        <v>316</v>
      </c>
      <c r="F3012" s="19" t="s">
        <v>1322</v>
      </c>
      <c r="G3012" s="19" t="s">
        <v>1019</v>
      </c>
      <c r="H3012" s="19" t="s">
        <v>1020</v>
      </c>
      <c r="I3012" s="19" t="s">
        <v>1575</v>
      </c>
      <c r="J3012" s="20">
        <v>19</v>
      </c>
      <c r="K3012" t="s">
        <v>654</v>
      </c>
      <c r="L3012" t="s">
        <v>684</v>
      </c>
      <c r="M3012" t="s">
        <v>623</v>
      </c>
      <c r="N3012" t="s">
        <v>662</v>
      </c>
      <c r="O3012" t="s">
        <v>831</v>
      </c>
    </row>
    <row r="3013" spans="1:15" x14ac:dyDescent="0.35">
      <c r="A3013" s="77">
        <v>0.64109589041095894</v>
      </c>
      <c r="B3013" s="19">
        <v>98371</v>
      </c>
      <c r="C3013" s="19" t="s">
        <v>5312</v>
      </c>
      <c r="D3013" s="19" t="s">
        <v>339</v>
      </c>
      <c r="E3013" s="19" t="s">
        <v>340</v>
      </c>
      <c r="F3013" s="19" t="s">
        <v>1024</v>
      </c>
      <c r="G3013" s="19" t="s">
        <v>1028</v>
      </c>
      <c r="H3013" s="19" t="s">
        <v>1020</v>
      </c>
      <c r="I3013" s="19" t="s">
        <v>1575</v>
      </c>
      <c r="J3013" s="20">
        <v>20</v>
      </c>
      <c r="K3013" t="s">
        <v>631</v>
      </c>
      <c r="L3013" t="s">
        <v>651</v>
      </c>
      <c r="M3013" t="s">
        <v>629</v>
      </c>
      <c r="N3013" t="s">
        <v>630</v>
      </c>
      <c r="O3013" t="s">
        <v>705</v>
      </c>
    </row>
    <row r="3014" spans="1:15" x14ac:dyDescent="0.35">
      <c r="A3014" s="77">
        <v>0.64109589041095894</v>
      </c>
      <c r="B3014" s="19">
        <v>98372</v>
      </c>
      <c r="C3014" s="19" t="s">
        <v>5313</v>
      </c>
      <c r="D3014" s="19" t="s">
        <v>326</v>
      </c>
      <c r="E3014" s="19" t="s">
        <v>327</v>
      </c>
      <c r="F3014" s="19" t="s">
        <v>1051</v>
      </c>
      <c r="G3014" s="19" t="s">
        <v>1038</v>
      </c>
      <c r="H3014" s="19" t="s">
        <v>1020</v>
      </c>
      <c r="I3014" s="19" t="s">
        <v>1575</v>
      </c>
      <c r="J3014" s="20">
        <v>38</v>
      </c>
      <c r="K3014" t="s">
        <v>631</v>
      </c>
      <c r="L3014" t="s">
        <v>648</v>
      </c>
      <c r="M3014" t="s">
        <v>623</v>
      </c>
      <c r="N3014" t="s">
        <v>624</v>
      </c>
      <c r="O3014" t="s">
        <v>837</v>
      </c>
    </row>
    <row r="3015" spans="1:15" x14ac:dyDescent="0.35">
      <c r="A3015" s="77">
        <v>0.64109589041095894</v>
      </c>
      <c r="B3015" s="19">
        <v>98373</v>
      </c>
      <c r="C3015" s="19" t="s">
        <v>5314</v>
      </c>
      <c r="D3015" s="19" t="s">
        <v>278</v>
      </c>
      <c r="E3015" s="19" t="s">
        <v>279</v>
      </c>
      <c r="F3015" s="19" t="s">
        <v>1131</v>
      </c>
      <c r="G3015" s="19" t="s">
        <v>1028</v>
      </c>
      <c r="H3015" s="19" t="s">
        <v>1020</v>
      </c>
      <c r="I3015" s="19" t="s">
        <v>1599</v>
      </c>
      <c r="J3015" s="20">
        <v>23</v>
      </c>
      <c r="K3015" t="s">
        <v>625</v>
      </c>
      <c r="L3015" t="s">
        <v>661</v>
      </c>
      <c r="M3015" t="s">
        <v>657</v>
      </c>
      <c r="N3015" t="s">
        <v>662</v>
      </c>
      <c r="O3015" t="s">
        <v>632</v>
      </c>
    </row>
    <row r="3016" spans="1:15" x14ac:dyDescent="0.35">
      <c r="A3016" s="77">
        <v>0.64383561643835618</v>
      </c>
      <c r="B3016" s="19">
        <v>98377</v>
      </c>
      <c r="C3016" s="19" t="s">
        <v>5315</v>
      </c>
      <c r="D3016" s="19" t="s">
        <v>360</v>
      </c>
      <c r="E3016" s="19" t="s">
        <v>361</v>
      </c>
      <c r="F3016" s="19" t="s">
        <v>2312</v>
      </c>
      <c r="G3016" s="19" t="s">
        <v>1028</v>
      </c>
      <c r="H3016" s="19" t="s">
        <v>1020</v>
      </c>
      <c r="I3016" s="19" t="s">
        <v>1575</v>
      </c>
      <c r="J3016" s="20">
        <v>29</v>
      </c>
      <c r="K3016" t="s">
        <v>642</v>
      </c>
      <c r="L3016" t="s">
        <v>670</v>
      </c>
      <c r="M3016" t="s">
        <v>657</v>
      </c>
      <c r="N3016" t="s">
        <v>641</v>
      </c>
      <c r="O3016" t="s">
        <v>671</v>
      </c>
    </row>
    <row r="3017" spans="1:15" x14ac:dyDescent="0.35">
      <c r="A3017" s="77">
        <v>0.63835616438356169</v>
      </c>
      <c r="B3017" s="19">
        <v>98384</v>
      </c>
      <c r="C3017" s="19" t="s">
        <v>5316</v>
      </c>
      <c r="D3017" s="19" t="s">
        <v>409</v>
      </c>
      <c r="E3017" s="19" t="s">
        <v>410</v>
      </c>
      <c r="F3017" s="19" t="s">
        <v>874</v>
      </c>
      <c r="G3017" s="19" t="s">
        <v>1008</v>
      </c>
      <c r="H3017" s="19" t="s">
        <v>1001</v>
      </c>
      <c r="I3017" s="19" t="s">
        <v>1575</v>
      </c>
      <c r="J3017" s="20">
        <v>22</v>
      </c>
      <c r="K3017" t="s">
        <v>631</v>
      </c>
      <c r="L3017" t="s">
        <v>666</v>
      </c>
      <c r="M3017" t="s">
        <v>629</v>
      </c>
      <c r="N3017" t="s">
        <v>635</v>
      </c>
      <c r="O3017" t="s">
        <v>637</v>
      </c>
    </row>
    <row r="3018" spans="1:15" x14ac:dyDescent="0.35">
      <c r="A3018" s="77">
        <v>0.63835616438356169</v>
      </c>
      <c r="B3018" s="19">
        <v>98390</v>
      </c>
      <c r="C3018" s="19" t="s">
        <v>5317</v>
      </c>
      <c r="D3018" s="19" t="s">
        <v>339</v>
      </c>
      <c r="E3018" s="19" t="s">
        <v>340</v>
      </c>
      <c r="F3018" s="19" t="s">
        <v>1024</v>
      </c>
      <c r="G3018" s="19" t="s">
        <v>1028</v>
      </c>
      <c r="H3018" s="19" t="s">
        <v>1020</v>
      </c>
      <c r="I3018" s="19" t="s">
        <v>1575</v>
      </c>
      <c r="J3018" s="20">
        <v>21</v>
      </c>
      <c r="K3018" t="s">
        <v>631</v>
      </c>
      <c r="L3018" t="s">
        <v>651</v>
      </c>
      <c r="M3018" t="s">
        <v>629</v>
      </c>
      <c r="N3018" t="s">
        <v>630</v>
      </c>
      <c r="O3018" t="s">
        <v>705</v>
      </c>
    </row>
    <row r="3019" spans="1:15" x14ac:dyDescent="0.35">
      <c r="A3019" s="77">
        <v>0.64109589041095894</v>
      </c>
      <c r="B3019" s="19">
        <v>98396</v>
      </c>
      <c r="C3019" s="19" t="s">
        <v>5318</v>
      </c>
      <c r="D3019" s="19" t="s">
        <v>167</v>
      </c>
      <c r="E3019" s="19" t="s">
        <v>168</v>
      </c>
      <c r="F3019" s="19" t="s">
        <v>2009</v>
      </c>
      <c r="G3019" s="19" t="s">
        <v>1028</v>
      </c>
      <c r="H3019" s="19" t="s">
        <v>1020</v>
      </c>
      <c r="I3019" s="19" t="s">
        <v>1575</v>
      </c>
      <c r="J3019" s="20">
        <v>18</v>
      </c>
      <c r="K3019" t="s">
        <v>636</v>
      </c>
      <c r="L3019" t="s">
        <v>640</v>
      </c>
      <c r="M3019" t="s">
        <v>623</v>
      </c>
      <c r="N3019" t="s">
        <v>641</v>
      </c>
      <c r="O3019" t="s">
        <v>754</v>
      </c>
    </row>
    <row r="3020" spans="1:15" x14ac:dyDescent="0.35">
      <c r="A3020" s="77">
        <v>0.63561643835616444</v>
      </c>
      <c r="B3020" s="19">
        <v>98402</v>
      </c>
      <c r="C3020" s="19" t="s">
        <v>5319</v>
      </c>
      <c r="D3020" s="19" t="s">
        <v>341</v>
      </c>
      <c r="E3020" s="19" t="s">
        <v>342</v>
      </c>
      <c r="F3020" s="19" t="s">
        <v>1264</v>
      </c>
      <c r="G3020" s="19" t="s">
        <v>1057</v>
      </c>
      <c r="H3020" s="19" t="s">
        <v>1001</v>
      </c>
      <c r="I3020" s="19" t="s">
        <v>1575</v>
      </c>
      <c r="J3020" s="20">
        <v>35</v>
      </c>
      <c r="K3020" t="s">
        <v>636</v>
      </c>
      <c r="L3020" t="s">
        <v>678</v>
      </c>
      <c r="M3020" t="s">
        <v>623</v>
      </c>
      <c r="N3020" t="s">
        <v>624</v>
      </c>
      <c r="O3020" t="s">
        <v>679</v>
      </c>
    </row>
    <row r="3021" spans="1:15" x14ac:dyDescent="0.35">
      <c r="A3021" s="77">
        <v>0.63561643835616444</v>
      </c>
      <c r="B3021" s="19">
        <v>98408</v>
      </c>
      <c r="C3021" s="19" t="s">
        <v>5320</v>
      </c>
      <c r="D3021" s="19" t="s">
        <v>220</v>
      </c>
      <c r="E3021" s="19" t="s">
        <v>221</v>
      </c>
      <c r="F3021" s="19" t="s">
        <v>2309</v>
      </c>
      <c r="G3021" s="19" t="s">
        <v>1038</v>
      </c>
      <c r="H3021" s="19" t="s">
        <v>1020</v>
      </c>
      <c r="I3021" s="19" t="s">
        <v>1575</v>
      </c>
      <c r="J3021" s="20">
        <v>52</v>
      </c>
      <c r="K3021" t="s">
        <v>668</v>
      </c>
      <c r="L3021" t="s">
        <v>648</v>
      </c>
      <c r="M3021" t="s">
        <v>623</v>
      </c>
      <c r="N3021" t="s">
        <v>624</v>
      </c>
      <c r="O3021" t="s">
        <v>649</v>
      </c>
    </row>
    <row r="3022" spans="1:15" x14ac:dyDescent="0.35">
      <c r="A3022" s="77">
        <v>0.63561643835616444</v>
      </c>
      <c r="B3022" s="19">
        <v>98410</v>
      </c>
      <c r="C3022" s="19" t="s">
        <v>5321</v>
      </c>
      <c r="D3022" s="19" t="s">
        <v>339</v>
      </c>
      <c r="E3022" s="19" t="s">
        <v>340</v>
      </c>
      <c r="F3022" s="19" t="s">
        <v>1024</v>
      </c>
      <c r="G3022" s="19" t="s">
        <v>1028</v>
      </c>
      <c r="H3022" s="19" t="s">
        <v>1020</v>
      </c>
      <c r="I3022" s="19" t="s">
        <v>1575</v>
      </c>
      <c r="J3022" s="20">
        <v>22</v>
      </c>
      <c r="K3022" t="s">
        <v>631</v>
      </c>
      <c r="L3022" t="s">
        <v>651</v>
      </c>
      <c r="M3022" t="s">
        <v>629</v>
      </c>
      <c r="N3022" t="s">
        <v>630</v>
      </c>
      <c r="O3022" t="s">
        <v>705</v>
      </c>
    </row>
    <row r="3023" spans="1:15" x14ac:dyDescent="0.35">
      <c r="A3023" s="77">
        <v>0.63561643835616444</v>
      </c>
      <c r="B3023" s="19">
        <v>98411</v>
      </c>
      <c r="C3023" s="19" t="s">
        <v>5322</v>
      </c>
      <c r="D3023" s="19" t="s">
        <v>159</v>
      </c>
      <c r="E3023" s="19" t="s">
        <v>160</v>
      </c>
      <c r="F3023" s="19" t="s">
        <v>1488</v>
      </c>
      <c r="G3023" s="19" t="s">
        <v>1008</v>
      </c>
      <c r="H3023" s="19" t="s">
        <v>1001</v>
      </c>
      <c r="I3023" s="19" t="s">
        <v>1575</v>
      </c>
      <c r="J3023" s="20">
        <v>18</v>
      </c>
      <c r="K3023" t="s">
        <v>654</v>
      </c>
      <c r="L3023" t="s">
        <v>678</v>
      </c>
      <c r="M3023" t="s">
        <v>623</v>
      </c>
      <c r="N3023" t="s">
        <v>624</v>
      </c>
      <c r="O3023" t="s">
        <v>679</v>
      </c>
    </row>
    <row r="3024" spans="1:15" x14ac:dyDescent="0.35">
      <c r="A3024" s="77">
        <v>0.63561643835616444</v>
      </c>
      <c r="B3024" s="19">
        <v>98415</v>
      </c>
      <c r="C3024" s="19" t="s">
        <v>5323</v>
      </c>
      <c r="D3024" s="19" t="s">
        <v>161</v>
      </c>
      <c r="E3024" s="19" t="s">
        <v>162</v>
      </c>
      <c r="F3024" s="19" t="s">
        <v>1027</v>
      </c>
      <c r="G3024" s="19" t="s">
        <v>1019</v>
      </c>
      <c r="H3024" s="19" t="s">
        <v>1020</v>
      </c>
      <c r="I3024" s="19" t="s">
        <v>1575</v>
      </c>
      <c r="J3024" s="20">
        <v>20</v>
      </c>
      <c r="K3024" t="s">
        <v>654</v>
      </c>
      <c r="L3024" t="s">
        <v>622</v>
      </c>
      <c r="M3024" t="s">
        <v>623</v>
      </c>
      <c r="N3024" t="s">
        <v>624</v>
      </c>
      <c r="O3024" t="s">
        <v>649</v>
      </c>
    </row>
    <row r="3025" spans="1:15" x14ac:dyDescent="0.35">
      <c r="A3025" s="77">
        <v>0.63835616438356169</v>
      </c>
      <c r="B3025" s="19">
        <v>98420</v>
      </c>
      <c r="C3025" s="19" t="s">
        <v>5324</v>
      </c>
      <c r="D3025" s="19" t="s">
        <v>126</v>
      </c>
      <c r="E3025" s="19" t="s">
        <v>127</v>
      </c>
      <c r="F3025" s="19" t="s">
        <v>1152</v>
      </c>
      <c r="G3025" s="19" t="s">
        <v>1008</v>
      </c>
      <c r="H3025" s="19" t="s">
        <v>1001</v>
      </c>
      <c r="I3025" s="19" t="s">
        <v>1575</v>
      </c>
      <c r="J3025" s="20">
        <v>18</v>
      </c>
      <c r="K3025" t="s">
        <v>654</v>
      </c>
      <c r="L3025" t="s">
        <v>628</v>
      </c>
      <c r="M3025" t="s">
        <v>629</v>
      </c>
      <c r="N3025" t="s">
        <v>630</v>
      </c>
      <c r="O3025" t="s">
        <v>632</v>
      </c>
    </row>
    <row r="3026" spans="1:15" x14ac:dyDescent="0.35">
      <c r="A3026" s="77">
        <v>0.63561643835616444</v>
      </c>
      <c r="B3026" s="19">
        <v>98429</v>
      </c>
      <c r="C3026" s="19" t="s">
        <v>5325</v>
      </c>
      <c r="D3026" s="19" t="s">
        <v>260</v>
      </c>
      <c r="E3026" s="19" t="s">
        <v>261</v>
      </c>
      <c r="F3026" s="19" t="s">
        <v>1109</v>
      </c>
      <c r="G3026" s="19" t="s">
        <v>1084</v>
      </c>
      <c r="H3026" s="19" t="s">
        <v>1001</v>
      </c>
      <c r="I3026" s="19" t="s">
        <v>1575</v>
      </c>
      <c r="J3026" s="20">
        <v>25</v>
      </c>
      <c r="K3026" t="s">
        <v>636</v>
      </c>
      <c r="L3026" t="s">
        <v>656</v>
      </c>
      <c r="M3026" t="s">
        <v>657</v>
      </c>
      <c r="N3026" t="s">
        <v>658</v>
      </c>
      <c r="O3026" t="s">
        <v>808</v>
      </c>
    </row>
    <row r="3027" spans="1:15" x14ac:dyDescent="0.35">
      <c r="A3027" s="77">
        <v>0.63561643835616444</v>
      </c>
      <c r="B3027" s="19">
        <v>98431</v>
      </c>
      <c r="C3027" s="19" t="s">
        <v>5326</v>
      </c>
      <c r="D3027" s="19" t="s">
        <v>34</v>
      </c>
      <c r="E3027" s="19" t="s">
        <v>34</v>
      </c>
      <c r="F3027" s="19" t="s">
        <v>1066</v>
      </c>
      <c r="G3027" s="19" t="s">
        <v>1028</v>
      </c>
      <c r="H3027" s="19" t="s">
        <v>1020</v>
      </c>
      <c r="I3027" s="19" t="s">
        <v>1575</v>
      </c>
      <c r="J3027" s="20">
        <v>20</v>
      </c>
      <c r="K3027" t="s">
        <v>654</v>
      </c>
      <c r="L3027" t="s">
        <v>656</v>
      </c>
      <c r="M3027" t="s">
        <v>657</v>
      </c>
      <c r="N3027" t="s">
        <v>658</v>
      </c>
      <c r="O3027" t="s">
        <v>632</v>
      </c>
    </row>
    <row r="3028" spans="1:15" x14ac:dyDescent="0.35">
      <c r="A3028" s="77">
        <v>0.62739726027397258</v>
      </c>
      <c r="B3028" s="19">
        <v>98437</v>
      </c>
      <c r="C3028" s="19" t="s">
        <v>5327</v>
      </c>
      <c r="D3028" s="19" t="s">
        <v>76</v>
      </c>
      <c r="E3028" s="19" t="s">
        <v>77</v>
      </c>
      <c r="F3028" s="19" t="s">
        <v>899</v>
      </c>
      <c r="G3028" s="19" t="s">
        <v>1028</v>
      </c>
      <c r="H3028" s="19" t="s">
        <v>1020</v>
      </c>
      <c r="I3028" s="19" t="s">
        <v>1599</v>
      </c>
      <c r="J3028" s="20">
        <v>24</v>
      </c>
      <c r="K3028" t="s">
        <v>636</v>
      </c>
      <c r="L3028" t="s">
        <v>645</v>
      </c>
      <c r="M3028" t="s">
        <v>629</v>
      </c>
      <c r="N3028" t="s">
        <v>646</v>
      </c>
      <c r="O3028" t="s">
        <v>632</v>
      </c>
    </row>
    <row r="3029" spans="1:15" x14ac:dyDescent="0.35">
      <c r="A3029" s="77">
        <v>0.62739726027397258</v>
      </c>
      <c r="B3029" s="19">
        <v>98446</v>
      </c>
      <c r="C3029" s="19" t="s">
        <v>5328</v>
      </c>
      <c r="D3029" s="19" t="s">
        <v>422</v>
      </c>
      <c r="E3029" s="19" t="s">
        <v>422</v>
      </c>
      <c r="F3029" s="19" t="s">
        <v>423</v>
      </c>
      <c r="G3029" s="19" t="s">
        <v>1028</v>
      </c>
      <c r="H3029" s="19" t="s">
        <v>1020</v>
      </c>
      <c r="I3029" s="19" t="s">
        <v>1599</v>
      </c>
      <c r="J3029" s="20">
        <v>21</v>
      </c>
      <c r="K3029" t="s">
        <v>654</v>
      </c>
      <c r="L3029" t="s">
        <v>673</v>
      </c>
      <c r="M3029" t="s">
        <v>623</v>
      </c>
      <c r="N3029" t="s">
        <v>641</v>
      </c>
      <c r="O3029" t="s">
        <v>697</v>
      </c>
    </row>
    <row r="3030" spans="1:15" x14ac:dyDescent="0.35">
      <c r="A3030" s="77">
        <v>0.62739726027397258</v>
      </c>
      <c r="B3030" s="19">
        <v>98447</v>
      </c>
      <c r="C3030" s="19" t="s">
        <v>5329</v>
      </c>
      <c r="D3030" s="19" t="s">
        <v>413</v>
      </c>
      <c r="E3030" s="19" t="s">
        <v>414</v>
      </c>
      <c r="F3030" s="19" t="s">
        <v>1699</v>
      </c>
      <c r="G3030" s="19" t="s">
        <v>1028</v>
      </c>
      <c r="H3030" s="19" t="s">
        <v>1020</v>
      </c>
      <c r="I3030" s="19" t="s">
        <v>1575</v>
      </c>
      <c r="J3030" s="20">
        <v>22</v>
      </c>
      <c r="K3030" t="s">
        <v>668</v>
      </c>
      <c r="L3030" t="s">
        <v>691</v>
      </c>
      <c r="M3030" t="s">
        <v>657</v>
      </c>
      <c r="N3030" t="s">
        <v>658</v>
      </c>
      <c r="O3030" t="s">
        <v>632</v>
      </c>
    </row>
    <row r="3031" spans="1:15" x14ac:dyDescent="0.35">
      <c r="A3031" s="77">
        <v>0.62739726027397258</v>
      </c>
      <c r="B3031" s="19">
        <v>98448</v>
      </c>
      <c r="C3031" s="19" t="s">
        <v>5330</v>
      </c>
      <c r="D3031" s="19" t="s">
        <v>31</v>
      </c>
      <c r="E3031" s="19" t="s">
        <v>31</v>
      </c>
      <c r="F3031" s="19" t="s">
        <v>675</v>
      </c>
      <c r="G3031" s="19" t="s">
        <v>3508</v>
      </c>
      <c r="H3031" s="19" t="s">
        <v>1020</v>
      </c>
      <c r="I3031" s="19" t="s">
        <v>1599</v>
      </c>
      <c r="J3031" s="20">
        <v>18</v>
      </c>
      <c r="K3031" t="s">
        <v>654</v>
      </c>
      <c r="L3031" t="s">
        <v>670</v>
      </c>
      <c r="M3031" t="s">
        <v>657</v>
      </c>
      <c r="N3031" t="s">
        <v>641</v>
      </c>
      <c r="O3031" t="s">
        <v>676</v>
      </c>
    </row>
    <row r="3032" spans="1:15" x14ac:dyDescent="0.35">
      <c r="A3032" s="77">
        <v>0.18356164383561643</v>
      </c>
      <c r="B3032" s="19">
        <v>98457</v>
      </c>
      <c r="C3032" s="19" t="s">
        <v>5331</v>
      </c>
      <c r="D3032" s="19" t="s">
        <v>258</v>
      </c>
      <c r="E3032" s="19" t="s">
        <v>259</v>
      </c>
      <c r="F3032" s="19" t="s">
        <v>1349</v>
      </c>
      <c r="G3032" s="19" t="s">
        <v>3508</v>
      </c>
      <c r="H3032" s="19" t="s">
        <v>1020</v>
      </c>
      <c r="I3032" s="19" t="s">
        <v>1599</v>
      </c>
      <c r="J3032" s="20">
        <v>18</v>
      </c>
      <c r="K3032" t="s">
        <v>668</v>
      </c>
      <c r="L3032" t="s">
        <v>691</v>
      </c>
      <c r="M3032" t="s">
        <v>657</v>
      </c>
      <c r="N3032" t="s">
        <v>658</v>
      </c>
      <c r="O3032" t="s">
        <v>632</v>
      </c>
    </row>
    <row r="3033" spans="1:15" x14ac:dyDescent="0.35">
      <c r="A3033" s="77">
        <v>0.62465753424657533</v>
      </c>
      <c r="B3033" s="19">
        <v>98460</v>
      </c>
      <c r="C3033" s="19" t="s">
        <v>5332</v>
      </c>
      <c r="D3033" s="19" t="s">
        <v>282</v>
      </c>
      <c r="E3033" s="19" t="s">
        <v>283</v>
      </c>
      <c r="F3033" s="19" t="s">
        <v>1417</v>
      </c>
      <c r="G3033" s="19" t="s">
        <v>1000</v>
      </c>
      <c r="H3033" s="19" t="s">
        <v>1001</v>
      </c>
      <c r="I3033" s="19" t="s">
        <v>1599</v>
      </c>
      <c r="J3033" s="20">
        <v>34</v>
      </c>
      <c r="K3033" t="s">
        <v>668</v>
      </c>
      <c r="L3033" t="s">
        <v>645</v>
      </c>
      <c r="M3033" t="s">
        <v>629</v>
      </c>
      <c r="N3033" t="s">
        <v>646</v>
      </c>
      <c r="O3033" t="s">
        <v>632</v>
      </c>
    </row>
    <row r="3034" spans="1:15" x14ac:dyDescent="0.35">
      <c r="A3034" s="77">
        <v>0.62739726027397258</v>
      </c>
      <c r="B3034" s="19">
        <v>98461</v>
      </c>
      <c r="C3034" s="19" t="s">
        <v>5333</v>
      </c>
      <c r="D3034" s="19" t="s">
        <v>343</v>
      </c>
      <c r="E3034" s="19" t="s">
        <v>344</v>
      </c>
      <c r="F3034" s="19" t="s">
        <v>846</v>
      </c>
      <c r="G3034" s="19" t="s">
        <v>1028</v>
      </c>
      <c r="H3034" s="19" t="s">
        <v>1020</v>
      </c>
      <c r="I3034" s="19" t="s">
        <v>1575</v>
      </c>
      <c r="J3034" s="20">
        <v>20</v>
      </c>
      <c r="K3034" t="s">
        <v>642</v>
      </c>
      <c r="L3034" t="s">
        <v>645</v>
      </c>
      <c r="M3034" t="s">
        <v>629</v>
      </c>
      <c r="N3034" t="s">
        <v>646</v>
      </c>
      <c r="O3034" t="s">
        <v>632</v>
      </c>
    </row>
    <row r="3035" spans="1:15" x14ac:dyDescent="0.35">
      <c r="A3035" s="77">
        <v>0.62465753424657533</v>
      </c>
      <c r="B3035" s="19">
        <v>98462</v>
      </c>
      <c r="C3035" s="19" t="s">
        <v>5334</v>
      </c>
      <c r="D3035" s="19" t="s">
        <v>193</v>
      </c>
      <c r="E3035" s="19" t="s">
        <v>194</v>
      </c>
      <c r="F3035" s="19" t="s">
        <v>2422</v>
      </c>
      <c r="G3035" s="19" t="s">
        <v>3508</v>
      </c>
      <c r="H3035" s="19" t="s">
        <v>1020</v>
      </c>
      <c r="I3035" s="19" t="s">
        <v>1599</v>
      </c>
      <c r="J3035" s="20">
        <v>19</v>
      </c>
      <c r="K3035" t="s">
        <v>654</v>
      </c>
      <c r="L3035" t="s">
        <v>670</v>
      </c>
      <c r="M3035" t="s">
        <v>657</v>
      </c>
      <c r="N3035" t="s">
        <v>641</v>
      </c>
      <c r="O3035" t="s">
        <v>676</v>
      </c>
    </row>
    <row r="3036" spans="1:15" x14ac:dyDescent="0.35">
      <c r="A3036" s="77">
        <v>0.62465753424657533</v>
      </c>
      <c r="B3036" s="19">
        <v>98463</v>
      </c>
      <c r="C3036" s="19" t="s">
        <v>5335</v>
      </c>
      <c r="D3036" s="19" t="s">
        <v>161</v>
      </c>
      <c r="E3036" s="19" t="s">
        <v>162</v>
      </c>
      <c r="F3036" s="19" t="s">
        <v>1027</v>
      </c>
      <c r="G3036" s="19" t="s">
        <v>1028</v>
      </c>
      <c r="H3036" s="19" t="s">
        <v>1020</v>
      </c>
      <c r="I3036" s="19" t="s">
        <v>1575</v>
      </c>
      <c r="J3036" s="20">
        <v>29</v>
      </c>
      <c r="K3036" t="s">
        <v>654</v>
      </c>
      <c r="L3036" t="s">
        <v>622</v>
      </c>
      <c r="M3036" t="s">
        <v>623</v>
      </c>
      <c r="N3036" t="s">
        <v>624</v>
      </c>
      <c r="O3036" t="s">
        <v>649</v>
      </c>
    </row>
    <row r="3037" spans="1:15" x14ac:dyDescent="0.35">
      <c r="A3037" s="77">
        <v>0.62465753424657533</v>
      </c>
      <c r="B3037" s="19">
        <v>98466</v>
      </c>
      <c r="C3037" s="19" t="s">
        <v>5336</v>
      </c>
      <c r="D3037" s="19" t="s">
        <v>295</v>
      </c>
      <c r="E3037" s="19" t="s">
        <v>296</v>
      </c>
      <c r="F3037" s="19" t="s">
        <v>1095</v>
      </c>
      <c r="G3037" s="19" t="s">
        <v>1028</v>
      </c>
      <c r="H3037" s="19" t="s">
        <v>1020</v>
      </c>
      <c r="I3037" s="19" t="s">
        <v>1575</v>
      </c>
      <c r="J3037" s="20">
        <v>22</v>
      </c>
      <c r="K3037" t="s">
        <v>654</v>
      </c>
      <c r="L3037" t="s">
        <v>651</v>
      </c>
      <c r="M3037" t="s">
        <v>629</v>
      </c>
      <c r="N3037" t="s">
        <v>630</v>
      </c>
      <c r="O3037" t="s">
        <v>705</v>
      </c>
    </row>
    <row r="3038" spans="1:15" x14ac:dyDescent="0.35">
      <c r="A3038" s="77">
        <v>0.62465753424657533</v>
      </c>
      <c r="B3038" s="19">
        <v>98467</v>
      </c>
      <c r="C3038" s="19" t="s">
        <v>5337</v>
      </c>
      <c r="D3038" s="19" t="s">
        <v>284</v>
      </c>
      <c r="E3038" s="19" t="s">
        <v>285</v>
      </c>
      <c r="F3038" s="19" t="s">
        <v>1150</v>
      </c>
      <c r="G3038" s="19" t="s">
        <v>1028</v>
      </c>
      <c r="H3038" s="19" t="s">
        <v>1020</v>
      </c>
      <c r="I3038" s="19" t="s">
        <v>1575</v>
      </c>
      <c r="J3038" s="20">
        <v>19</v>
      </c>
      <c r="K3038" t="s">
        <v>625</v>
      </c>
      <c r="L3038" t="s">
        <v>661</v>
      </c>
      <c r="M3038" t="s">
        <v>657</v>
      </c>
      <c r="N3038" t="s">
        <v>662</v>
      </c>
      <c r="O3038" t="s">
        <v>632</v>
      </c>
    </row>
    <row r="3039" spans="1:15" x14ac:dyDescent="0.35">
      <c r="A3039" s="77">
        <v>0.62465753424657533</v>
      </c>
      <c r="B3039" s="19">
        <v>98468</v>
      </c>
      <c r="C3039" s="19" t="s">
        <v>5338</v>
      </c>
      <c r="D3039" s="19" t="s">
        <v>429</v>
      </c>
      <c r="E3039" s="19" t="s">
        <v>429</v>
      </c>
      <c r="F3039" s="19" t="s">
        <v>1240</v>
      </c>
      <c r="G3039" s="19" t="s">
        <v>1028</v>
      </c>
      <c r="H3039" s="19" t="s">
        <v>1020</v>
      </c>
      <c r="I3039" s="19" t="s">
        <v>1575</v>
      </c>
      <c r="J3039" s="20">
        <v>45</v>
      </c>
      <c r="K3039" t="s">
        <v>654</v>
      </c>
      <c r="L3039" t="s">
        <v>678</v>
      </c>
      <c r="M3039" t="s">
        <v>623</v>
      </c>
      <c r="N3039" t="s">
        <v>624</v>
      </c>
      <c r="O3039" t="s">
        <v>679</v>
      </c>
    </row>
    <row r="3040" spans="1:15" x14ac:dyDescent="0.35">
      <c r="A3040" s="77">
        <v>0.62465753424657533</v>
      </c>
      <c r="B3040" s="19">
        <v>98471</v>
      </c>
      <c r="C3040" s="19" t="s">
        <v>5339</v>
      </c>
      <c r="D3040" s="19" t="s">
        <v>420</v>
      </c>
      <c r="E3040" s="19" t="s">
        <v>420</v>
      </c>
      <c r="F3040" s="19" t="s">
        <v>686</v>
      </c>
      <c r="G3040" s="19" t="s">
        <v>1028</v>
      </c>
      <c r="H3040" s="19" t="s">
        <v>1020</v>
      </c>
      <c r="I3040" s="19" t="s">
        <v>1575</v>
      </c>
      <c r="J3040" s="20">
        <v>19</v>
      </c>
      <c r="K3040" t="s">
        <v>631</v>
      </c>
      <c r="L3040" t="s">
        <v>634</v>
      </c>
      <c r="M3040" t="s">
        <v>629</v>
      </c>
      <c r="N3040" t="s">
        <v>635</v>
      </c>
      <c r="O3040" t="s">
        <v>637</v>
      </c>
    </row>
    <row r="3041" spans="1:15" x14ac:dyDescent="0.35">
      <c r="A3041" s="77">
        <v>0.62191780821917808</v>
      </c>
      <c r="B3041" s="19">
        <v>98479</v>
      </c>
      <c r="C3041" s="19" t="s">
        <v>5340</v>
      </c>
      <c r="D3041" s="19" t="s">
        <v>278</v>
      </c>
      <c r="E3041" s="19" t="s">
        <v>279</v>
      </c>
      <c r="F3041" s="19" t="s">
        <v>1131</v>
      </c>
      <c r="G3041" s="19" t="s">
        <v>1028</v>
      </c>
      <c r="H3041" s="19" t="s">
        <v>1020</v>
      </c>
      <c r="I3041" s="19" t="s">
        <v>1575</v>
      </c>
      <c r="J3041" s="20">
        <v>22</v>
      </c>
      <c r="K3041" t="s">
        <v>625</v>
      </c>
      <c r="L3041" t="s">
        <v>661</v>
      </c>
      <c r="M3041" t="s">
        <v>657</v>
      </c>
      <c r="N3041" t="s">
        <v>662</v>
      </c>
      <c r="O3041" t="s">
        <v>632</v>
      </c>
    </row>
    <row r="3042" spans="1:15" x14ac:dyDescent="0.35">
      <c r="A3042" s="77">
        <v>0.62191780821917808</v>
      </c>
      <c r="B3042" s="19">
        <v>98480</v>
      </c>
      <c r="C3042" s="19" t="s">
        <v>5341</v>
      </c>
      <c r="D3042" s="19" t="s">
        <v>278</v>
      </c>
      <c r="E3042" s="19" t="s">
        <v>279</v>
      </c>
      <c r="F3042" s="19" t="s">
        <v>1131</v>
      </c>
      <c r="G3042" s="19" t="s">
        <v>1019</v>
      </c>
      <c r="H3042" s="19" t="s">
        <v>1020</v>
      </c>
      <c r="I3042" s="19" t="s">
        <v>1599</v>
      </c>
      <c r="J3042" s="20">
        <v>18</v>
      </c>
      <c r="K3042" t="s">
        <v>625</v>
      </c>
      <c r="L3042" t="s">
        <v>661</v>
      </c>
      <c r="M3042" t="s">
        <v>657</v>
      </c>
      <c r="N3042" t="s">
        <v>662</v>
      </c>
      <c r="O3042" t="s">
        <v>632</v>
      </c>
    </row>
    <row r="3043" spans="1:15" x14ac:dyDescent="0.35">
      <c r="A3043" s="77">
        <v>0.62191780821917808</v>
      </c>
      <c r="B3043" s="19">
        <v>98485</v>
      </c>
      <c r="C3043" s="19" t="s">
        <v>5342</v>
      </c>
      <c r="D3043" s="19" t="s">
        <v>278</v>
      </c>
      <c r="E3043" s="19" t="s">
        <v>279</v>
      </c>
      <c r="F3043" s="19" t="s">
        <v>1131</v>
      </c>
      <c r="G3043" s="19" t="s">
        <v>1028</v>
      </c>
      <c r="H3043" s="19" t="s">
        <v>1020</v>
      </c>
      <c r="I3043" s="19" t="s">
        <v>1575</v>
      </c>
      <c r="J3043" s="20">
        <v>28</v>
      </c>
      <c r="K3043" t="s">
        <v>625</v>
      </c>
      <c r="L3043" t="s">
        <v>661</v>
      </c>
      <c r="M3043" t="s">
        <v>657</v>
      </c>
      <c r="N3043" t="s">
        <v>662</v>
      </c>
      <c r="O3043" t="s">
        <v>632</v>
      </c>
    </row>
    <row r="3044" spans="1:15" x14ac:dyDescent="0.35">
      <c r="A3044" s="77">
        <v>0.62191780821917808</v>
      </c>
      <c r="B3044" s="19">
        <v>98487</v>
      </c>
      <c r="C3044" s="19" t="s">
        <v>5343</v>
      </c>
      <c r="D3044" s="19" t="s">
        <v>120</v>
      </c>
      <c r="E3044" s="19" t="s">
        <v>121</v>
      </c>
      <c r="F3044" s="19" t="s">
        <v>1236</v>
      </c>
      <c r="G3044" s="19" t="s">
        <v>3508</v>
      </c>
      <c r="H3044" s="19" t="s">
        <v>1020</v>
      </c>
      <c r="I3044" s="19" t="s">
        <v>1599</v>
      </c>
      <c r="J3044" s="20">
        <v>14</v>
      </c>
      <c r="K3044" t="s">
        <v>636</v>
      </c>
      <c r="L3044" t="s">
        <v>673</v>
      </c>
      <c r="M3044" t="s">
        <v>623</v>
      </c>
      <c r="N3044" t="s">
        <v>641</v>
      </c>
      <c r="O3044" t="s">
        <v>748</v>
      </c>
    </row>
    <row r="3045" spans="1:15" x14ac:dyDescent="0.35">
      <c r="A3045" s="77">
        <v>0.62191780821917808</v>
      </c>
      <c r="B3045" s="19">
        <v>98489</v>
      </c>
      <c r="C3045" s="19" t="s">
        <v>5344</v>
      </c>
      <c r="D3045" s="19" t="s">
        <v>397</v>
      </c>
      <c r="E3045" s="19" t="s">
        <v>398</v>
      </c>
      <c r="F3045" s="19" t="s">
        <v>867</v>
      </c>
      <c r="G3045" s="19" t="s">
        <v>1028</v>
      </c>
      <c r="H3045" s="19" t="s">
        <v>1020</v>
      </c>
      <c r="I3045" s="19" t="s">
        <v>1575</v>
      </c>
      <c r="J3045" s="20">
        <v>21</v>
      </c>
      <c r="K3045" t="s">
        <v>625</v>
      </c>
      <c r="L3045" t="s">
        <v>634</v>
      </c>
      <c r="M3045" t="s">
        <v>629</v>
      </c>
      <c r="N3045" t="s">
        <v>635</v>
      </c>
      <c r="O3045" t="s">
        <v>637</v>
      </c>
    </row>
    <row r="3046" spans="1:15" x14ac:dyDescent="0.35">
      <c r="A3046" s="77">
        <v>0.62191780821917808</v>
      </c>
      <c r="B3046" s="19">
        <v>98492</v>
      </c>
      <c r="C3046" s="19" t="s">
        <v>5345</v>
      </c>
      <c r="D3046" s="19" t="s">
        <v>137</v>
      </c>
      <c r="E3046" s="19" t="s">
        <v>138</v>
      </c>
      <c r="F3046" s="19" t="s">
        <v>1115</v>
      </c>
      <c r="G3046" s="19" t="s">
        <v>1057</v>
      </c>
      <c r="H3046" s="19" t="s">
        <v>1001</v>
      </c>
      <c r="I3046" s="19" t="s">
        <v>1575</v>
      </c>
      <c r="J3046" s="20">
        <v>19</v>
      </c>
      <c r="K3046" t="s">
        <v>636</v>
      </c>
      <c r="L3046" t="s">
        <v>684</v>
      </c>
      <c r="M3046" t="s">
        <v>623</v>
      </c>
      <c r="N3046" t="s">
        <v>662</v>
      </c>
      <c r="O3046" t="s">
        <v>685</v>
      </c>
    </row>
    <row r="3047" spans="1:15" x14ac:dyDescent="0.35">
      <c r="A3047" s="77">
        <v>0.61917808219178083</v>
      </c>
      <c r="B3047" s="19">
        <v>98502</v>
      </c>
      <c r="C3047" s="19" t="s">
        <v>5346</v>
      </c>
      <c r="D3047" s="19" t="s">
        <v>430</v>
      </c>
      <c r="E3047" s="19" t="e">
        <v>#N/A</v>
      </c>
      <c r="F3047" s="19" t="s">
        <v>1105</v>
      </c>
      <c r="G3047" s="19" t="s">
        <v>1028</v>
      </c>
      <c r="H3047" s="19" t="s">
        <v>1020</v>
      </c>
      <c r="I3047" s="19" t="s">
        <v>1575</v>
      </c>
      <c r="J3047" s="20">
        <v>19</v>
      </c>
      <c r="K3047" t="s">
        <v>654</v>
      </c>
      <c r="L3047" t="s">
        <v>645</v>
      </c>
      <c r="M3047" t="s">
        <v>629</v>
      </c>
      <c r="N3047" t="s">
        <v>646</v>
      </c>
      <c r="O3047" t="s">
        <v>632</v>
      </c>
    </row>
    <row r="3048" spans="1:15" x14ac:dyDescent="0.35">
      <c r="A3048" s="77">
        <v>0.61643835616438358</v>
      </c>
      <c r="B3048" s="19">
        <v>98505</v>
      </c>
      <c r="C3048" s="19" t="s">
        <v>5347</v>
      </c>
      <c r="D3048" s="19" t="s">
        <v>60</v>
      </c>
      <c r="E3048" s="19" t="s">
        <v>61</v>
      </c>
      <c r="F3048" s="19" t="s">
        <v>1119</v>
      </c>
      <c r="G3048" s="19" t="s">
        <v>3508</v>
      </c>
      <c r="H3048" s="19" t="s">
        <v>1020</v>
      </c>
      <c r="I3048" s="19" t="s">
        <v>1599</v>
      </c>
      <c r="J3048" s="20">
        <v>17</v>
      </c>
      <c r="K3048" t="s">
        <v>654</v>
      </c>
      <c r="L3048" t="s">
        <v>651</v>
      </c>
      <c r="M3048" t="s">
        <v>629</v>
      </c>
      <c r="N3048" t="s">
        <v>630</v>
      </c>
      <c r="O3048" t="s">
        <v>705</v>
      </c>
    </row>
    <row r="3049" spans="1:15" x14ac:dyDescent="0.35">
      <c r="A3049" s="77">
        <v>0.61643835616438358</v>
      </c>
      <c r="B3049" s="19">
        <v>98507</v>
      </c>
      <c r="C3049" s="19" t="s">
        <v>5348</v>
      </c>
      <c r="D3049" s="19" t="s">
        <v>73</v>
      </c>
      <c r="E3049" s="19" t="s">
        <v>74</v>
      </c>
      <c r="F3049" s="19" t="s">
        <v>1178</v>
      </c>
      <c r="G3049" s="19" t="s">
        <v>1028</v>
      </c>
      <c r="H3049" s="19" t="s">
        <v>1020</v>
      </c>
      <c r="I3049" s="19" t="s">
        <v>1575</v>
      </c>
      <c r="J3049" s="20">
        <v>23</v>
      </c>
      <c r="K3049" t="s">
        <v>654</v>
      </c>
      <c r="L3049" t="s">
        <v>648</v>
      </c>
      <c r="M3049" t="s">
        <v>623</v>
      </c>
      <c r="N3049" t="s">
        <v>624</v>
      </c>
      <c r="O3049" t="s">
        <v>725</v>
      </c>
    </row>
    <row r="3050" spans="1:15" x14ac:dyDescent="0.35">
      <c r="A3050" s="77">
        <v>0.62191780821917808</v>
      </c>
      <c r="B3050" s="19">
        <v>98508</v>
      </c>
      <c r="C3050" s="19" t="s">
        <v>5349</v>
      </c>
      <c r="D3050" s="19" t="s">
        <v>102</v>
      </c>
      <c r="E3050" s="19" t="s">
        <v>103</v>
      </c>
      <c r="F3050" s="19" t="s">
        <v>1306</v>
      </c>
      <c r="G3050" s="19" t="s">
        <v>3508</v>
      </c>
      <c r="H3050" s="19" t="s">
        <v>1020</v>
      </c>
      <c r="I3050" s="19" t="s">
        <v>1575</v>
      </c>
      <c r="J3050" s="20">
        <v>18</v>
      </c>
      <c r="K3050" t="s">
        <v>654</v>
      </c>
      <c r="L3050" t="s">
        <v>707</v>
      </c>
      <c r="M3050" t="s">
        <v>629</v>
      </c>
      <c r="N3050" t="s">
        <v>635</v>
      </c>
      <c r="O3050" t="s">
        <v>708</v>
      </c>
    </row>
    <row r="3051" spans="1:15" x14ac:dyDescent="0.35">
      <c r="A3051" s="77">
        <v>0.61643835616438358</v>
      </c>
      <c r="B3051" s="19">
        <v>98519</v>
      </c>
      <c r="C3051" s="19" t="s">
        <v>5350</v>
      </c>
      <c r="D3051" s="19" t="s">
        <v>118</v>
      </c>
      <c r="E3051" s="19" t="s">
        <v>119</v>
      </c>
      <c r="F3051" s="19" t="s">
        <v>1360</v>
      </c>
      <c r="G3051" s="19" t="s">
        <v>1008</v>
      </c>
      <c r="H3051" s="19" t="s">
        <v>1001</v>
      </c>
      <c r="I3051" s="19" t="s">
        <v>1575</v>
      </c>
      <c r="J3051" s="20">
        <v>24</v>
      </c>
      <c r="K3051" t="s">
        <v>625</v>
      </c>
      <c r="L3051" t="s">
        <v>656</v>
      </c>
      <c r="M3051" t="s">
        <v>657</v>
      </c>
      <c r="N3051" t="s">
        <v>658</v>
      </c>
      <c r="O3051" t="s">
        <v>632</v>
      </c>
    </row>
    <row r="3052" spans="1:15" x14ac:dyDescent="0.35">
      <c r="A3052" s="77">
        <v>0.61643835616438358</v>
      </c>
      <c r="B3052" s="19">
        <v>98520</v>
      </c>
      <c r="C3052" s="19" t="s">
        <v>5351</v>
      </c>
      <c r="D3052" s="19" t="s">
        <v>422</v>
      </c>
      <c r="E3052" s="19" t="s">
        <v>422</v>
      </c>
      <c r="F3052" s="19" t="s">
        <v>423</v>
      </c>
      <c r="G3052" s="19" t="s">
        <v>1028</v>
      </c>
      <c r="H3052" s="19" t="s">
        <v>1020</v>
      </c>
      <c r="I3052" s="19" t="s">
        <v>1575</v>
      </c>
      <c r="J3052" s="20">
        <v>23</v>
      </c>
      <c r="K3052" t="s">
        <v>654</v>
      </c>
      <c r="L3052" t="s">
        <v>673</v>
      </c>
      <c r="M3052" t="s">
        <v>623</v>
      </c>
      <c r="N3052" t="s">
        <v>641</v>
      </c>
      <c r="O3052" t="s">
        <v>697</v>
      </c>
    </row>
    <row r="3053" spans="1:15" x14ac:dyDescent="0.35">
      <c r="A3053" s="77">
        <v>0.60821917808219184</v>
      </c>
      <c r="B3053" s="19">
        <v>98540</v>
      </c>
      <c r="C3053" s="19" t="s">
        <v>5352</v>
      </c>
      <c r="D3053" s="19" t="s">
        <v>425</v>
      </c>
      <c r="E3053" s="19" t="s">
        <v>425</v>
      </c>
      <c r="F3053" s="19" t="s">
        <v>1330</v>
      </c>
      <c r="G3053" s="19" t="s">
        <v>3508</v>
      </c>
      <c r="H3053" s="19" t="s">
        <v>1020</v>
      </c>
      <c r="I3053" s="19" t="s">
        <v>1599</v>
      </c>
      <c r="J3053" s="20">
        <v>19</v>
      </c>
      <c r="K3053" t="s">
        <v>654</v>
      </c>
      <c r="L3053" t="s">
        <v>678</v>
      </c>
      <c r="M3053" t="s">
        <v>623</v>
      </c>
      <c r="N3053" t="s">
        <v>624</v>
      </c>
      <c r="O3053" t="s">
        <v>689</v>
      </c>
    </row>
    <row r="3054" spans="1:15" x14ac:dyDescent="0.35">
      <c r="A3054" s="77">
        <v>0.60821917808219184</v>
      </c>
      <c r="B3054" s="19">
        <v>98544</v>
      </c>
      <c r="C3054" s="19" t="s">
        <v>5353</v>
      </c>
      <c r="D3054" s="19" t="s">
        <v>424</v>
      </c>
      <c r="E3054" s="19" t="s">
        <v>424</v>
      </c>
      <c r="F3054" s="19" t="s">
        <v>699</v>
      </c>
      <c r="G3054" s="19" t="s">
        <v>1057</v>
      </c>
      <c r="H3054" s="19" t="s">
        <v>1001</v>
      </c>
      <c r="I3054" s="19" t="s">
        <v>1575</v>
      </c>
      <c r="J3054" s="20">
        <v>23</v>
      </c>
      <c r="K3054" t="s">
        <v>642</v>
      </c>
      <c r="L3054" t="s">
        <v>628</v>
      </c>
      <c r="M3054" t="s">
        <v>629</v>
      </c>
      <c r="N3054" t="s">
        <v>646</v>
      </c>
      <c r="O3054" t="s">
        <v>632</v>
      </c>
    </row>
    <row r="3055" spans="1:15" x14ac:dyDescent="0.35">
      <c r="A3055" s="77">
        <v>0.60821917808219184</v>
      </c>
      <c r="B3055" s="19">
        <v>98549</v>
      </c>
      <c r="C3055" s="19" t="s">
        <v>5354</v>
      </c>
      <c r="D3055" s="19" t="s">
        <v>58</v>
      </c>
      <c r="E3055" s="19" t="s">
        <v>59</v>
      </c>
      <c r="F3055" s="19" t="s">
        <v>1650</v>
      </c>
      <c r="G3055" s="19" t="s">
        <v>1028</v>
      </c>
      <c r="H3055" s="19" t="s">
        <v>1020</v>
      </c>
      <c r="I3055" s="19" t="s">
        <v>1575</v>
      </c>
      <c r="J3055" s="20">
        <v>20</v>
      </c>
      <c r="K3055" t="s">
        <v>668</v>
      </c>
      <c r="L3055" t="s">
        <v>651</v>
      </c>
      <c r="M3055" t="s">
        <v>629</v>
      </c>
      <c r="N3055" t="s">
        <v>630</v>
      </c>
      <c r="O3055" t="s">
        <v>705</v>
      </c>
    </row>
    <row r="3056" spans="1:15" x14ac:dyDescent="0.35">
      <c r="A3056" s="77">
        <v>0.60821917808219184</v>
      </c>
      <c r="B3056" s="19">
        <v>98550</v>
      </c>
      <c r="C3056" s="19" t="s">
        <v>5355</v>
      </c>
      <c r="D3056" s="19" t="s">
        <v>58</v>
      </c>
      <c r="E3056" s="19" t="s">
        <v>59</v>
      </c>
      <c r="F3056" s="19" t="s">
        <v>1650</v>
      </c>
      <c r="G3056" s="19" t="s">
        <v>1028</v>
      </c>
      <c r="H3056" s="19" t="s">
        <v>1020</v>
      </c>
      <c r="I3056" s="19" t="s">
        <v>1575</v>
      </c>
      <c r="J3056" s="20">
        <v>20</v>
      </c>
      <c r="K3056" t="s">
        <v>668</v>
      </c>
      <c r="L3056" t="s">
        <v>651</v>
      </c>
      <c r="M3056" t="s">
        <v>629</v>
      </c>
      <c r="N3056" t="s">
        <v>630</v>
      </c>
      <c r="O3056" t="s">
        <v>705</v>
      </c>
    </row>
    <row r="3057" spans="1:15" x14ac:dyDescent="0.35">
      <c r="A3057" s="77">
        <v>0.60821917808219184</v>
      </c>
      <c r="B3057" s="19">
        <v>98551</v>
      </c>
      <c r="C3057" s="19" t="s">
        <v>5356</v>
      </c>
      <c r="D3057" s="19" t="s">
        <v>23</v>
      </c>
      <c r="E3057" s="19" t="s">
        <v>23</v>
      </c>
      <c r="F3057" s="19" t="s">
        <v>660</v>
      </c>
      <c r="G3057" s="19" t="s">
        <v>1084</v>
      </c>
      <c r="H3057" s="19" t="s">
        <v>1001</v>
      </c>
      <c r="I3057" s="19" t="s">
        <v>1599</v>
      </c>
      <c r="J3057" s="20">
        <v>21</v>
      </c>
      <c r="K3057" t="s">
        <v>631</v>
      </c>
      <c r="L3057" t="s">
        <v>661</v>
      </c>
      <c r="M3057" t="s">
        <v>657</v>
      </c>
      <c r="N3057" t="s">
        <v>662</v>
      </c>
      <c r="O3057" t="s">
        <v>632</v>
      </c>
    </row>
    <row r="3058" spans="1:15" x14ac:dyDescent="0.35">
      <c r="A3058" s="77">
        <v>0.60547945205479448</v>
      </c>
      <c r="B3058" s="19">
        <v>98553</v>
      </c>
      <c r="C3058" s="19" t="s">
        <v>5357</v>
      </c>
      <c r="D3058" s="19" t="s">
        <v>80</v>
      </c>
      <c r="E3058" s="19" t="s">
        <v>81</v>
      </c>
      <c r="F3058" s="19" t="s">
        <v>1022</v>
      </c>
      <c r="G3058" s="19" t="s">
        <v>1028</v>
      </c>
      <c r="H3058" s="19" t="s">
        <v>1020</v>
      </c>
      <c r="I3058" s="19" t="s">
        <v>1575</v>
      </c>
      <c r="J3058" s="20">
        <v>24</v>
      </c>
      <c r="K3058" t="s">
        <v>654</v>
      </c>
      <c r="L3058" t="s">
        <v>628</v>
      </c>
      <c r="M3058" t="s">
        <v>629</v>
      </c>
      <c r="N3058" t="s">
        <v>630</v>
      </c>
      <c r="O3058" t="s">
        <v>632</v>
      </c>
    </row>
    <row r="3059" spans="1:15" x14ac:dyDescent="0.35">
      <c r="A3059" s="77">
        <v>0.60547945205479448</v>
      </c>
      <c r="B3059" s="19">
        <v>98561</v>
      </c>
      <c r="C3059" s="19" t="s">
        <v>5358</v>
      </c>
      <c r="D3059" s="19" t="s">
        <v>237</v>
      </c>
      <c r="E3059" s="19" t="s">
        <v>238</v>
      </c>
      <c r="F3059" s="19" t="s">
        <v>1070</v>
      </c>
      <c r="G3059" s="19" t="s">
        <v>1084</v>
      </c>
      <c r="H3059" s="19" t="s">
        <v>1001</v>
      </c>
      <c r="I3059" s="19" t="s">
        <v>1599</v>
      </c>
      <c r="J3059" s="20">
        <v>20</v>
      </c>
      <c r="K3059" t="s">
        <v>631</v>
      </c>
      <c r="L3059" t="s">
        <v>661</v>
      </c>
      <c r="M3059" t="s">
        <v>657</v>
      </c>
      <c r="N3059" t="s">
        <v>662</v>
      </c>
      <c r="O3059" t="s">
        <v>632</v>
      </c>
    </row>
    <row r="3060" spans="1:15" x14ac:dyDescent="0.35">
      <c r="A3060" s="77">
        <v>0.60547945205479448</v>
      </c>
      <c r="B3060" s="19">
        <v>98563</v>
      </c>
      <c r="C3060" s="19" t="s">
        <v>5359</v>
      </c>
      <c r="D3060" s="19" t="s">
        <v>18</v>
      </c>
      <c r="E3060" s="19" t="s">
        <v>18</v>
      </c>
      <c r="F3060" s="19" t="s">
        <v>650</v>
      </c>
      <c r="G3060" s="19" t="s">
        <v>1028</v>
      </c>
      <c r="H3060" s="19" t="s">
        <v>1020</v>
      </c>
      <c r="I3060" s="19" t="s">
        <v>1599</v>
      </c>
      <c r="J3060" s="20">
        <v>22</v>
      </c>
      <c r="K3060" t="s">
        <v>636</v>
      </c>
      <c r="L3060" t="s">
        <v>651</v>
      </c>
      <c r="M3060" t="s">
        <v>629</v>
      </c>
      <c r="N3060" t="s">
        <v>630</v>
      </c>
      <c r="O3060" t="s">
        <v>652</v>
      </c>
    </row>
    <row r="3061" spans="1:15" x14ac:dyDescent="0.35">
      <c r="A3061" s="77">
        <v>0.60273972602739723</v>
      </c>
      <c r="B3061" s="19">
        <v>98564</v>
      </c>
      <c r="C3061" s="19" t="s">
        <v>5360</v>
      </c>
      <c r="D3061" s="19" t="s">
        <v>422</v>
      </c>
      <c r="E3061" s="19" t="s">
        <v>422</v>
      </c>
      <c r="F3061" s="19" t="s">
        <v>423</v>
      </c>
      <c r="G3061" s="19" t="s">
        <v>1008</v>
      </c>
      <c r="H3061" s="19" t="s">
        <v>1001</v>
      </c>
      <c r="I3061" s="19" t="s">
        <v>1599</v>
      </c>
      <c r="J3061" s="20">
        <v>22</v>
      </c>
      <c r="K3061" t="s">
        <v>654</v>
      </c>
      <c r="L3061" t="s">
        <v>673</v>
      </c>
      <c r="M3061" t="s">
        <v>623</v>
      </c>
      <c r="N3061" t="s">
        <v>641</v>
      </c>
      <c r="O3061" t="s">
        <v>697</v>
      </c>
    </row>
    <row r="3062" spans="1:15" x14ac:dyDescent="0.35">
      <c r="A3062" s="77">
        <v>0.60273972602739723</v>
      </c>
      <c r="B3062" s="19">
        <v>98569</v>
      </c>
      <c r="C3062" s="19" t="s">
        <v>5361</v>
      </c>
      <c r="D3062" s="19" t="s">
        <v>420</v>
      </c>
      <c r="E3062" s="19" t="s">
        <v>420</v>
      </c>
      <c r="F3062" s="19" t="s">
        <v>686</v>
      </c>
      <c r="G3062" s="19" t="s">
        <v>1028</v>
      </c>
      <c r="H3062" s="19" t="s">
        <v>1020</v>
      </c>
      <c r="I3062" s="19" t="s">
        <v>1575</v>
      </c>
      <c r="J3062" s="20">
        <v>20</v>
      </c>
      <c r="K3062" t="s">
        <v>631</v>
      </c>
      <c r="L3062" t="s">
        <v>634</v>
      </c>
      <c r="M3062" t="s">
        <v>629</v>
      </c>
      <c r="N3062" t="s">
        <v>635</v>
      </c>
      <c r="O3062" t="s">
        <v>637</v>
      </c>
    </row>
    <row r="3063" spans="1:15" x14ac:dyDescent="0.35">
      <c r="A3063" s="77">
        <v>0.6</v>
      </c>
      <c r="B3063" s="19">
        <v>98572</v>
      </c>
      <c r="C3063" s="19" t="s">
        <v>5362</v>
      </c>
      <c r="D3063" s="19" t="s">
        <v>60</v>
      </c>
      <c r="E3063" s="19" t="s">
        <v>61</v>
      </c>
      <c r="F3063" s="19" t="s">
        <v>1119</v>
      </c>
      <c r="G3063" s="19" t="s">
        <v>1028</v>
      </c>
      <c r="H3063" s="19" t="s">
        <v>1020</v>
      </c>
      <c r="I3063" s="19" t="s">
        <v>1575</v>
      </c>
      <c r="J3063" s="20">
        <v>26</v>
      </c>
      <c r="K3063" t="s">
        <v>654</v>
      </c>
      <c r="L3063" t="s">
        <v>651</v>
      </c>
      <c r="M3063" t="s">
        <v>629</v>
      </c>
      <c r="N3063" t="s">
        <v>630</v>
      </c>
      <c r="O3063" t="s">
        <v>705</v>
      </c>
    </row>
    <row r="3064" spans="1:15" x14ac:dyDescent="0.35">
      <c r="A3064" s="77">
        <v>0.6</v>
      </c>
      <c r="B3064" s="19">
        <v>98574</v>
      </c>
      <c r="C3064" s="19" t="s">
        <v>5363</v>
      </c>
      <c r="D3064" s="19" t="s">
        <v>23</v>
      </c>
      <c r="E3064" s="19" t="s">
        <v>23</v>
      </c>
      <c r="F3064" s="19" t="s">
        <v>660</v>
      </c>
      <c r="G3064" s="19" t="s">
        <v>1028</v>
      </c>
      <c r="H3064" s="19" t="s">
        <v>1020</v>
      </c>
      <c r="I3064" s="19" t="s">
        <v>1599</v>
      </c>
      <c r="J3064" s="20">
        <v>20</v>
      </c>
      <c r="K3064" t="s">
        <v>631</v>
      </c>
      <c r="L3064" t="s">
        <v>661</v>
      </c>
      <c r="M3064" t="s">
        <v>657</v>
      </c>
      <c r="N3064" t="s">
        <v>662</v>
      </c>
      <c r="O3064" t="s">
        <v>632</v>
      </c>
    </row>
    <row r="3065" spans="1:15" x14ac:dyDescent="0.35">
      <c r="A3065" s="77">
        <v>0.62465753424657533</v>
      </c>
      <c r="B3065" s="19">
        <v>98575</v>
      </c>
      <c r="C3065" s="19" t="s">
        <v>5364</v>
      </c>
      <c r="D3065" s="19" t="s">
        <v>111</v>
      </c>
      <c r="E3065" s="19" t="s">
        <v>112</v>
      </c>
      <c r="F3065" s="19" t="s">
        <v>1083</v>
      </c>
      <c r="G3065" s="19" t="s">
        <v>3508</v>
      </c>
      <c r="H3065" s="19" t="s">
        <v>1020</v>
      </c>
      <c r="I3065" s="19" t="s">
        <v>1599</v>
      </c>
      <c r="J3065" s="20">
        <v>18</v>
      </c>
      <c r="K3065" t="s">
        <v>654</v>
      </c>
      <c r="L3065" t="s">
        <v>651</v>
      </c>
      <c r="M3065" t="s">
        <v>629</v>
      </c>
      <c r="N3065" t="s">
        <v>630</v>
      </c>
      <c r="O3065" t="s">
        <v>652</v>
      </c>
    </row>
    <row r="3066" spans="1:15" x14ac:dyDescent="0.35">
      <c r="A3066" s="77">
        <v>0.6</v>
      </c>
      <c r="B3066" s="19">
        <v>98577</v>
      </c>
      <c r="C3066" s="19" t="s">
        <v>5365</v>
      </c>
      <c r="D3066" s="19" t="s">
        <v>73</v>
      </c>
      <c r="E3066" s="19" t="s">
        <v>74</v>
      </c>
      <c r="F3066" s="19" t="s">
        <v>1178</v>
      </c>
      <c r="G3066" s="19" t="s">
        <v>1008</v>
      </c>
      <c r="H3066" s="19" t="s">
        <v>1001</v>
      </c>
      <c r="I3066" s="19" t="s">
        <v>1575</v>
      </c>
      <c r="J3066" s="20">
        <v>39</v>
      </c>
      <c r="K3066" t="s">
        <v>654</v>
      </c>
      <c r="L3066" t="s">
        <v>648</v>
      </c>
      <c r="M3066" t="s">
        <v>623</v>
      </c>
      <c r="N3066" t="s">
        <v>624</v>
      </c>
      <c r="O3066" t="s">
        <v>725</v>
      </c>
    </row>
    <row r="3067" spans="1:15" x14ac:dyDescent="0.35">
      <c r="A3067" s="77">
        <v>0.6</v>
      </c>
      <c r="B3067" s="19">
        <v>98590</v>
      </c>
      <c r="C3067" s="19" t="s">
        <v>5366</v>
      </c>
      <c r="D3067" s="19" t="s">
        <v>91</v>
      </c>
      <c r="E3067" s="19" t="s">
        <v>92</v>
      </c>
      <c r="F3067" s="19" t="s">
        <v>1113</v>
      </c>
      <c r="G3067" s="19" t="s">
        <v>1028</v>
      </c>
      <c r="H3067" s="19" t="s">
        <v>1020</v>
      </c>
      <c r="I3067" s="19" t="s">
        <v>1575</v>
      </c>
      <c r="J3067" s="20">
        <v>35</v>
      </c>
      <c r="K3067" t="s">
        <v>636</v>
      </c>
      <c r="L3067" t="s">
        <v>634</v>
      </c>
      <c r="M3067" t="s">
        <v>629</v>
      </c>
      <c r="N3067" t="s">
        <v>630</v>
      </c>
      <c r="O3067" t="s">
        <v>734</v>
      </c>
    </row>
    <row r="3068" spans="1:15" x14ac:dyDescent="0.35">
      <c r="A3068" s="77">
        <v>0.6</v>
      </c>
      <c r="B3068" s="19">
        <v>98592</v>
      </c>
      <c r="C3068" s="19" t="s">
        <v>5367</v>
      </c>
      <c r="D3068" s="19" t="s">
        <v>24</v>
      </c>
      <c r="E3068" s="19" t="s">
        <v>24</v>
      </c>
      <c r="F3068" s="19" t="s">
        <v>2097</v>
      </c>
      <c r="G3068" s="19" t="s">
        <v>1028</v>
      </c>
      <c r="H3068" s="19" t="s">
        <v>1020</v>
      </c>
      <c r="I3068" s="19" t="s">
        <v>1575</v>
      </c>
      <c r="J3068" s="20">
        <v>21</v>
      </c>
      <c r="K3068" t="s">
        <v>664</v>
      </c>
      <c r="L3068" t="s">
        <v>663</v>
      </c>
      <c r="M3068" t="s">
        <v>629</v>
      </c>
      <c r="N3068" t="s">
        <v>646</v>
      </c>
      <c r="O3068" t="s">
        <v>639</v>
      </c>
    </row>
    <row r="3069" spans="1:15" x14ac:dyDescent="0.35">
      <c r="A3069" s="77">
        <v>0.59726027397260273</v>
      </c>
      <c r="B3069" s="19">
        <v>98613</v>
      </c>
      <c r="C3069" s="19" t="s">
        <v>5368</v>
      </c>
      <c r="D3069" s="19" t="s">
        <v>420</v>
      </c>
      <c r="E3069" s="19" t="s">
        <v>420</v>
      </c>
      <c r="F3069" s="19" t="s">
        <v>686</v>
      </c>
      <c r="G3069" s="19" t="s">
        <v>1028</v>
      </c>
      <c r="H3069" s="19" t="s">
        <v>1020</v>
      </c>
      <c r="I3069" s="19" t="s">
        <v>1575</v>
      </c>
      <c r="J3069" s="20">
        <v>26</v>
      </c>
      <c r="K3069" t="s">
        <v>631</v>
      </c>
      <c r="L3069" t="s">
        <v>634</v>
      </c>
      <c r="M3069" t="s">
        <v>629</v>
      </c>
      <c r="N3069" t="s">
        <v>635</v>
      </c>
      <c r="O3069" t="s">
        <v>637</v>
      </c>
    </row>
    <row r="3070" spans="1:15" x14ac:dyDescent="0.35">
      <c r="A3070" s="77">
        <v>0.58630136986301373</v>
      </c>
      <c r="B3070" s="19">
        <v>98618</v>
      </c>
      <c r="C3070" s="19" t="s">
        <v>5369</v>
      </c>
      <c r="D3070" s="19" t="s">
        <v>204</v>
      </c>
      <c r="E3070" s="19" t="s">
        <v>205</v>
      </c>
      <c r="F3070" s="19" t="s">
        <v>1090</v>
      </c>
      <c r="G3070" s="19" t="s">
        <v>3508</v>
      </c>
      <c r="H3070" s="19" t="s">
        <v>1020</v>
      </c>
      <c r="I3070" s="19" t="s">
        <v>1599</v>
      </c>
      <c r="J3070" s="20">
        <v>23</v>
      </c>
      <c r="K3070" t="s">
        <v>668</v>
      </c>
      <c r="L3070" t="s">
        <v>634</v>
      </c>
      <c r="M3070" t="s">
        <v>629</v>
      </c>
      <c r="N3070" t="s">
        <v>635</v>
      </c>
      <c r="O3070" t="s">
        <v>637</v>
      </c>
    </row>
    <row r="3071" spans="1:15" x14ac:dyDescent="0.35">
      <c r="A3071" s="77">
        <v>0.58082191780821912</v>
      </c>
      <c r="B3071" s="19">
        <v>98619</v>
      </c>
      <c r="C3071" s="19" t="s">
        <v>5370</v>
      </c>
      <c r="D3071" s="19" t="s">
        <v>140</v>
      </c>
      <c r="E3071" s="19" t="s">
        <v>141</v>
      </c>
      <c r="F3071" s="19" t="s">
        <v>1138</v>
      </c>
      <c r="G3071" s="19" t="s">
        <v>1008</v>
      </c>
      <c r="H3071" s="19" t="s">
        <v>1001</v>
      </c>
      <c r="I3071" s="19" t="s">
        <v>1575</v>
      </c>
      <c r="J3071" s="20">
        <v>24</v>
      </c>
      <c r="K3071" t="s">
        <v>636</v>
      </c>
      <c r="L3071" t="s">
        <v>640</v>
      </c>
      <c r="M3071" t="s">
        <v>623</v>
      </c>
      <c r="N3071" t="s">
        <v>641</v>
      </c>
      <c r="O3071" t="s">
        <v>754</v>
      </c>
    </row>
    <row r="3072" spans="1:15" x14ac:dyDescent="0.35">
      <c r="A3072" s="77">
        <v>0.57808219178082187</v>
      </c>
      <c r="B3072" s="19">
        <v>98625</v>
      </c>
      <c r="C3072" s="19" t="s">
        <v>5371</v>
      </c>
      <c r="D3072" s="19" t="s">
        <v>403</v>
      </c>
      <c r="E3072" s="19" t="s">
        <v>404</v>
      </c>
      <c r="F3072" s="19" t="s">
        <v>870</v>
      </c>
      <c r="G3072" s="19" t="s">
        <v>1028</v>
      </c>
      <c r="H3072" s="19" t="s">
        <v>1020</v>
      </c>
      <c r="I3072" s="19" t="s">
        <v>1575</v>
      </c>
      <c r="J3072" s="20">
        <v>23</v>
      </c>
      <c r="K3072" t="s">
        <v>631</v>
      </c>
      <c r="L3072" t="s">
        <v>691</v>
      </c>
      <c r="M3072" t="s">
        <v>657</v>
      </c>
      <c r="N3072" t="s">
        <v>658</v>
      </c>
      <c r="O3072" t="s">
        <v>632</v>
      </c>
    </row>
    <row r="3073" spans="1:15" x14ac:dyDescent="0.35">
      <c r="A3073" s="77">
        <v>0.57808219178082187</v>
      </c>
      <c r="B3073" s="19">
        <v>98637</v>
      </c>
      <c r="C3073" s="19" t="s">
        <v>3680</v>
      </c>
      <c r="D3073" s="19" t="s">
        <v>76</v>
      </c>
      <c r="E3073" s="19" t="s">
        <v>77</v>
      </c>
      <c r="F3073" s="19" t="s">
        <v>899</v>
      </c>
      <c r="G3073" s="19" t="s">
        <v>1028</v>
      </c>
      <c r="H3073" s="19" t="s">
        <v>1020</v>
      </c>
      <c r="I3073" s="19" t="s">
        <v>1575</v>
      </c>
      <c r="J3073" s="20">
        <v>20</v>
      </c>
      <c r="K3073" t="s">
        <v>636</v>
      </c>
      <c r="L3073" t="s">
        <v>645</v>
      </c>
      <c r="M3073" t="s">
        <v>629</v>
      </c>
      <c r="N3073" t="s">
        <v>646</v>
      </c>
      <c r="O3073" t="s">
        <v>632</v>
      </c>
    </row>
    <row r="3074" spans="1:15" x14ac:dyDescent="0.35">
      <c r="A3074" s="77">
        <v>0.57808219178082187</v>
      </c>
      <c r="B3074" s="19">
        <v>98642</v>
      </c>
      <c r="C3074" s="19" t="s">
        <v>5372</v>
      </c>
      <c r="D3074" s="19" t="s">
        <v>273</v>
      </c>
      <c r="E3074" s="19" t="s">
        <v>274</v>
      </c>
      <c r="F3074" s="19" t="s">
        <v>1093</v>
      </c>
      <c r="G3074" s="19" t="s">
        <v>1028</v>
      </c>
      <c r="H3074" s="19" t="s">
        <v>1020</v>
      </c>
      <c r="I3074" s="19" t="s">
        <v>1575</v>
      </c>
      <c r="J3074" s="20">
        <v>21</v>
      </c>
      <c r="K3074" t="s">
        <v>636</v>
      </c>
      <c r="L3074" t="s">
        <v>663</v>
      </c>
      <c r="M3074" t="s">
        <v>629</v>
      </c>
      <c r="N3074" t="s">
        <v>646</v>
      </c>
      <c r="O3074" t="s">
        <v>639</v>
      </c>
    </row>
    <row r="3075" spans="1:15" x14ac:dyDescent="0.35">
      <c r="A3075" s="77">
        <v>0.57808219178082187</v>
      </c>
      <c r="B3075" s="19">
        <v>98653</v>
      </c>
      <c r="C3075" s="19" t="s">
        <v>4836</v>
      </c>
      <c r="D3075" s="19" t="s">
        <v>330</v>
      </c>
      <c r="E3075" s="19" t="s">
        <v>331</v>
      </c>
      <c r="F3075" s="19" t="s">
        <v>332</v>
      </c>
      <c r="G3075" s="19" t="s">
        <v>1028</v>
      </c>
      <c r="H3075" s="19" t="s">
        <v>1020</v>
      </c>
      <c r="I3075" s="19" t="s">
        <v>1575</v>
      </c>
      <c r="J3075" s="20">
        <v>21</v>
      </c>
      <c r="K3075" t="s">
        <v>636</v>
      </c>
      <c r="L3075" t="s">
        <v>762</v>
      </c>
      <c r="M3075" t="s">
        <v>629</v>
      </c>
      <c r="N3075" t="s">
        <v>646</v>
      </c>
      <c r="O3075" t="s">
        <v>839</v>
      </c>
    </row>
    <row r="3076" spans="1:15" x14ac:dyDescent="0.35">
      <c r="A3076" s="77">
        <v>0.57808219178082187</v>
      </c>
      <c r="B3076" s="19">
        <v>98654</v>
      </c>
      <c r="C3076" s="19" t="s">
        <v>5373</v>
      </c>
      <c r="D3076" s="19" t="s">
        <v>266</v>
      </c>
      <c r="E3076" s="19" t="s">
        <v>267</v>
      </c>
      <c r="F3076" s="19" t="s">
        <v>2070</v>
      </c>
      <c r="G3076" s="19" t="s">
        <v>3508</v>
      </c>
      <c r="H3076" s="19" t="s">
        <v>1020</v>
      </c>
      <c r="I3076" s="19" t="s">
        <v>1599</v>
      </c>
      <c r="J3076" s="20">
        <v>19</v>
      </c>
      <c r="K3076" t="s">
        <v>636</v>
      </c>
      <c r="L3076" t="s">
        <v>634</v>
      </c>
      <c r="M3076" t="s">
        <v>629</v>
      </c>
      <c r="N3076" t="s">
        <v>635</v>
      </c>
      <c r="O3076" t="s">
        <v>637</v>
      </c>
    </row>
    <row r="3077" spans="1:15" x14ac:dyDescent="0.35">
      <c r="A3077" s="77">
        <v>0.57808219178082187</v>
      </c>
      <c r="B3077" s="19">
        <v>98656</v>
      </c>
      <c r="C3077" s="19" t="s">
        <v>5374</v>
      </c>
      <c r="D3077" s="19" t="s">
        <v>204</v>
      </c>
      <c r="E3077" s="19" t="s">
        <v>205</v>
      </c>
      <c r="F3077" s="19" t="s">
        <v>1090</v>
      </c>
      <c r="G3077" s="19" t="s">
        <v>1019</v>
      </c>
      <c r="H3077" s="19" t="s">
        <v>1020</v>
      </c>
      <c r="I3077" s="19" t="s">
        <v>1575</v>
      </c>
      <c r="J3077" s="20">
        <v>26</v>
      </c>
      <c r="K3077" t="s">
        <v>668</v>
      </c>
      <c r="L3077" t="s">
        <v>634</v>
      </c>
      <c r="M3077" t="s">
        <v>629</v>
      </c>
      <c r="N3077" t="s">
        <v>635</v>
      </c>
      <c r="O3077" t="s">
        <v>637</v>
      </c>
    </row>
    <row r="3078" spans="1:15" x14ac:dyDescent="0.35">
      <c r="A3078" s="77">
        <v>0.57808219178082187</v>
      </c>
      <c r="B3078" s="19">
        <v>98657</v>
      </c>
      <c r="C3078" s="19" t="s">
        <v>5375</v>
      </c>
      <c r="D3078" s="19" t="s">
        <v>271</v>
      </c>
      <c r="E3078" s="19" t="s">
        <v>272</v>
      </c>
      <c r="F3078" s="19" t="s">
        <v>2611</v>
      </c>
      <c r="G3078" s="19" t="s">
        <v>1038</v>
      </c>
      <c r="H3078" s="19" t="s">
        <v>1020</v>
      </c>
      <c r="I3078" s="19" t="s">
        <v>1575</v>
      </c>
      <c r="J3078" s="20">
        <v>36</v>
      </c>
      <c r="K3078" t="s">
        <v>654</v>
      </c>
      <c r="L3078" t="s">
        <v>666</v>
      </c>
      <c r="M3078" t="s">
        <v>629</v>
      </c>
      <c r="N3078" t="s">
        <v>635</v>
      </c>
      <c r="O3078" t="s">
        <v>739</v>
      </c>
    </row>
    <row r="3079" spans="1:15" x14ac:dyDescent="0.35">
      <c r="A3079" s="77">
        <v>0.56986301369863013</v>
      </c>
      <c r="B3079" s="19">
        <v>98659</v>
      </c>
      <c r="C3079" s="19" t="s">
        <v>5376</v>
      </c>
      <c r="D3079" s="19" t="s">
        <v>105</v>
      </c>
      <c r="E3079" s="19" t="s">
        <v>106</v>
      </c>
      <c r="F3079" s="19" t="s">
        <v>1207</v>
      </c>
      <c r="G3079" s="19" t="s">
        <v>1008</v>
      </c>
      <c r="H3079" s="19" t="s">
        <v>1001</v>
      </c>
      <c r="I3079" s="19" t="s">
        <v>1575</v>
      </c>
      <c r="J3079" s="20">
        <v>24</v>
      </c>
      <c r="K3079" t="s">
        <v>654</v>
      </c>
      <c r="L3079" t="s">
        <v>622</v>
      </c>
      <c r="M3079" t="s">
        <v>623</v>
      </c>
      <c r="N3079" t="s">
        <v>624</v>
      </c>
      <c r="O3079" t="s">
        <v>626</v>
      </c>
    </row>
    <row r="3080" spans="1:15" x14ac:dyDescent="0.35">
      <c r="A3080" s="77">
        <v>0.56986301369863013</v>
      </c>
      <c r="B3080" s="19">
        <v>98660</v>
      </c>
      <c r="C3080" s="19" t="s">
        <v>5377</v>
      </c>
      <c r="D3080" s="19" t="s">
        <v>105</v>
      </c>
      <c r="E3080" s="19" t="s">
        <v>106</v>
      </c>
      <c r="F3080" s="19" t="s">
        <v>1207</v>
      </c>
      <c r="G3080" s="19" t="s">
        <v>1008</v>
      </c>
      <c r="H3080" s="19" t="s">
        <v>1001</v>
      </c>
      <c r="I3080" s="19" t="s">
        <v>1575</v>
      </c>
      <c r="J3080" s="20">
        <v>18</v>
      </c>
      <c r="K3080" t="s">
        <v>654</v>
      </c>
      <c r="L3080" t="s">
        <v>622</v>
      </c>
      <c r="M3080" t="s">
        <v>623</v>
      </c>
      <c r="N3080" t="s">
        <v>624</v>
      </c>
      <c r="O3080" t="s">
        <v>626</v>
      </c>
    </row>
    <row r="3081" spans="1:15" x14ac:dyDescent="0.35">
      <c r="A3081" s="77">
        <v>0.56986301369863013</v>
      </c>
      <c r="B3081" s="19">
        <v>98662</v>
      </c>
      <c r="C3081" s="19" t="s">
        <v>5378</v>
      </c>
      <c r="D3081" s="19" t="s">
        <v>403</v>
      </c>
      <c r="E3081" s="19" t="s">
        <v>404</v>
      </c>
      <c r="F3081" s="19" t="s">
        <v>870</v>
      </c>
      <c r="G3081" s="19" t="s">
        <v>1028</v>
      </c>
      <c r="H3081" s="19" t="s">
        <v>1020</v>
      </c>
      <c r="I3081" s="19" t="s">
        <v>1575</v>
      </c>
      <c r="J3081" s="20">
        <v>20</v>
      </c>
      <c r="K3081" t="s">
        <v>631</v>
      </c>
      <c r="L3081" t="s">
        <v>691</v>
      </c>
      <c r="M3081" t="s">
        <v>657</v>
      </c>
      <c r="N3081" t="s">
        <v>658</v>
      </c>
      <c r="O3081" t="s">
        <v>632</v>
      </c>
    </row>
    <row r="3082" spans="1:15" x14ac:dyDescent="0.35">
      <c r="A3082" s="77">
        <v>0.57808219178082187</v>
      </c>
      <c r="B3082" s="19">
        <v>98665</v>
      </c>
      <c r="C3082" s="19" t="s">
        <v>5379</v>
      </c>
      <c r="D3082" s="19" t="s">
        <v>353</v>
      </c>
      <c r="E3082" s="19" t="s">
        <v>354</v>
      </c>
      <c r="F3082" s="19" t="s">
        <v>850</v>
      </c>
      <c r="G3082" s="19" t="s">
        <v>3508</v>
      </c>
      <c r="H3082" s="19" t="s">
        <v>1020</v>
      </c>
      <c r="I3082" s="19" t="s">
        <v>1575</v>
      </c>
      <c r="J3082" s="20">
        <v>17</v>
      </c>
      <c r="K3082" t="s">
        <v>654</v>
      </c>
      <c r="L3082" t="s">
        <v>640</v>
      </c>
      <c r="M3082" t="s">
        <v>623</v>
      </c>
      <c r="N3082" t="s">
        <v>624</v>
      </c>
      <c r="O3082" t="s">
        <v>789</v>
      </c>
    </row>
    <row r="3083" spans="1:15" x14ac:dyDescent="0.35">
      <c r="A3083" s="77">
        <v>0.57808219178082187</v>
      </c>
      <c r="B3083" s="19">
        <v>98666</v>
      </c>
      <c r="C3083" s="19" t="s">
        <v>5380</v>
      </c>
      <c r="D3083" s="19" t="s">
        <v>64</v>
      </c>
      <c r="E3083" s="19" t="s">
        <v>65</v>
      </c>
      <c r="F3083" s="19" t="s">
        <v>1197</v>
      </c>
      <c r="G3083" s="19" t="s">
        <v>1028</v>
      </c>
      <c r="H3083" s="19" t="s">
        <v>1020</v>
      </c>
      <c r="I3083" s="19" t="s">
        <v>1575</v>
      </c>
      <c r="J3083" s="20">
        <v>26</v>
      </c>
      <c r="K3083" t="s">
        <v>654</v>
      </c>
      <c r="L3083" t="s">
        <v>651</v>
      </c>
      <c r="M3083" t="s">
        <v>629</v>
      </c>
      <c r="N3083" t="s">
        <v>630</v>
      </c>
      <c r="O3083" t="s">
        <v>705</v>
      </c>
    </row>
    <row r="3084" spans="1:15" x14ac:dyDescent="0.35">
      <c r="A3084" s="77">
        <v>0.57808219178082187</v>
      </c>
      <c r="B3084" s="19">
        <v>98667</v>
      </c>
      <c r="C3084" s="19" t="s">
        <v>5381</v>
      </c>
      <c r="D3084" s="19" t="s">
        <v>31</v>
      </c>
      <c r="E3084" s="19" t="s">
        <v>31</v>
      </c>
      <c r="F3084" s="19" t="s">
        <v>675</v>
      </c>
      <c r="G3084" s="19" t="s">
        <v>1028</v>
      </c>
      <c r="H3084" s="19" t="s">
        <v>1020</v>
      </c>
      <c r="I3084" s="19" t="s">
        <v>1575</v>
      </c>
      <c r="J3084" s="20">
        <v>22</v>
      </c>
      <c r="K3084" t="s">
        <v>654</v>
      </c>
      <c r="L3084" t="s">
        <v>670</v>
      </c>
      <c r="M3084" t="s">
        <v>657</v>
      </c>
      <c r="N3084" t="s">
        <v>641</v>
      </c>
      <c r="O3084" t="s">
        <v>676</v>
      </c>
    </row>
    <row r="3085" spans="1:15" x14ac:dyDescent="0.35">
      <c r="A3085" s="77">
        <v>0.57808219178082187</v>
      </c>
      <c r="B3085" s="19">
        <v>98669</v>
      </c>
      <c r="C3085" s="19" t="s">
        <v>5382</v>
      </c>
      <c r="D3085" s="19" t="s">
        <v>239</v>
      </c>
      <c r="E3085" s="19" t="s">
        <v>240</v>
      </c>
      <c r="F3085" s="19" t="s">
        <v>798</v>
      </c>
      <c r="G3085" s="19" t="s">
        <v>1028</v>
      </c>
      <c r="H3085" s="19" t="s">
        <v>1020</v>
      </c>
      <c r="I3085" s="19" t="s">
        <v>1575</v>
      </c>
      <c r="J3085" s="20">
        <v>20</v>
      </c>
      <c r="K3085" t="s">
        <v>636</v>
      </c>
      <c r="L3085" t="s">
        <v>628</v>
      </c>
      <c r="M3085" t="s">
        <v>629</v>
      </c>
      <c r="N3085" t="s">
        <v>646</v>
      </c>
      <c r="O3085" t="s">
        <v>632</v>
      </c>
    </row>
    <row r="3086" spans="1:15" x14ac:dyDescent="0.35">
      <c r="A3086" s="77">
        <v>0.57808219178082187</v>
      </c>
      <c r="B3086" s="19">
        <v>98671</v>
      </c>
      <c r="C3086" s="19" t="s">
        <v>5383</v>
      </c>
      <c r="D3086" s="19" t="s">
        <v>218</v>
      </c>
      <c r="E3086" s="19" t="s">
        <v>219</v>
      </c>
      <c r="F3086" s="19" t="s">
        <v>1372</v>
      </c>
      <c r="G3086" s="19" t="s">
        <v>1084</v>
      </c>
      <c r="H3086" s="19" t="s">
        <v>1020</v>
      </c>
      <c r="I3086" s="19" t="s">
        <v>1575</v>
      </c>
      <c r="J3086" s="20">
        <v>20</v>
      </c>
      <c r="K3086" t="s">
        <v>625</v>
      </c>
      <c r="L3086" t="s">
        <v>661</v>
      </c>
      <c r="M3086" t="s">
        <v>657</v>
      </c>
      <c r="N3086" t="s">
        <v>662</v>
      </c>
      <c r="O3086" t="s">
        <v>632</v>
      </c>
    </row>
    <row r="3087" spans="1:15" x14ac:dyDescent="0.35">
      <c r="A3087" s="77">
        <v>0.57808219178082187</v>
      </c>
      <c r="B3087" s="19">
        <v>98672</v>
      </c>
      <c r="C3087" s="19" t="s">
        <v>5384</v>
      </c>
      <c r="D3087" s="19" t="s">
        <v>239</v>
      </c>
      <c r="E3087" s="19" t="s">
        <v>240</v>
      </c>
      <c r="F3087" s="19" t="s">
        <v>798</v>
      </c>
      <c r="G3087" s="19" t="s">
        <v>1028</v>
      </c>
      <c r="H3087" s="19" t="s">
        <v>1020</v>
      </c>
      <c r="I3087" s="19" t="s">
        <v>1599</v>
      </c>
      <c r="J3087" s="20">
        <v>21</v>
      </c>
      <c r="K3087" t="s">
        <v>636</v>
      </c>
      <c r="L3087" t="s">
        <v>628</v>
      </c>
      <c r="M3087" t="s">
        <v>629</v>
      </c>
      <c r="N3087" t="s">
        <v>646</v>
      </c>
      <c r="O3087" t="s">
        <v>632</v>
      </c>
    </row>
    <row r="3088" spans="1:15" x14ac:dyDescent="0.35">
      <c r="A3088" s="77">
        <v>0.57808219178082187</v>
      </c>
      <c r="B3088" s="19">
        <v>98675</v>
      </c>
      <c r="C3088" s="19" t="s">
        <v>5385</v>
      </c>
      <c r="D3088" s="19" t="s">
        <v>318</v>
      </c>
      <c r="E3088" s="19" t="s">
        <v>319</v>
      </c>
      <c r="F3088" s="19" t="s">
        <v>1266</v>
      </c>
      <c r="G3088" s="19" t="s">
        <v>1019</v>
      </c>
      <c r="H3088" s="19" t="s">
        <v>1020</v>
      </c>
      <c r="I3088" s="19" t="s">
        <v>1575</v>
      </c>
      <c r="J3088" s="20">
        <v>23</v>
      </c>
      <c r="K3088" t="s">
        <v>625</v>
      </c>
      <c r="L3088" t="s">
        <v>678</v>
      </c>
      <c r="M3088" t="s">
        <v>623</v>
      </c>
      <c r="N3088" t="s">
        <v>624</v>
      </c>
      <c r="O3088" t="s">
        <v>679</v>
      </c>
    </row>
    <row r="3089" spans="1:15" x14ac:dyDescent="0.35">
      <c r="A3089" s="77">
        <v>0.57808219178082187</v>
      </c>
      <c r="B3089" s="19">
        <v>98677</v>
      </c>
      <c r="C3089" s="19" t="s">
        <v>5386</v>
      </c>
      <c r="D3089" s="19" t="s">
        <v>315</v>
      </c>
      <c r="E3089" s="19" t="s">
        <v>316</v>
      </c>
      <c r="F3089" s="19" t="s">
        <v>1322</v>
      </c>
      <c r="G3089" s="19" t="s">
        <v>1008</v>
      </c>
      <c r="H3089" s="19" t="s">
        <v>1001</v>
      </c>
      <c r="I3089" s="19" t="s">
        <v>1575</v>
      </c>
      <c r="J3089" s="20">
        <v>30</v>
      </c>
      <c r="K3089" t="s">
        <v>654</v>
      </c>
      <c r="L3089" t="s">
        <v>684</v>
      </c>
      <c r="M3089" t="s">
        <v>623</v>
      </c>
      <c r="N3089" t="s">
        <v>662</v>
      </c>
      <c r="O3089" t="s">
        <v>831</v>
      </c>
    </row>
    <row r="3090" spans="1:15" x14ac:dyDescent="0.35">
      <c r="A3090" s="77">
        <v>0.57808219178082187</v>
      </c>
      <c r="B3090" s="19">
        <v>98683</v>
      </c>
      <c r="C3090" s="19" t="s">
        <v>5387</v>
      </c>
      <c r="D3090" s="19" t="s">
        <v>218</v>
      </c>
      <c r="E3090" s="19" t="s">
        <v>219</v>
      </c>
      <c r="F3090" s="19" t="s">
        <v>1372</v>
      </c>
      <c r="G3090" s="19" t="s">
        <v>1008</v>
      </c>
      <c r="H3090" s="19" t="s">
        <v>1001</v>
      </c>
      <c r="I3090" s="19" t="s">
        <v>1575</v>
      </c>
      <c r="J3090" s="20">
        <v>22</v>
      </c>
      <c r="K3090" t="s">
        <v>625</v>
      </c>
      <c r="L3090" t="s">
        <v>661</v>
      </c>
      <c r="M3090" t="s">
        <v>657</v>
      </c>
      <c r="N3090" t="s">
        <v>662</v>
      </c>
      <c r="O3090" t="s">
        <v>632</v>
      </c>
    </row>
    <row r="3091" spans="1:15" x14ac:dyDescent="0.35">
      <c r="A3091" s="77">
        <v>0.57808219178082187</v>
      </c>
      <c r="B3091" s="19">
        <v>98686</v>
      </c>
      <c r="C3091" s="19" t="s">
        <v>5388</v>
      </c>
      <c r="D3091" s="19" t="s">
        <v>284</v>
      </c>
      <c r="E3091" s="19" t="s">
        <v>285</v>
      </c>
      <c r="F3091" s="19" t="s">
        <v>1150</v>
      </c>
      <c r="G3091" s="19" t="s">
        <v>1084</v>
      </c>
      <c r="H3091" s="19" t="s">
        <v>1020</v>
      </c>
      <c r="I3091" s="19" t="s">
        <v>1575</v>
      </c>
      <c r="J3091" s="20">
        <v>35</v>
      </c>
      <c r="K3091" t="s">
        <v>625</v>
      </c>
      <c r="L3091" t="s">
        <v>661</v>
      </c>
      <c r="M3091" t="s">
        <v>657</v>
      </c>
      <c r="N3091" t="s">
        <v>662</v>
      </c>
      <c r="O3091" t="s">
        <v>632</v>
      </c>
    </row>
    <row r="3092" spans="1:15" x14ac:dyDescent="0.35">
      <c r="A3092" s="77">
        <v>0.56986301369863013</v>
      </c>
      <c r="B3092" s="19">
        <v>98699</v>
      </c>
      <c r="C3092" s="19" t="s">
        <v>5389</v>
      </c>
      <c r="D3092" s="19" t="s">
        <v>42</v>
      </c>
      <c r="E3092" s="19" t="s">
        <v>42</v>
      </c>
      <c r="F3092" s="19" t="s">
        <v>1262</v>
      </c>
      <c r="G3092" s="19" t="s">
        <v>1008</v>
      </c>
      <c r="H3092" s="19" t="s">
        <v>1001</v>
      </c>
      <c r="I3092" s="19" t="s">
        <v>1575</v>
      </c>
      <c r="J3092" s="20">
        <v>20</v>
      </c>
      <c r="K3092" t="s">
        <v>625</v>
      </c>
      <c r="L3092" t="s">
        <v>628</v>
      </c>
      <c r="M3092" t="s">
        <v>629</v>
      </c>
      <c r="N3092" t="s">
        <v>630</v>
      </c>
      <c r="O3092" t="s">
        <v>632</v>
      </c>
    </row>
    <row r="3093" spans="1:15" x14ac:dyDescent="0.35">
      <c r="A3093" s="77">
        <v>0.56986301369863013</v>
      </c>
      <c r="B3093" s="19">
        <v>98707</v>
      </c>
      <c r="C3093" s="19" t="s">
        <v>5390</v>
      </c>
      <c r="D3093" s="19" t="s">
        <v>17</v>
      </c>
      <c r="E3093" s="19" t="s">
        <v>17</v>
      </c>
      <c r="F3093" s="19" t="s">
        <v>906</v>
      </c>
      <c r="G3093" s="19" t="s">
        <v>1028</v>
      </c>
      <c r="H3093" s="19" t="s">
        <v>1020</v>
      </c>
      <c r="I3093" s="19" t="s">
        <v>1575</v>
      </c>
      <c r="J3093" s="20">
        <v>24</v>
      </c>
      <c r="K3093" t="s">
        <v>636</v>
      </c>
      <c r="L3093" t="s">
        <v>648</v>
      </c>
      <c r="M3093" t="s">
        <v>623</v>
      </c>
      <c r="N3093" t="s">
        <v>624</v>
      </c>
      <c r="O3093" t="s">
        <v>649</v>
      </c>
    </row>
    <row r="3094" spans="1:15" x14ac:dyDescent="0.35">
      <c r="A3094" s="77">
        <v>0.56986301369863013</v>
      </c>
      <c r="B3094" s="19">
        <v>98712</v>
      </c>
      <c r="C3094" s="19" t="s">
        <v>5391</v>
      </c>
      <c r="D3094" s="19" t="s">
        <v>377</v>
      </c>
      <c r="E3094" s="19" t="s">
        <v>378</v>
      </c>
      <c r="F3094" s="19" t="s">
        <v>862</v>
      </c>
      <c r="G3094" s="19" t="s">
        <v>1028</v>
      </c>
      <c r="H3094" s="19" t="s">
        <v>1020</v>
      </c>
      <c r="I3094" s="19" t="s">
        <v>1575</v>
      </c>
      <c r="J3094" s="20">
        <v>20</v>
      </c>
      <c r="K3094" t="s">
        <v>631</v>
      </c>
      <c r="L3094" t="s">
        <v>661</v>
      </c>
      <c r="M3094" t="s">
        <v>657</v>
      </c>
      <c r="N3094" t="s">
        <v>662</v>
      </c>
      <c r="O3094" t="s">
        <v>632</v>
      </c>
    </row>
    <row r="3095" spans="1:15" x14ac:dyDescent="0.35">
      <c r="A3095" s="77">
        <v>0.56986301369863013</v>
      </c>
      <c r="B3095" s="19">
        <v>98716</v>
      </c>
      <c r="C3095" s="19" t="s">
        <v>5392</v>
      </c>
      <c r="D3095" s="19" t="s">
        <v>169</v>
      </c>
      <c r="E3095" s="19" t="s">
        <v>170</v>
      </c>
      <c r="F3095" s="19" t="s">
        <v>1274</v>
      </c>
      <c r="G3095" s="19" t="s">
        <v>1028</v>
      </c>
      <c r="H3095" s="19" t="s">
        <v>1020</v>
      </c>
      <c r="I3095" s="19" t="s">
        <v>1599</v>
      </c>
      <c r="J3095" s="20">
        <v>23</v>
      </c>
      <c r="K3095" t="s">
        <v>631</v>
      </c>
      <c r="L3095" t="s">
        <v>670</v>
      </c>
      <c r="M3095" t="s">
        <v>657</v>
      </c>
      <c r="N3095" t="s">
        <v>641</v>
      </c>
      <c r="O3095" t="s">
        <v>772</v>
      </c>
    </row>
    <row r="3096" spans="1:15" x14ac:dyDescent="0.35">
      <c r="A3096" s="77">
        <v>0.56712328767123288</v>
      </c>
      <c r="B3096" s="19">
        <v>98717</v>
      </c>
      <c r="C3096" s="19" t="s">
        <v>5393</v>
      </c>
      <c r="D3096" s="19" t="s">
        <v>377</v>
      </c>
      <c r="E3096" s="19" t="s">
        <v>378</v>
      </c>
      <c r="F3096" s="19" t="s">
        <v>862</v>
      </c>
      <c r="G3096" s="19" t="s">
        <v>1028</v>
      </c>
      <c r="H3096" s="19" t="s">
        <v>1020</v>
      </c>
      <c r="I3096" s="19" t="s">
        <v>1575</v>
      </c>
      <c r="J3096" s="20">
        <v>19</v>
      </c>
      <c r="K3096" t="s">
        <v>631</v>
      </c>
      <c r="L3096" t="s">
        <v>661</v>
      </c>
      <c r="M3096" t="s">
        <v>657</v>
      </c>
      <c r="N3096" t="s">
        <v>662</v>
      </c>
      <c r="O3096" t="s">
        <v>632</v>
      </c>
    </row>
    <row r="3097" spans="1:15" x14ac:dyDescent="0.35">
      <c r="A3097" s="77">
        <v>0.56712328767123288</v>
      </c>
      <c r="B3097" s="19">
        <v>98718</v>
      </c>
      <c r="C3097" s="19" t="s">
        <v>5394</v>
      </c>
      <c r="D3097" s="19" t="s">
        <v>159</v>
      </c>
      <c r="E3097" s="19" t="s">
        <v>160</v>
      </c>
      <c r="F3097" s="19" t="s">
        <v>1488</v>
      </c>
      <c r="G3097" s="19" t="s">
        <v>3508</v>
      </c>
      <c r="H3097" s="19" t="s">
        <v>1020</v>
      </c>
      <c r="I3097" s="19" t="s">
        <v>1575</v>
      </c>
      <c r="J3097" s="20">
        <v>17</v>
      </c>
      <c r="K3097" t="s">
        <v>654</v>
      </c>
      <c r="L3097" t="s">
        <v>678</v>
      </c>
      <c r="M3097" t="s">
        <v>623</v>
      </c>
      <c r="N3097" t="s">
        <v>624</v>
      </c>
      <c r="O3097" t="s">
        <v>679</v>
      </c>
    </row>
    <row r="3098" spans="1:15" x14ac:dyDescent="0.35">
      <c r="A3098" s="77">
        <v>0.56712328767123288</v>
      </c>
      <c r="B3098" s="19">
        <v>98721</v>
      </c>
      <c r="C3098" s="19" t="s">
        <v>5395</v>
      </c>
      <c r="D3098" s="19" t="s">
        <v>377</v>
      </c>
      <c r="E3098" s="19" t="s">
        <v>378</v>
      </c>
      <c r="F3098" s="19" t="s">
        <v>862</v>
      </c>
      <c r="G3098" s="19" t="s">
        <v>1028</v>
      </c>
      <c r="H3098" s="19" t="s">
        <v>1020</v>
      </c>
      <c r="I3098" s="19" t="s">
        <v>1575</v>
      </c>
      <c r="J3098" s="20">
        <v>21</v>
      </c>
      <c r="K3098" t="s">
        <v>631</v>
      </c>
      <c r="L3098" t="s">
        <v>661</v>
      </c>
      <c r="M3098" t="s">
        <v>657</v>
      </c>
      <c r="N3098" t="s">
        <v>662</v>
      </c>
      <c r="O3098" t="s">
        <v>632</v>
      </c>
    </row>
    <row r="3099" spans="1:15" x14ac:dyDescent="0.35">
      <c r="A3099" s="77">
        <v>0.56438356164383563</v>
      </c>
      <c r="B3099" s="19">
        <v>98730</v>
      </c>
      <c r="C3099" s="19" t="s">
        <v>5396</v>
      </c>
      <c r="D3099" s="19" t="s">
        <v>347</v>
      </c>
      <c r="E3099" s="19" t="s">
        <v>348</v>
      </c>
      <c r="F3099" s="19" t="s">
        <v>910</v>
      </c>
      <c r="G3099" s="19" t="s">
        <v>1008</v>
      </c>
      <c r="H3099" s="19" t="s">
        <v>1001</v>
      </c>
      <c r="I3099" s="19" t="s">
        <v>1575</v>
      </c>
      <c r="J3099" s="20">
        <v>32</v>
      </c>
      <c r="K3099" t="s">
        <v>654</v>
      </c>
      <c r="L3099" t="s">
        <v>707</v>
      </c>
      <c r="M3099" t="s">
        <v>629</v>
      </c>
      <c r="N3099" t="s">
        <v>635</v>
      </c>
      <c r="O3099" t="s">
        <v>710</v>
      </c>
    </row>
    <row r="3100" spans="1:15" x14ac:dyDescent="0.35">
      <c r="A3100" s="77">
        <v>0.56438356164383563</v>
      </c>
      <c r="B3100" s="19">
        <v>98731</v>
      </c>
      <c r="C3100" s="19" t="s">
        <v>5397</v>
      </c>
      <c r="D3100" s="19" t="s">
        <v>266</v>
      </c>
      <c r="E3100" s="19" t="s">
        <v>267</v>
      </c>
      <c r="F3100" s="19" t="s">
        <v>2070</v>
      </c>
      <c r="G3100" s="19" t="s">
        <v>1028</v>
      </c>
      <c r="H3100" s="19" t="s">
        <v>1020</v>
      </c>
      <c r="I3100" s="19" t="s">
        <v>1575</v>
      </c>
      <c r="J3100" s="20">
        <v>21</v>
      </c>
      <c r="K3100" t="s">
        <v>636</v>
      </c>
      <c r="L3100" t="s">
        <v>634</v>
      </c>
      <c r="M3100" t="s">
        <v>629</v>
      </c>
      <c r="N3100" t="s">
        <v>635</v>
      </c>
      <c r="O3100" t="s">
        <v>637</v>
      </c>
    </row>
    <row r="3101" spans="1:15" x14ac:dyDescent="0.35">
      <c r="A3101" s="77">
        <v>0.56438356164383563</v>
      </c>
      <c r="B3101" s="19">
        <v>98737</v>
      </c>
      <c r="C3101" s="19" t="s">
        <v>5398</v>
      </c>
      <c r="D3101" s="19" t="s">
        <v>318</v>
      </c>
      <c r="E3101" s="19" t="s">
        <v>319</v>
      </c>
      <c r="F3101" s="19" t="s">
        <v>1266</v>
      </c>
      <c r="G3101" s="19" t="s">
        <v>1028</v>
      </c>
      <c r="H3101" s="19" t="s">
        <v>1020</v>
      </c>
      <c r="I3101" s="19" t="s">
        <v>1575</v>
      </c>
      <c r="J3101" s="20">
        <v>25</v>
      </c>
      <c r="K3101" t="s">
        <v>625</v>
      </c>
      <c r="L3101" t="s">
        <v>678</v>
      </c>
      <c r="M3101" t="s">
        <v>623</v>
      </c>
      <c r="N3101" t="s">
        <v>624</v>
      </c>
      <c r="O3101" t="s">
        <v>679</v>
      </c>
    </row>
    <row r="3102" spans="1:15" x14ac:dyDescent="0.35">
      <c r="A3102" s="77">
        <v>0.56438356164383563</v>
      </c>
      <c r="B3102" s="19">
        <v>98739</v>
      </c>
      <c r="C3102" s="19" t="s">
        <v>5399</v>
      </c>
      <c r="D3102" s="19" t="s">
        <v>426</v>
      </c>
      <c r="E3102" s="19" t="s">
        <v>426</v>
      </c>
      <c r="F3102" s="19" t="s">
        <v>1220</v>
      </c>
      <c r="G3102" s="19" t="s">
        <v>1019</v>
      </c>
      <c r="H3102" s="19" t="s">
        <v>1020</v>
      </c>
      <c r="I3102" s="19" t="s">
        <v>1599</v>
      </c>
      <c r="J3102" s="20">
        <v>21</v>
      </c>
      <c r="K3102" t="s">
        <v>654</v>
      </c>
      <c r="L3102" t="s">
        <v>622</v>
      </c>
      <c r="M3102" t="s">
        <v>623</v>
      </c>
      <c r="N3102" t="s">
        <v>624</v>
      </c>
      <c r="O3102" t="s">
        <v>649</v>
      </c>
    </row>
    <row r="3103" spans="1:15" x14ac:dyDescent="0.35">
      <c r="A3103" s="77">
        <v>0.56438356164383563</v>
      </c>
      <c r="B3103" s="19">
        <v>98740</v>
      </c>
      <c r="C3103" s="19" t="s">
        <v>5400</v>
      </c>
      <c r="D3103" s="19" t="s">
        <v>387</v>
      </c>
      <c r="E3103" s="19" t="s">
        <v>388</v>
      </c>
      <c r="F3103" s="19" t="s">
        <v>1142</v>
      </c>
      <c r="G3103" s="19" t="s">
        <v>1028</v>
      </c>
      <c r="H3103" s="19" t="s">
        <v>1020</v>
      </c>
      <c r="I3103" s="19" t="s">
        <v>1575</v>
      </c>
      <c r="J3103" s="20">
        <v>23</v>
      </c>
      <c r="K3103" t="s">
        <v>642</v>
      </c>
      <c r="L3103" t="s">
        <v>634</v>
      </c>
      <c r="M3103" t="s">
        <v>629</v>
      </c>
      <c r="N3103" t="s">
        <v>630</v>
      </c>
      <c r="O3103" t="s">
        <v>734</v>
      </c>
    </row>
    <row r="3104" spans="1:15" x14ac:dyDescent="0.35">
      <c r="A3104" s="77">
        <v>0.56438356164383563</v>
      </c>
      <c r="B3104" s="19">
        <v>98741</v>
      </c>
      <c r="C3104" s="19" t="s">
        <v>5401</v>
      </c>
      <c r="D3104" s="19" t="s">
        <v>100</v>
      </c>
      <c r="E3104" s="19" t="s">
        <v>101</v>
      </c>
      <c r="F3104" s="19" t="s">
        <v>2786</v>
      </c>
      <c r="G3104" s="19" t="s">
        <v>1008</v>
      </c>
      <c r="H3104" s="19" t="s">
        <v>1001</v>
      </c>
      <c r="I3104" s="19" t="s">
        <v>1575</v>
      </c>
      <c r="J3104" s="20">
        <v>19</v>
      </c>
      <c r="K3104" t="s">
        <v>654</v>
      </c>
      <c r="L3104" t="s">
        <v>651</v>
      </c>
      <c r="M3104" t="s">
        <v>629</v>
      </c>
      <c r="N3104" t="s">
        <v>630</v>
      </c>
      <c r="O3104" t="s">
        <v>705</v>
      </c>
    </row>
    <row r="3105" spans="1:15" x14ac:dyDescent="0.35">
      <c r="A3105" s="77">
        <v>0.56712328767123288</v>
      </c>
      <c r="B3105" s="19">
        <v>98747</v>
      </c>
      <c r="C3105" s="19" t="s">
        <v>5402</v>
      </c>
      <c r="D3105" s="19" t="s">
        <v>197</v>
      </c>
      <c r="E3105" s="19" t="s">
        <v>198</v>
      </c>
      <c r="F3105" s="19" t="s">
        <v>1297</v>
      </c>
      <c r="G3105" s="19" t="s">
        <v>1028</v>
      </c>
      <c r="H3105" s="19" t="s">
        <v>1020</v>
      </c>
      <c r="I3105" s="19" t="s">
        <v>1599</v>
      </c>
      <c r="J3105" s="20">
        <v>18</v>
      </c>
      <c r="K3105" t="s">
        <v>654</v>
      </c>
      <c r="L3105" t="s">
        <v>645</v>
      </c>
      <c r="M3105" t="s">
        <v>629</v>
      </c>
      <c r="N3105" t="s">
        <v>646</v>
      </c>
      <c r="O3105" t="s">
        <v>632</v>
      </c>
    </row>
    <row r="3106" spans="1:15" x14ac:dyDescent="0.35">
      <c r="A3106" s="77">
        <v>0.56164383561643838</v>
      </c>
      <c r="B3106" s="19">
        <v>98754</v>
      </c>
      <c r="C3106" s="19" t="s">
        <v>5403</v>
      </c>
      <c r="D3106" s="19" t="s">
        <v>165</v>
      </c>
      <c r="E3106" s="19" t="s">
        <v>166</v>
      </c>
      <c r="F3106" s="19" t="s">
        <v>1238</v>
      </c>
      <c r="G3106" s="19" t="s">
        <v>1008</v>
      </c>
      <c r="H3106" s="19" t="s">
        <v>1001</v>
      </c>
      <c r="I3106" s="19" t="s">
        <v>1575</v>
      </c>
      <c r="J3106" s="20">
        <v>29</v>
      </c>
      <c r="K3106" t="s">
        <v>636</v>
      </c>
      <c r="L3106" t="s">
        <v>648</v>
      </c>
      <c r="M3106" t="s">
        <v>623</v>
      </c>
      <c r="N3106" t="s">
        <v>624</v>
      </c>
      <c r="O3106" t="s">
        <v>649</v>
      </c>
    </row>
    <row r="3107" spans="1:15" x14ac:dyDescent="0.35">
      <c r="A3107" s="77">
        <v>0.56164383561643838</v>
      </c>
      <c r="B3107" s="19">
        <v>98758</v>
      </c>
      <c r="C3107" s="19" t="s">
        <v>5404</v>
      </c>
      <c r="D3107" s="19" t="s">
        <v>73</v>
      </c>
      <c r="E3107" s="19" t="s">
        <v>74</v>
      </c>
      <c r="F3107" s="19" t="s">
        <v>1178</v>
      </c>
      <c r="G3107" s="19" t="s">
        <v>1028</v>
      </c>
      <c r="H3107" s="19" t="s">
        <v>1020</v>
      </c>
      <c r="I3107" s="19" t="s">
        <v>1575</v>
      </c>
      <c r="J3107" s="20">
        <v>22</v>
      </c>
      <c r="K3107" t="s">
        <v>654</v>
      </c>
      <c r="L3107" t="s">
        <v>648</v>
      </c>
      <c r="M3107" t="s">
        <v>623</v>
      </c>
      <c r="N3107" t="s">
        <v>624</v>
      </c>
      <c r="O3107" t="s">
        <v>725</v>
      </c>
    </row>
    <row r="3108" spans="1:15" x14ac:dyDescent="0.35">
      <c r="A3108" s="77">
        <v>0.56164383561643838</v>
      </c>
      <c r="B3108" s="19">
        <v>98770</v>
      </c>
      <c r="C3108" s="19" t="s">
        <v>5405</v>
      </c>
      <c r="D3108" s="19" t="s">
        <v>11</v>
      </c>
      <c r="E3108" s="19" t="s">
        <v>11</v>
      </c>
      <c r="F3108" s="19" t="s">
        <v>627</v>
      </c>
      <c r="G3108" s="19" t="s">
        <v>1028</v>
      </c>
      <c r="H3108" s="19" t="s">
        <v>1020</v>
      </c>
      <c r="I3108" s="19" t="s">
        <v>1575</v>
      </c>
      <c r="J3108" s="20">
        <v>19</v>
      </c>
      <c r="K3108" t="s">
        <v>631</v>
      </c>
      <c r="L3108" t="s">
        <v>628</v>
      </c>
      <c r="M3108" t="s">
        <v>629</v>
      </c>
      <c r="N3108" t="s">
        <v>630</v>
      </c>
      <c r="O3108" t="s">
        <v>632</v>
      </c>
    </row>
    <row r="3109" spans="1:15" x14ac:dyDescent="0.35">
      <c r="A3109" s="77">
        <v>0.56164383561643838</v>
      </c>
      <c r="B3109" s="19">
        <v>98771</v>
      </c>
      <c r="C3109" s="19" t="s">
        <v>5406</v>
      </c>
      <c r="D3109" s="19" t="s">
        <v>417</v>
      </c>
      <c r="E3109" s="19" t="s">
        <v>417</v>
      </c>
      <c r="F3109" s="19" t="s">
        <v>418</v>
      </c>
      <c r="G3109" s="19" t="s">
        <v>1057</v>
      </c>
      <c r="H3109" s="19" t="s">
        <v>1001</v>
      </c>
      <c r="I3109" s="19" t="s">
        <v>1575</v>
      </c>
      <c r="J3109" s="20">
        <v>22</v>
      </c>
      <c r="K3109" t="s">
        <v>654</v>
      </c>
      <c r="L3109" t="s">
        <v>684</v>
      </c>
      <c r="M3109" t="s">
        <v>623</v>
      </c>
      <c r="N3109" t="s">
        <v>662</v>
      </c>
      <c r="O3109" t="s">
        <v>687</v>
      </c>
    </row>
    <row r="3110" spans="1:15" x14ac:dyDescent="0.35">
      <c r="A3110" s="77">
        <v>2.1917808219178082E-2</v>
      </c>
      <c r="B3110" s="19">
        <v>98772</v>
      </c>
      <c r="C3110" s="19" t="s">
        <v>5407</v>
      </c>
      <c r="D3110" s="19" t="s">
        <v>49</v>
      </c>
      <c r="E3110" s="19" t="s">
        <v>50</v>
      </c>
      <c r="F3110" s="19" t="s">
        <v>1213</v>
      </c>
      <c r="G3110" s="19" t="s">
        <v>1008</v>
      </c>
      <c r="H3110" s="19" t="s">
        <v>1001</v>
      </c>
      <c r="I3110" s="19" t="s">
        <v>1575</v>
      </c>
      <c r="J3110" s="20">
        <v>19</v>
      </c>
      <c r="K3110" t="s">
        <v>625</v>
      </c>
      <c r="L3110" t="s">
        <v>648</v>
      </c>
      <c r="M3110" t="s">
        <v>623</v>
      </c>
      <c r="N3110" t="s">
        <v>624</v>
      </c>
      <c r="O3110" t="s">
        <v>649</v>
      </c>
    </row>
    <row r="3111" spans="1:15" x14ac:dyDescent="0.35">
      <c r="A3111" s="77">
        <v>0.56164383561643838</v>
      </c>
      <c r="B3111" s="19">
        <v>98776</v>
      </c>
      <c r="C3111" s="19" t="s">
        <v>5408</v>
      </c>
      <c r="D3111" s="19" t="s">
        <v>397</v>
      </c>
      <c r="E3111" s="19" t="s">
        <v>398</v>
      </c>
      <c r="F3111" s="19" t="s">
        <v>867</v>
      </c>
      <c r="G3111" s="19" t="s">
        <v>3508</v>
      </c>
      <c r="H3111" s="19" t="s">
        <v>1020</v>
      </c>
      <c r="I3111" s="19" t="s">
        <v>1599</v>
      </c>
      <c r="J3111" s="20">
        <v>17</v>
      </c>
      <c r="K3111" t="s">
        <v>625</v>
      </c>
      <c r="L3111" t="s">
        <v>634</v>
      </c>
      <c r="M3111" t="s">
        <v>629</v>
      </c>
      <c r="N3111" t="s">
        <v>635</v>
      </c>
      <c r="O3111" t="s">
        <v>637</v>
      </c>
    </row>
    <row r="3112" spans="1:15" x14ac:dyDescent="0.35">
      <c r="A3112" s="77">
        <v>0.55890410958904113</v>
      </c>
      <c r="B3112" s="19">
        <v>98787</v>
      </c>
      <c r="C3112" s="19" t="s">
        <v>5409</v>
      </c>
      <c r="D3112" s="19" t="s">
        <v>218</v>
      </c>
      <c r="E3112" s="19" t="s">
        <v>219</v>
      </c>
      <c r="F3112" s="19" t="s">
        <v>1372</v>
      </c>
      <c r="G3112" s="19" t="s">
        <v>1028</v>
      </c>
      <c r="H3112" s="19" t="s">
        <v>1020</v>
      </c>
      <c r="I3112" s="19" t="s">
        <v>1575</v>
      </c>
      <c r="J3112" s="20">
        <v>19</v>
      </c>
      <c r="K3112" t="s">
        <v>625</v>
      </c>
      <c r="L3112" t="s">
        <v>661</v>
      </c>
      <c r="M3112" t="s">
        <v>657</v>
      </c>
      <c r="N3112" t="s">
        <v>662</v>
      </c>
      <c r="O3112" t="s">
        <v>632</v>
      </c>
    </row>
    <row r="3113" spans="1:15" x14ac:dyDescent="0.35">
      <c r="A3113" s="77">
        <v>0.55890410958904113</v>
      </c>
      <c r="B3113" s="19">
        <v>98791</v>
      </c>
      <c r="C3113" s="19" t="s">
        <v>5410</v>
      </c>
      <c r="D3113" s="19" t="s">
        <v>128</v>
      </c>
      <c r="E3113" s="19" t="s">
        <v>129</v>
      </c>
      <c r="F3113" s="19" t="s">
        <v>1075</v>
      </c>
      <c r="G3113" s="19" t="s">
        <v>1028</v>
      </c>
      <c r="H3113" s="19" t="s">
        <v>1020</v>
      </c>
      <c r="I3113" s="19" t="s">
        <v>1575</v>
      </c>
      <c r="J3113" s="20">
        <v>27</v>
      </c>
      <c r="K3113" t="s">
        <v>636</v>
      </c>
      <c r="L3113" t="s">
        <v>678</v>
      </c>
      <c r="M3113" t="s">
        <v>623</v>
      </c>
      <c r="N3113" t="s">
        <v>624</v>
      </c>
      <c r="O3113" t="s">
        <v>679</v>
      </c>
    </row>
    <row r="3114" spans="1:15" x14ac:dyDescent="0.35">
      <c r="A3114" s="77">
        <v>0.55890410958904113</v>
      </c>
      <c r="B3114" s="19">
        <v>98794</v>
      </c>
      <c r="C3114" s="19" t="s">
        <v>5411</v>
      </c>
      <c r="D3114" s="19" t="s">
        <v>20</v>
      </c>
      <c r="E3114" s="19" t="s">
        <v>20</v>
      </c>
      <c r="F3114" s="19" t="s">
        <v>1133</v>
      </c>
      <c r="G3114" s="19" t="s">
        <v>1008</v>
      </c>
      <c r="H3114" s="19" t="s">
        <v>1001</v>
      </c>
      <c r="I3114" s="19" t="s">
        <v>1575</v>
      </c>
      <c r="J3114" s="20">
        <v>28</v>
      </c>
      <c r="K3114" t="s">
        <v>654</v>
      </c>
      <c r="L3114" t="s">
        <v>634</v>
      </c>
      <c r="M3114" t="s">
        <v>629</v>
      </c>
      <c r="N3114" t="s">
        <v>635</v>
      </c>
      <c r="O3114" t="s">
        <v>637</v>
      </c>
    </row>
    <row r="3115" spans="1:15" x14ac:dyDescent="0.35">
      <c r="A3115" s="77">
        <v>0.55890410958904113</v>
      </c>
      <c r="B3115" s="19">
        <v>98797</v>
      </c>
      <c r="C3115" s="19" t="s">
        <v>5412</v>
      </c>
      <c r="D3115" s="19" t="s">
        <v>201</v>
      </c>
      <c r="E3115" s="19" t="s">
        <v>202</v>
      </c>
      <c r="F3115" s="19" t="s">
        <v>1061</v>
      </c>
      <c r="G3115" s="19" t="s">
        <v>1028</v>
      </c>
      <c r="H3115" s="19" t="s">
        <v>1020</v>
      </c>
      <c r="I3115" s="19" t="s">
        <v>1575</v>
      </c>
      <c r="J3115" s="20">
        <v>23</v>
      </c>
      <c r="K3115" t="s">
        <v>631</v>
      </c>
      <c r="L3115" t="s">
        <v>628</v>
      </c>
      <c r="M3115" t="s">
        <v>629</v>
      </c>
      <c r="N3115" t="s">
        <v>630</v>
      </c>
      <c r="O3115" t="s">
        <v>784</v>
      </c>
    </row>
    <row r="3116" spans="1:15" x14ac:dyDescent="0.35">
      <c r="A3116" s="77">
        <v>0.55890410958904113</v>
      </c>
      <c r="B3116" s="19">
        <v>98798</v>
      </c>
      <c r="C3116" s="19" t="s">
        <v>5413</v>
      </c>
      <c r="D3116" s="19" t="s">
        <v>130</v>
      </c>
      <c r="E3116" s="19" t="s">
        <v>131</v>
      </c>
      <c r="F3116" s="19" t="s">
        <v>1693</v>
      </c>
      <c r="G3116" s="19" t="s">
        <v>1028</v>
      </c>
      <c r="H3116" s="19" t="s">
        <v>1020</v>
      </c>
      <c r="I3116" s="19" t="s">
        <v>1575</v>
      </c>
      <c r="J3116" s="20">
        <v>18</v>
      </c>
      <c r="K3116" t="s">
        <v>654</v>
      </c>
      <c r="L3116" t="s">
        <v>670</v>
      </c>
      <c r="M3116" t="s">
        <v>657</v>
      </c>
      <c r="N3116" t="s">
        <v>641</v>
      </c>
      <c r="O3116" t="s">
        <v>752</v>
      </c>
    </row>
    <row r="3117" spans="1:15" x14ac:dyDescent="0.35">
      <c r="A3117" s="77">
        <v>0.55068493150684927</v>
      </c>
      <c r="B3117" s="19">
        <v>98803</v>
      </c>
      <c r="C3117" s="19" t="s">
        <v>5414</v>
      </c>
      <c r="D3117" s="19" t="s">
        <v>264</v>
      </c>
      <c r="E3117" s="19" t="s">
        <v>265</v>
      </c>
      <c r="F3117" s="19" t="s">
        <v>2526</v>
      </c>
      <c r="G3117" s="19" t="s">
        <v>1028</v>
      </c>
      <c r="H3117" s="19" t="s">
        <v>1020</v>
      </c>
      <c r="I3117" s="19" t="s">
        <v>1599</v>
      </c>
      <c r="J3117" s="20">
        <v>24</v>
      </c>
      <c r="K3117" t="s">
        <v>654</v>
      </c>
      <c r="L3117" t="s">
        <v>678</v>
      </c>
      <c r="M3117" t="s">
        <v>623</v>
      </c>
      <c r="N3117" t="s">
        <v>624</v>
      </c>
      <c r="O3117" t="s">
        <v>689</v>
      </c>
    </row>
    <row r="3118" spans="1:15" x14ac:dyDescent="0.35">
      <c r="A3118" s="77">
        <v>0.55068493150684927</v>
      </c>
      <c r="B3118" s="19">
        <v>98805</v>
      </c>
      <c r="C3118" s="19" t="s">
        <v>5415</v>
      </c>
      <c r="D3118" s="19" t="s">
        <v>58</v>
      </c>
      <c r="E3118" s="19" t="s">
        <v>59</v>
      </c>
      <c r="F3118" s="19" t="s">
        <v>1650</v>
      </c>
      <c r="G3118" s="19" t="s">
        <v>1028</v>
      </c>
      <c r="H3118" s="19" t="s">
        <v>1020</v>
      </c>
      <c r="I3118" s="19" t="s">
        <v>1599</v>
      </c>
      <c r="J3118" s="20">
        <v>25</v>
      </c>
      <c r="K3118" t="s">
        <v>668</v>
      </c>
      <c r="L3118" t="s">
        <v>651</v>
      </c>
      <c r="M3118" t="s">
        <v>629</v>
      </c>
      <c r="N3118" t="s">
        <v>630</v>
      </c>
      <c r="O3118" t="s">
        <v>705</v>
      </c>
    </row>
    <row r="3119" spans="1:15" x14ac:dyDescent="0.35">
      <c r="A3119" s="77">
        <v>0.55068493150684927</v>
      </c>
      <c r="B3119" s="19">
        <v>98806</v>
      </c>
      <c r="C3119" s="19" t="s">
        <v>5416</v>
      </c>
      <c r="D3119" s="19" t="s">
        <v>58</v>
      </c>
      <c r="E3119" s="19" t="s">
        <v>59</v>
      </c>
      <c r="F3119" s="19" t="s">
        <v>1650</v>
      </c>
      <c r="G3119" s="19" t="s">
        <v>1008</v>
      </c>
      <c r="H3119" s="19" t="s">
        <v>1001</v>
      </c>
      <c r="I3119" s="19" t="s">
        <v>1599</v>
      </c>
      <c r="J3119" s="20">
        <v>26</v>
      </c>
      <c r="K3119" t="s">
        <v>668</v>
      </c>
      <c r="L3119" t="s">
        <v>651</v>
      </c>
      <c r="M3119" t="s">
        <v>629</v>
      </c>
      <c r="N3119" t="s">
        <v>630</v>
      </c>
      <c r="O3119" t="s">
        <v>705</v>
      </c>
    </row>
    <row r="3120" spans="1:15" x14ac:dyDescent="0.35">
      <c r="A3120" s="77">
        <v>0.55068493150684927</v>
      </c>
      <c r="B3120" s="19">
        <v>98815</v>
      </c>
      <c r="C3120" s="19" t="s">
        <v>5417</v>
      </c>
      <c r="D3120" s="19" t="s">
        <v>330</v>
      </c>
      <c r="E3120" s="19" t="s">
        <v>331</v>
      </c>
      <c r="F3120" s="19" t="s">
        <v>332</v>
      </c>
      <c r="G3120" s="19" t="s">
        <v>1028</v>
      </c>
      <c r="H3120" s="19" t="s">
        <v>1020</v>
      </c>
      <c r="I3120" s="19" t="s">
        <v>1575</v>
      </c>
      <c r="J3120" s="20">
        <v>23</v>
      </c>
      <c r="K3120" t="s">
        <v>636</v>
      </c>
      <c r="L3120" t="s">
        <v>762</v>
      </c>
      <c r="M3120" t="s">
        <v>629</v>
      </c>
      <c r="N3120" t="s">
        <v>646</v>
      </c>
      <c r="O3120" t="s">
        <v>839</v>
      </c>
    </row>
    <row r="3121" spans="1:15" x14ac:dyDescent="0.35">
      <c r="A3121" s="77">
        <v>0.55068493150684927</v>
      </c>
      <c r="B3121" s="19">
        <v>98818</v>
      </c>
      <c r="C3121" s="19" t="s">
        <v>5418</v>
      </c>
      <c r="D3121" s="19" t="s">
        <v>322</v>
      </c>
      <c r="E3121" s="19" t="s">
        <v>323</v>
      </c>
      <c r="F3121" s="19" t="s">
        <v>834</v>
      </c>
      <c r="G3121" s="19" t="s">
        <v>1008</v>
      </c>
      <c r="H3121" s="19" t="s">
        <v>1001</v>
      </c>
      <c r="I3121" s="19" t="s">
        <v>1575</v>
      </c>
      <c r="J3121" s="20">
        <v>20</v>
      </c>
      <c r="K3121" t="s">
        <v>668</v>
      </c>
      <c r="L3121" t="s">
        <v>628</v>
      </c>
      <c r="M3121" t="s">
        <v>629</v>
      </c>
      <c r="N3121" t="s">
        <v>630</v>
      </c>
      <c r="O3121" t="s">
        <v>632</v>
      </c>
    </row>
    <row r="3122" spans="1:15" x14ac:dyDescent="0.35">
      <c r="A3122" s="77">
        <v>0.54794520547945202</v>
      </c>
      <c r="B3122" s="19">
        <v>98829</v>
      </c>
      <c r="C3122" s="19" t="s">
        <v>5419</v>
      </c>
      <c r="D3122" s="19" t="s">
        <v>250</v>
      </c>
      <c r="E3122" s="19" t="s">
        <v>251</v>
      </c>
      <c r="F3122" s="19" t="s">
        <v>1126</v>
      </c>
      <c r="G3122" s="19" t="s">
        <v>1028</v>
      </c>
      <c r="H3122" s="19" t="s">
        <v>1020</v>
      </c>
      <c r="I3122" s="19" t="s">
        <v>1575</v>
      </c>
      <c r="J3122" s="20">
        <v>23</v>
      </c>
      <c r="K3122" t="s">
        <v>668</v>
      </c>
      <c r="L3122" t="s">
        <v>634</v>
      </c>
      <c r="M3122" t="s">
        <v>629</v>
      </c>
      <c r="N3122" t="s">
        <v>635</v>
      </c>
      <c r="O3122" t="s">
        <v>637</v>
      </c>
    </row>
    <row r="3123" spans="1:15" x14ac:dyDescent="0.35">
      <c r="A3123" s="77">
        <v>0.54794520547945202</v>
      </c>
      <c r="B3123" s="19">
        <v>98831</v>
      </c>
      <c r="C3123" s="19" t="s">
        <v>5420</v>
      </c>
      <c r="D3123" s="19" t="s">
        <v>208</v>
      </c>
      <c r="E3123" s="19" t="s">
        <v>209</v>
      </c>
      <c r="F3123" s="19" t="s">
        <v>1444</v>
      </c>
      <c r="G3123" s="19" t="s">
        <v>1028</v>
      </c>
      <c r="H3123" s="19" t="s">
        <v>1020</v>
      </c>
      <c r="I3123" s="19" t="s">
        <v>1575</v>
      </c>
      <c r="J3123" s="20">
        <v>27</v>
      </c>
      <c r="K3123" t="s">
        <v>636</v>
      </c>
      <c r="L3123" t="s">
        <v>640</v>
      </c>
      <c r="M3123" t="s">
        <v>623</v>
      </c>
      <c r="N3123" t="s">
        <v>624</v>
      </c>
      <c r="O3123" t="s">
        <v>787</v>
      </c>
    </row>
    <row r="3124" spans="1:15" x14ac:dyDescent="0.35">
      <c r="A3124" s="77">
        <v>0.54794520547945202</v>
      </c>
      <c r="B3124" s="19">
        <v>98832</v>
      </c>
      <c r="C3124" s="19" t="s">
        <v>5421</v>
      </c>
      <c r="D3124" s="19" t="s">
        <v>130</v>
      </c>
      <c r="E3124" s="19" t="s">
        <v>131</v>
      </c>
      <c r="F3124" s="19" t="s">
        <v>1693</v>
      </c>
      <c r="G3124" s="19" t="s">
        <v>1084</v>
      </c>
      <c r="H3124" s="19" t="s">
        <v>1020</v>
      </c>
      <c r="I3124" s="19" t="s">
        <v>1599</v>
      </c>
      <c r="J3124" s="20">
        <v>22</v>
      </c>
      <c r="K3124" t="s">
        <v>654</v>
      </c>
      <c r="L3124" t="s">
        <v>670</v>
      </c>
      <c r="M3124" t="s">
        <v>657</v>
      </c>
      <c r="N3124" t="s">
        <v>641</v>
      </c>
      <c r="O3124" t="s">
        <v>752</v>
      </c>
    </row>
    <row r="3125" spans="1:15" x14ac:dyDescent="0.35">
      <c r="A3125" s="77">
        <v>0.54794520547945202</v>
      </c>
      <c r="B3125" s="19">
        <v>98833</v>
      </c>
      <c r="C3125" s="19" t="s">
        <v>5422</v>
      </c>
      <c r="D3125" s="19" t="s">
        <v>239</v>
      </c>
      <c r="E3125" s="19" t="s">
        <v>240</v>
      </c>
      <c r="F3125" s="19" t="s">
        <v>798</v>
      </c>
      <c r="G3125" s="19" t="s">
        <v>1028</v>
      </c>
      <c r="H3125" s="19" t="s">
        <v>1020</v>
      </c>
      <c r="I3125" s="19" t="s">
        <v>1575</v>
      </c>
      <c r="J3125" s="20">
        <v>18</v>
      </c>
      <c r="K3125" t="s">
        <v>636</v>
      </c>
      <c r="L3125" t="s">
        <v>628</v>
      </c>
      <c r="M3125" t="s">
        <v>629</v>
      </c>
      <c r="N3125" t="s">
        <v>646</v>
      </c>
      <c r="O3125" t="s">
        <v>632</v>
      </c>
    </row>
    <row r="3126" spans="1:15" x14ac:dyDescent="0.35">
      <c r="A3126" s="77">
        <v>0.54794520547945202</v>
      </c>
      <c r="B3126" s="19">
        <v>98834</v>
      </c>
      <c r="C3126" s="19" t="s">
        <v>5423</v>
      </c>
      <c r="D3126" s="19" t="s">
        <v>13</v>
      </c>
      <c r="E3126" s="19" t="s">
        <v>13</v>
      </c>
      <c r="F3126" s="19" t="s">
        <v>1467</v>
      </c>
      <c r="G3126" s="19" t="s">
        <v>1028</v>
      </c>
      <c r="H3126" s="19" t="s">
        <v>1020</v>
      </c>
      <c r="I3126" s="19" t="s">
        <v>1575</v>
      </c>
      <c r="J3126" s="20">
        <v>19</v>
      </c>
      <c r="K3126" t="s">
        <v>631</v>
      </c>
      <c r="L3126" t="s">
        <v>628</v>
      </c>
      <c r="M3126" t="s">
        <v>629</v>
      </c>
      <c r="N3126" t="s">
        <v>630</v>
      </c>
      <c r="O3126" t="s">
        <v>639</v>
      </c>
    </row>
    <row r="3127" spans="1:15" x14ac:dyDescent="0.35">
      <c r="A3127" s="77">
        <v>0.54794520547945202</v>
      </c>
      <c r="B3127" s="19">
        <v>98838</v>
      </c>
      <c r="C3127" s="19" t="s">
        <v>5424</v>
      </c>
      <c r="D3127" s="19" t="s">
        <v>41</v>
      </c>
      <c r="E3127" s="19" t="s">
        <v>41</v>
      </c>
      <c r="F3127" s="19" t="s">
        <v>1157</v>
      </c>
      <c r="G3127" s="19" t="s">
        <v>1008</v>
      </c>
      <c r="H3127" s="19" t="s">
        <v>1001</v>
      </c>
      <c r="I3127" s="19" t="s">
        <v>1575</v>
      </c>
      <c r="J3127" s="20">
        <v>25</v>
      </c>
      <c r="K3127" t="s">
        <v>625</v>
      </c>
      <c r="L3127" t="s">
        <v>691</v>
      </c>
      <c r="M3127" t="s">
        <v>657</v>
      </c>
      <c r="N3127" t="s">
        <v>658</v>
      </c>
      <c r="O3127" t="s">
        <v>632</v>
      </c>
    </row>
    <row r="3128" spans="1:15" x14ac:dyDescent="0.35">
      <c r="A3128" s="77">
        <v>0.54794520547945202</v>
      </c>
      <c r="B3128" s="19">
        <v>98840</v>
      </c>
      <c r="C3128" s="19" t="s">
        <v>5425</v>
      </c>
      <c r="D3128" s="19" t="s">
        <v>39</v>
      </c>
      <c r="E3128" s="19" t="s">
        <v>39</v>
      </c>
      <c r="F3128" s="19" t="s">
        <v>1168</v>
      </c>
      <c r="G3128" s="19" t="s">
        <v>1028</v>
      </c>
      <c r="H3128" s="19" t="s">
        <v>1020</v>
      </c>
      <c r="I3128" s="19" t="s">
        <v>1599</v>
      </c>
      <c r="J3128" s="20">
        <v>28</v>
      </c>
      <c r="K3128" t="s">
        <v>636</v>
      </c>
      <c r="L3128" t="s">
        <v>661</v>
      </c>
      <c r="M3128" t="s">
        <v>657</v>
      </c>
      <c r="N3128" t="s">
        <v>662</v>
      </c>
      <c r="O3128" t="s">
        <v>632</v>
      </c>
    </row>
    <row r="3129" spans="1:15" x14ac:dyDescent="0.35">
      <c r="A3129" s="77">
        <v>0.54520547945205478</v>
      </c>
      <c r="B3129" s="19">
        <v>98844</v>
      </c>
      <c r="C3129" s="19" t="s">
        <v>5426</v>
      </c>
      <c r="D3129" s="19" t="s">
        <v>403</v>
      </c>
      <c r="E3129" s="19" t="s">
        <v>404</v>
      </c>
      <c r="F3129" s="19" t="s">
        <v>870</v>
      </c>
      <c r="G3129" s="19" t="s">
        <v>1028</v>
      </c>
      <c r="H3129" s="19" t="s">
        <v>1020</v>
      </c>
      <c r="I3129" s="19" t="s">
        <v>1599</v>
      </c>
      <c r="J3129" s="20">
        <v>21</v>
      </c>
      <c r="K3129" t="s">
        <v>631</v>
      </c>
      <c r="L3129" t="s">
        <v>691</v>
      </c>
      <c r="M3129" t="s">
        <v>657</v>
      </c>
      <c r="N3129" t="s">
        <v>658</v>
      </c>
      <c r="O3129" t="s">
        <v>632</v>
      </c>
    </row>
    <row r="3130" spans="1:15" x14ac:dyDescent="0.35">
      <c r="A3130" s="77">
        <v>0.54520547945205478</v>
      </c>
      <c r="B3130" s="19">
        <v>98846</v>
      </c>
      <c r="C3130" s="19" t="s">
        <v>5427</v>
      </c>
      <c r="D3130" s="19" t="s">
        <v>369</v>
      </c>
      <c r="E3130" s="19" t="s">
        <v>370</v>
      </c>
      <c r="F3130" s="19" t="s">
        <v>856</v>
      </c>
      <c r="G3130" s="19" t="s">
        <v>1028</v>
      </c>
      <c r="H3130" s="19" t="s">
        <v>1020</v>
      </c>
      <c r="I3130" s="19" t="s">
        <v>1599</v>
      </c>
      <c r="J3130" s="20">
        <v>23</v>
      </c>
      <c r="K3130" t="s">
        <v>654</v>
      </c>
      <c r="L3130" t="s">
        <v>684</v>
      </c>
      <c r="M3130" t="s">
        <v>623</v>
      </c>
      <c r="N3130" t="s">
        <v>662</v>
      </c>
      <c r="O3130" t="s">
        <v>857</v>
      </c>
    </row>
    <row r="3131" spans="1:15" x14ac:dyDescent="0.35">
      <c r="A3131" s="77">
        <v>0.54520547945205478</v>
      </c>
      <c r="B3131" s="19">
        <v>98853</v>
      </c>
      <c r="C3131" s="19" t="s">
        <v>5428</v>
      </c>
      <c r="D3131" s="19" t="s">
        <v>426</v>
      </c>
      <c r="E3131" s="19" t="s">
        <v>426</v>
      </c>
      <c r="F3131" s="19" t="s">
        <v>1220</v>
      </c>
      <c r="G3131" s="19" t="s">
        <v>1084</v>
      </c>
      <c r="H3131" s="19" t="s">
        <v>1001</v>
      </c>
      <c r="I3131" s="19" t="s">
        <v>1599</v>
      </c>
      <c r="J3131" s="20">
        <v>28</v>
      </c>
      <c r="K3131" t="s">
        <v>654</v>
      </c>
      <c r="L3131" t="s">
        <v>622</v>
      </c>
      <c r="M3131" t="s">
        <v>623</v>
      </c>
      <c r="N3131" t="s">
        <v>624</v>
      </c>
      <c r="O3131" t="s">
        <v>649</v>
      </c>
    </row>
    <row r="3132" spans="1:15" x14ac:dyDescent="0.35">
      <c r="A3132" s="77">
        <v>0.53424657534246578</v>
      </c>
      <c r="B3132" s="19">
        <v>98857</v>
      </c>
      <c r="C3132" s="19" t="s">
        <v>5429</v>
      </c>
      <c r="D3132" s="19" t="s">
        <v>349</v>
      </c>
      <c r="E3132" s="19" t="s">
        <v>350</v>
      </c>
      <c r="F3132" s="19" t="s">
        <v>912</v>
      </c>
      <c r="G3132" s="19" t="s">
        <v>1008</v>
      </c>
      <c r="H3132" s="19" t="s">
        <v>1001</v>
      </c>
      <c r="I3132" s="19" t="s">
        <v>1575</v>
      </c>
      <c r="J3132" s="20">
        <v>30</v>
      </c>
      <c r="K3132" t="s">
        <v>625</v>
      </c>
      <c r="L3132" t="s">
        <v>648</v>
      </c>
      <c r="M3132" t="s">
        <v>623</v>
      </c>
      <c r="N3132" t="s">
        <v>624</v>
      </c>
      <c r="O3132" t="s">
        <v>649</v>
      </c>
    </row>
    <row r="3133" spans="1:15" x14ac:dyDescent="0.35">
      <c r="A3133" s="77">
        <v>0.54246575342465753</v>
      </c>
      <c r="B3133" s="19">
        <v>98858</v>
      </c>
      <c r="C3133" s="19" t="s">
        <v>5430</v>
      </c>
      <c r="D3133" s="19" t="s">
        <v>264</v>
      </c>
      <c r="E3133" s="19" t="s">
        <v>265</v>
      </c>
      <c r="F3133" s="19" t="s">
        <v>2526</v>
      </c>
      <c r="G3133" s="19" t="s">
        <v>1019</v>
      </c>
      <c r="H3133" s="19" t="s">
        <v>1020</v>
      </c>
      <c r="I3133" s="19" t="s">
        <v>1575</v>
      </c>
      <c r="J3133" s="20">
        <v>21</v>
      </c>
      <c r="K3133" t="s">
        <v>654</v>
      </c>
      <c r="L3133" t="s">
        <v>678</v>
      </c>
      <c r="M3133" t="s">
        <v>623</v>
      </c>
      <c r="N3133" t="s">
        <v>624</v>
      </c>
      <c r="O3133" t="s">
        <v>689</v>
      </c>
    </row>
    <row r="3134" spans="1:15" x14ac:dyDescent="0.35">
      <c r="A3134" s="77">
        <v>0.54246575342465753</v>
      </c>
      <c r="B3134" s="19">
        <v>98862</v>
      </c>
      <c r="C3134" s="19" t="s">
        <v>5431</v>
      </c>
      <c r="D3134" s="19" t="s">
        <v>218</v>
      </c>
      <c r="E3134" s="19" t="s">
        <v>219</v>
      </c>
      <c r="F3134" s="19" t="s">
        <v>1372</v>
      </c>
      <c r="G3134" s="19" t="s">
        <v>1028</v>
      </c>
      <c r="H3134" s="19" t="s">
        <v>1020</v>
      </c>
      <c r="I3134" s="19" t="s">
        <v>1575</v>
      </c>
      <c r="J3134" s="20">
        <v>19</v>
      </c>
      <c r="K3134" t="s">
        <v>625</v>
      </c>
      <c r="L3134" t="s">
        <v>661</v>
      </c>
      <c r="M3134" t="s">
        <v>657</v>
      </c>
      <c r="N3134" t="s">
        <v>662</v>
      </c>
      <c r="O3134" t="s">
        <v>632</v>
      </c>
    </row>
    <row r="3135" spans="1:15" x14ac:dyDescent="0.35">
      <c r="A3135" s="77">
        <v>0.54246575342465753</v>
      </c>
      <c r="B3135" s="19">
        <v>98871</v>
      </c>
      <c r="C3135" s="19" t="s">
        <v>5432</v>
      </c>
      <c r="D3135" s="19" t="s">
        <v>26</v>
      </c>
      <c r="E3135" s="19" t="s">
        <v>26</v>
      </c>
      <c r="F3135" s="19" t="s">
        <v>1124</v>
      </c>
      <c r="G3135" s="19" t="s">
        <v>1057</v>
      </c>
      <c r="H3135" s="19" t="s">
        <v>1001</v>
      </c>
      <c r="I3135" s="19" t="s">
        <v>1575</v>
      </c>
      <c r="J3135" s="20">
        <v>23</v>
      </c>
      <c r="K3135" t="s">
        <v>636</v>
      </c>
      <c r="L3135" t="s">
        <v>666</v>
      </c>
      <c r="M3135" t="s">
        <v>629</v>
      </c>
      <c r="N3135" t="s">
        <v>635</v>
      </c>
      <c r="O3135" t="s">
        <v>637</v>
      </c>
    </row>
    <row r="3136" spans="1:15" x14ac:dyDescent="0.35">
      <c r="A3136" s="77">
        <v>0.54246575342465753</v>
      </c>
      <c r="B3136" s="19">
        <v>98880</v>
      </c>
      <c r="C3136" s="19" t="s">
        <v>5433</v>
      </c>
      <c r="D3136" s="19" t="s">
        <v>311</v>
      </c>
      <c r="E3136" s="19" t="s">
        <v>312</v>
      </c>
      <c r="F3136" s="19" t="s">
        <v>1140</v>
      </c>
      <c r="G3136" s="19" t="s">
        <v>1008</v>
      </c>
      <c r="H3136" s="19" t="s">
        <v>1001</v>
      </c>
      <c r="I3136" s="19" t="s">
        <v>1575</v>
      </c>
      <c r="J3136" s="20">
        <v>23</v>
      </c>
      <c r="K3136" t="s">
        <v>631</v>
      </c>
      <c r="L3136" t="s">
        <v>628</v>
      </c>
      <c r="M3136" t="s">
        <v>629</v>
      </c>
      <c r="N3136" t="s">
        <v>630</v>
      </c>
      <c r="O3136" t="s">
        <v>632</v>
      </c>
    </row>
    <row r="3137" spans="1:15" x14ac:dyDescent="0.35">
      <c r="A3137" s="77">
        <v>0.53972602739726028</v>
      </c>
      <c r="B3137" s="19">
        <v>98883</v>
      </c>
      <c r="C3137" s="19" t="s">
        <v>5434</v>
      </c>
      <c r="D3137" s="19" t="s">
        <v>411</v>
      </c>
      <c r="E3137" s="19" t="s">
        <v>412</v>
      </c>
      <c r="F3137" s="19" t="s">
        <v>1225</v>
      </c>
      <c r="G3137" s="19" t="s">
        <v>1008</v>
      </c>
      <c r="H3137" s="19" t="s">
        <v>1001</v>
      </c>
      <c r="I3137" s="19" t="s">
        <v>1575</v>
      </c>
      <c r="J3137" s="20">
        <v>21</v>
      </c>
      <c r="K3137" t="s">
        <v>636</v>
      </c>
      <c r="L3137" t="s">
        <v>691</v>
      </c>
      <c r="M3137" t="s">
        <v>657</v>
      </c>
      <c r="N3137" t="s">
        <v>658</v>
      </c>
      <c r="O3137" t="s">
        <v>632</v>
      </c>
    </row>
    <row r="3138" spans="1:15" x14ac:dyDescent="0.35">
      <c r="A3138" s="77">
        <v>0.53150684931506853</v>
      </c>
      <c r="B3138" s="19">
        <v>98894</v>
      </c>
      <c r="C3138" s="19" t="s">
        <v>5435</v>
      </c>
      <c r="D3138" s="19" t="s">
        <v>403</v>
      </c>
      <c r="E3138" s="19" t="s">
        <v>404</v>
      </c>
      <c r="F3138" s="19" t="s">
        <v>870</v>
      </c>
      <c r="G3138" s="19" t="s">
        <v>1028</v>
      </c>
      <c r="H3138" s="19" t="s">
        <v>1020</v>
      </c>
      <c r="I3138" s="19" t="s">
        <v>1575</v>
      </c>
      <c r="J3138" s="20">
        <v>20</v>
      </c>
      <c r="K3138" t="s">
        <v>631</v>
      </c>
      <c r="L3138" t="s">
        <v>691</v>
      </c>
      <c r="M3138" t="s">
        <v>657</v>
      </c>
      <c r="N3138" t="s">
        <v>658</v>
      </c>
      <c r="O3138" t="s">
        <v>632</v>
      </c>
    </row>
    <row r="3139" spans="1:15" x14ac:dyDescent="0.35">
      <c r="A3139" s="77">
        <v>0.53150684931506853</v>
      </c>
      <c r="B3139" s="19">
        <v>98895</v>
      </c>
      <c r="C3139" s="19" t="s">
        <v>5436</v>
      </c>
      <c r="D3139" s="19" t="s">
        <v>403</v>
      </c>
      <c r="E3139" s="19" t="s">
        <v>404</v>
      </c>
      <c r="F3139" s="19" t="s">
        <v>870</v>
      </c>
      <c r="G3139" s="19" t="s">
        <v>1019</v>
      </c>
      <c r="H3139" s="19" t="s">
        <v>1020</v>
      </c>
      <c r="I3139" s="19" t="s">
        <v>1575</v>
      </c>
      <c r="J3139" s="20">
        <v>22</v>
      </c>
      <c r="K3139" t="s">
        <v>631</v>
      </c>
      <c r="L3139" t="s">
        <v>691</v>
      </c>
      <c r="M3139" t="s">
        <v>657</v>
      </c>
      <c r="N3139" t="s">
        <v>658</v>
      </c>
      <c r="O3139" t="s">
        <v>632</v>
      </c>
    </row>
    <row r="3140" spans="1:15" x14ac:dyDescent="0.35">
      <c r="A3140" s="77">
        <v>0.53150684931506853</v>
      </c>
      <c r="B3140" s="19">
        <v>98902</v>
      </c>
      <c r="C3140" s="19" t="s">
        <v>5437</v>
      </c>
      <c r="D3140" s="19" t="s">
        <v>349</v>
      </c>
      <c r="E3140" s="19" t="s">
        <v>350</v>
      </c>
      <c r="F3140" s="19" t="s">
        <v>912</v>
      </c>
      <c r="G3140" s="19" t="s">
        <v>1028</v>
      </c>
      <c r="H3140" s="19" t="s">
        <v>1020</v>
      </c>
      <c r="I3140" s="19" t="s">
        <v>1599</v>
      </c>
      <c r="J3140" s="20">
        <v>19</v>
      </c>
      <c r="K3140" t="s">
        <v>625</v>
      </c>
      <c r="L3140" t="s">
        <v>648</v>
      </c>
      <c r="M3140" t="s">
        <v>623</v>
      </c>
      <c r="N3140" t="s">
        <v>624</v>
      </c>
      <c r="O3140" t="s">
        <v>649</v>
      </c>
    </row>
    <row r="3141" spans="1:15" x14ac:dyDescent="0.35">
      <c r="A3141" s="77">
        <v>0.53150684931506853</v>
      </c>
      <c r="B3141" s="19">
        <v>98908</v>
      </c>
      <c r="C3141" s="19" t="s">
        <v>5438</v>
      </c>
      <c r="D3141" s="19" t="s">
        <v>73</v>
      </c>
      <c r="E3141" s="19" t="s">
        <v>74</v>
      </c>
      <c r="F3141" s="19" t="s">
        <v>1178</v>
      </c>
      <c r="G3141" s="19" t="s">
        <v>1045</v>
      </c>
      <c r="H3141" s="19" t="s">
        <v>1001</v>
      </c>
      <c r="I3141" s="19" t="s">
        <v>1575</v>
      </c>
      <c r="J3141" s="20">
        <v>37</v>
      </c>
      <c r="K3141" t="s">
        <v>654</v>
      </c>
      <c r="L3141" t="s">
        <v>648</v>
      </c>
      <c r="M3141" t="s">
        <v>623</v>
      </c>
      <c r="N3141" t="s">
        <v>624</v>
      </c>
      <c r="O3141" t="s">
        <v>725</v>
      </c>
    </row>
    <row r="3142" spans="1:15" x14ac:dyDescent="0.35">
      <c r="A3142" s="77">
        <v>2.1917808219178082E-2</v>
      </c>
      <c r="B3142" s="19">
        <v>98909</v>
      </c>
      <c r="C3142" s="19" t="s">
        <v>5439</v>
      </c>
      <c r="D3142" s="19" t="s">
        <v>385</v>
      </c>
      <c r="E3142" s="19" t="s">
        <v>386</v>
      </c>
      <c r="F3142" s="19" t="s">
        <v>1059</v>
      </c>
      <c r="G3142" s="19" t="s">
        <v>1008</v>
      </c>
      <c r="H3142" s="19" t="s">
        <v>1001</v>
      </c>
      <c r="I3142" s="19" t="s">
        <v>1575</v>
      </c>
      <c r="J3142" s="20">
        <v>24</v>
      </c>
      <c r="K3142" t="s">
        <v>631</v>
      </c>
      <c r="L3142" t="s">
        <v>663</v>
      </c>
      <c r="M3142" t="s">
        <v>629</v>
      </c>
      <c r="N3142" t="s">
        <v>646</v>
      </c>
      <c r="O3142" t="s">
        <v>810</v>
      </c>
    </row>
    <row r="3143" spans="1:15" x14ac:dyDescent="0.35">
      <c r="A3143" s="77">
        <v>0.53150684931506853</v>
      </c>
      <c r="B3143" s="19">
        <v>98910</v>
      </c>
      <c r="C3143" s="19" t="s">
        <v>5440</v>
      </c>
      <c r="D3143" s="19" t="s">
        <v>252</v>
      </c>
      <c r="E3143" s="19" t="s">
        <v>253</v>
      </c>
      <c r="F3143" s="19" t="s">
        <v>914</v>
      </c>
      <c r="G3143" s="19" t="s">
        <v>1019</v>
      </c>
      <c r="H3143" s="19" t="s">
        <v>1020</v>
      </c>
      <c r="I3143" s="19" t="s">
        <v>1575</v>
      </c>
      <c r="J3143" s="20">
        <v>21</v>
      </c>
      <c r="K3143" t="s">
        <v>636</v>
      </c>
      <c r="L3143" t="s">
        <v>656</v>
      </c>
      <c r="M3143" t="s">
        <v>657</v>
      </c>
      <c r="N3143" t="s">
        <v>658</v>
      </c>
      <c r="O3143" t="s">
        <v>718</v>
      </c>
    </row>
    <row r="3144" spans="1:15" x14ac:dyDescent="0.35">
      <c r="A3144" s="77">
        <v>0.53150684931506853</v>
      </c>
      <c r="B3144" s="19">
        <v>98911</v>
      </c>
      <c r="C3144" s="19" t="s">
        <v>5441</v>
      </c>
      <c r="D3144" s="19" t="s">
        <v>252</v>
      </c>
      <c r="E3144" s="19" t="s">
        <v>253</v>
      </c>
      <c r="F3144" s="19" t="s">
        <v>914</v>
      </c>
      <c r="G3144" s="19" t="s">
        <v>1028</v>
      </c>
      <c r="H3144" s="19" t="s">
        <v>1020</v>
      </c>
      <c r="I3144" s="19" t="s">
        <v>1575</v>
      </c>
      <c r="J3144" s="20">
        <v>19</v>
      </c>
      <c r="K3144" t="s">
        <v>636</v>
      </c>
      <c r="L3144" t="s">
        <v>656</v>
      </c>
      <c r="M3144" t="s">
        <v>657</v>
      </c>
      <c r="N3144" t="s">
        <v>658</v>
      </c>
      <c r="O3144" t="s">
        <v>718</v>
      </c>
    </row>
    <row r="3145" spans="1:15" x14ac:dyDescent="0.35">
      <c r="A3145" s="77">
        <v>0.53150684931506853</v>
      </c>
      <c r="B3145" s="19">
        <v>98912</v>
      </c>
      <c r="C3145" s="19" t="s">
        <v>5442</v>
      </c>
      <c r="D3145" s="19" t="s">
        <v>421</v>
      </c>
      <c r="E3145" s="19" t="s">
        <v>421</v>
      </c>
      <c r="F3145" s="19" t="s">
        <v>698</v>
      </c>
      <c r="G3145" s="19" t="s">
        <v>1008</v>
      </c>
      <c r="H3145" s="19" t="s">
        <v>1001</v>
      </c>
      <c r="I3145" s="19" t="s">
        <v>1575</v>
      </c>
      <c r="J3145" s="20">
        <v>34</v>
      </c>
      <c r="K3145" t="s">
        <v>636</v>
      </c>
      <c r="L3145" t="s">
        <v>678</v>
      </c>
      <c r="M3145" t="s">
        <v>623</v>
      </c>
      <c r="N3145" t="s">
        <v>624</v>
      </c>
      <c r="O3145" t="s">
        <v>679</v>
      </c>
    </row>
    <row r="3146" spans="1:15" x14ac:dyDescent="0.35">
      <c r="A3146" s="77">
        <v>0.52602739726027392</v>
      </c>
      <c r="B3146" s="19">
        <v>98922</v>
      </c>
      <c r="C3146" s="19" t="s">
        <v>5443</v>
      </c>
      <c r="D3146" s="19" t="s">
        <v>407</v>
      </c>
      <c r="E3146" s="19" t="s">
        <v>408</v>
      </c>
      <c r="F3146" s="19" t="s">
        <v>1230</v>
      </c>
      <c r="G3146" s="19" t="s">
        <v>1008</v>
      </c>
      <c r="H3146" s="19" t="s">
        <v>1001</v>
      </c>
      <c r="I3146" s="19" t="s">
        <v>1575</v>
      </c>
      <c r="J3146" s="20">
        <v>20</v>
      </c>
      <c r="K3146" t="s">
        <v>636</v>
      </c>
      <c r="L3146" t="s">
        <v>622</v>
      </c>
      <c r="M3146" t="s">
        <v>623</v>
      </c>
      <c r="N3146" t="s">
        <v>624</v>
      </c>
      <c r="O3146" t="s">
        <v>730</v>
      </c>
    </row>
    <row r="3147" spans="1:15" x14ac:dyDescent="0.35">
      <c r="A3147" s="77">
        <v>0.52602739726027392</v>
      </c>
      <c r="B3147" s="19">
        <v>98923</v>
      </c>
      <c r="C3147" s="19" t="s">
        <v>5214</v>
      </c>
      <c r="D3147" s="19" t="s">
        <v>151</v>
      </c>
      <c r="E3147" s="19" t="s">
        <v>152</v>
      </c>
      <c r="F3147" s="19" t="s">
        <v>1557</v>
      </c>
      <c r="G3147" s="19" t="s">
        <v>3508</v>
      </c>
      <c r="H3147" s="19" t="s">
        <v>1020</v>
      </c>
      <c r="I3147" s="19" t="s">
        <v>1575</v>
      </c>
      <c r="J3147" s="20">
        <v>19</v>
      </c>
      <c r="K3147" t="s">
        <v>654</v>
      </c>
      <c r="L3147" t="s">
        <v>691</v>
      </c>
      <c r="M3147" t="s">
        <v>657</v>
      </c>
      <c r="N3147" t="s">
        <v>658</v>
      </c>
      <c r="O3147" t="s">
        <v>632</v>
      </c>
    </row>
    <row r="3148" spans="1:15" x14ac:dyDescent="0.35">
      <c r="A3148" s="77">
        <v>0.52602739726027392</v>
      </c>
      <c r="B3148" s="19">
        <v>98925</v>
      </c>
      <c r="C3148" s="19" t="s">
        <v>5444</v>
      </c>
      <c r="D3148" s="19" t="s">
        <v>97</v>
      </c>
      <c r="E3148" s="19" t="s">
        <v>98</v>
      </c>
      <c r="F3148" s="19" t="s">
        <v>2395</v>
      </c>
      <c r="G3148" s="19" t="s">
        <v>3508</v>
      </c>
      <c r="H3148" s="19" t="s">
        <v>1020</v>
      </c>
      <c r="I3148" s="19" t="s">
        <v>1599</v>
      </c>
      <c r="J3148" s="20">
        <v>18</v>
      </c>
      <c r="K3148" t="s">
        <v>654</v>
      </c>
      <c r="L3148" t="s">
        <v>666</v>
      </c>
      <c r="M3148" t="s">
        <v>629</v>
      </c>
      <c r="N3148" t="s">
        <v>635</v>
      </c>
      <c r="O3148" t="s">
        <v>739</v>
      </c>
    </row>
    <row r="3149" spans="1:15" x14ac:dyDescent="0.35">
      <c r="A3149" s="77">
        <v>0.52602739726027392</v>
      </c>
      <c r="B3149" s="19">
        <v>98926</v>
      </c>
      <c r="C3149" s="19" t="s">
        <v>5445</v>
      </c>
      <c r="D3149" s="19" t="s">
        <v>171</v>
      </c>
      <c r="E3149" s="19" t="s">
        <v>172</v>
      </c>
      <c r="F3149" s="19" t="s">
        <v>2239</v>
      </c>
      <c r="G3149" s="19" t="s">
        <v>1084</v>
      </c>
      <c r="H3149" s="19" t="s">
        <v>1001</v>
      </c>
      <c r="I3149" s="19" t="s">
        <v>1575</v>
      </c>
      <c r="J3149" s="20">
        <v>34</v>
      </c>
      <c r="K3149" t="s">
        <v>654</v>
      </c>
      <c r="L3149" t="s">
        <v>661</v>
      </c>
      <c r="M3149" t="s">
        <v>657</v>
      </c>
      <c r="N3149" t="s">
        <v>662</v>
      </c>
      <c r="O3149" t="s">
        <v>632</v>
      </c>
    </row>
    <row r="3150" spans="1:15" x14ac:dyDescent="0.35">
      <c r="A3150" s="77">
        <v>0.52602739726027392</v>
      </c>
      <c r="B3150" s="19">
        <v>98928</v>
      </c>
      <c r="C3150" s="19" t="s">
        <v>5446</v>
      </c>
      <c r="D3150" s="19" t="s">
        <v>278</v>
      </c>
      <c r="E3150" s="19" t="s">
        <v>279</v>
      </c>
      <c r="F3150" s="19" t="s">
        <v>1131</v>
      </c>
      <c r="G3150" s="19" t="s">
        <v>1084</v>
      </c>
      <c r="H3150" s="19" t="s">
        <v>1020</v>
      </c>
      <c r="I3150" s="19" t="s">
        <v>1575</v>
      </c>
      <c r="J3150" s="20">
        <v>21</v>
      </c>
      <c r="K3150" t="s">
        <v>625</v>
      </c>
      <c r="L3150" t="s">
        <v>661</v>
      </c>
      <c r="M3150" t="s">
        <v>657</v>
      </c>
      <c r="N3150" t="s">
        <v>662</v>
      </c>
      <c r="O3150" t="s">
        <v>632</v>
      </c>
    </row>
    <row r="3151" spans="1:15" x14ac:dyDescent="0.35">
      <c r="A3151" s="77">
        <v>0.52602739726027392</v>
      </c>
      <c r="B3151" s="19">
        <v>98929</v>
      </c>
      <c r="C3151" s="19" t="s">
        <v>5447</v>
      </c>
      <c r="D3151" s="19" t="s">
        <v>278</v>
      </c>
      <c r="E3151" s="19" t="s">
        <v>279</v>
      </c>
      <c r="F3151" s="19" t="s">
        <v>1131</v>
      </c>
      <c r="G3151" s="19" t="s">
        <v>1028</v>
      </c>
      <c r="H3151" s="19" t="s">
        <v>1020</v>
      </c>
      <c r="I3151" s="19" t="s">
        <v>1599</v>
      </c>
      <c r="J3151" s="20">
        <v>25</v>
      </c>
      <c r="K3151" t="s">
        <v>625</v>
      </c>
      <c r="L3151" t="s">
        <v>661</v>
      </c>
      <c r="M3151" t="s">
        <v>657</v>
      </c>
      <c r="N3151" t="s">
        <v>662</v>
      </c>
      <c r="O3151" t="s">
        <v>632</v>
      </c>
    </row>
    <row r="3152" spans="1:15" x14ac:dyDescent="0.35">
      <c r="A3152" s="77">
        <v>0.52602739726027392</v>
      </c>
      <c r="B3152" s="19">
        <v>98930</v>
      </c>
      <c r="C3152" s="19" t="s">
        <v>5448</v>
      </c>
      <c r="D3152" s="19" t="s">
        <v>280</v>
      </c>
      <c r="E3152" s="19" t="s">
        <v>281</v>
      </c>
      <c r="F3152" s="19" t="s">
        <v>1223</v>
      </c>
      <c r="G3152" s="19" t="s">
        <v>1019</v>
      </c>
      <c r="H3152" s="19" t="s">
        <v>1020</v>
      </c>
      <c r="I3152" s="19" t="s">
        <v>1575</v>
      </c>
      <c r="J3152" s="20">
        <v>18</v>
      </c>
      <c r="K3152" t="s">
        <v>631</v>
      </c>
      <c r="L3152" t="s">
        <v>691</v>
      </c>
      <c r="M3152" t="s">
        <v>657</v>
      </c>
      <c r="N3152" t="s">
        <v>658</v>
      </c>
      <c r="O3152" t="s">
        <v>632</v>
      </c>
    </row>
    <row r="3153" spans="1:15" x14ac:dyDescent="0.35">
      <c r="A3153" s="77">
        <v>0.52876712328767128</v>
      </c>
      <c r="B3153" s="19">
        <v>98934</v>
      </c>
      <c r="C3153" s="19" t="s">
        <v>5449</v>
      </c>
      <c r="D3153" s="19" t="s">
        <v>311</v>
      </c>
      <c r="E3153" s="19" t="s">
        <v>312</v>
      </c>
      <c r="F3153" s="19" t="s">
        <v>1140</v>
      </c>
      <c r="G3153" s="19" t="s">
        <v>1028</v>
      </c>
      <c r="H3153" s="19" t="s">
        <v>1020</v>
      </c>
      <c r="I3153" s="19" t="s">
        <v>1575</v>
      </c>
      <c r="J3153" s="20">
        <v>20</v>
      </c>
      <c r="K3153" t="s">
        <v>631</v>
      </c>
      <c r="L3153" t="s">
        <v>628</v>
      </c>
      <c r="M3153" t="s">
        <v>629</v>
      </c>
      <c r="N3153" t="s">
        <v>630</v>
      </c>
      <c r="O3153" t="s">
        <v>632</v>
      </c>
    </row>
    <row r="3154" spans="1:15" x14ac:dyDescent="0.35">
      <c r="A3154" s="77">
        <v>0.52876712328767128</v>
      </c>
      <c r="B3154" s="19">
        <v>98936</v>
      </c>
      <c r="C3154" s="19" t="s">
        <v>5450</v>
      </c>
      <c r="D3154" s="19" t="s">
        <v>14</v>
      </c>
      <c r="E3154" s="19" t="s">
        <v>14</v>
      </c>
      <c r="F3154" s="19" t="s">
        <v>15</v>
      </c>
      <c r="G3154" s="19" t="s">
        <v>1028</v>
      </c>
      <c r="H3154" s="19" t="s">
        <v>1020</v>
      </c>
      <c r="I3154" s="19" t="s">
        <v>1575</v>
      </c>
      <c r="J3154" s="20">
        <v>22</v>
      </c>
      <c r="K3154" t="s">
        <v>642</v>
      </c>
      <c r="L3154" t="s">
        <v>640</v>
      </c>
      <c r="M3154" t="s">
        <v>623</v>
      </c>
      <c r="N3154" t="s">
        <v>641</v>
      </c>
      <c r="O3154" t="s">
        <v>643</v>
      </c>
    </row>
    <row r="3155" spans="1:15" x14ac:dyDescent="0.35">
      <c r="A3155" s="77">
        <v>0.52328767123287667</v>
      </c>
      <c r="B3155" s="19">
        <v>98944</v>
      </c>
      <c r="C3155" s="19" t="s">
        <v>5451</v>
      </c>
      <c r="D3155" s="19" t="s">
        <v>45</v>
      </c>
      <c r="E3155" s="19" t="s">
        <v>46</v>
      </c>
      <c r="F3155" s="19" t="s">
        <v>1122</v>
      </c>
      <c r="G3155" s="19" t="s">
        <v>1028</v>
      </c>
      <c r="H3155" s="19" t="s">
        <v>1020</v>
      </c>
      <c r="I3155" s="19" t="s">
        <v>1575</v>
      </c>
      <c r="J3155" s="20">
        <v>21</v>
      </c>
      <c r="K3155" t="s">
        <v>631</v>
      </c>
      <c r="L3155" t="s">
        <v>651</v>
      </c>
      <c r="M3155" t="s">
        <v>629</v>
      </c>
      <c r="N3155" t="s">
        <v>630</v>
      </c>
      <c r="O3155" t="s">
        <v>705</v>
      </c>
    </row>
    <row r="3156" spans="1:15" x14ac:dyDescent="0.35">
      <c r="A3156" s="77">
        <v>0.52876712328767128</v>
      </c>
      <c r="B3156" s="19">
        <v>98945</v>
      </c>
      <c r="C3156" s="19" t="s">
        <v>5452</v>
      </c>
      <c r="D3156" s="19" t="s">
        <v>195</v>
      </c>
      <c r="E3156" s="19" t="s">
        <v>196</v>
      </c>
      <c r="F3156" s="19" t="s">
        <v>908</v>
      </c>
      <c r="G3156" s="19" t="s">
        <v>1028</v>
      </c>
      <c r="H3156" s="19" t="s">
        <v>1020</v>
      </c>
      <c r="I3156" s="19" t="s">
        <v>1575</v>
      </c>
      <c r="J3156" s="20">
        <v>40</v>
      </c>
      <c r="K3156" t="s">
        <v>636</v>
      </c>
      <c r="L3156" t="s">
        <v>670</v>
      </c>
      <c r="M3156" t="s">
        <v>657</v>
      </c>
      <c r="N3156" t="s">
        <v>641</v>
      </c>
      <c r="O3156" t="s">
        <v>676</v>
      </c>
    </row>
    <row r="3157" spans="1:15" x14ac:dyDescent="0.35">
      <c r="A3157" s="77">
        <v>0.52876712328767128</v>
      </c>
      <c r="B3157" s="19">
        <v>98946</v>
      </c>
      <c r="C3157" s="19" t="s">
        <v>5453</v>
      </c>
      <c r="D3157" s="19" t="s">
        <v>42</v>
      </c>
      <c r="E3157" s="19" t="s">
        <v>42</v>
      </c>
      <c r="F3157" s="19" t="s">
        <v>1262</v>
      </c>
      <c r="G3157" s="19" t="s">
        <v>1028</v>
      </c>
      <c r="H3157" s="19" t="s">
        <v>1020</v>
      </c>
      <c r="I3157" s="19" t="s">
        <v>1599</v>
      </c>
      <c r="J3157" s="20">
        <v>24</v>
      </c>
      <c r="K3157" t="s">
        <v>625</v>
      </c>
      <c r="L3157" t="s">
        <v>628</v>
      </c>
      <c r="M3157" t="s">
        <v>629</v>
      </c>
      <c r="N3157" t="s">
        <v>630</v>
      </c>
      <c r="O3157" t="s">
        <v>632</v>
      </c>
    </row>
    <row r="3158" spans="1:15" x14ac:dyDescent="0.35">
      <c r="A3158" s="77">
        <v>0.52602739726027392</v>
      </c>
      <c r="B3158" s="19">
        <v>98949</v>
      </c>
      <c r="C3158" s="19" t="s">
        <v>5454</v>
      </c>
      <c r="D3158" s="19" t="s">
        <v>80</v>
      </c>
      <c r="E3158" s="19" t="s">
        <v>81</v>
      </c>
      <c r="F3158" s="19" t="s">
        <v>1022</v>
      </c>
      <c r="G3158" s="19" t="s">
        <v>1008</v>
      </c>
      <c r="H3158" s="19" t="s">
        <v>1001</v>
      </c>
      <c r="I3158" s="19" t="s">
        <v>1575</v>
      </c>
      <c r="J3158" s="20">
        <v>21</v>
      </c>
      <c r="K3158" t="s">
        <v>654</v>
      </c>
      <c r="L3158" t="s">
        <v>628</v>
      </c>
      <c r="M3158" t="s">
        <v>629</v>
      </c>
      <c r="N3158" t="s">
        <v>630</v>
      </c>
      <c r="O3158" t="s">
        <v>632</v>
      </c>
    </row>
    <row r="3159" spans="1:15" x14ac:dyDescent="0.35">
      <c r="A3159" s="77">
        <v>0.52602739726027392</v>
      </c>
      <c r="B3159" s="19">
        <v>98950</v>
      </c>
      <c r="C3159" s="19" t="s">
        <v>5455</v>
      </c>
      <c r="D3159" s="19" t="s">
        <v>232</v>
      </c>
      <c r="E3159" s="19" t="s">
        <v>233</v>
      </c>
      <c r="F3159" s="19" t="s">
        <v>1040</v>
      </c>
      <c r="G3159" s="19" t="s">
        <v>1028</v>
      </c>
      <c r="H3159" s="19" t="s">
        <v>1020</v>
      </c>
      <c r="I3159" s="19" t="s">
        <v>1575</v>
      </c>
      <c r="J3159" s="20">
        <v>27</v>
      </c>
      <c r="K3159" t="s">
        <v>654</v>
      </c>
      <c r="L3159" t="s">
        <v>684</v>
      </c>
      <c r="M3159" t="s">
        <v>623</v>
      </c>
      <c r="N3159" t="s">
        <v>662</v>
      </c>
      <c r="O3159" t="s">
        <v>795</v>
      </c>
    </row>
    <row r="3160" spans="1:15" x14ac:dyDescent="0.35">
      <c r="A3160" s="77">
        <v>0.52602739726027392</v>
      </c>
      <c r="B3160" s="19">
        <v>98951</v>
      </c>
      <c r="C3160" s="19" t="s">
        <v>5456</v>
      </c>
      <c r="D3160" s="19" t="s">
        <v>405</v>
      </c>
      <c r="E3160" s="19" t="s">
        <v>406</v>
      </c>
      <c r="F3160" s="19" t="s">
        <v>594</v>
      </c>
      <c r="G3160" s="19" t="s">
        <v>1008</v>
      </c>
      <c r="H3160" s="19" t="s">
        <v>1001</v>
      </c>
      <c r="I3160" s="19" t="s">
        <v>1575</v>
      </c>
      <c r="J3160" s="20">
        <v>20</v>
      </c>
      <c r="K3160" t="s">
        <v>654</v>
      </c>
      <c r="L3160" t="s">
        <v>684</v>
      </c>
      <c r="M3160" t="s">
        <v>623</v>
      </c>
      <c r="N3160" t="s">
        <v>662</v>
      </c>
      <c r="O3160" t="s">
        <v>872</v>
      </c>
    </row>
    <row r="3161" spans="1:15" x14ac:dyDescent="0.35">
      <c r="A3161" s="77">
        <v>0.52602739726027392</v>
      </c>
      <c r="B3161" s="19">
        <v>98953</v>
      </c>
      <c r="C3161" s="19" t="s">
        <v>5457</v>
      </c>
      <c r="D3161" s="19" t="s">
        <v>140</v>
      </c>
      <c r="E3161" s="19" t="s">
        <v>141</v>
      </c>
      <c r="F3161" s="19" t="s">
        <v>1138</v>
      </c>
      <c r="G3161" s="19" t="s">
        <v>1057</v>
      </c>
      <c r="H3161" s="19" t="s">
        <v>1001</v>
      </c>
      <c r="I3161" s="19" t="s">
        <v>1575</v>
      </c>
      <c r="J3161" s="20">
        <v>23</v>
      </c>
      <c r="K3161" t="s">
        <v>636</v>
      </c>
      <c r="L3161" t="s">
        <v>640</v>
      </c>
      <c r="M3161" t="s">
        <v>623</v>
      </c>
      <c r="N3161" t="s">
        <v>641</v>
      </c>
      <c r="O3161" t="s">
        <v>754</v>
      </c>
    </row>
    <row r="3162" spans="1:15" x14ac:dyDescent="0.35">
      <c r="A3162" s="77">
        <v>0.52602739726027392</v>
      </c>
      <c r="B3162" s="19">
        <v>98954</v>
      </c>
      <c r="C3162" s="19" t="s">
        <v>5458</v>
      </c>
      <c r="D3162" s="19" t="s">
        <v>193</v>
      </c>
      <c r="E3162" s="19" t="s">
        <v>194</v>
      </c>
      <c r="F3162" s="19" t="s">
        <v>2422</v>
      </c>
      <c r="G3162" s="19" t="s">
        <v>3508</v>
      </c>
      <c r="H3162" s="19" t="s">
        <v>1020</v>
      </c>
      <c r="I3162" s="19" t="s">
        <v>1575</v>
      </c>
      <c r="J3162" s="20">
        <v>17</v>
      </c>
      <c r="K3162" t="s">
        <v>654</v>
      </c>
      <c r="L3162" t="s">
        <v>670</v>
      </c>
      <c r="M3162" t="s">
        <v>657</v>
      </c>
      <c r="N3162" t="s">
        <v>641</v>
      </c>
      <c r="O3162" t="s">
        <v>676</v>
      </c>
    </row>
    <row r="3163" spans="1:15" x14ac:dyDescent="0.35">
      <c r="A3163" s="77">
        <v>0.52328767123287667</v>
      </c>
      <c r="B3163" s="19">
        <v>98957</v>
      </c>
      <c r="C3163" s="19" t="s">
        <v>5459</v>
      </c>
      <c r="D3163" s="19" t="s">
        <v>239</v>
      </c>
      <c r="E3163" s="19" t="s">
        <v>240</v>
      </c>
      <c r="F3163" s="19" t="s">
        <v>798</v>
      </c>
      <c r="G3163" s="19" t="s">
        <v>1028</v>
      </c>
      <c r="H3163" s="19" t="s">
        <v>1020</v>
      </c>
      <c r="I3163" s="19" t="s">
        <v>1575</v>
      </c>
      <c r="J3163" s="20">
        <v>23</v>
      </c>
      <c r="K3163" t="s">
        <v>636</v>
      </c>
      <c r="L3163" t="s">
        <v>628</v>
      </c>
      <c r="M3163" t="s">
        <v>629</v>
      </c>
      <c r="N3163" t="s">
        <v>646</v>
      </c>
      <c r="O3163" t="s">
        <v>632</v>
      </c>
    </row>
    <row r="3164" spans="1:15" x14ac:dyDescent="0.35">
      <c r="A3164" s="77">
        <v>0.52328767123287667</v>
      </c>
      <c r="B3164" s="19">
        <v>98965</v>
      </c>
      <c r="C3164" s="19" t="s">
        <v>5460</v>
      </c>
      <c r="D3164" s="19" t="s">
        <v>262</v>
      </c>
      <c r="E3164" s="19" t="s">
        <v>263</v>
      </c>
      <c r="F3164" s="19" t="s">
        <v>2336</v>
      </c>
      <c r="G3164" s="19" t="s">
        <v>1008</v>
      </c>
      <c r="H3164" s="19" t="s">
        <v>1001</v>
      </c>
      <c r="I3164" s="19" t="s">
        <v>1575</v>
      </c>
      <c r="J3164" s="20">
        <v>23</v>
      </c>
      <c r="K3164" t="s">
        <v>668</v>
      </c>
      <c r="L3164" t="s">
        <v>663</v>
      </c>
      <c r="M3164" t="s">
        <v>629</v>
      </c>
      <c r="N3164" t="s">
        <v>646</v>
      </c>
      <c r="O3164" t="s">
        <v>810</v>
      </c>
    </row>
    <row r="3165" spans="1:15" x14ac:dyDescent="0.35">
      <c r="A3165" s="77">
        <v>0.51780821917808217</v>
      </c>
      <c r="B3165" s="19">
        <v>98968</v>
      </c>
      <c r="C3165" s="19" t="s">
        <v>5461</v>
      </c>
      <c r="D3165" s="19" t="s">
        <v>401</v>
      </c>
      <c r="E3165" s="19" t="s">
        <v>402</v>
      </c>
      <c r="F3165" s="19" t="s">
        <v>1314</v>
      </c>
      <c r="G3165" s="19" t="s">
        <v>3508</v>
      </c>
      <c r="H3165" s="19" t="s">
        <v>1020</v>
      </c>
      <c r="I3165" s="19" t="s">
        <v>1599</v>
      </c>
      <c r="J3165" s="20">
        <v>17</v>
      </c>
      <c r="K3165" t="s">
        <v>668</v>
      </c>
      <c r="L3165" t="s">
        <v>691</v>
      </c>
      <c r="M3165" t="s">
        <v>657</v>
      </c>
      <c r="N3165" t="s">
        <v>658</v>
      </c>
      <c r="O3165" t="s">
        <v>632</v>
      </c>
    </row>
    <row r="3166" spans="1:15" x14ac:dyDescent="0.35">
      <c r="A3166" s="77">
        <v>0.52054794520547942</v>
      </c>
      <c r="B3166" s="19">
        <v>98970</v>
      </c>
      <c r="C3166" s="19" t="s">
        <v>5462</v>
      </c>
      <c r="D3166" s="19" t="s">
        <v>305</v>
      </c>
      <c r="E3166" s="19" t="s">
        <v>306</v>
      </c>
      <c r="F3166" s="19" t="s">
        <v>1086</v>
      </c>
      <c r="G3166" s="19" t="s">
        <v>1028</v>
      </c>
      <c r="H3166" s="19" t="s">
        <v>1020</v>
      </c>
      <c r="I3166" s="19" t="s">
        <v>1575</v>
      </c>
      <c r="J3166" s="20">
        <v>20</v>
      </c>
      <c r="K3166" t="s">
        <v>654</v>
      </c>
      <c r="L3166" t="s">
        <v>622</v>
      </c>
      <c r="M3166" t="s">
        <v>623</v>
      </c>
      <c r="N3166" t="s">
        <v>624</v>
      </c>
      <c r="O3166" t="s">
        <v>826</v>
      </c>
    </row>
    <row r="3167" spans="1:15" x14ac:dyDescent="0.35">
      <c r="A3167" s="77">
        <v>0.52054794520547942</v>
      </c>
      <c r="B3167" s="19">
        <v>98973</v>
      </c>
      <c r="C3167" s="19" t="s">
        <v>5463</v>
      </c>
      <c r="D3167" s="19" t="s">
        <v>278</v>
      </c>
      <c r="E3167" s="19" t="s">
        <v>279</v>
      </c>
      <c r="F3167" s="19" t="s">
        <v>1131</v>
      </c>
      <c r="G3167" s="19" t="s">
        <v>1084</v>
      </c>
      <c r="H3167" s="19" t="s">
        <v>1020</v>
      </c>
      <c r="I3167" s="19" t="s">
        <v>1575</v>
      </c>
      <c r="J3167" s="20">
        <v>18</v>
      </c>
      <c r="K3167" t="s">
        <v>625</v>
      </c>
      <c r="L3167" t="s">
        <v>661</v>
      </c>
      <c r="M3167" t="s">
        <v>657</v>
      </c>
      <c r="N3167" t="s">
        <v>662</v>
      </c>
      <c r="O3167" t="s">
        <v>632</v>
      </c>
    </row>
    <row r="3168" spans="1:15" x14ac:dyDescent="0.35">
      <c r="A3168" s="77">
        <v>0.52328767123287667</v>
      </c>
      <c r="B3168" s="19">
        <v>98978</v>
      </c>
      <c r="C3168" s="19" t="s">
        <v>5464</v>
      </c>
      <c r="D3168" s="19" t="s">
        <v>195</v>
      </c>
      <c r="E3168" s="19" t="s">
        <v>196</v>
      </c>
      <c r="F3168" s="19" t="s">
        <v>908</v>
      </c>
      <c r="G3168" s="19" t="s">
        <v>1028</v>
      </c>
      <c r="H3168" s="19" t="s">
        <v>1020</v>
      </c>
      <c r="I3168" s="19" t="s">
        <v>1575</v>
      </c>
      <c r="J3168" s="20">
        <v>19</v>
      </c>
      <c r="K3168" t="s">
        <v>636</v>
      </c>
      <c r="L3168" t="s">
        <v>670</v>
      </c>
      <c r="M3168" t="s">
        <v>657</v>
      </c>
      <c r="N3168" t="s">
        <v>641</v>
      </c>
      <c r="O3168" t="s">
        <v>676</v>
      </c>
    </row>
    <row r="3169" spans="1:15" x14ac:dyDescent="0.35">
      <c r="A3169" s="77">
        <v>0.52328767123287667</v>
      </c>
      <c r="B3169" s="19">
        <v>98980</v>
      </c>
      <c r="C3169" s="19" t="s">
        <v>5465</v>
      </c>
      <c r="D3169" s="19" t="s">
        <v>195</v>
      </c>
      <c r="E3169" s="19" t="s">
        <v>196</v>
      </c>
      <c r="F3169" s="19" t="s">
        <v>908</v>
      </c>
      <c r="G3169" s="19" t="s">
        <v>1028</v>
      </c>
      <c r="H3169" s="19" t="s">
        <v>1020</v>
      </c>
      <c r="I3169" s="19" t="s">
        <v>1575</v>
      </c>
      <c r="J3169" s="20">
        <v>34</v>
      </c>
      <c r="K3169" t="s">
        <v>636</v>
      </c>
      <c r="L3169" t="s">
        <v>670</v>
      </c>
      <c r="M3169" t="s">
        <v>657</v>
      </c>
      <c r="N3169" t="s">
        <v>641</v>
      </c>
      <c r="O3169" t="s">
        <v>676</v>
      </c>
    </row>
    <row r="3170" spans="1:15" x14ac:dyDescent="0.35">
      <c r="A3170" s="77">
        <v>0.52328767123287667</v>
      </c>
      <c r="B3170" s="19">
        <v>98981</v>
      </c>
      <c r="C3170" s="19" t="s">
        <v>5466</v>
      </c>
      <c r="D3170" s="19" t="s">
        <v>379</v>
      </c>
      <c r="E3170" s="19" t="s">
        <v>380</v>
      </c>
      <c r="F3170" s="19" t="s">
        <v>381</v>
      </c>
      <c r="G3170" s="19" t="s">
        <v>1028</v>
      </c>
      <c r="H3170" s="19" t="s">
        <v>1020</v>
      </c>
      <c r="I3170" s="19" t="s">
        <v>1599</v>
      </c>
      <c r="J3170" s="20">
        <v>20</v>
      </c>
      <c r="K3170" t="s">
        <v>636</v>
      </c>
      <c r="L3170" t="s">
        <v>628</v>
      </c>
      <c r="M3170" t="s">
        <v>629</v>
      </c>
      <c r="N3170" t="s">
        <v>630</v>
      </c>
      <c r="O3170" t="s">
        <v>632</v>
      </c>
    </row>
    <row r="3171" spans="1:15" x14ac:dyDescent="0.35">
      <c r="A3171" s="77">
        <v>0.52054794520547942</v>
      </c>
      <c r="B3171" s="19">
        <v>98988</v>
      </c>
      <c r="C3171" s="19" t="s">
        <v>5467</v>
      </c>
      <c r="D3171" s="19" t="s">
        <v>19</v>
      </c>
      <c r="E3171" s="19" t="s">
        <v>19</v>
      </c>
      <c r="F3171" s="19" t="s">
        <v>1255</v>
      </c>
      <c r="G3171" s="19" t="s">
        <v>1028</v>
      </c>
      <c r="H3171" s="19" t="s">
        <v>1020</v>
      </c>
      <c r="I3171" s="19" t="s">
        <v>1575</v>
      </c>
      <c r="J3171" s="20">
        <v>19</v>
      </c>
      <c r="K3171" t="s">
        <v>654</v>
      </c>
      <c r="L3171" t="s">
        <v>645</v>
      </c>
      <c r="M3171" t="s">
        <v>629</v>
      </c>
      <c r="N3171" t="s">
        <v>646</v>
      </c>
      <c r="O3171" t="s">
        <v>632</v>
      </c>
    </row>
    <row r="3172" spans="1:15" x14ac:dyDescent="0.35">
      <c r="A3172" s="77">
        <v>0.52054794520547942</v>
      </c>
      <c r="B3172" s="19">
        <v>98995</v>
      </c>
      <c r="C3172" s="19" t="s">
        <v>5468</v>
      </c>
      <c r="D3172" s="19" t="s">
        <v>173</v>
      </c>
      <c r="E3172" s="19" t="s">
        <v>174</v>
      </c>
      <c r="F3172" s="19" t="s">
        <v>901</v>
      </c>
      <c r="G3172" s="19" t="s">
        <v>1028</v>
      </c>
      <c r="H3172" s="19" t="s">
        <v>1020</v>
      </c>
      <c r="I3172" s="19" t="s">
        <v>1575</v>
      </c>
      <c r="J3172" s="20">
        <v>22</v>
      </c>
      <c r="K3172" t="s">
        <v>668</v>
      </c>
      <c r="L3172" t="s">
        <v>656</v>
      </c>
      <c r="M3172" t="s">
        <v>657</v>
      </c>
      <c r="N3172" t="s">
        <v>658</v>
      </c>
      <c r="O3172" t="s">
        <v>632</v>
      </c>
    </row>
    <row r="3173" spans="1:15" x14ac:dyDescent="0.35">
      <c r="A3173" s="77">
        <v>0.51232876712328768</v>
      </c>
      <c r="B3173" s="19">
        <v>99000</v>
      </c>
      <c r="C3173" s="19" t="s">
        <v>5469</v>
      </c>
      <c r="D3173" s="19" t="s">
        <v>97</v>
      </c>
      <c r="E3173" s="19" t="s">
        <v>98</v>
      </c>
      <c r="F3173" s="19" t="s">
        <v>2395</v>
      </c>
      <c r="G3173" s="19" t="s">
        <v>1028</v>
      </c>
      <c r="H3173" s="19" t="s">
        <v>1020</v>
      </c>
      <c r="I3173" s="19" t="s">
        <v>1575</v>
      </c>
      <c r="J3173" s="20">
        <v>22</v>
      </c>
      <c r="K3173" t="s">
        <v>654</v>
      </c>
      <c r="L3173" t="s">
        <v>666</v>
      </c>
      <c r="M3173" t="s">
        <v>629</v>
      </c>
      <c r="N3173" t="s">
        <v>635</v>
      </c>
      <c r="O3173" t="s">
        <v>739</v>
      </c>
    </row>
    <row r="3174" spans="1:15" x14ac:dyDescent="0.35">
      <c r="A3174" s="77">
        <v>0.51232876712328768</v>
      </c>
      <c r="B3174" s="19">
        <v>99002</v>
      </c>
      <c r="C3174" s="19" t="s">
        <v>5470</v>
      </c>
      <c r="D3174" s="19" t="s">
        <v>284</v>
      </c>
      <c r="E3174" s="19" t="s">
        <v>285</v>
      </c>
      <c r="F3174" s="19" t="s">
        <v>1150</v>
      </c>
      <c r="G3174" s="19" t="s">
        <v>1019</v>
      </c>
      <c r="H3174" s="19" t="s">
        <v>1020</v>
      </c>
      <c r="I3174" s="19" t="s">
        <v>1599</v>
      </c>
      <c r="J3174" s="20">
        <v>18</v>
      </c>
      <c r="K3174" t="s">
        <v>625</v>
      </c>
      <c r="L3174" t="s">
        <v>661</v>
      </c>
      <c r="M3174" t="s">
        <v>657</v>
      </c>
      <c r="N3174" t="s">
        <v>662</v>
      </c>
      <c r="O3174" t="s">
        <v>632</v>
      </c>
    </row>
    <row r="3175" spans="1:15" x14ac:dyDescent="0.35">
      <c r="A3175" s="77">
        <v>0.50958904109589043</v>
      </c>
      <c r="B3175" s="19">
        <v>99010</v>
      </c>
      <c r="C3175" s="19" t="s">
        <v>5471</v>
      </c>
      <c r="D3175" s="19" t="s">
        <v>100</v>
      </c>
      <c r="E3175" s="19" t="s">
        <v>101</v>
      </c>
      <c r="F3175" s="19" t="s">
        <v>2786</v>
      </c>
      <c r="G3175" s="19" t="s">
        <v>1046</v>
      </c>
      <c r="H3175" s="19" t="s">
        <v>1001</v>
      </c>
      <c r="I3175" s="19" t="s">
        <v>1575</v>
      </c>
      <c r="J3175" s="20">
        <v>28</v>
      </c>
      <c r="K3175" t="s">
        <v>654</v>
      </c>
      <c r="L3175" t="s">
        <v>651</v>
      </c>
      <c r="M3175" t="s">
        <v>629</v>
      </c>
      <c r="N3175" t="s">
        <v>630</v>
      </c>
      <c r="O3175" t="s">
        <v>705</v>
      </c>
    </row>
    <row r="3176" spans="1:15" x14ac:dyDescent="0.35">
      <c r="A3176" s="77">
        <v>0.51232876712328768</v>
      </c>
      <c r="B3176" s="19">
        <v>99012</v>
      </c>
      <c r="C3176" s="19" t="s">
        <v>5472</v>
      </c>
      <c r="D3176" s="19" t="s">
        <v>161</v>
      </c>
      <c r="E3176" s="19" t="s">
        <v>162</v>
      </c>
      <c r="F3176" s="19" t="s">
        <v>1027</v>
      </c>
      <c r="G3176" s="19" t="s">
        <v>1019</v>
      </c>
      <c r="H3176" s="19" t="s">
        <v>1020</v>
      </c>
      <c r="I3176" s="19" t="s">
        <v>1575</v>
      </c>
      <c r="J3176" s="20">
        <v>18</v>
      </c>
      <c r="K3176" t="s">
        <v>654</v>
      </c>
      <c r="L3176" t="s">
        <v>622</v>
      </c>
      <c r="M3176" t="s">
        <v>623</v>
      </c>
      <c r="N3176" t="s">
        <v>624</v>
      </c>
      <c r="O3176" t="s">
        <v>649</v>
      </c>
    </row>
    <row r="3177" spans="1:15" x14ac:dyDescent="0.35">
      <c r="A3177" s="77">
        <v>0.51232876712328768</v>
      </c>
      <c r="B3177" s="19">
        <v>99017</v>
      </c>
      <c r="C3177" s="19" t="s">
        <v>5473</v>
      </c>
      <c r="D3177" s="19" t="s">
        <v>413</v>
      </c>
      <c r="E3177" s="19" t="s">
        <v>414</v>
      </c>
      <c r="F3177" s="19" t="s">
        <v>1699</v>
      </c>
      <c r="G3177" s="19" t="s">
        <v>1028</v>
      </c>
      <c r="H3177" s="19" t="s">
        <v>1020</v>
      </c>
      <c r="I3177" s="19" t="s">
        <v>1575</v>
      </c>
      <c r="J3177" s="20">
        <v>20</v>
      </c>
      <c r="K3177" t="s">
        <v>668</v>
      </c>
      <c r="L3177" t="s">
        <v>691</v>
      </c>
      <c r="M3177" t="s">
        <v>657</v>
      </c>
      <c r="N3177" t="s">
        <v>658</v>
      </c>
      <c r="O3177" t="s">
        <v>632</v>
      </c>
    </row>
    <row r="3178" spans="1:15" x14ac:dyDescent="0.35">
      <c r="A3178" s="77">
        <v>0.51232876712328768</v>
      </c>
      <c r="B3178" s="19">
        <v>99023</v>
      </c>
      <c r="C3178" s="19" t="s">
        <v>5474</v>
      </c>
      <c r="D3178" s="19" t="s">
        <v>330</v>
      </c>
      <c r="E3178" s="19" t="s">
        <v>331</v>
      </c>
      <c r="F3178" s="19" t="s">
        <v>332</v>
      </c>
      <c r="G3178" s="19" t="s">
        <v>1019</v>
      </c>
      <c r="H3178" s="19" t="s">
        <v>1020</v>
      </c>
      <c r="I3178" s="19" t="s">
        <v>1599</v>
      </c>
      <c r="J3178" s="20">
        <v>22</v>
      </c>
      <c r="K3178" t="s">
        <v>636</v>
      </c>
      <c r="L3178" t="s">
        <v>762</v>
      </c>
      <c r="M3178" t="s">
        <v>629</v>
      </c>
      <c r="N3178" t="s">
        <v>646</v>
      </c>
      <c r="O3178" t="s">
        <v>839</v>
      </c>
    </row>
    <row r="3179" spans="1:15" x14ac:dyDescent="0.35">
      <c r="A3179" s="77">
        <v>0.51232876712328768</v>
      </c>
      <c r="B3179" s="19">
        <v>99025</v>
      </c>
      <c r="C3179" s="19" t="s">
        <v>5475</v>
      </c>
      <c r="D3179" s="19" t="s">
        <v>199</v>
      </c>
      <c r="E3179" s="19" t="s">
        <v>200</v>
      </c>
      <c r="F3179" s="19" t="s">
        <v>1496</v>
      </c>
      <c r="G3179" s="19" t="s">
        <v>3508</v>
      </c>
      <c r="H3179" s="19" t="s">
        <v>1020</v>
      </c>
      <c r="I3179" s="19" t="s">
        <v>1599</v>
      </c>
      <c r="J3179" s="20">
        <v>17</v>
      </c>
      <c r="K3179" t="s">
        <v>654</v>
      </c>
      <c r="L3179" t="s">
        <v>737</v>
      </c>
      <c r="M3179" t="s">
        <v>657</v>
      </c>
      <c r="N3179" t="s">
        <v>641</v>
      </c>
      <c r="O3179" t="s">
        <v>738</v>
      </c>
    </row>
    <row r="3180" spans="1:15" x14ac:dyDescent="0.35">
      <c r="A3180" s="77">
        <v>0.51232876712328768</v>
      </c>
      <c r="B3180" s="19">
        <v>99026</v>
      </c>
      <c r="C3180" s="19" t="s">
        <v>5476</v>
      </c>
      <c r="D3180" s="19" t="s">
        <v>62</v>
      </c>
      <c r="E3180" s="19" t="s">
        <v>63</v>
      </c>
      <c r="F3180" s="19" t="s">
        <v>1228</v>
      </c>
      <c r="G3180" s="19" t="s">
        <v>1028</v>
      </c>
      <c r="H3180" s="19" t="s">
        <v>1020</v>
      </c>
      <c r="I3180" s="19" t="s">
        <v>1575</v>
      </c>
      <c r="J3180" s="20">
        <v>21</v>
      </c>
      <c r="K3180" t="s">
        <v>636</v>
      </c>
      <c r="L3180" t="s">
        <v>645</v>
      </c>
      <c r="M3180" t="s">
        <v>629</v>
      </c>
      <c r="N3180" t="s">
        <v>646</v>
      </c>
      <c r="O3180" t="s">
        <v>632</v>
      </c>
    </row>
    <row r="3181" spans="1:15" x14ac:dyDescent="0.35">
      <c r="A3181" s="77">
        <v>0.51232876712328768</v>
      </c>
      <c r="B3181" s="19">
        <v>99029</v>
      </c>
      <c r="C3181" s="19" t="s">
        <v>5477</v>
      </c>
      <c r="D3181" s="19" t="s">
        <v>42</v>
      </c>
      <c r="E3181" s="19" t="s">
        <v>42</v>
      </c>
      <c r="F3181" s="19" t="s">
        <v>1262</v>
      </c>
      <c r="G3181" s="19" t="s">
        <v>1028</v>
      </c>
      <c r="H3181" s="19" t="s">
        <v>1020</v>
      </c>
      <c r="I3181" s="19" t="s">
        <v>1575</v>
      </c>
      <c r="J3181" s="20">
        <v>21</v>
      </c>
      <c r="K3181" t="s">
        <v>625</v>
      </c>
      <c r="L3181" t="s">
        <v>628</v>
      </c>
      <c r="M3181" t="s">
        <v>629</v>
      </c>
      <c r="N3181" t="s">
        <v>630</v>
      </c>
      <c r="O3181" t="s">
        <v>632</v>
      </c>
    </row>
    <row r="3182" spans="1:15" x14ac:dyDescent="0.35">
      <c r="A3182" s="77">
        <v>0.50958904109589043</v>
      </c>
      <c r="B3182" s="19">
        <v>99032</v>
      </c>
      <c r="C3182" s="19" t="s">
        <v>5478</v>
      </c>
      <c r="D3182" s="19" t="s">
        <v>280</v>
      </c>
      <c r="E3182" s="19" t="s">
        <v>281</v>
      </c>
      <c r="F3182" s="19" t="s">
        <v>1223</v>
      </c>
      <c r="G3182" s="19" t="s">
        <v>1028</v>
      </c>
      <c r="H3182" s="19" t="s">
        <v>1020</v>
      </c>
      <c r="I3182" s="19" t="s">
        <v>1599</v>
      </c>
      <c r="J3182" s="20">
        <v>22</v>
      </c>
      <c r="K3182" t="s">
        <v>631</v>
      </c>
      <c r="L3182" t="s">
        <v>691</v>
      </c>
      <c r="M3182" t="s">
        <v>657</v>
      </c>
      <c r="N3182" t="s">
        <v>658</v>
      </c>
      <c r="O3182" t="s">
        <v>632</v>
      </c>
    </row>
    <row r="3183" spans="1:15" x14ac:dyDescent="0.35">
      <c r="A3183" s="77">
        <v>0.50958904109589043</v>
      </c>
      <c r="B3183" s="19">
        <v>99033</v>
      </c>
      <c r="C3183" s="19" t="s">
        <v>5479</v>
      </c>
      <c r="D3183" s="19" t="s">
        <v>425</v>
      </c>
      <c r="E3183" s="19" t="s">
        <v>425</v>
      </c>
      <c r="F3183" s="19" t="s">
        <v>1330</v>
      </c>
      <c r="G3183" s="19" t="s">
        <v>1057</v>
      </c>
      <c r="H3183" s="19" t="s">
        <v>1001</v>
      </c>
      <c r="I3183" s="19" t="s">
        <v>1599</v>
      </c>
      <c r="J3183" s="20">
        <v>25</v>
      </c>
      <c r="K3183" t="s">
        <v>654</v>
      </c>
      <c r="L3183" t="s">
        <v>678</v>
      </c>
      <c r="M3183" t="s">
        <v>623</v>
      </c>
      <c r="N3183" t="s">
        <v>624</v>
      </c>
      <c r="O3183" t="s">
        <v>689</v>
      </c>
    </row>
    <row r="3184" spans="1:15" x14ac:dyDescent="0.35">
      <c r="A3184" s="77">
        <v>0.50958904109589043</v>
      </c>
      <c r="B3184" s="19">
        <v>99035</v>
      </c>
      <c r="C3184" s="19" t="s">
        <v>5480</v>
      </c>
      <c r="D3184" s="19" t="s">
        <v>430</v>
      </c>
      <c r="E3184" s="19" t="e">
        <v>#N/A</v>
      </c>
      <c r="F3184" s="19" t="s">
        <v>1105</v>
      </c>
      <c r="G3184" s="19" t="s">
        <v>1028</v>
      </c>
      <c r="H3184" s="19" t="s">
        <v>1020</v>
      </c>
      <c r="I3184" s="19" t="s">
        <v>1575</v>
      </c>
      <c r="J3184" s="20">
        <v>20</v>
      </c>
      <c r="K3184" t="s">
        <v>654</v>
      </c>
      <c r="L3184" t="s">
        <v>645</v>
      </c>
      <c r="M3184" t="s">
        <v>629</v>
      </c>
      <c r="N3184" t="s">
        <v>646</v>
      </c>
      <c r="O3184" t="s">
        <v>632</v>
      </c>
    </row>
    <row r="3185" spans="1:15" x14ac:dyDescent="0.35">
      <c r="A3185" s="77">
        <v>0.50958904109589043</v>
      </c>
      <c r="B3185" s="19">
        <v>99036</v>
      </c>
      <c r="C3185" s="19" t="s">
        <v>5481</v>
      </c>
      <c r="D3185" s="19" t="s">
        <v>157</v>
      </c>
      <c r="E3185" s="19" t="s">
        <v>158</v>
      </c>
      <c r="F3185" s="19" t="s">
        <v>1012</v>
      </c>
      <c r="G3185" s="19" t="s">
        <v>1028</v>
      </c>
      <c r="H3185" s="19" t="s">
        <v>1020</v>
      </c>
      <c r="I3185" s="19" t="s">
        <v>1575</v>
      </c>
      <c r="J3185" s="20">
        <v>21</v>
      </c>
      <c r="K3185" t="s">
        <v>668</v>
      </c>
      <c r="L3185" t="s">
        <v>670</v>
      </c>
      <c r="M3185" t="s">
        <v>657</v>
      </c>
      <c r="N3185" t="s">
        <v>641</v>
      </c>
      <c r="O3185" t="s">
        <v>671</v>
      </c>
    </row>
    <row r="3186" spans="1:15" x14ac:dyDescent="0.35">
      <c r="A3186" s="77">
        <v>0.50684931506849318</v>
      </c>
      <c r="B3186" s="19">
        <v>99044</v>
      </c>
      <c r="C3186" s="19" t="s">
        <v>5482</v>
      </c>
      <c r="D3186" s="19" t="s">
        <v>250</v>
      </c>
      <c r="E3186" s="19" t="s">
        <v>251</v>
      </c>
      <c r="F3186" s="19" t="s">
        <v>1126</v>
      </c>
      <c r="G3186" s="19" t="s">
        <v>1057</v>
      </c>
      <c r="H3186" s="19" t="s">
        <v>1001</v>
      </c>
      <c r="I3186" s="19" t="s">
        <v>1575</v>
      </c>
      <c r="J3186" s="20">
        <v>29</v>
      </c>
      <c r="K3186" t="s">
        <v>668</v>
      </c>
      <c r="L3186" t="s">
        <v>634</v>
      </c>
      <c r="M3186" t="s">
        <v>629</v>
      </c>
      <c r="N3186" t="s">
        <v>635</v>
      </c>
      <c r="O3186" t="s">
        <v>637</v>
      </c>
    </row>
    <row r="3187" spans="1:15" x14ac:dyDescent="0.35">
      <c r="A3187" s="77">
        <v>0.49589041095890413</v>
      </c>
      <c r="B3187" s="19">
        <v>99046</v>
      </c>
      <c r="C3187" s="19" t="s">
        <v>5483</v>
      </c>
      <c r="D3187" s="19" t="s">
        <v>100</v>
      </c>
      <c r="E3187" s="19" t="s">
        <v>101</v>
      </c>
      <c r="F3187" s="19" t="s">
        <v>2786</v>
      </c>
      <c r="G3187" s="19" t="s">
        <v>1028</v>
      </c>
      <c r="H3187" s="19" t="s">
        <v>1020</v>
      </c>
      <c r="I3187" s="19" t="s">
        <v>1575</v>
      </c>
      <c r="J3187" s="20">
        <v>20</v>
      </c>
      <c r="K3187" t="s">
        <v>654</v>
      </c>
      <c r="L3187" t="s">
        <v>651</v>
      </c>
      <c r="M3187" t="s">
        <v>629</v>
      </c>
      <c r="N3187" t="s">
        <v>630</v>
      </c>
      <c r="O3187" t="s">
        <v>705</v>
      </c>
    </row>
    <row r="3188" spans="1:15" x14ac:dyDescent="0.35">
      <c r="A3188" s="77">
        <v>0.49589041095890413</v>
      </c>
      <c r="B3188" s="19">
        <v>99053</v>
      </c>
      <c r="C3188" s="19" t="s">
        <v>5484</v>
      </c>
      <c r="D3188" s="19" t="s">
        <v>100</v>
      </c>
      <c r="E3188" s="19" t="s">
        <v>101</v>
      </c>
      <c r="F3188" s="19" t="s">
        <v>2786</v>
      </c>
      <c r="G3188" s="19" t="s">
        <v>1028</v>
      </c>
      <c r="H3188" s="19" t="s">
        <v>1020</v>
      </c>
      <c r="I3188" s="19" t="s">
        <v>1575</v>
      </c>
      <c r="J3188" s="20">
        <v>25</v>
      </c>
      <c r="K3188" t="s">
        <v>654</v>
      </c>
      <c r="L3188" t="s">
        <v>651</v>
      </c>
      <c r="M3188" t="s">
        <v>629</v>
      </c>
      <c r="N3188" t="s">
        <v>630</v>
      </c>
      <c r="O3188" t="s">
        <v>705</v>
      </c>
    </row>
    <row r="3189" spans="1:15" x14ac:dyDescent="0.35">
      <c r="A3189" s="77">
        <v>0.50410958904109593</v>
      </c>
      <c r="B3189" s="19">
        <v>99056</v>
      </c>
      <c r="C3189" s="19" t="s">
        <v>5485</v>
      </c>
      <c r="D3189" s="19" t="s">
        <v>135</v>
      </c>
      <c r="E3189" s="19" t="s">
        <v>136</v>
      </c>
      <c r="F3189" s="19" t="s">
        <v>2393</v>
      </c>
      <c r="G3189" s="19" t="s">
        <v>1008</v>
      </c>
      <c r="H3189" s="19" t="s">
        <v>1001</v>
      </c>
      <c r="I3189" s="19" t="s">
        <v>1575</v>
      </c>
      <c r="J3189" s="20">
        <v>27</v>
      </c>
      <c r="K3189" t="s">
        <v>668</v>
      </c>
      <c r="L3189" t="s">
        <v>651</v>
      </c>
      <c r="M3189" t="s">
        <v>629</v>
      </c>
      <c r="N3189" t="s">
        <v>630</v>
      </c>
      <c r="O3189" t="s">
        <v>652</v>
      </c>
    </row>
    <row r="3190" spans="1:15" x14ac:dyDescent="0.35">
      <c r="A3190" s="77">
        <v>0.50410958904109593</v>
      </c>
      <c r="B3190" s="19">
        <v>99062</v>
      </c>
      <c r="C3190" s="19" t="s">
        <v>5486</v>
      </c>
      <c r="D3190" s="19" t="s">
        <v>155</v>
      </c>
      <c r="E3190" s="19" t="s">
        <v>156</v>
      </c>
      <c r="F3190" s="19" t="s">
        <v>896</v>
      </c>
      <c r="G3190" s="19" t="s">
        <v>1008</v>
      </c>
      <c r="H3190" s="19" t="s">
        <v>1001</v>
      </c>
      <c r="I3190" s="19" t="s">
        <v>1599</v>
      </c>
      <c r="J3190" s="20">
        <v>22</v>
      </c>
      <c r="K3190" t="s">
        <v>636</v>
      </c>
      <c r="L3190" t="s">
        <v>663</v>
      </c>
      <c r="M3190" t="s">
        <v>629</v>
      </c>
      <c r="N3190" t="s">
        <v>646</v>
      </c>
      <c r="O3190" t="s">
        <v>639</v>
      </c>
    </row>
    <row r="3191" spans="1:15" x14ac:dyDescent="0.35">
      <c r="A3191" s="77">
        <v>0.49589041095890413</v>
      </c>
      <c r="B3191" s="19">
        <v>99068</v>
      </c>
      <c r="C3191" s="19" t="s">
        <v>5487</v>
      </c>
      <c r="D3191" s="19" t="s">
        <v>305</v>
      </c>
      <c r="E3191" s="19" t="s">
        <v>306</v>
      </c>
      <c r="F3191" s="19" t="s">
        <v>1086</v>
      </c>
      <c r="G3191" s="19" t="s">
        <v>1028</v>
      </c>
      <c r="H3191" s="19" t="s">
        <v>1020</v>
      </c>
      <c r="I3191" s="19" t="s">
        <v>1575</v>
      </c>
      <c r="J3191" s="20">
        <v>25</v>
      </c>
      <c r="K3191" t="s">
        <v>654</v>
      </c>
      <c r="L3191" t="s">
        <v>622</v>
      </c>
      <c r="M3191" t="s">
        <v>623</v>
      </c>
      <c r="N3191" t="s">
        <v>624</v>
      </c>
      <c r="O3191" t="s">
        <v>826</v>
      </c>
    </row>
    <row r="3192" spans="1:15" x14ac:dyDescent="0.35">
      <c r="A3192" s="77">
        <v>0.49589041095890413</v>
      </c>
      <c r="B3192" s="19">
        <v>99074</v>
      </c>
      <c r="C3192" s="19" t="s">
        <v>5488</v>
      </c>
      <c r="D3192" s="19" t="s">
        <v>60</v>
      </c>
      <c r="E3192" s="19" t="s">
        <v>61</v>
      </c>
      <c r="F3192" s="19" t="s">
        <v>1119</v>
      </c>
      <c r="G3192" s="19" t="s">
        <v>1057</v>
      </c>
      <c r="H3192" s="19" t="s">
        <v>1001</v>
      </c>
      <c r="I3192" s="19" t="s">
        <v>1575</v>
      </c>
      <c r="J3192" s="20">
        <v>18</v>
      </c>
      <c r="K3192" t="s">
        <v>654</v>
      </c>
      <c r="L3192" t="s">
        <v>651</v>
      </c>
      <c r="M3192" t="s">
        <v>629</v>
      </c>
      <c r="N3192" t="s">
        <v>630</v>
      </c>
      <c r="O3192" t="s">
        <v>705</v>
      </c>
    </row>
    <row r="3193" spans="1:15" x14ac:dyDescent="0.35">
      <c r="A3193" s="77">
        <v>0.49589041095890413</v>
      </c>
      <c r="B3193" s="19">
        <v>99079</v>
      </c>
      <c r="C3193" s="19" t="s">
        <v>5489</v>
      </c>
      <c r="D3193" s="19" t="s">
        <v>21</v>
      </c>
      <c r="E3193" s="19" t="s">
        <v>21</v>
      </c>
      <c r="F3193" s="19" t="s">
        <v>22</v>
      </c>
      <c r="G3193" s="19" t="s">
        <v>1084</v>
      </c>
      <c r="H3193" s="19" t="s">
        <v>1001</v>
      </c>
      <c r="I3193" s="19" t="s">
        <v>1599</v>
      </c>
      <c r="J3193" s="20">
        <v>22</v>
      </c>
      <c r="K3193" t="s">
        <v>654</v>
      </c>
      <c r="L3193" t="s">
        <v>656</v>
      </c>
      <c r="M3193" t="s">
        <v>657</v>
      </c>
      <c r="N3193" t="s">
        <v>658</v>
      </c>
      <c r="O3193" t="s">
        <v>659</v>
      </c>
    </row>
    <row r="3194" spans="1:15" x14ac:dyDescent="0.35">
      <c r="A3194" s="77">
        <v>0.49589041095890413</v>
      </c>
      <c r="B3194" s="19">
        <v>99081</v>
      </c>
      <c r="C3194" s="19" t="s">
        <v>5490</v>
      </c>
      <c r="D3194" s="19" t="s">
        <v>21</v>
      </c>
      <c r="E3194" s="19" t="s">
        <v>21</v>
      </c>
      <c r="F3194" s="19" t="s">
        <v>22</v>
      </c>
      <c r="G3194" s="19" t="s">
        <v>1028</v>
      </c>
      <c r="H3194" s="19" t="s">
        <v>1020</v>
      </c>
      <c r="I3194" s="19" t="s">
        <v>1575</v>
      </c>
      <c r="J3194" s="20">
        <v>22</v>
      </c>
      <c r="K3194" t="s">
        <v>654</v>
      </c>
      <c r="L3194" t="s">
        <v>656</v>
      </c>
      <c r="M3194" t="s">
        <v>657</v>
      </c>
      <c r="N3194" t="s">
        <v>658</v>
      </c>
      <c r="O3194" t="s">
        <v>659</v>
      </c>
    </row>
    <row r="3195" spans="1:15" x14ac:dyDescent="0.35">
      <c r="A3195" s="77">
        <v>0.49589041095890413</v>
      </c>
      <c r="B3195" s="19">
        <v>99082</v>
      </c>
      <c r="C3195" s="19" t="s">
        <v>5491</v>
      </c>
      <c r="D3195" s="19" t="s">
        <v>21</v>
      </c>
      <c r="E3195" s="19" t="s">
        <v>21</v>
      </c>
      <c r="F3195" s="19" t="s">
        <v>22</v>
      </c>
      <c r="G3195" s="19" t="s">
        <v>1045</v>
      </c>
      <c r="H3195" s="19" t="s">
        <v>1001</v>
      </c>
      <c r="I3195" s="19" t="s">
        <v>1575</v>
      </c>
      <c r="J3195" s="20">
        <v>26</v>
      </c>
      <c r="K3195" t="s">
        <v>654</v>
      </c>
      <c r="L3195" t="s">
        <v>656</v>
      </c>
      <c r="M3195" t="s">
        <v>657</v>
      </c>
      <c r="N3195" t="s">
        <v>658</v>
      </c>
      <c r="O3195" t="s">
        <v>659</v>
      </c>
    </row>
    <row r="3196" spans="1:15" x14ac:dyDescent="0.35">
      <c r="A3196" s="77">
        <v>0.49589041095890413</v>
      </c>
      <c r="B3196" s="19">
        <v>99086</v>
      </c>
      <c r="C3196" s="19" t="s">
        <v>5492</v>
      </c>
      <c r="D3196" s="19" t="s">
        <v>379</v>
      </c>
      <c r="E3196" s="19" t="s">
        <v>380</v>
      </c>
      <c r="F3196" s="19" t="s">
        <v>381</v>
      </c>
      <c r="G3196" s="19" t="s">
        <v>1028</v>
      </c>
      <c r="H3196" s="19" t="s">
        <v>1020</v>
      </c>
      <c r="I3196" s="19" t="s">
        <v>1575</v>
      </c>
      <c r="J3196" s="20">
        <v>32</v>
      </c>
      <c r="K3196" t="s">
        <v>636</v>
      </c>
      <c r="L3196" t="s">
        <v>628</v>
      </c>
      <c r="M3196" t="s">
        <v>629</v>
      </c>
      <c r="N3196" t="s">
        <v>630</v>
      </c>
      <c r="O3196" t="s">
        <v>632</v>
      </c>
    </row>
    <row r="3197" spans="1:15" x14ac:dyDescent="0.35">
      <c r="A3197" s="77">
        <v>0.49589041095890413</v>
      </c>
      <c r="B3197" s="19">
        <v>99091</v>
      </c>
      <c r="C3197" s="19" t="s">
        <v>5493</v>
      </c>
      <c r="D3197" s="19" t="s">
        <v>28</v>
      </c>
      <c r="E3197" s="19" t="s">
        <v>28</v>
      </c>
      <c r="F3197" s="19" t="s">
        <v>916</v>
      </c>
      <c r="G3197" s="19" t="s">
        <v>1019</v>
      </c>
      <c r="H3197" s="19" t="s">
        <v>1020</v>
      </c>
      <c r="I3197" s="19" t="s">
        <v>1575</v>
      </c>
      <c r="J3197" s="20">
        <v>20</v>
      </c>
      <c r="K3197" t="s">
        <v>654</v>
      </c>
      <c r="L3197" t="s">
        <v>670</v>
      </c>
      <c r="M3197" t="s">
        <v>657</v>
      </c>
      <c r="N3197" t="s">
        <v>641</v>
      </c>
      <c r="O3197" t="s">
        <v>671</v>
      </c>
    </row>
    <row r="3198" spans="1:15" x14ac:dyDescent="0.35">
      <c r="A3198" s="77">
        <v>0.49589041095890413</v>
      </c>
      <c r="B3198" s="19">
        <v>99092</v>
      </c>
      <c r="C3198" s="19" t="s">
        <v>5494</v>
      </c>
      <c r="D3198" s="19" t="s">
        <v>28</v>
      </c>
      <c r="E3198" s="19" t="s">
        <v>28</v>
      </c>
      <c r="F3198" s="19" t="s">
        <v>916</v>
      </c>
      <c r="G3198" s="19" t="s">
        <v>1028</v>
      </c>
      <c r="H3198" s="19" t="s">
        <v>1020</v>
      </c>
      <c r="I3198" s="19" t="s">
        <v>1575</v>
      </c>
      <c r="J3198" s="20">
        <v>25</v>
      </c>
      <c r="K3198" t="s">
        <v>654</v>
      </c>
      <c r="L3198" t="s">
        <v>670</v>
      </c>
      <c r="M3198" t="s">
        <v>657</v>
      </c>
      <c r="N3198" t="s">
        <v>641</v>
      </c>
      <c r="O3198" t="s">
        <v>671</v>
      </c>
    </row>
    <row r="3199" spans="1:15" x14ac:dyDescent="0.35">
      <c r="A3199" s="77">
        <v>0.49315068493150682</v>
      </c>
      <c r="B3199" s="19">
        <v>99094</v>
      </c>
      <c r="C3199" s="19" t="s">
        <v>5495</v>
      </c>
      <c r="D3199" s="19" t="s">
        <v>80</v>
      </c>
      <c r="E3199" s="19" t="s">
        <v>81</v>
      </c>
      <c r="F3199" s="19" t="s">
        <v>1022</v>
      </c>
      <c r="G3199" s="19" t="s">
        <v>1028</v>
      </c>
      <c r="H3199" s="19" t="s">
        <v>1020</v>
      </c>
      <c r="I3199" s="19" t="s">
        <v>1575</v>
      </c>
      <c r="J3199" s="20">
        <v>21</v>
      </c>
      <c r="K3199" t="s">
        <v>654</v>
      </c>
      <c r="L3199" t="s">
        <v>628</v>
      </c>
      <c r="M3199" t="s">
        <v>629</v>
      </c>
      <c r="N3199" t="s">
        <v>630</v>
      </c>
      <c r="O3199" t="s">
        <v>632</v>
      </c>
    </row>
    <row r="3200" spans="1:15" x14ac:dyDescent="0.35">
      <c r="A3200" s="77">
        <v>0.49315068493150682</v>
      </c>
      <c r="B3200" s="19">
        <v>99097</v>
      </c>
      <c r="C3200" s="19" t="s">
        <v>5496</v>
      </c>
      <c r="D3200" s="19" t="s">
        <v>208</v>
      </c>
      <c r="E3200" s="19" t="s">
        <v>209</v>
      </c>
      <c r="F3200" s="19" t="s">
        <v>1444</v>
      </c>
      <c r="G3200" s="19" t="s">
        <v>1028</v>
      </c>
      <c r="H3200" s="19" t="s">
        <v>1020</v>
      </c>
      <c r="I3200" s="19" t="s">
        <v>1575</v>
      </c>
      <c r="J3200" s="20">
        <v>24</v>
      </c>
      <c r="K3200" t="s">
        <v>636</v>
      </c>
      <c r="L3200" t="s">
        <v>640</v>
      </c>
      <c r="M3200" t="s">
        <v>623</v>
      </c>
      <c r="N3200" t="s">
        <v>624</v>
      </c>
      <c r="O3200" t="s">
        <v>787</v>
      </c>
    </row>
    <row r="3201" spans="1:15" x14ac:dyDescent="0.35">
      <c r="A3201" s="77">
        <v>0.49315068493150682</v>
      </c>
      <c r="B3201" s="19">
        <v>99099</v>
      </c>
      <c r="C3201" s="19" t="s">
        <v>5497</v>
      </c>
      <c r="D3201" s="19" t="s">
        <v>328</v>
      </c>
      <c r="E3201" s="19" t="s">
        <v>329</v>
      </c>
      <c r="F3201" s="19" t="s">
        <v>838</v>
      </c>
      <c r="G3201" s="19" t="s">
        <v>1008</v>
      </c>
      <c r="H3201" s="19" t="s">
        <v>1001</v>
      </c>
      <c r="I3201" s="19" t="s">
        <v>1575</v>
      </c>
      <c r="J3201" s="20">
        <v>21</v>
      </c>
      <c r="K3201" t="s">
        <v>631</v>
      </c>
      <c r="L3201" t="s">
        <v>645</v>
      </c>
      <c r="M3201" t="s">
        <v>629</v>
      </c>
      <c r="N3201" t="s">
        <v>646</v>
      </c>
      <c r="O3201" t="s">
        <v>632</v>
      </c>
    </row>
    <row r="3202" spans="1:15" x14ac:dyDescent="0.35">
      <c r="A3202" s="77">
        <v>0.49315068493150682</v>
      </c>
      <c r="B3202" s="19">
        <v>99102</v>
      </c>
      <c r="C3202" s="19" t="s">
        <v>5498</v>
      </c>
      <c r="D3202" s="19" t="s">
        <v>278</v>
      </c>
      <c r="E3202" s="19" t="s">
        <v>279</v>
      </c>
      <c r="F3202" s="19" t="s">
        <v>1131</v>
      </c>
      <c r="G3202" s="19" t="s">
        <v>1008</v>
      </c>
      <c r="H3202" s="19" t="s">
        <v>1001</v>
      </c>
      <c r="I3202" s="19" t="s">
        <v>1599</v>
      </c>
      <c r="J3202" s="20">
        <v>18</v>
      </c>
      <c r="K3202" t="s">
        <v>625</v>
      </c>
      <c r="L3202" t="s">
        <v>661</v>
      </c>
      <c r="M3202" t="s">
        <v>657</v>
      </c>
      <c r="N3202" t="s">
        <v>662</v>
      </c>
      <c r="O3202" t="s">
        <v>632</v>
      </c>
    </row>
    <row r="3203" spans="1:15" x14ac:dyDescent="0.35">
      <c r="A3203" s="77">
        <v>0.49315068493150682</v>
      </c>
      <c r="B3203" s="19">
        <v>99109</v>
      </c>
      <c r="C3203" s="19" t="s">
        <v>5499</v>
      </c>
      <c r="D3203" s="19" t="s">
        <v>91</v>
      </c>
      <c r="E3203" s="19" t="s">
        <v>92</v>
      </c>
      <c r="F3203" s="19" t="s">
        <v>1113</v>
      </c>
      <c r="G3203" s="19" t="s">
        <v>1019</v>
      </c>
      <c r="H3203" s="19" t="s">
        <v>1020</v>
      </c>
      <c r="I3203" s="19" t="s">
        <v>1575</v>
      </c>
      <c r="J3203" s="20">
        <v>32</v>
      </c>
      <c r="K3203" t="s">
        <v>636</v>
      </c>
      <c r="L3203" t="s">
        <v>634</v>
      </c>
      <c r="M3203" t="s">
        <v>629</v>
      </c>
      <c r="N3203" t="s">
        <v>630</v>
      </c>
      <c r="O3203" t="s">
        <v>734</v>
      </c>
    </row>
    <row r="3204" spans="1:15" x14ac:dyDescent="0.35">
      <c r="A3204" s="77">
        <v>0.49315068493150682</v>
      </c>
      <c r="B3204" s="19">
        <v>99111</v>
      </c>
      <c r="C3204" s="19" t="s">
        <v>5500</v>
      </c>
      <c r="D3204" s="19" t="s">
        <v>382</v>
      </c>
      <c r="E3204" s="19" t="s">
        <v>383</v>
      </c>
      <c r="F3204" s="19" t="s">
        <v>384</v>
      </c>
      <c r="G3204" s="19" t="s">
        <v>1028</v>
      </c>
      <c r="H3204" s="19" t="s">
        <v>1020</v>
      </c>
      <c r="I3204" s="19" t="s">
        <v>1575</v>
      </c>
      <c r="J3204" s="20">
        <v>24</v>
      </c>
      <c r="K3204" t="s">
        <v>636</v>
      </c>
      <c r="L3204" t="s">
        <v>656</v>
      </c>
      <c r="M3204" t="s">
        <v>657</v>
      </c>
      <c r="N3204" t="s">
        <v>658</v>
      </c>
      <c r="O3204" t="s">
        <v>843</v>
      </c>
    </row>
    <row r="3205" spans="1:15" x14ac:dyDescent="0.35">
      <c r="A3205" s="77">
        <v>0.49041095890410957</v>
      </c>
      <c r="B3205" s="19">
        <v>99115</v>
      </c>
      <c r="C3205" s="19" t="s">
        <v>5501</v>
      </c>
      <c r="D3205" s="19" t="s">
        <v>45</v>
      </c>
      <c r="E3205" s="19" t="s">
        <v>46</v>
      </c>
      <c r="F3205" s="19" t="s">
        <v>1122</v>
      </c>
      <c r="G3205" s="19" t="s">
        <v>1028</v>
      </c>
      <c r="H3205" s="19" t="s">
        <v>1020</v>
      </c>
      <c r="I3205" s="19" t="s">
        <v>1575</v>
      </c>
      <c r="J3205" s="20">
        <v>29</v>
      </c>
      <c r="K3205" t="s">
        <v>631</v>
      </c>
      <c r="L3205" t="s">
        <v>651</v>
      </c>
      <c r="M3205" t="s">
        <v>629</v>
      </c>
      <c r="N3205" t="s">
        <v>630</v>
      </c>
      <c r="O3205" t="s">
        <v>705</v>
      </c>
    </row>
    <row r="3206" spans="1:15" x14ac:dyDescent="0.35">
      <c r="A3206" s="77">
        <v>0.49041095890410957</v>
      </c>
      <c r="B3206" s="19">
        <v>99117</v>
      </c>
      <c r="C3206" s="19" t="s">
        <v>5502</v>
      </c>
      <c r="D3206" s="19" t="s">
        <v>284</v>
      </c>
      <c r="E3206" s="19" t="s">
        <v>285</v>
      </c>
      <c r="F3206" s="19" t="s">
        <v>1150</v>
      </c>
      <c r="G3206" s="19" t="s">
        <v>1019</v>
      </c>
      <c r="H3206" s="19" t="s">
        <v>1020</v>
      </c>
      <c r="I3206" s="19" t="s">
        <v>1575</v>
      </c>
      <c r="J3206" s="20">
        <v>19</v>
      </c>
      <c r="K3206" t="s">
        <v>625</v>
      </c>
      <c r="L3206" t="s">
        <v>661</v>
      </c>
      <c r="M3206" t="s">
        <v>657</v>
      </c>
      <c r="N3206" t="s">
        <v>662</v>
      </c>
      <c r="O3206" t="s">
        <v>632</v>
      </c>
    </row>
    <row r="3207" spans="1:15" x14ac:dyDescent="0.35">
      <c r="A3207" s="77">
        <v>0.49041095890410957</v>
      </c>
      <c r="B3207" s="19">
        <v>99118</v>
      </c>
      <c r="C3207" s="19" t="s">
        <v>5503</v>
      </c>
      <c r="D3207" s="19" t="s">
        <v>171</v>
      </c>
      <c r="E3207" s="19" t="s">
        <v>172</v>
      </c>
      <c r="F3207" s="19" t="s">
        <v>2239</v>
      </c>
      <c r="G3207" s="19" t="s">
        <v>1028</v>
      </c>
      <c r="H3207" s="19" t="s">
        <v>1020</v>
      </c>
      <c r="I3207" s="19" t="s">
        <v>1575</v>
      </c>
      <c r="J3207" s="20">
        <v>23</v>
      </c>
      <c r="K3207" t="s">
        <v>654</v>
      </c>
      <c r="L3207" t="s">
        <v>661</v>
      </c>
      <c r="M3207" t="s">
        <v>657</v>
      </c>
      <c r="N3207" t="s">
        <v>662</v>
      </c>
      <c r="O3207" t="s">
        <v>632</v>
      </c>
    </row>
    <row r="3208" spans="1:15" x14ac:dyDescent="0.35">
      <c r="A3208" s="77">
        <v>0.49041095890410957</v>
      </c>
      <c r="B3208" s="19">
        <v>99121</v>
      </c>
      <c r="C3208" s="19" t="s">
        <v>5504</v>
      </c>
      <c r="D3208" s="19" t="s">
        <v>343</v>
      </c>
      <c r="E3208" s="19" t="s">
        <v>344</v>
      </c>
      <c r="F3208" s="19" t="s">
        <v>846</v>
      </c>
      <c r="G3208" s="19" t="s">
        <v>1028</v>
      </c>
      <c r="H3208" s="19" t="s">
        <v>1020</v>
      </c>
      <c r="I3208" s="19" t="s">
        <v>1575</v>
      </c>
      <c r="J3208" s="20">
        <v>21</v>
      </c>
      <c r="K3208" t="s">
        <v>642</v>
      </c>
      <c r="L3208" t="s">
        <v>645</v>
      </c>
      <c r="M3208" t="s">
        <v>629</v>
      </c>
      <c r="N3208" t="s">
        <v>646</v>
      </c>
      <c r="O3208" t="s">
        <v>632</v>
      </c>
    </row>
    <row r="3209" spans="1:15" x14ac:dyDescent="0.35">
      <c r="A3209" s="77">
        <v>0.49041095890410957</v>
      </c>
      <c r="B3209" s="19">
        <v>99131</v>
      </c>
      <c r="C3209" s="19" t="s">
        <v>5505</v>
      </c>
      <c r="D3209" s="19" t="s">
        <v>297</v>
      </c>
      <c r="E3209" s="19" t="s">
        <v>298</v>
      </c>
      <c r="F3209" s="19" t="s">
        <v>904</v>
      </c>
      <c r="G3209" s="19" t="s">
        <v>1028</v>
      </c>
      <c r="H3209" s="19" t="s">
        <v>1020</v>
      </c>
      <c r="I3209" s="19" t="s">
        <v>1575</v>
      </c>
      <c r="J3209" s="20">
        <v>29</v>
      </c>
      <c r="K3209" t="s">
        <v>654</v>
      </c>
      <c r="L3209" t="s">
        <v>762</v>
      </c>
      <c r="M3209" t="s">
        <v>629</v>
      </c>
      <c r="N3209" t="s">
        <v>646</v>
      </c>
      <c r="O3209" t="s">
        <v>823</v>
      </c>
    </row>
    <row r="3210" spans="1:15" x14ac:dyDescent="0.35">
      <c r="A3210" s="77">
        <v>0.49041095890410957</v>
      </c>
      <c r="B3210" s="19">
        <v>99136</v>
      </c>
      <c r="C3210" s="19" t="s">
        <v>5506</v>
      </c>
      <c r="D3210" s="19" t="s">
        <v>228</v>
      </c>
      <c r="E3210" s="19" t="s">
        <v>229</v>
      </c>
      <c r="F3210" s="19" t="s">
        <v>1643</v>
      </c>
      <c r="G3210" s="19" t="s">
        <v>1084</v>
      </c>
      <c r="H3210" s="19" t="s">
        <v>1020</v>
      </c>
      <c r="I3210" s="19" t="s">
        <v>1575</v>
      </c>
      <c r="J3210" s="20">
        <v>43</v>
      </c>
      <c r="K3210" t="s">
        <v>668</v>
      </c>
      <c r="L3210" t="s">
        <v>762</v>
      </c>
      <c r="M3210" t="s">
        <v>629</v>
      </c>
      <c r="N3210" t="s">
        <v>646</v>
      </c>
      <c r="O3210" t="s">
        <v>763</v>
      </c>
    </row>
    <row r="3211" spans="1:15" x14ac:dyDescent="0.35">
      <c r="A3211" s="77">
        <v>0.48767123287671232</v>
      </c>
      <c r="B3211" s="19">
        <v>99138</v>
      </c>
      <c r="C3211" s="19" t="s">
        <v>5507</v>
      </c>
      <c r="D3211" s="19" t="s">
        <v>305</v>
      </c>
      <c r="E3211" s="19" t="s">
        <v>306</v>
      </c>
      <c r="F3211" s="19" t="s">
        <v>1086</v>
      </c>
      <c r="G3211" s="19" t="s">
        <v>1028</v>
      </c>
      <c r="H3211" s="19" t="s">
        <v>1020</v>
      </c>
      <c r="I3211" s="19" t="s">
        <v>1599</v>
      </c>
      <c r="J3211" s="20">
        <v>24</v>
      </c>
      <c r="K3211" t="s">
        <v>654</v>
      </c>
      <c r="L3211" t="s">
        <v>622</v>
      </c>
      <c r="M3211" t="s">
        <v>623</v>
      </c>
      <c r="N3211" t="s">
        <v>624</v>
      </c>
      <c r="O3211" t="s">
        <v>826</v>
      </c>
    </row>
    <row r="3212" spans="1:15" x14ac:dyDescent="0.35">
      <c r="A3212" s="77">
        <v>0.48767123287671232</v>
      </c>
      <c r="B3212" s="19">
        <v>99140</v>
      </c>
      <c r="C3212" s="19" t="s">
        <v>5508</v>
      </c>
      <c r="D3212" s="19" t="s">
        <v>293</v>
      </c>
      <c r="E3212" s="19" t="s">
        <v>294</v>
      </c>
      <c r="F3212" s="19" t="s">
        <v>1794</v>
      </c>
      <c r="G3212" s="19" t="s">
        <v>1028</v>
      </c>
      <c r="H3212" s="19" t="s">
        <v>1020</v>
      </c>
      <c r="I3212" s="19" t="s">
        <v>1575</v>
      </c>
      <c r="J3212" s="20">
        <v>18</v>
      </c>
      <c r="K3212" t="s">
        <v>654</v>
      </c>
      <c r="L3212" t="s">
        <v>634</v>
      </c>
      <c r="M3212" t="s">
        <v>629</v>
      </c>
      <c r="N3212" t="s">
        <v>635</v>
      </c>
      <c r="O3212" t="s">
        <v>637</v>
      </c>
    </row>
    <row r="3213" spans="1:15" x14ac:dyDescent="0.35">
      <c r="A3213" s="77">
        <v>0.48767123287671232</v>
      </c>
      <c r="B3213" s="19">
        <v>99141</v>
      </c>
      <c r="C3213" s="19" t="s">
        <v>5509</v>
      </c>
      <c r="D3213" s="19" t="s">
        <v>159</v>
      </c>
      <c r="E3213" s="19" t="s">
        <v>160</v>
      </c>
      <c r="F3213" s="19" t="s">
        <v>1488</v>
      </c>
      <c r="G3213" s="19" t="s">
        <v>3508</v>
      </c>
      <c r="H3213" s="19" t="s">
        <v>1020</v>
      </c>
      <c r="I3213" s="19" t="s">
        <v>1575</v>
      </c>
      <c r="J3213" s="20">
        <v>15</v>
      </c>
      <c r="K3213" t="s">
        <v>654</v>
      </c>
      <c r="L3213" t="s">
        <v>678</v>
      </c>
      <c r="M3213" t="s">
        <v>623</v>
      </c>
      <c r="N3213" t="s">
        <v>624</v>
      </c>
      <c r="O3213" t="s">
        <v>679</v>
      </c>
    </row>
    <row r="3214" spans="1:15" x14ac:dyDescent="0.35">
      <c r="A3214" s="77">
        <v>0.48493150684931507</v>
      </c>
      <c r="B3214" s="19">
        <v>99158</v>
      </c>
      <c r="C3214" s="19" t="s">
        <v>5510</v>
      </c>
      <c r="D3214" s="19" t="s">
        <v>105</v>
      </c>
      <c r="E3214" s="19" t="s">
        <v>106</v>
      </c>
      <c r="F3214" s="19" t="s">
        <v>1207</v>
      </c>
      <c r="G3214" s="19" t="s">
        <v>1057</v>
      </c>
      <c r="H3214" s="19" t="s">
        <v>1001</v>
      </c>
      <c r="I3214" s="19" t="s">
        <v>1575</v>
      </c>
      <c r="J3214" s="20">
        <v>24</v>
      </c>
      <c r="K3214" t="s">
        <v>654</v>
      </c>
      <c r="L3214" t="s">
        <v>622</v>
      </c>
      <c r="M3214" t="s">
        <v>623</v>
      </c>
      <c r="N3214" t="s">
        <v>624</v>
      </c>
      <c r="O3214" t="s">
        <v>626</v>
      </c>
    </row>
    <row r="3215" spans="1:15" x14ac:dyDescent="0.35">
      <c r="A3215" s="77">
        <v>0.48493150684931507</v>
      </c>
      <c r="B3215" s="19">
        <v>99165</v>
      </c>
      <c r="C3215" s="19" t="s">
        <v>5511</v>
      </c>
      <c r="D3215" s="19" t="s">
        <v>186</v>
      </c>
      <c r="E3215" s="19" t="s">
        <v>187</v>
      </c>
      <c r="F3215" s="19" t="s">
        <v>1164</v>
      </c>
      <c r="G3215" s="19" t="s">
        <v>1019</v>
      </c>
      <c r="H3215" s="19" t="s">
        <v>1020</v>
      </c>
      <c r="I3215" s="19" t="s">
        <v>1575</v>
      </c>
      <c r="J3215" s="20">
        <v>23</v>
      </c>
      <c r="K3215" t="s">
        <v>642</v>
      </c>
      <c r="L3215" t="s">
        <v>648</v>
      </c>
      <c r="M3215" t="s">
        <v>623</v>
      </c>
      <c r="N3215" t="s">
        <v>624</v>
      </c>
      <c r="O3215" t="s">
        <v>649</v>
      </c>
    </row>
    <row r="3216" spans="1:15" x14ac:dyDescent="0.35">
      <c r="A3216" s="77">
        <v>0.48493150684931507</v>
      </c>
      <c r="B3216" s="19">
        <v>99169</v>
      </c>
      <c r="C3216" s="19" t="s">
        <v>5512</v>
      </c>
      <c r="D3216" s="19" t="s">
        <v>420</v>
      </c>
      <c r="E3216" s="19" t="s">
        <v>420</v>
      </c>
      <c r="F3216" s="19" t="s">
        <v>686</v>
      </c>
      <c r="G3216" s="19" t="s">
        <v>1028</v>
      </c>
      <c r="H3216" s="19" t="s">
        <v>1020</v>
      </c>
      <c r="I3216" s="19" t="s">
        <v>1599</v>
      </c>
      <c r="J3216" s="20">
        <v>23</v>
      </c>
      <c r="K3216" t="s">
        <v>631</v>
      </c>
      <c r="L3216" t="s">
        <v>634</v>
      </c>
      <c r="M3216" t="s">
        <v>629</v>
      </c>
      <c r="N3216" t="s">
        <v>635</v>
      </c>
      <c r="O3216" t="s">
        <v>637</v>
      </c>
    </row>
    <row r="3217" spans="1:15" x14ac:dyDescent="0.35">
      <c r="A3217" s="77">
        <v>0.48493150684931507</v>
      </c>
      <c r="B3217" s="19">
        <v>99170</v>
      </c>
      <c r="C3217" s="19" t="s">
        <v>5513</v>
      </c>
      <c r="D3217" s="19" t="s">
        <v>278</v>
      </c>
      <c r="E3217" s="19" t="s">
        <v>279</v>
      </c>
      <c r="F3217" s="19" t="s">
        <v>1131</v>
      </c>
      <c r="G3217" s="19" t="s">
        <v>1028</v>
      </c>
      <c r="H3217" s="19" t="s">
        <v>1020</v>
      </c>
      <c r="I3217" s="19" t="s">
        <v>1599</v>
      </c>
      <c r="J3217" s="20">
        <v>20</v>
      </c>
      <c r="K3217" t="s">
        <v>625</v>
      </c>
      <c r="L3217" t="s">
        <v>661</v>
      </c>
      <c r="M3217" t="s">
        <v>657</v>
      </c>
      <c r="N3217" t="s">
        <v>662</v>
      </c>
      <c r="O3217" t="s">
        <v>632</v>
      </c>
    </row>
    <row r="3218" spans="1:15" x14ac:dyDescent="0.35">
      <c r="A3218" s="77">
        <v>0.48493150684931507</v>
      </c>
      <c r="B3218" s="19">
        <v>99172</v>
      </c>
      <c r="C3218" s="19" t="s">
        <v>5514</v>
      </c>
      <c r="D3218" s="19" t="s">
        <v>66</v>
      </c>
      <c r="E3218" s="19" t="s">
        <v>67</v>
      </c>
      <c r="F3218" s="19" t="s">
        <v>1708</v>
      </c>
      <c r="G3218" s="19" t="s">
        <v>1019</v>
      </c>
      <c r="H3218" s="19" t="s">
        <v>1020</v>
      </c>
      <c r="I3218" s="19" t="s">
        <v>1575</v>
      </c>
      <c r="J3218" s="20">
        <v>19</v>
      </c>
      <c r="K3218" t="s">
        <v>654</v>
      </c>
      <c r="L3218" t="s">
        <v>645</v>
      </c>
      <c r="M3218" t="s">
        <v>629</v>
      </c>
      <c r="N3218" t="s">
        <v>646</v>
      </c>
      <c r="O3218" t="s">
        <v>632</v>
      </c>
    </row>
    <row r="3219" spans="1:15" x14ac:dyDescent="0.35">
      <c r="A3219" s="77">
        <v>0.48219178082191783</v>
      </c>
      <c r="B3219" s="19">
        <v>99178</v>
      </c>
      <c r="C3219" s="19" t="s">
        <v>5515</v>
      </c>
      <c r="D3219" s="19" t="s">
        <v>215</v>
      </c>
      <c r="E3219" s="19" t="s">
        <v>216</v>
      </c>
      <c r="F3219" s="19" t="s">
        <v>1081</v>
      </c>
      <c r="G3219" s="19" t="s">
        <v>1028</v>
      </c>
      <c r="H3219" s="19" t="s">
        <v>1020</v>
      </c>
      <c r="I3219" s="19" t="s">
        <v>1575</v>
      </c>
      <c r="J3219" s="20">
        <v>24</v>
      </c>
      <c r="K3219" t="s">
        <v>654</v>
      </c>
      <c r="L3219" t="s">
        <v>640</v>
      </c>
      <c r="M3219" t="s">
        <v>623</v>
      </c>
      <c r="N3219" t="s">
        <v>624</v>
      </c>
      <c r="O3219" t="s">
        <v>789</v>
      </c>
    </row>
    <row r="3220" spans="1:15" x14ac:dyDescent="0.35">
      <c r="A3220" s="77">
        <v>0.48219178082191783</v>
      </c>
      <c r="B3220" s="19">
        <v>99179</v>
      </c>
      <c r="C3220" s="19" t="s">
        <v>2527</v>
      </c>
      <c r="D3220" s="19" t="s">
        <v>353</v>
      </c>
      <c r="E3220" s="19" t="s">
        <v>354</v>
      </c>
      <c r="F3220" s="19" t="s">
        <v>850</v>
      </c>
      <c r="G3220" s="19" t="s">
        <v>1008</v>
      </c>
      <c r="H3220" s="19" t="s">
        <v>1001</v>
      </c>
      <c r="I3220" s="19" t="s">
        <v>1599</v>
      </c>
      <c r="J3220" s="20">
        <v>29</v>
      </c>
      <c r="K3220" t="s">
        <v>654</v>
      </c>
      <c r="L3220" t="s">
        <v>640</v>
      </c>
      <c r="M3220" t="s">
        <v>623</v>
      </c>
      <c r="N3220" t="s">
        <v>624</v>
      </c>
      <c r="O3220" t="s">
        <v>789</v>
      </c>
    </row>
    <row r="3221" spans="1:15" x14ac:dyDescent="0.35">
      <c r="A3221" s="77">
        <v>2.1917808219178082E-2</v>
      </c>
      <c r="B3221" s="19">
        <v>99180</v>
      </c>
      <c r="C3221" s="19" t="s">
        <v>1950</v>
      </c>
      <c r="D3221" s="19" t="s">
        <v>353</v>
      </c>
      <c r="E3221" s="19" t="s">
        <v>354</v>
      </c>
      <c r="F3221" s="19" t="s">
        <v>850</v>
      </c>
      <c r="G3221" s="19" t="s">
        <v>1008</v>
      </c>
      <c r="H3221" s="19" t="s">
        <v>1001</v>
      </c>
      <c r="I3221" s="19" t="s">
        <v>1575</v>
      </c>
      <c r="J3221" s="20">
        <v>23</v>
      </c>
      <c r="K3221" t="s">
        <v>654</v>
      </c>
      <c r="L3221" t="s">
        <v>640</v>
      </c>
      <c r="M3221" t="s">
        <v>623</v>
      </c>
      <c r="N3221" t="s">
        <v>624</v>
      </c>
      <c r="O3221" t="s">
        <v>789</v>
      </c>
    </row>
    <row r="3222" spans="1:15" x14ac:dyDescent="0.35">
      <c r="A3222" s="77">
        <v>0.48219178082191783</v>
      </c>
      <c r="B3222" s="19">
        <v>99182</v>
      </c>
      <c r="C3222" s="19" t="s">
        <v>5516</v>
      </c>
      <c r="D3222" s="19" t="s">
        <v>19</v>
      </c>
      <c r="E3222" s="19" t="s">
        <v>19</v>
      </c>
      <c r="F3222" s="19" t="s">
        <v>1255</v>
      </c>
      <c r="G3222" s="19" t="s">
        <v>1028</v>
      </c>
      <c r="H3222" s="19" t="s">
        <v>1020</v>
      </c>
      <c r="I3222" s="19" t="s">
        <v>1575</v>
      </c>
      <c r="J3222" s="20">
        <v>19</v>
      </c>
      <c r="K3222" t="s">
        <v>654</v>
      </c>
      <c r="L3222" t="s">
        <v>645</v>
      </c>
      <c r="M3222" t="s">
        <v>629</v>
      </c>
      <c r="N3222" t="s">
        <v>646</v>
      </c>
      <c r="O3222" t="s">
        <v>632</v>
      </c>
    </row>
    <row r="3223" spans="1:15" x14ac:dyDescent="0.35">
      <c r="A3223" s="77">
        <v>0.48219178082191783</v>
      </c>
      <c r="B3223" s="19">
        <v>99186</v>
      </c>
      <c r="C3223" s="19" t="s">
        <v>5517</v>
      </c>
      <c r="D3223" s="19" t="s">
        <v>290</v>
      </c>
      <c r="E3223" s="19" t="s">
        <v>291</v>
      </c>
      <c r="F3223" s="19" t="s">
        <v>1182</v>
      </c>
      <c r="G3223" s="19" t="s">
        <v>1057</v>
      </c>
      <c r="H3223" s="19" t="s">
        <v>1001</v>
      </c>
      <c r="I3223" s="19" t="s">
        <v>1599</v>
      </c>
      <c r="J3223" s="20">
        <v>22</v>
      </c>
      <c r="K3223" t="s">
        <v>668</v>
      </c>
      <c r="L3223" t="s">
        <v>663</v>
      </c>
      <c r="M3223" t="s">
        <v>629</v>
      </c>
      <c r="N3223" t="s">
        <v>646</v>
      </c>
      <c r="O3223" t="s">
        <v>639</v>
      </c>
    </row>
    <row r="3224" spans="1:15" x14ac:dyDescent="0.35">
      <c r="A3224" s="77">
        <v>0.48219178082191783</v>
      </c>
      <c r="B3224" s="19">
        <v>99187</v>
      </c>
      <c r="C3224" s="19" t="s">
        <v>5518</v>
      </c>
      <c r="D3224" s="19" t="s">
        <v>349</v>
      </c>
      <c r="E3224" s="19" t="s">
        <v>350</v>
      </c>
      <c r="F3224" s="19" t="s">
        <v>912</v>
      </c>
      <c r="G3224" s="19" t="s">
        <v>1028</v>
      </c>
      <c r="H3224" s="19" t="s">
        <v>1020</v>
      </c>
      <c r="I3224" s="19" t="s">
        <v>1575</v>
      </c>
      <c r="J3224" s="20">
        <v>24</v>
      </c>
      <c r="K3224" t="s">
        <v>625</v>
      </c>
      <c r="L3224" t="s">
        <v>648</v>
      </c>
      <c r="M3224" t="s">
        <v>623</v>
      </c>
      <c r="N3224" t="s">
        <v>624</v>
      </c>
      <c r="O3224" t="s">
        <v>649</v>
      </c>
    </row>
    <row r="3225" spans="1:15" x14ac:dyDescent="0.35">
      <c r="A3225" s="77">
        <v>0.48219178082191783</v>
      </c>
      <c r="B3225" s="19">
        <v>99188</v>
      </c>
      <c r="C3225" s="19" t="s">
        <v>5519</v>
      </c>
      <c r="D3225" s="19" t="s">
        <v>24</v>
      </c>
      <c r="E3225" s="19" t="s">
        <v>24</v>
      </c>
      <c r="F3225" s="19" t="s">
        <v>2097</v>
      </c>
      <c r="G3225" s="19" t="s">
        <v>1028</v>
      </c>
      <c r="H3225" s="19" t="s">
        <v>1020</v>
      </c>
      <c r="I3225" s="19" t="s">
        <v>1575</v>
      </c>
      <c r="J3225" s="20">
        <v>27</v>
      </c>
      <c r="K3225" t="s">
        <v>664</v>
      </c>
      <c r="L3225" t="s">
        <v>663</v>
      </c>
      <c r="M3225" t="s">
        <v>629</v>
      </c>
      <c r="N3225" t="s">
        <v>646</v>
      </c>
      <c r="O3225" t="s">
        <v>639</v>
      </c>
    </row>
    <row r="3226" spans="1:15" x14ac:dyDescent="0.35">
      <c r="A3226" s="77">
        <v>0.48219178082191783</v>
      </c>
      <c r="B3226" s="19">
        <v>99189</v>
      </c>
      <c r="C3226" s="19" t="s">
        <v>5520</v>
      </c>
      <c r="D3226" s="19" t="s">
        <v>413</v>
      </c>
      <c r="E3226" s="19" t="s">
        <v>414</v>
      </c>
      <c r="F3226" s="19" t="s">
        <v>1699</v>
      </c>
      <c r="G3226" s="19" t="s">
        <v>1019</v>
      </c>
      <c r="H3226" s="19" t="s">
        <v>1020</v>
      </c>
      <c r="I3226" s="19" t="s">
        <v>1575</v>
      </c>
      <c r="J3226" s="20">
        <v>18</v>
      </c>
      <c r="K3226" t="s">
        <v>668</v>
      </c>
      <c r="L3226" t="s">
        <v>691</v>
      </c>
      <c r="M3226" t="s">
        <v>657</v>
      </c>
      <c r="N3226" t="s">
        <v>658</v>
      </c>
      <c r="O3226" t="s">
        <v>632</v>
      </c>
    </row>
    <row r="3227" spans="1:15" x14ac:dyDescent="0.35">
      <c r="A3227" s="77">
        <v>0.48219178082191783</v>
      </c>
      <c r="B3227" s="19">
        <v>99192</v>
      </c>
      <c r="C3227" s="19" t="s">
        <v>5521</v>
      </c>
      <c r="D3227" s="19" t="s">
        <v>165</v>
      </c>
      <c r="E3227" s="19" t="s">
        <v>166</v>
      </c>
      <c r="F3227" s="19" t="s">
        <v>1238</v>
      </c>
      <c r="G3227" s="19" t="s">
        <v>1028</v>
      </c>
      <c r="H3227" s="19" t="s">
        <v>1020</v>
      </c>
      <c r="I3227" s="19" t="s">
        <v>1575</v>
      </c>
      <c r="J3227" s="20">
        <v>19</v>
      </c>
      <c r="K3227" t="s">
        <v>636</v>
      </c>
      <c r="L3227" t="s">
        <v>648</v>
      </c>
      <c r="M3227" t="s">
        <v>623</v>
      </c>
      <c r="N3227" t="s">
        <v>624</v>
      </c>
      <c r="O3227" t="s">
        <v>649</v>
      </c>
    </row>
    <row r="3228" spans="1:15" x14ac:dyDescent="0.35">
      <c r="A3228" s="77">
        <v>0.48493150684931507</v>
      </c>
      <c r="B3228" s="19">
        <v>99193</v>
      </c>
      <c r="C3228" s="19" t="s">
        <v>5522</v>
      </c>
      <c r="D3228" s="19" t="s">
        <v>39</v>
      </c>
      <c r="E3228" s="19" t="s">
        <v>39</v>
      </c>
      <c r="F3228" s="19" t="s">
        <v>1168</v>
      </c>
      <c r="G3228" s="19" t="s">
        <v>1028</v>
      </c>
      <c r="H3228" s="19" t="s">
        <v>1020</v>
      </c>
      <c r="I3228" s="19" t="s">
        <v>1599</v>
      </c>
      <c r="J3228" s="20">
        <v>21</v>
      </c>
      <c r="K3228" t="s">
        <v>636</v>
      </c>
      <c r="L3228" t="s">
        <v>661</v>
      </c>
      <c r="M3228" t="s">
        <v>657</v>
      </c>
      <c r="N3228" t="s">
        <v>662</v>
      </c>
      <c r="O3228" t="s">
        <v>632</v>
      </c>
    </row>
    <row r="3229" spans="1:15" x14ac:dyDescent="0.35">
      <c r="A3229" s="77">
        <v>0.47397260273972602</v>
      </c>
      <c r="B3229" s="19">
        <v>99200</v>
      </c>
      <c r="C3229" s="19" t="s">
        <v>5523</v>
      </c>
      <c r="D3229" s="19" t="s">
        <v>151</v>
      </c>
      <c r="E3229" s="19" t="s">
        <v>152</v>
      </c>
      <c r="F3229" s="19" t="s">
        <v>1557</v>
      </c>
      <c r="G3229" s="19" t="s">
        <v>3508</v>
      </c>
      <c r="H3229" s="19" t="s">
        <v>1020</v>
      </c>
      <c r="I3229" s="19" t="s">
        <v>1575</v>
      </c>
      <c r="J3229" s="20">
        <v>18</v>
      </c>
      <c r="K3229" t="s">
        <v>654</v>
      </c>
      <c r="L3229" t="s">
        <v>691</v>
      </c>
      <c r="M3229" t="s">
        <v>657</v>
      </c>
      <c r="N3229" t="s">
        <v>658</v>
      </c>
      <c r="O3229" t="s">
        <v>632</v>
      </c>
    </row>
    <row r="3230" spans="1:15" x14ac:dyDescent="0.35">
      <c r="A3230" s="77">
        <v>0.47397260273972602</v>
      </c>
      <c r="B3230" s="19">
        <v>99202</v>
      </c>
      <c r="C3230" s="19" t="s">
        <v>5524</v>
      </c>
      <c r="D3230" s="19" t="s">
        <v>247</v>
      </c>
      <c r="E3230" s="19" t="s">
        <v>248</v>
      </c>
      <c r="F3230" s="19" t="s">
        <v>1726</v>
      </c>
      <c r="G3230" s="19" t="s">
        <v>1084</v>
      </c>
      <c r="H3230" s="19" t="s">
        <v>1001</v>
      </c>
      <c r="I3230" s="19" t="s">
        <v>1575</v>
      </c>
      <c r="J3230" s="20">
        <v>18</v>
      </c>
      <c r="K3230" t="s">
        <v>668</v>
      </c>
      <c r="L3230" t="s">
        <v>634</v>
      </c>
      <c r="M3230" t="s">
        <v>629</v>
      </c>
      <c r="N3230" t="s">
        <v>635</v>
      </c>
      <c r="O3230" t="s">
        <v>637</v>
      </c>
    </row>
    <row r="3231" spans="1:15" x14ac:dyDescent="0.35">
      <c r="A3231" s="77">
        <v>0.47397260273972602</v>
      </c>
      <c r="B3231" s="19">
        <v>99203</v>
      </c>
      <c r="C3231" s="19" t="s">
        <v>5525</v>
      </c>
      <c r="D3231" s="19" t="s">
        <v>387</v>
      </c>
      <c r="E3231" s="19" t="s">
        <v>388</v>
      </c>
      <c r="F3231" s="19" t="s">
        <v>1142</v>
      </c>
      <c r="G3231" s="19" t="s">
        <v>1028</v>
      </c>
      <c r="H3231" s="19" t="s">
        <v>1020</v>
      </c>
      <c r="I3231" s="19" t="s">
        <v>1575</v>
      </c>
      <c r="J3231" s="20">
        <v>23</v>
      </c>
      <c r="K3231" t="s">
        <v>642</v>
      </c>
      <c r="L3231" t="s">
        <v>634</v>
      </c>
      <c r="M3231" t="s">
        <v>629</v>
      </c>
      <c r="N3231" t="s">
        <v>630</v>
      </c>
      <c r="O3231" t="s">
        <v>734</v>
      </c>
    </row>
    <row r="3232" spans="1:15" x14ac:dyDescent="0.35">
      <c r="A3232" s="77">
        <v>0.47397260273972602</v>
      </c>
      <c r="B3232" s="19">
        <v>99205</v>
      </c>
      <c r="C3232" s="19" t="s">
        <v>5526</v>
      </c>
      <c r="D3232" s="19" t="s">
        <v>163</v>
      </c>
      <c r="E3232" s="19" t="s">
        <v>164</v>
      </c>
      <c r="F3232" s="19" t="s">
        <v>1174</v>
      </c>
      <c r="G3232" s="19" t="s">
        <v>3508</v>
      </c>
      <c r="H3232" s="19" t="s">
        <v>1020</v>
      </c>
      <c r="I3232" s="19" t="s">
        <v>1575</v>
      </c>
      <c r="J3232" s="20">
        <v>17</v>
      </c>
      <c r="K3232" t="s">
        <v>654</v>
      </c>
      <c r="L3232" t="s">
        <v>634</v>
      </c>
      <c r="M3232" t="s">
        <v>629</v>
      </c>
      <c r="N3232" t="s">
        <v>635</v>
      </c>
      <c r="O3232" t="s">
        <v>637</v>
      </c>
    </row>
    <row r="3233" spans="1:15" x14ac:dyDescent="0.35">
      <c r="A3233" s="77">
        <v>0.47397260273972602</v>
      </c>
      <c r="B3233" s="19">
        <v>99208</v>
      </c>
      <c r="C3233" s="19" t="s">
        <v>5527</v>
      </c>
      <c r="D3233" s="19" t="s">
        <v>326</v>
      </c>
      <c r="E3233" s="19" t="s">
        <v>327</v>
      </c>
      <c r="F3233" s="19" t="s">
        <v>1051</v>
      </c>
      <c r="G3233" s="19" t="s">
        <v>1057</v>
      </c>
      <c r="H3233" s="19" t="s">
        <v>1001</v>
      </c>
      <c r="I3233" s="19" t="s">
        <v>1575</v>
      </c>
      <c r="J3233" s="20">
        <v>24</v>
      </c>
      <c r="K3233" t="s">
        <v>631</v>
      </c>
      <c r="L3233" t="s">
        <v>648</v>
      </c>
      <c r="M3233" t="s">
        <v>623</v>
      </c>
      <c r="N3233" t="s">
        <v>624</v>
      </c>
      <c r="O3233" t="s">
        <v>837</v>
      </c>
    </row>
    <row r="3234" spans="1:15" x14ac:dyDescent="0.35">
      <c r="A3234" s="77">
        <v>0.47397260273972602</v>
      </c>
      <c r="B3234" s="19">
        <v>99210</v>
      </c>
      <c r="C3234" s="19" t="s">
        <v>5528</v>
      </c>
      <c r="D3234" s="19" t="s">
        <v>163</v>
      </c>
      <c r="E3234" s="19" t="s">
        <v>164</v>
      </c>
      <c r="F3234" s="19" t="s">
        <v>1174</v>
      </c>
      <c r="G3234" s="19" t="s">
        <v>3508</v>
      </c>
      <c r="H3234" s="19" t="s">
        <v>1020</v>
      </c>
      <c r="I3234" s="19" t="s">
        <v>1575</v>
      </c>
      <c r="J3234" s="20">
        <v>18</v>
      </c>
      <c r="K3234" t="s">
        <v>654</v>
      </c>
      <c r="L3234" t="s">
        <v>634</v>
      </c>
      <c r="M3234" t="s">
        <v>629</v>
      </c>
      <c r="N3234" t="s">
        <v>635</v>
      </c>
      <c r="O3234" t="s">
        <v>637</v>
      </c>
    </row>
    <row r="3235" spans="1:15" x14ac:dyDescent="0.35">
      <c r="A3235" s="77">
        <v>0.49589041095890413</v>
      </c>
      <c r="B3235" s="19">
        <v>99212</v>
      </c>
      <c r="C3235" s="19" t="s">
        <v>5529</v>
      </c>
      <c r="D3235" s="19" t="s">
        <v>191</v>
      </c>
      <c r="E3235" s="19" t="s">
        <v>192</v>
      </c>
      <c r="F3235" s="19" t="s">
        <v>1626</v>
      </c>
      <c r="G3235" s="19" t="s">
        <v>3508</v>
      </c>
      <c r="H3235" s="19" t="s">
        <v>1020</v>
      </c>
      <c r="I3235" s="19" t="s">
        <v>1575</v>
      </c>
      <c r="J3235" s="20">
        <v>18</v>
      </c>
      <c r="K3235" t="s">
        <v>654</v>
      </c>
      <c r="L3235" t="s">
        <v>673</v>
      </c>
      <c r="M3235" t="s">
        <v>623</v>
      </c>
      <c r="N3235" t="s">
        <v>641</v>
      </c>
      <c r="O3235" t="s">
        <v>779</v>
      </c>
    </row>
    <row r="3236" spans="1:15" x14ac:dyDescent="0.35">
      <c r="A3236" s="77">
        <v>0.47397260273972602</v>
      </c>
      <c r="B3236" s="19">
        <v>99213</v>
      </c>
      <c r="C3236" s="19" t="s">
        <v>5530</v>
      </c>
      <c r="D3236" s="19" t="s">
        <v>181</v>
      </c>
      <c r="E3236" s="19" t="s">
        <v>182</v>
      </c>
      <c r="F3236" s="19" t="s">
        <v>1374</v>
      </c>
      <c r="G3236" s="19" t="s">
        <v>3508</v>
      </c>
      <c r="H3236" s="19" t="s">
        <v>1020</v>
      </c>
      <c r="I3236" s="19" t="s">
        <v>1575</v>
      </c>
      <c r="J3236" s="20">
        <v>14</v>
      </c>
      <c r="K3236" t="s">
        <v>625</v>
      </c>
      <c r="L3236" t="s">
        <v>678</v>
      </c>
      <c r="M3236" t="s">
        <v>623</v>
      </c>
      <c r="N3236" t="s">
        <v>624</v>
      </c>
      <c r="O3236" t="s">
        <v>679</v>
      </c>
    </row>
    <row r="3237" spans="1:15" x14ac:dyDescent="0.35">
      <c r="A3237" s="77">
        <v>0.48767123287671232</v>
      </c>
      <c r="B3237" s="19">
        <v>99214</v>
      </c>
      <c r="C3237" s="19" t="s">
        <v>5531</v>
      </c>
      <c r="D3237" s="19" t="s">
        <v>239</v>
      </c>
      <c r="E3237" s="19" t="s">
        <v>240</v>
      </c>
      <c r="F3237" s="19" t="s">
        <v>798</v>
      </c>
      <c r="G3237" s="19" t="s">
        <v>1028</v>
      </c>
      <c r="H3237" s="19" t="s">
        <v>1020</v>
      </c>
      <c r="I3237" s="19" t="s">
        <v>1575</v>
      </c>
      <c r="J3237" s="20">
        <v>20</v>
      </c>
      <c r="K3237" t="s">
        <v>636</v>
      </c>
      <c r="L3237" t="s">
        <v>628</v>
      </c>
      <c r="M3237" t="s">
        <v>629</v>
      </c>
      <c r="N3237" t="s">
        <v>646</v>
      </c>
      <c r="O3237" t="s">
        <v>632</v>
      </c>
    </row>
    <row r="3238" spans="1:15" x14ac:dyDescent="0.35">
      <c r="A3238" s="77">
        <v>0.47123287671232877</v>
      </c>
      <c r="B3238" s="19">
        <v>99220</v>
      </c>
      <c r="C3238" s="19" t="s">
        <v>5532</v>
      </c>
      <c r="D3238" s="19" t="s">
        <v>411</v>
      </c>
      <c r="E3238" s="19" t="s">
        <v>412</v>
      </c>
      <c r="F3238" s="19" t="s">
        <v>1225</v>
      </c>
      <c r="G3238" s="19" t="s">
        <v>3508</v>
      </c>
      <c r="H3238" s="19" t="s">
        <v>1020</v>
      </c>
      <c r="I3238" s="19" t="s">
        <v>1599</v>
      </c>
      <c r="J3238" s="20">
        <v>19</v>
      </c>
      <c r="K3238" t="s">
        <v>636</v>
      </c>
      <c r="L3238" t="s">
        <v>691</v>
      </c>
      <c r="M3238" t="s">
        <v>657</v>
      </c>
      <c r="N3238" t="s">
        <v>658</v>
      </c>
      <c r="O3238" t="s">
        <v>632</v>
      </c>
    </row>
    <row r="3239" spans="1:15" x14ac:dyDescent="0.35">
      <c r="A3239" s="77">
        <v>0.47123287671232877</v>
      </c>
      <c r="B3239" s="19">
        <v>99221</v>
      </c>
      <c r="C3239" s="19" t="s">
        <v>5533</v>
      </c>
      <c r="D3239" s="19" t="s">
        <v>407</v>
      </c>
      <c r="E3239" s="19" t="s">
        <v>408</v>
      </c>
      <c r="F3239" s="19" t="s">
        <v>1230</v>
      </c>
      <c r="G3239" s="19" t="s">
        <v>1028</v>
      </c>
      <c r="H3239" s="19" t="s">
        <v>1020</v>
      </c>
      <c r="I3239" s="19" t="s">
        <v>1599</v>
      </c>
      <c r="J3239" s="20">
        <v>21</v>
      </c>
      <c r="K3239" t="s">
        <v>636</v>
      </c>
      <c r="L3239" t="s">
        <v>622</v>
      </c>
      <c r="M3239" t="s">
        <v>623</v>
      </c>
      <c r="N3239" t="s">
        <v>624</v>
      </c>
      <c r="O3239" t="s">
        <v>730</v>
      </c>
    </row>
    <row r="3240" spans="1:15" x14ac:dyDescent="0.35">
      <c r="A3240" s="77">
        <v>0.46849315068493153</v>
      </c>
      <c r="B3240" s="19">
        <v>99227</v>
      </c>
      <c r="C3240" s="19" t="s">
        <v>5534</v>
      </c>
      <c r="D3240" s="19" t="s">
        <v>173</v>
      </c>
      <c r="E3240" s="19" t="s">
        <v>174</v>
      </c>
      <c r="F3240" s="19" t="s">
        <v>901</v>
      </c>
      <c r="G3240" s="19" t="s">
        <v>1028</v>
      </c>
      <c r="H3240" s="19" t="s">
        <v>1020</v>
      </c>
      <c r="I3240" s="19" t="s">
        <v>1599</v>
      </c>
      <c r="J3240" s="20">
        <v>19</v>
      </c>
      <c r="K3240" t="s">
        <v>668</v>
      </c>
      <c r="L3240" t="s">
        <v>656</v>
      </c>
      <c r="M3240" t="s">
        <v>657</v>
      </c>
      <c r="N3240" t="s">
        <v>658</v>
      </c>
      <c r="O3240" t="s">
        <v>632</v>
      </c>
    </row>
    <row r="3241" spans="1:15" x14ac:dyDescent="0.35">
      <c r="A3241" s="77">
        <v>0.47123287671232877</v>
      </c>
      <c r="B3241" s="19">
        <v>99230</v>
      </c>
      <c r="C3241" s="19" t="s">
        <v>5535</v>
      </c>
      <c r="D3241" s="19" t="s">
        <v>147</v>
      </c>
      <c r="E3241" s="19" t="s">
        <v>148</v>
      </c>
      <c r="F3241" s="19" t="s">
        <v>1396</v>
      </c>
      <c r="G3241" s="19" t="s">
        <v>1028</v>
      </c>
      <c r="H3241" s="19" t="s">
        <v>1020</v>
      </c>
      <c r="I3241" s="19" t="s">
        <v>1599</v>
      </c>
      <c r="J3241" s="20">
        <v>22</v>
      </c>
      <c r="K3241" t="s">
        <v>636</v>
      </c>
      <c r="L3241" t="s">
        <v>661</v>
      </c>
      <c r="M3241" t="s">
        <v>657</v>
      </c>
      <c r="N3241" t="s">
        <v>662</v>
      </c>
      <c r="O3241" t="s">
        <v>632</v>
      </c>
    </row>
    <row r="3242" spans="1:15" x14ac:dyDescent="0.35">
      <c r="A3242" s="77">
        <v>0.47123287671232877</v>
      </c>
      <c r="B3242" s="19">
        <v>99233</v>
      </c>
      <c r="C3242" s="19" t="s">
        <v>5536</v>
      </c>
      <c r="D3242" s="19" t="s">
        <v>89</v>
      </c>
      <c r="E3242" s="19" t="s">
        <v>90</v>
      </c>
      <c r="F3242" s="19" t="s">
        <v>1217</v>
      </c>
      <c r="G3242" s="19" t="s">
        <v>1028</v>
      </c>
      <c r="H3242" s="19" t="s">
        <v>1020</v>
      </c>
      <c r="I3242" s="19" t="s">
        <v>1575</v>
      </c>
      <c r="J3242" s="20">
        <v>21</v>
      </c>
      <c r="K3242" t="s">
        <v>636</v>
      </c>
      <c r="L3242" t="s">
        <v>666</v>
      </c>
      <c r="M3242" t="s">
        <v>629</v>
      </c>
      <c r="N3242" t="s">
        <v>635</v>
      </c>
      <c r="O3242" t="s">
        <v>637</v>
      </c>
    </row>
    <row r="3243" spans="1:15" x14ac:dyDescent="0.35">
      <c r="A3243" s="77">
        <v>0.46849315068493153</v>
      </c>
      <c r="B3243" s="19">
        <v>99236</v>
      </c>
      <c r="C3243" s="19" t="s">
        <v>5537</v>
      </c>
      <c r="D3243" s="19" t="s">
        <v>415</v>
      </c>
      <c r="E3243" s="19" t="s">
        <v>416</v>
      </c>
      <c r="F3243" s="19" t="s">
        <v>1199</v>
      </c>
      <c r="G3243" s="19" t="s">
        <v>1008</v>
      </c>
      <c r="H3243" s="19" t="s">
        <v>1001</v>
      </c>
      <c r="I3243" s="19" t="s">
        <v>1575</v>
      </c>
      <c r="J3243" s="20">
        <v>21</v>
      </c>
      <c r="K3243" t="s">
        <v>668</v>
      </c>
      <c r="L3243" t="s">
        <v>666</v>
      </c>
      <c r="M3243" t="s">
        <v>629</v>
      </c>
      <c r="N3243" t="s">
        <v>635</v>
      </c>
      <c r="O3243" t="s">
        <v>637</v>
      </c>
    </row>
    <row r="3244" spans="1:15" x14ac:dyDescent="0.35">
      <c r="A3244" s="77">
        <v>0.47397260273972602</v>
      </c>
      <c r="B3244" s="19">
        <v>99240</v>
      </c>
      <c r="C3244" s="19" t="s">
        <v>5538</v>
      </c>
      <c r="D3244" s="19" t="s">
        <v>11</v>
      </c>
      <c r="E3244" s="19" t="s">
        <v>11</v>
      </c>
      <c r="F3244" s="19" t="s">
        <v>627</v>
      </c>
      <c r="G3244" s="19" t="s">
        <v>1028</v>
      </c>
      <c r="H3244" s="19" t="s">
        <v>1020</v>
      </c>
      <c r="I3244" s="19" t="s">
        <v>1575</v>
      </c>
      <c r="J3244" s="20">
        <v>22</v>
      </c>
      <c r="K3244" t="s">
        <v>631</v>
      </c>
      <c r="L3244" t="s">
        <v>628</v>
      </c>
      <c r="M3244" t="s">
        <v>629</v>
      </c>
      <c r="N3244" t="s">
        <v>630</v>
      </c>
      <c r="O3244" t="s">
        <v>632</v>
      </c>
    </row>
    <row r="3245" spans="1:15" x14ac:dyDescent="0.35">
      <c r="A3245" s="77">
        <v>0.47397260273972602</v>
      </c>
      <c r="B3245" s="19">
        <v>99244</v>
      </c>
      <c r="C3245" s="19" t="s">
        <v>5539</v>
      </c>
      <c r="D3245" s="19" t="s">
        <v>208</v>
      </c>
      <c r="E3245" s="19" t="s">
        <v>209</v>
      </c>
      <c r="F3245" s="19" t="s">
        <v>1444</v>
      </c>
      <c r="G3245" s="19" t="s">
        <v>1028</v>
      </c>
      <c r="H3245" s="19" t="s">
        <v>1020</v>
      </c>
      <c r="I3245" s="19" t="s">
        <v>1575</v>
      </c>
      <c r="J3245" s="20">
        <v>19</v>
      </c>
      <c r="K3245" t="s">
        <v>636</v>
      </c>
      <c r="L3245" t="s">
        <v>640</v>
      </c>
      <c r="M3245" t="s">
        <v>623</v>
      </c>
      <c r="N3245" t="s">
        <v>624</v>
      </c>
      <c r="O3245" t="s">
        <v>787</v>
      </c>
    </row>
    <row r="3246" spans="1:15" x14ac:dyDescent="0.35">
      <c r="A3246" s="77">
        <v>0.47123287671232877</v>
      </c>
      <c r="B3246" s="19">
        <v>99251</v>
      </c>
      <c r="C3246" s="19" t="s">
        <v>5540</v>
      </c>
      <c r="D3246" s="19" t="s">
        <v>157</v>
      </c>
      <c r="E3246" s="19" t="s">
        <v>158</v>
      </c>
      <c r="F3246" s="19" t="s">
        <v>1012</v>
      </c>
      <c r="G3246" s="19" t="s">
        <v>1008</v>
      </c>
      <c r="H3246" s="19" t="s">
        <v>1001</v>
      </c>
      <c r="I3246" s="19" t="s">
        <v>1575</v>
      </c>
      <c r="J3246" s="20">
        <v>22</v>
      </c>
      <c r="K3246" t="s">
        <v>668</v>
      </c>
      <c r="L3246" t="s">
        <v>670</v>
      </c>
      <c r="M3246" t="s">
        <v>657</v>
      </c>
      <c r="N3246" t="s">
        <v>641</v>
      </c>
      <c r="O3246" t="s">
        <v>671</v>
      </c>
    </row>
    <row r="3247" spans="1:15" x14ac:dyDescent="0.35">
      <c r="A3247" s="77">
        <v>0.47123287671232877</v>
      </c>
      <c r="B3247" s="19">
        <v>99253</v>
      </c>
      <c r="C3247" s="19" t="s">
        <v>5541</v>
      </c>
      <c r="D3247" s="19" t="s">
        <v>145</v>
      </c>
      <c r="E3247" s="19" t="s">
        <v>146</v>
      </c>
      <c r="F3247" s="19" t="s">
        <v>1015</v>
      </c>
      <c r="G3247" s="19" t="s">
        <v>1028</v>
      </c>
      <c r="H3247" s="19" t="s">
        <v>1020</v>
      </c>
      <c r="I3247" s="19" t="s">
        <v>1575</v>
      </c>
      <c r="J3247" s="20">
        <v>22</v>
      </c>
      <c r="K3247" t="s">
        <v>636</v>
      </c>
      <c r="L3247" t="s">
        <v>737</v>
      </c>
      <c r="M3247" t="s">
        <v>657</v>
      </c>
      <c r="N3247" t="s">
        <v>641</v>
      </c>
      <c r="O3247" t="s">
        <v>757</v>
      </c>
    </row>
    <row r="3248" spans="1:15" x14ac:dyDescent="0.35">
      <c r="A3248" s="77">
        <v>0.46849315068493153</v>
      </c>
      <c r="B3248" s="19">
        <v>99259</v>
      </c>
      <c r="C3248" s="19" t="s">
        <v>5542</v>
      </c>
      <c r="D3248" s="19" t="s">
        <v>126</v>
      </c>
      <c r="E3248" s="19" t="s">
        <v>127</v>
      </c>
      <c r="F3248" s="19" t="s">
        <v>1152</v>
      </c>
      <c r="G3248" s="19" t="s">
        <v>1057</v>
      </c>
      <c r="H3248" s="19" t="s">
        <v>1001</v>
      </c>
      <c r="I3248" s="19" t="s">
        <v>1575</v>
      </c>
      <c r="J3248" s="20">
        <v>24</v>
      </c>
      <c r="K3248" t="s">
        <v>654</v>
      </c>
      <c r="L3248" t="s">
        <v>628</v>
      </c>
      <c r="M3248" t="s">
        <v>629</v>
      </c>
      <c r="N3248" t="s">
        <v>630</v>
      </c>
      <c r="O3248" t="s">
        <v>632</v>
      </c>
    </row>
    <row r="3249" spans="1:15" x14ac:dyDescent="0.35">
      <c r="A3249" s="77">
        <v>0.46849315068493153</v>
      </c>
      <c r="B3249" s="19">
        <v>99261</v>
      </c>
      <c r="C3249" s="19" t="s">
        <v>5543</v>
      </c>
      <c r="D3249" s="19" t="s">
        <v>369</v>
      </c>
      <c r="E3249" s="19" t="s">
        <v>370</v>
      </c>
      <c r="F3249" s="19" t="s">
        <v>856</v>
      </c>
      <c r="G3249" s="19" t="s">
        <v>1028</v>
      </c>
      <c r="H3249" s="19" t="s">
        <v>1020</v>
      </c>
      <c r="I3249" s="19" t="s">
        <v>1575</v>
      </c>
      <c r="J3249" s="20">
        <v>19</v>
      </c>
      <c r="K3249" t="s">
        <v>654</v>
      </c>
      <c r="L3249" t="s">
        <v>684</v>
      </c>
      <c r="M3249" t="s">
        <v>623</v>
      </c>
      <c r="N3249" t="s">
        <v>662</v>
      </c>
      <c r="O3249" t="s">
        <v>857</v>
      </c>
    </row>
    <row r="3250" spans="1:15" x14ac:dyDescent="0.35">
      <c r="A3250" s="77">
        <v>0.46575342465753422</v>
      </c>
      <c r="B3250" s="19">
        <v>99264</v>
      </c>
      <c r="C3250" s="19" t="s">
        <v>5544</v>
      </c>
      <c r="D3250" s="19" t="s">
        <v>387</v>
      </c>
      <c r="E3250" s="19" t="s">
        <v>388</v>
      </c>
      <c r="F3250" s="19" t="s">
        <v>1142</v>
      </c>
      <c r="G3250" s="19" t="s">
        <v>1028</v>
      </c>
      <c r="H3250" s="19" t="s">
        <v>1020</v>
      </c>
      <c r="I3250" s="19" t="s">
        <v>1575</v>
      </c>
      <c r="J3250" s="20">
        <v>30</v>
      </c>
      <c r="K3250" t="s">
        <v>642</v>
      </c>
      <c r="L3250" t="s">
        <v>634</v>
      </c>
      <c r="M3250" t="s">
        <v>629</v>
      </c>
      <c r="N3250" t="s">
        <v>630</v>
      </c>
      <c r="O3250" t="s">
        <v>734</v>
      </c>
    </row>
    <row r="3251" spans="1:15" x14ac:dyDescent="0.35">
      <c r="A3251" s="77">
        <v>0.46575342465753422</v>
      </c>
      <c r="B3251" s="19">
        <v>99265</v>
      </c>
      <c r="C3251" s="19" t="s">
        <v>5545</v>
      </c>
      <c r="D3251" s="19" t="s">
        <v>278</v>
      </c>
      <c r="E3251" s="19" t="s">
        <v>279</v>
      </c>
      <c r="F3251" s="19" t="s">
        <v>1131</v>
      </c>
      <c r="G3251" s="19" t="s">
        <v>1028</v>
      </c>
      <c r="H3251" s="19" t="s">
        <v>1020</v>
      </c>
      <c r="I3251" s="19" t="s">
        <v>1575</v>
      </c>
      <c r="J3251" s="20">
        <v>18</v>
      </c>
      <c r="K3251" t="s">
        <v>625</v>
      </c>
      <c r="L3251" t="s">
        <v>661</v>
      </c>
      <c r="M3251" t="s">
        <v>657</v>
      </c>
      <c r="N3251" t="s">
        <v>662</v>
      </c>
      <c r="O3251" t="s">
        <v>632</v>
      </c>
    </row>
    <row r="3252" spans="1:15" x14ac:dyDescent="0.35">
      <c r="A3252" s="77">
        <v>0.46575342465753422</v>
      </c>
      <c r="B3252" s="19">
        <v>99269</v>
      </c>
      <c r="C3252" s="19" t="s">
        <v>5546</v>
      </c>
      <c r="D3252" s="19" t="s">
        <v>161</v>
      </c>
      <c r="E3252" s="19" t="s">
        <v>162</v>
      </c>
      <c r="F3252" s="19" t="s">
        <v>1027</v>
      </c>
      <c r="G3252" s="19" t="s">
        <v>1008</v>
      </c>
      <c r="H3252" s="19" t="s">
        <v>1001</v>
      </c>
      <c r="I3252" s="19" t="s">
        <v>1575</v>
      </c>
      <c r="J3252" s="20">
        <v>19</v>
      </c>
      <c r="K3252" t="s">
        <v>654</v>
      </c>
      <c r="L3252" t="s">
        <v>622</v>
      </c>
      <c r="M3252" t="s">
        <v>623</v>
      </c>
      <c r="N3252" t="s">
        <v>624</v>
      </c>
      <c r="O3252" t="s">
        <v>649</v>
      </c>
    </row>
    <row r="3253" spans="1:15" x14ac:dyDescent="0.35">
      <c r="A3253" s="77">
        <v>0.46575342465753422</v>
      </c>
      <c r="B3253" s="19">
        <v>99275</v>
      </c>
      <c r="C3253" s="19" t="s">
        <v>5547</v>
      </c>
      <c r="D3253" s="19" t="s">
        <v>30</v>
      </c>
      <c r="E3253" s="19" t="s">
        <v>30</v>
      </c>
      <c r="F3253" s="19" t="s">
        <v>672</v>
      </c>
      <c r="G3253" s="19" t="s">
        <v>1028</v>
      </c>
      <c r="H3253" s="19" t="s">
        <v>1020</v>
      </c>
      <c r="I3253" s="19" t="s">
        <v>1599</v>
      </c>
      <c r="J3253" s="20">
        <v>20</v>
      </c>
      <c r="K3253" t="s">
        <v>636</v>
      </c>
      <c r="L3253" t="s">
        <v>673</v>
      </c>
      <c r="M3253" t="s">
        <v>623</v>
      </c>
      <c r="N3253" t="s">
        <v>641</v>
      </c>
      <c r="O3253" t="s">
        <v>674</v>
      </c>
    </row>
    <row r="3254" spans="1:15" x14ac:dyDescent="0.35">
      <c r="A3254" s="77">
        <v>0.46301369863013697</v>
      </c>
      <c r="B3254" s="19">
        <v>99277</v>
      </c>
      <c r="C3254" s="19" t="s">
        <v>5548</v>
      </c>
      <c r="D3254" s="19" t="s">
        <v>18</v>
      </c>
      <c r="E3254" s="19" t="s">
        <v>18</v>
      </c>
      <c r="F3254" s="19" t="s">
        <v>650</v>
      </c>
      <c r="G3254" s="19" t="s">
        <v>1028</v>
      </c>
      <c r="H3254" s="19" t="s">
        <v>1020</v>
      </c>
      <c r="I3254" s="19" t="s">
        <v>1575</v>
      </c>
      <c r="J3254" s="20">
        <v>26</v>
      </c>
      <c r="K3254" t="s">
        <v>636</v>
      </c>
      <c r="L3254" t="s">
        <v>651</v>
      </c>
      <c r="M3254" t="s">
        <v>629</v>
      </c>
      <c r="N3254" t="s">
        <v>630</v>
      </c>
      <c r="O3254" t="s">
        <v>652</v>
      </c>
    </row>
    <row r="3255" spans="1:15" x14ac:dyDescent="0.35">
      <c r="A3255" s="77">
        <v>0.46575342465753422</v>
      </c>
      <c r="B3255" s="19">
        <v>99283</v>
      </c>
      <c r="C3255" s="19" t="s">
        <v>5549</v>
      </c>
      <c r="D3255" s="19" t="s">
        <v>80</v>
      </c>
      <c r="E3255" s="19" t="s">
        <v>81</v>
      </c>
      <c r="F3255" s="19" t="s">
        <v>1022</v>
      </c>
      <c r="G3255" s="19" t="s">
        <v>1028</v>
      </c>
      <c r="H3255" s="19" t="s">
        <v>1020</v>
      </c>
      <c r="I3255" s="19" t="s">
        <v>1575</v>
      </c>
      <c r="J3255" s="20">
        <v>20</v>
      </c>
      <c r="K3255" t="s">
        <v>654</v>
      </c>
      <c r="L3255" t="s">
        <v>628</v>
      </c>
      <c r="M3255" t="s">
        <v>629</v>
      </c>
      <c r="N3255" t="s">
        <v>630</v>
      </c>
      <c r="O3255" t="s">
        <v>632</v>
      </c>
    </row>
    <row r="3256" spans="1:15" x14ac:dyDescent="0.35">
      <c r="A3256" s="77">
        <v>0.46575342465753422</v>
      </c>
      <c r="B3256" s="19">
        <v>99284</v>
      </c>
      <c r="C3256" s="19" t="s">
        <v>5550</v>
      </c>
      <c r="D3256" s="19" t="s">
        <v>360</v>
      </c>
      <c r="E3256" s="19" t="s">
        <v>361</v>
      </c>
      <c r="F3256" s="19" t="s">
        <v>2312</v>
      </c>
      <c r="G3256" s="19" t="s">
        <v>1019</v>
      </c>
      <c r="H3256" s="19" t="s">
        <v>1020</v>
      </c>
      <c r="I3256" s="19" t="s">
        <v>1575</v>
      </c>
      <c r="J3256" s="20">
        <v>29</v>
      </c>
      <c r="K3256" t="s">
        <v>642</v>
      </c>
      <c r="L3256" t="s">
        <v>670</v>
      </c>
      <c r="M3256" t="s">
        <v>657</v>
      </c>
      <c r="N3256" t="s">
        <v>641</v>
      </c>
      <c r="O3256" t="s">
        <v>671</v>
      </c>
    </row>
    <row r="3257" spans="1:15" x14ac:dyDescent="0.35">
      <c r="A3257" s="77">
        <v>0.46301369863013697</v>
      </c>
      <c r="B3257" s="19">
        <v>99288</v>
      </c>
      <c r="C3257" s="19" t="s">
        <v>5551</v>
      </c>
      <c r="D3257" s="19" t="s">
        <v>76</v>
      </c>
      <c r="E3257" s="19" t="s">
        <v>77</v>
      </c>
      <c r="F3257" s="19" t="s">
        <v>899</v>
      </c>
      <c r="G3257" s="19" t="s">
        <v>1028</v>
      </c>
      <c r="H3257" s="19" t="s">
        <v>1020</v>
      </c>
      <c r="I3257" s="19" t="s">
        <v>1575</v>
      </c>
      <c r="J3257" s="20">
        <v>18</v>
      </c>
      <c r="K3257" t="s">
        <v>636</v>
      </c>
      <c r="L3257" t="s">
        <v>645</v>
      </c>
      <c r="M3257" t="s">
        <v>629</v>
      </c>
      <c r="N3257" t="s">
        <v>646</v>
      </c>
      <c r="O3257" t="s">
        <v>632</v>
      </c>
    </row>
    <row r="3258" spans="1:15" x14ac:dyDescent="0.35">
      <c r="A3258" s="77">
        <v>0.46301369863013697</v>
      </c>
      <c r="B3258" s="19">
        <v>99291</v>
      </c>
      <c r="C3258" s="19" t="s">
        <v>5552</v>
      </c>
      <c r="D3258" s="19" t="s">
        <v>326</v>
      </c>
      <c r="E3258" s="19" t="s">
        <v>327</v>
      </c>
      <c r="F3258" s="19" t="s">
        <v>1051</v>
      </c>
      <c r="G3258" s="19" t="s">
        <v>1028</v>
      </c>
      <c r="H3258" s="19" t="s">
        <v>1020</v>
      </c>
      <c r="I3258" s="19" t="s">
        <v>1575</v>
      </c>
      <c r="J3258" s="20">
        <v>20</v>
      </c>
      <c r="K3258" t="s">
        <v>631</v>
      </c>
      <c r="L3258" t="s">
        <v>648</v>
      </c>
      <c r="M3258" t="s">
        <v>623</v>
      </c>
      <c r="N3258" t="s">
        <v>624</v>
      </c>
      <c r="O3258" t="s">
        <v>837</v>
      </c>
    </row>
    <row r="3259" spans="1:15" x14ac:dyDescent="0.35">
      <c r="A3259" s="77">
        <v>0.46301369863013697</v>
      </c>
      <c r="B3259" s="19">
        <v>99292</v>
      </c>
      <c r="C3259" s="19" t="s">
        <v>5553</v>
      </c>
      <c r="D3259" s="19" t="s">
        <v>326</v>
      </c>
      <c r="E3259" s="19" t="s">
        <v>327</v>
      </c>
      <c r="F3259" s="19" t="s">
        <v>1051</v>
      </c>
      <c r="G3259" s="19" t="s">
        <v>1028</v>
      </c>
      <c r="H3259" s="19" t="s">
        <v>1020</v>
      </c>
      <c r="I3259" s="19" t="s">
        <v>1575</v>
      </c>
      <c r="J3259" s="20">
        <v>22</v>
      </c>
      <c r="K3259" t="s">
        <v>631</v>
      </c>
      <c r="L3259" t="s">
        <v>648</v>
      </c>
      <c r="M3259" t="s">
        <v>623</v>
      </c>
      <c r="N3259" t="s">
        <v>624</v>
      </c>
      <c r="O3259" t="s">
        <v>837</v>
      </c>
    </row>
    <row r="3260" spans="1:15" x14ac:dyDescent="0.35">
      <c r="A3260" s="77">
        <v>0.46301369863013697</v>
      </c>
      <c r="B3260" s="19">
        <v>99293</v>
      </c>
      <c r="C3260" s="19" t="s">
        <v>5554</v>
      </c>
      <c r="D3260" s="19" t="s">
        <v>326</v>
      </c>
      <c r="E3260" s="19" t="s">
        <v>327</v>
      </c>
      <c r="F3260" s="19" t="s">
        <v>1051</v>
      </c>
      <c r="G3260" s="19" t="s">
        <v>1028</v>
      </c>
      <c r="H3260" s="19" t="s">
        <v>1020</v>
      </c>
      <c r="I3260" s="19" t="s">
        <v>1575</v>
      </c>
      <c r="J3260" s="20">
        <v>20</v>
      </c>
      <c r="K3260" t="s">
        <v>631</v>
      </c>
      <c r="L3260" t="s">
        <v>648</v>
      </c>
      <c r="M3260" t="s">
        <v>623</v>
      </c>
      <c r="N3260" t="s">
        <v>624</v>
      </c>
      <c r="O3260" t="s">
        <v>837</v>
      </c>
    </row>
    <row r="3261" spans="1:15" x14ac:dyDescent="0.35">
      <c r="A3261" s="77">
        <v>0.46301369863013697</v>
      </c>
      <c r="B3261" s="19">
        <v>99295</v>
      </c>
      <c r="C3261" s="19" t="s">
        <v>5555</v>
      </c>
      <c r="D3261" s="19" t="s">
        <v>73</v>
      </c>
      <c r="E3261" s="19" t="s">
        <v>74</v>
      </c>
      <c r="F3261" s="19" t="s">
        <v>1178</v>
      </c>
      <c r="G3261" s="19" t="s">
        <v>1028</v>
      </c>
      <c r="H3261" s="19" t="s">
        <v>1020</v>
      </c>
      <c r="I3261" s="19" t="s">
        <v>1599</v>
      </c>
      <c r="J3261" s="20">
        <v>23</v>
      </c>
      <c r="K3261" t="s">
        <v>654</v>
      </c>
      <c r="L3261" t="s">
        <v>648</v>
      </c>
      <c r="M3261" t="s">
        <v>623</v>
      </c>
      <c r="N3261" t="s">
        <v>624</v>
      </c>
      <c r="O3261" t="s">
        <v>725</v>
      </c>
    </row>
    <row r="3262" spans="1:15" x14ac:dyDescent="0.35">
      <c r="A3262" s="77">
        <v>0.46301369863013697</v>
      </c>
      <c r="B3262" s="19">
        <v>99297</v>
      </c>
      <c r="C3262" s="19" t="s">
        <v>5556</v>
      </c>
      <c r="D3262" s="19" t="s">
        <v>382</v>
      </c>
      <c r="E3262" s="19" t="s">
        <v>383</v>
      </c>
      <c r="F3262" s="19" t="s">
        <v>384</v>
      </c>
      <c r="G3262" s="19" t="s">
        <v>1028</v>
      </c>
      <c r="H3262" s="19" t="s">
        <v>1020</v>
      </c>
      <c r="I3262" s="19" t="s">
        <v>1575</v>
      </c>
      <c r="J3262" s="20">
        <v>20</v>
      </c>
      <c r="K3262" t="s">
        <v>636</v>
      </c>
      <c r="L3262" t="s">
        <v>656</v>
      </c>
      <c r="M3262" t="s">
        <v>657</v>
      </c>
      <c r="N3262" t="s">
        <v>658</v>
      </c>
      <c r="O3262" t="s">
        <v>843</v>
      </c>
    </row>
    <row r="3263" spans="1:15" x14ac:dyDescent="0.35">
      <c r="A3263" s="77">
        <v>0.45753424657534247</v>
      </c>
      <c r="B3263" s="19">
        <v>99302</v>
      </c>
      <c r="C3263" s="19" t="s">
        <v>5557</v>
      </c>
      <c r="D3263" s="19" t="s">
        <v>151</v>
      </c>
      <c r="E3263" s="19" t="s">
        <v>152</v>
      </c>
      <c r="F3263" s="19" t="s">
        <v>1557</v>
      </c>
      <c r="G3263" s="19" t="s">
        <v>3508</v>
      </c>
      <c r="H3263" s="19" t="s">
        <v>1020</v>
      </c>
      <c r="I3263" s="19" t="s">
        <v>1575</v>
      </c>
      <c r="J3263" s="20">
        <v>25</v>
      </c>
      <c r="K3263" t="s">
        <v>654</v>
      </c>
      <c r="L3263" t="s">
        <v>691</v>
      </c>
      <c r="M3263" t="s">
        <v>657</v>
      </c>
      <c r="N3263" t="s">
        <v>658</v>
      </c>
      <c r="O3263" t="s">
        <v>632</v>
      </c>
    </row>
    <row r="3264" spans="1:15" x14ac:dyDescent="0.35">
      <c r="A3264" s="77">
        <v>0.45753424657534247</v>
      </c>
      <c r="B3264" s="19">
        <v>99303</v>
      </c>
      <c r="C3264" s="19" t="s">
        <v>5558</v>
      </c>
      <c r="D3264" s="19" t="s">
        <v>401</v>
      </c>
      <c r="E3264" s="19" t="s">
        <v>402</v>
      </c>
      <c r="F3264" s="19" t="s">
        <v>1314</v>
      </c>
      <c r="G3264" s="19" t="s">
        <v>3508</v>
      </c>
      <c r="H3264" s="19" t="s">
        <v>1020</v>
      </c>
      <c r="I3264" s="19" t="s">
        <v>1575</v>
      </c>
      <c r="J3264" s="20">
        <v>17</v>
      </c>
      <c r="K3264" t="s">
        <v>668</v>
      </c>
      <c r="L3264" t="s">
        <v>691</v>
      </c>
      <c r="M3264" t="s">
        <v>657</v>
      </c>
      <c r="N3264" t="s">
        <v>658</v>
      </c>
      <c r="O3264" t="s">
        <v>632</v>
      </c>
    </row>
    <row r="3265" spans="1:15" x14ac:dyDescent="0.35">
      <c r="A3265" s="77">
        <v>0.45753424657534247</v>
      </c>
      <c r="B3265" s="19">
        <v>99304</v>
      </c>
      <c r="C3265" s="19" t="s">
        <v>5559</v>
      </c>
      <c r="D3265" s="19" t="s">
        <v>401</v>
      </c>
      <c r="E3265" s="19" t="s">
        <v>402</v>
      </c>
      <c r="F3265" s="19" t="s">
        <v>1314</v>
      </c>
      <c r="G3265" s="19" t="s">
        <v>3508</v>
      </c>
      <c r="H3265" s="19" t="s">
        <v>1020</v>
      </c>
      <c r="I3265" s="19" t="s">
        <v>1575</v>
      </c>
      <c r="J3265" s="20">
        <v>17</v>
      </c>
      <c r="K3265" t="s">
        <v>668</v>
      </c>
      <c r="L3265" t="s">
        <v>691</v>
      </c>
      <c r="M3265" t="s">
        <v>657</v>
      </c>
      <c r="N3265" t="s">
        <v>658</v>
      </c>
      <c r="O3265" t="s">
        <v>632</v>
      </c>
    </row>
    <row r="3266" spans="1:15" x14ac:dyDescent="0.35">
      <c r="A3266" s="77">
        <v>0.45753424657534247</v>
      </c>
      <c r="B3266" s="19">
        <v>99308</v>
      </c>
      <c r="C3266" s="19" t="s">
        <v>5560</v>
      </c>
      <c r="D3266" s="19" t="s">
        <v>204</v>
      </c>
      <c r="E3266" s="19" t="s">
        <v>205</v>
      </c>
      <c r="F3266" s="19" t="s">
        <v>1090</v>
      </c>
      <c r="G3266" s="19" t="s">
        <v>3508</v>
      </c>
      <c r="H3266" s="19" t="s">
        <v>1020</v>
      </c>
      <c r="I3266" s="19" t="s">
        <v>1575</v>
      </c>
      <c r="J3266" s="20">
        <v>14</v>
      </c>
      <c r="K3266" t="s">
        <v>668</v>
      </c>
      <c r="L3266" t="s">
        <v>634</v>
      </c>
      <c r="M3266" t="s">
        <v>629</v>
      </c>
      <c r="N3266" t="s">
        <v>635</v>
      </c>
      <c r="O3266" t="s">
        <v>637</v>
      </c>
    </row>
    <row r="3267" spans="1:15" x14ac:dyDescent="0.35">
      <c r="A3267" s="77">
        <v>0.45753424657534247</v>
      </c>
      <c r="B3267" s="19">
        <v>99310</v>
      </c>
      <c r="C3267" s="19" t="s">
        <v>5561</v>
      </c>
      <c r="D3267" s="19" t="s">
        <v>124</v>
      </c>
      <c r="E3267" s="19" t="s">
        <v>125</v>
      </c>
      <c r="F3267" s="19" t="s">
        <v>1398</v>
      </c>
      <c r="G3267" s="19" t="s">
        <v>3508</v>
      </c>
      <c r="H3267" s="19" t="s">
        <v>1020</v>
      </c>
      <c r="I3267" s="19" t="s">
        <v>1599</v>
      </c>
      <c r="J3267" s="20">
        <v>14</v>
      </c>
      <c r="K3267" t="s">
        <v>654</v>
      </c>
      <c r="L3267" t="s">
        <v>661</v>
      </c>
      <c r="M3267" t="s">
        <v>657</v>
      </c>
      <c r="N3267" t="s">
        <v>662</v>
      </c>
      <c r="O3267" t="s">
        <v>632</v>
      </c>
    </row>
    <row r="3268" spans="1:15" x14ac:dyDescent="0.35">
      <c r="A3268" s="77">
        <v>0.45479452054794522</v>
      </c>
      <c r="B3268" s="19">
        <v>99316</v>
      </c>
      <c r="C3268" s="19" t="s">
        <v>5562</v>
      </c>
      <c r="D3268" s="19" t="s">
        <v>349</v>
      </c>
      <c r="E3268" s="19" t="s">
        <v>350</v>
      </c>
      <c r="F3268" s="19" t="s">
        <v>912</v>
      </c>
      <c r="G3268" s="19" t="s">
        <v>1028</v>
      </c>
      <c r="H3268" s="19" t="s">
        <v>1020</v>
      </c>
      <c r="I3268" s="19" t="s">
        <v>1575</v>
      </c>
      <c r="J3268" s="20">
        <v>19</v>
      </c>
      <c r="K3268" t="s">
        <v>625</v>
      </c>
      <c r="L3268" t="s">
        <v>648</v>
      </c>
      <c r="M3268" t="s">
        <v>623</v>
      </c>
      <c r="N3268" t="s">
        <v>624</v>
      </c>
      <c r="O3268" t="s">
        <v>649</v>
      </c>
    </row>
    <row r="3269" spans="1:15" x14ac:dyDescent="0.35">
      <c r="A3269" s="77">
        <v>0.45479452054794522</v>
      </c>
      <c r="B3269" s="19">
        <v>99317</v>
      </c>
      <c r="C3269" s="19" t="s">
        <v>5563</v>
      </c>
      <c r="D3269" s="19" t="s">
        <v>337</v>
      </c>
      <c r="E3269" s="19" t="s">
        <v>338</v>
      </c>
      <c r="F3269" s="19" t="s">
        <v>2642</v>
      </c>
      <c r="G3269" s="19" t="s">
        <v>1028</v>
      </c>
      <c r="H3269" s="19" t="s">
        <v>1020</v>
      </c>
      <c r="I3269" s="19" t="s">
        <v>1575</v>
      </c>
      <c r="J3269" s="20">
        <v>27</v>
      </c>
      <c r="K3269" t="s">
        <v>668</v>
      </c>
      <c r="L3269" t="s">
        <v>656</v>
      </c>
      <c r="M3269" t="s">
        <v>657</v>
      </c>
      <c r="N3269" t="s">
        <v>658</v>
      </c>
      <c r="O3269" t="s">
        <v>843</v>
      </c>
    </row>
    <row r="3270" spans="1:15" x14ac:dyDescent="0.35">
      <c r="A3270" s="77">
        <v>0.45479452054794522</v>
      </c>
      <c r="B3270" s="19">
        <v>99318</v>
      </c>
      <c r="C3270" s="19" t="s">
        <v>5564</v>
      </c>
      <c r="D3270" s="19" t="s">
        <v>355</v>
      </c>
      <c r="E3270" s="19" t="s">
        <v>356</v>
      </c>
      <c r="F3270" s="19" t="s">
        <v>1100</v>
      </c>
      <c r="G3270" s="19" t="s">
        <v>1028</v>
      </c>
      <c r="H3270" s="19" t="s">
        <v>1020</v>
      </c>
      <c r="I3270" s="19" t="s">
        <v>1575</v>
      </c>
      <c r="J3270" s="20">
        <v>21</v>
      </c>
      <c r="K3270" t="s">
        <v>625</v>
      </c>
      <c r="L3270" t="s">
        <v>622</v>
      </c>
      <c r="M3270" t="s">
        <v>623</v>
      </c>
      <c r="N3270" t="s">
        <v>624</v>
      </c>
      <c r="O3270" t="s">
        <v>649</v>
      </c>
    </row>
    <row r="3271" spans="1:15" x14ac:dyDescent="0.35">
      <c r="A3271" s="77">
        <v>0.45479452054794522</v>
      </c>
      <c r="B3271" s="19">
        <v>99320</v>
      </c>
      <c r="C3271" s="19" t="s">
        <v>5565</v>
      </c>
      <c r="D3271" s="19" t="s">
        <v>118</v>
      </c>
      <c r="E3271" s="19" t="s">
        <v>119</v>
      </c>
      <c r="F3271" s="19" t="s">
        <v>1360</v>
      </c>
      <c r="G3271" s="19" t="s">
        <v>1028</v>
      </c>
      <c r="H3271" s="19" t="s">
        <v>1020</v>
      </c>
      <c r="I3271" s="19" t="s">
        <v>1575</v>
      </c>
      <c r="J3271" s="20">
        <v>23</v>
      </c>
      <c r="K3271" t="s">
        <v>625</v>
      </c>
      <c r="L3271" t="s">
        <v>656</v>
      </c>
      <c r="M3271" t="s">
        <v>657</v>
      </c>
      <c r="N3271" t="s">
        <v>658</v>
      </c>
      <c r="O3271" t="s">
        <v>632</v>
      </c>
    </row>
    <row r="3272" spans="1:15" x14ac:dyDescent="0.35">
      <c r="A3272" s="77">
        <v>0.45479452054794522</v>
      </c>
      <c r="B3272" s="19">
        <v>99325</v>
      </c>
      <c r="C3272" s="19" t="s">
        <v>5566</v>
      </c>
      <c r="D3272" s="19" t="s">
        <v>424</v>
      </c>
      <c r="E3272" s="19" t="s">
        <v>424</v>
      </c>
      <c r="F3272" s="19" t="s">
        <v>699</v>
      </c>
      <c r="G3272" s="19" t="s">
        <v>1046</v>
      </c>
      <c r="H3272" s="19" t="s">
        <v>1001</v>
      </c>
      <c r="I3272" s="19" t="s">
        <v>1599</v>
      </c>
      <c r="J3272" s="20">
        <v>25</v>
      </c>
      <c r="K3272" t="s">
        <v>642</v>
      </c>
      <c r="L3272" t="s">
        <v>628</v>
      </c>
      <c r="M3272" t="s">
        <v>629</v>
      </c>
      <c r="N3272" t="s">
        <v>646</v>
      </c>
      <c r="O3272" t="s">
        <v>632</v>
      </c>
    </row>
    <row r="3273" spans="1:15" x14ac:dyDescent="0.35">
      <c r="A3273" s="77">
        <v>0.45205479452054792</v>
      </c>
      <c r="B3273" s="19">
        <v>99327</v>
      </c>
      <c r="C3273" s="19" t="s">
        <v>5567</v>
      </c>
      <c r="D3273" s="19" t="s">
        <v>39</v>
      </c>
      <c r="E3273" s="19" t="s">
        <v>39</v>
      </c>
      <c r="F3273" s="19" t="s">
        <v>1168</v>
      </c>
      <c r="G3273" s="19" t="s">
        <v>1057</v>
      </c>
      <c r="H3273" s="19" t="s">
        <v>1001</v>
      </c>
      <c r="I3273" s="19" t="s">
        <v>1575</v>
      </c>
      <c r="J3273" s="20">
        <v>29</v>
      </c>
      <c r="K3273" t="s">
        <v>636</v>
      </c>
      <c r="L3273" t="s">
        <v>661</v>
      </c>
      <c r="M3273" t="s">
        <v>657</v>
      </c>
      <c r="N3273" t="s">
        <v>662</v>
      </c>
      <c r="O3273" t="s">
        <v>632</v>
      </c>
    </row>
    <row r="3274" spans="1:15" x14ac:dyDescent="0.35">
      <c r="A3274" s="77">
        <v>0.45205479452054792</v>
      </c>
      <c r="B3274" s="19">
        <v>99330</v>
      </c>
      <c r="C3274" s="19" t="s">
        <v>5568</v>
      </c>
      <c r="D3274" s="19" t="s">
        <v>245</v>
      </c>
      <c r="E3274" s="19" t="s">
        <v>246</v>
      </c>
      <c r="F3274" s="19" t="s">
        <v>1365</v>
      </c>
      <c r="G3274" s="19" t="s">
        <v>1008</v>
      </c>
      <c r="H3274" s="19" t="s">
        <v>1001</v>
      </c>
      <c r="I3274" s="19" t="s">
        <v>1575</v>
      </c>
      <c r="J3274" s="20">
        <v>21</v>
      </c>
      <c r="K3274" t="s">
        <v>654</v>
      </c>
      <c r="L3274" t="s">
        <v>678</v>
      </c>
      <c r="M3274" t="s">
        <v>623</v>
      </c>
      <c r="N3274" t="s">
        <v>624</v>
      </c>
      <c r="O3274" t="s">
        <v>679</v>
      </c>
    </row>
    <row r="3275" spans="1:15" x14ac:dyDescent="0.35">
      <c r="A3275" s="77">
        <v>0.45205479452054792</v>
      </c>
      <c r="B3275" s="19">
        <v>99331</v>
      </c>
      <c r="C3275" s="19" t="s">
        <v>5569</v>
      </c>
      <c r="D3275" s="19" t="s">
        <v>328</v>
      </c>
      <c r="E3275" s="19" t="s">
        <v>329</v>
      </c>
      <c r="F3275" s="19" t="s">
        <v>838</v>
      </c>
      <c r="G3275" s="19" t="s">
        <v>1008</v>
      </c>
      <c r="H3275" s="19" t="s">
        <v>1001</v>
      </c>
      <c r="I3275" s="19" t="s">
        <v>1575</v>
      </c>
      <c r="J3275" s="20">
        <v>22</v>
      </c>
      <c r="K3275" t="s">
        <v>631</v>
      </c>
      <c r="L3275" t="s">
        <v>645</v>
      </c>
      <c r="M3275" t="s">
        <v>629</v>
      </c>
      <c r="N3275" t="s">
        <v>646</v>
      </c>
      <c r="O3275" t="s">
        <v>632</v>
      </c>
    </row>
    <row r="3276" spans="1:15" x14ac:dyDescent="0.35">
      <c r="A3276" s="77">
        <v>0.45205479452054792</v>
      </c>
      <c r="B3276" s="19">
        <v>99333</v>
      </c>
      <c r="C3276" s="19" t="s">
        <v>5570</v>
      </c>
      <c r="D3276" s="19" t="s">
        <v>328</v>
      </c>
      <c r="E3276" s="19" t="s">
        <v>329</v>
      </c>
      <c r="F3276" s="19" t="s">
        <v>838</v>
      </c>
      <c r="G3276" s="19" t="s">
        <v>1028</v>
      </c>
      <c r="H3276" s="19" t="s">
        <v>1020</v>
      </c>
      <c r="I3276" s="19" t="s">
        <v>1599</v>
      </c>
      <c r="J3276" s="20">
        <v>18</v>
      </c>
      <c r="K3276" t="s">
        <v>631</v>
      </c>
      <c r="L3276" t="s">
        <v>645</v>
      </c>
      <c r="M3276" t="s">
        <v>629</v>
      </c>
      <c r="N3276" t="s">
        <v>646</v>
      </c>
      <c r="O3276" t="s">
        <v>632</v>
      </c>
    </row>
    <row r="3277" spans="1:15" x14ac:dyDescent="0.35">
      <c r="A3277" s="77">
        <v>0.45205479452054792</v>
      </c>
      <c r="B3277" s="19">
        <v>99335</v>
      </c>
      <c r="C3277" s="19" t="s">
        <v>5571</v>
      </c>
      <c r="D3277" s="19" t="s">
        <v>199</v>
      </c>
      <c r="E3277" s="19" t="s">
        <v>200</v>
      </c>
      <c r="F3277" s="19" t="s">
        <v>1496</v>
      </c>
      <c r="G3277" s="19" t="s">
        <v>1057</v>
      </c>
      <c r="H3277" s="19" t="s">
        <v>1001</v>
      </c>
      <c r="I3277" s="19" t="s">
        <v>1575</v>
      </c>
      <c r="J3277" s="20">
        <v>23</v>
      </c>
      <c r="K3277" t="s">
        <v>654</v>
      </c>
      <c r="L3277" t="s">
        <v>737</v>
      </c>
      <c r="M3277" t="s">
        <v>657</v>
      </c>
      <c r="N3277" t="s">
        <v>641</v>
      </c>
      <c r="O3277" t="s">
        <v>738</v>
      </c>
    </row>
    <row r="3278" spans="1:15" x14ac:dyDescent="0.35">
      <c r="A3278" s="77">
        <v>0.45205479452054792</v>
      </c>
      <c r="B3278" s="19">
        <v>99338</v>
      </c>
      <c r="C3278" s="19" t="s">
        <v>5572</v>
      </c>
      <c r="D3278" s="19" t="s">
        <v>145</v>
      </c>
      <c r="E3278" s="19" t="s">
        <v>146</v>
      </c>
      <c r="F3278" s="19" t="s">
        <v>1015</v>
      </c>
      <c r="G3278" s="19" t="s">
        <v>1028</v>
      </c>
      <c r="H3278" s="19" t="s">
        <v>1020</v>
      </c>
      <c r="I3278" s="19" t="s">
        <v>1575</v>
      </c>
      <c r="J3278" s="20">
        <v>23</v>
      </c>
      <c r="K3278" t="s">
        <v>636</v>
      </c>
      <c r="L3278" t="s">
        <v>737</v>
      </c>
      <c r="M3278" t="s">
        <v>657</v>
      </c>
      <c r="N3278" t="s">
        <v>641</v>
      </c>
      <c r="O3278" t="s">
        <v>757</v>
      </c>
    </row>
    <row r="3279" spans="1:15" x14ac:dyDescent="0.35">
      <c r="A3279" s="77">
        <v>0.44931506849315067</v>
      </c>
      <c r="B3279" s="19">
        <v>99343</v>
      </c>
      <c r="C3279" s="19" t="s">
        <v>5573</v>
      </c>
      <c r="D3279" s="19" t="s">
        <v>45</v>
      </c>
      <c r="E3279" s="19" t="s">
        <v>46</v>
      </c>
      <c r="F3279" s="19" t="s">
        <v>1122</v>
      </c>
      <c r="G3279" s="19" t="s">
        <v>1008</v>
      </c>
      <c r="H3279" s="19" t="s">
        <v>1001</v>
      </c>
      <c r="I3279" s="19" t="s">
        <v>1599</v>
      </c>
      <c r="J3279" s="20">
        <v>22</v>
      </c>
      <c r="K3279" t="s">
        <v>631</v>
      </c>
      <c r="L3279" t="s">
        <v>651</v>
      </c>
      <c r="M3279" t="s">
        <v>629</v>
      </c>
      <c r="N3279" t="s">
        <v>630</v>
      </c>
      <c r="O3279" t="s">
        <v>705</v>
      </c>
    </row>
    <row r="3280" spans="1:15" x14ac:dyDescent="0.35">
      <c r="A3280" s="77">
        <v>0.44931506849315067</v>
      </c>
      <c r="B3280" s="19">
        <v>99344</v>
      </c>
      <c r="C3280" s="19" t="s">
        <v>5574</v>
      </c>
      <c r="D3280" s="19" t="s">
        <v>151</v>
      </c>
      <c r="E3280" s="19" t="s">
        <v>152</v>
      </c>
      <c r="F3280" s="19" t="s">
        <v>1557</v>
      </c>
      <c r="G3280" s="19" t="s">
        <v>1028</v>
      </c>
      <c r="H3280" s="19" t="s">
        <v>1020</v>
      </c>
      <c r="I3280" s="19" t="s">
        <v>1575</v>
      </c>
      <c r="J3280" s="20">
        <v>21</v>
      </c>
      <c r="K3280" t="s">
        <v>654</v>
      </c>
      <c r="L3280" t="s">
        <v>691</v>
      </c>
      <c r="M3280" t="s">
        <v>657</v>
      </c>
      <c r="N3280" t="s">
        <v>658</v>
      </c>
      <c r="O3280" t="s">
        <v>632</v>
      </c>
    </row>
    <row r="3281" spans="1:15" x14ac:dyDescent="0.35">
      <c r="A3281" s="77">
        <v>0.45205479452054792</v>
      </c>
      <c r="B3281" s="19">
        <v>99346</v>
      </c>
      <c r="C3281" s="19" t="s">
        <v>5575</v>
      </c>
      <c r="D3281" s="19" t="s">
        <v>53</v>
      </c>
      <c r="E3281" s="19" t="s">
        <v>54</v>
      </c>
      <c r="F3281" s="19" t="s">
        <v>1308</v>
      </c>
      <c r="G3281" s="19" t="s">
        <v>1084</v>
      </c>
      <c r="H3281" s="19" t="s">
        <v>1001</v>
      </c>
      <c r="I3281" s="19" t="s">
        <v>1599</v>
      </c>
      <c r="J3281" s="20">
        <v>21</v>
      </c>
      <c r="K3281" t="s">
        <v>668</v>
      </c>
      <c r="L3281" t="s">
        <v>691</v>
      </c>
      <c r="M3281" t="s">
        <v>657</v>
      </c>
      <c r="N3281" t="s">
        <v>658</v>
      </c>
      <c r="O3281" t="s">
        <v>632</v>
      </c>
    </row>
    <row r="3282" spans="1:15" x14ac:dyDescent="0.35">
      <c r="A3282" s="77">
        <v>0.44931506849315067</v>
      </c>
      <c r="B3282" s="19">
        <v>99347</v>
      </c>
      <c r="C3282" s="19" t="s">
        <v>5576</v>
      </c>
      <c r="D3282" s="19" t="s">
        <v>430</v>
      </c>
      <c r="E3282" s="19" t="e">
        <v>#N/A</v>
      </c>
      <c r="F3282" s="19" t="s">
        <v>1105</v>
      </c>
      <c r="G3282" s="19" t="s">
        <v>1045</v>
      </c>
      <c r="H3282" s="19" t="s">
        <v>1001</v>
      </c>
      <c r="I3282" s="19" t="s">
        <v>1599</v>
      </c>
      <c r="J3282" s="20">
        <v>37</v>
      </c>
      <c r="K3282" t="s">
        <v>654</v>
      </c>
      <c r="L3282" t="s">
        <v>645</v>
      </c>
      <c r="M3282" t="s">
        <v>629</v>
      </c>
      <c r="N3282" t="s">
        <v>646</v>
      </c>
      <c r="O3282" t="s">
        <v>632</v>
      </c>
    </row>
    <row r="3283" spans="1:15" x14ac:dyDescent="0.35">
      <c r="A3283" s="77">
        <v>0.44931506849315067</v>
      </c>
      <c r="B3283" s="19">
        <v>99349</v>
      </c>
      <c r="C3283" s="19" t="s">
        <v>5577</v>
      </c>
      <c r="D3283" s="19" t="s">
        <v>379</v>
      </c>
      <c r="E3283" s="19" t="s">
        <v>380</v>
      </c>
      <c r="F3283" s="19" t="s">
        <v>381</v>
      </c>
      <c r="G3283" s="19" t="s">
        <v>1019</v>
      </c>
      <c r="H3283" s="19" t="s">
        <v>1020</v>
      </c>
      <c r="I3283" s="19" t="s">
        <v>1575</v>
      </c>
      <c r="J3283" s="20">
        <v>24</v>
      </c>
      <c r="K3283" t="s">
        <v>636</v>
      </c>
      <c r="L3283" t="s">
        <v>628</v>
      </c>
      <c r="M3283" t="s">
        <v>629</v>
      </c>
      <c r="N3283" t="s">
        <v>630</v>
      </c>
      <c r="O3283" t="s">
        <v>632</v>
      </c>
    </row>
    <row r="3284" spans="1:15" x14ac:dyDescent="0.35">
      <c r="A3284" s="77">
        <v>0.44931506849315067</v>
      </c>
      <c r="B3284" s="19">
        <v>99354</v>
      </c>
      <c r="C3284" s="19" t="s">
        <v>5578</v>
      </c>
      <c r="D3284" s="19" t="s">
        <v>151</v>
      </c>
      <c r="E3284" s="19" t="s">
        <v>152</v>
      </c>
      <c r="F3284" s="19" t="s">
        <v>1557</v>
      </c>
      <c r="G3284" s="19" t="s">
        <v>1019</v>
      </c>
      <c r="H3284" s="19" t="s">
        <v>1020</v>
      </c>
      <c r="I3284" s="19" t="s">
        <v>1575</v>
      </c>
      <c r="J3284" s="20">
        <v>20</v>
      </c>
      <c r="K3284" t="s">
        <v>654</v>
      </c>
      <c r="L3284" t="s">
        <v>691</v>
      </c>
      <c r="M3284" t="s">
        <v>657</v>
      </c>
      <c r="N3284" t="s">
        <v>658</v>
      </c>
      <c r="O3284" t="s">
        <v>632</v>
      </c>
    </row>
    <row r="3285" spans="1:15" x14ac:dyDescent="0.35">
      <c r="A3285" s="77">
        <v>0.44931506849315067</v>
      </c>
      <c r="B3285" s="19">
        <v>99357</v>
      </c>
      <c r="C3285" s="19" t="s">
        <v>5579</v>
      </c>
      <c r="D3285" s="19" t="s">
        <v>118</v>
      </c>
      <c r="E3285" s="19" t="s">
        <v>119</v>
      </c>
      <c r="F3285" s="19" t="s">
        <v>1360</v>
      </c>
      <c r="G3285" s="19" t="s">
        <v>1028</v>
      </c>
      <c r="H3285" s="19" t="s">
        <v>1020</v>
      </c>
      <c r="I3285" s="19" t="s">
        <v>1575</v>
      </c>
      <c r="J3285" s="20">
        <v>24</v>
      </c>
      <c r="K3285" t="s">
        <v>625</v>
      </c>
      <c r="L3285" t="s">
        <v>656</v>
      </c>
      <c r="M3285" t="s">
        <v>657</v>
      </c>
      <c r="N3285" t="s">
        <v>658</v>
      </c>
      <c r="O3285" t="s">
        <v>632</v>
      </c>
    </row>
    <row r="3286" spans="1:15" x14ac:dyDescent="0.35">
      <c r="A3286" s="77">
        <v>0.44931506849315067</v>
      </c>
      <c r="B3286" s="19">
        <v>99358</v>
      </c>
      <c r="C3286" s="19" t="s">
        <v>5580</v>
      </c>
      <c r="D3286" s="19" t="s">
        <v>355</v>
      </c>
      <c r="E3286" s="19" t="s">
        <v>356</v>
      </c>
      <c r="F3286" s="19" t="s">
        <v>1100</v>
      </c>
      <c r="G3286" s="19" t="s">
        <v>1008</v>
      </c>
      <c r="H3286" s="19" t="s">
        <v>1001</v>
      </c>
      <c r="I3286" s="19" t="s">
        <v>1575</v>
      </c>
      <c r="J3286" s="20">
        <v>35</v>
      </c>
      <c r="K3286" t="s">
        <v>625</v>
      </c>
      <c r="L3286" t="s">
        <v>622</v>
      </c>
      <c r="M3286" t="s">
        <v>623</v>
      </c>
      <c r="N3286" t="s">
        <v>624</v>
      </c>
      <c r="O3286" t="s">
        <v>649</v>
      </c>
    </row>
    <row r="3287" spans="1:15" x14ac:dyDescent="0.35">
      <c r="A3287" s="77">
        <v>0.44657534246575342</v>
      </c>
      <c r="B3287" s="19">
        <v>99368</v>
      </c>
      <c r="C3287" s="19" t="s">
        <v>5581</v>
      </c>
      <c r="D3287" s="19" t="s">
        <v>62</v>
      </c>
      <c r="E3287" s="19" t="s">
        <v>63</v>
      </c>
      <c r="F3287" s="19" t="s">
        <v>1228</v>
      </c>
      <c r="G3287" s="19" t="s">
        <v>1019</v>
      </c>
      <c r="H3287" s="19" t="s">
        <v>1020</v>
      </c>
      <c r="I3287" s="19" t="s">
        <v>1575</v>
      </c>
      <c r="J3287" s="20">
        <v>19</v>
      </c>
      <c r="K3287" t="s">
        <v>636</v>
      </c>
      <c r="L3287" t="s">
        <v>645</v>
      </c>
      <c r="M3287" t="s">
        <v>629</v>
      </c>
      <c r="N3287" t="s">
        <v>646</v>
      </c>
      <c r="O3287" t="s">
        <v>632</v>
      </c>
    </row>
    <row r="3288" spans="1:15" x14ac:dyDescent="0.35">
      <c r="A3288" s="77">
        <v>0.44657534246575342</v>
      </c>
      <c r="B3288" s="19">
        <v>99371</v>
      </c>
      <c r="C3288" s="19" t="s">
        <v>5582</v>
      </c>
      <c r="D3288" s="19" t="s">
        <v>417</v>
      </c>
      <c r="E3288" s="19" t="s">
        <v>417</v>
      </c>
      <c r="F3288" s="19" t="s">
        <v>418</v>
      </c>
      <c r="G3288" s="19" t="s">
        <v>1028</v>
      </c>
      <c r="H3288" s="19" t="s">
        <v>1020</v>
      </c>
      <c r="I3288" s="19" t="s">
        <v>1575</v>
      </c>
      <c r="J3288" s="20">
        <v>21</v>
      </c>
      <c r="K3288" t="s">
        <v>654</v>
      </c>
      <c r="L3288" t="s">
        <v>684</v>
      </c>
      <c r="M3288" t="s">
        <v>623</v>
      </c>
      <c r="N3288" t="s">
        <v>662</v>
      </c>
      <c r="O3288" t="s">
        <v>687</v>
      </c>
    </row>
    <row r="3289" spans="1:15" x14ac:dyDescent="0.35">
      <c r="A3289" s="77">
        <v>0.44657534246575342</v>
      </c>
      <c r="B3289" s="19">
        <v>99372</v>
      </c>
      <c r="C3289" s="19" t="s">
        <v>5583</v>
      </c>
      <c r="D3289" s="19" t="s">
        <v>8</v>
      </c>
      <c r="E3289" s="19" t="s">
        <v>8</v>
      </c>
      <c r="F3289" s="19" t="s">
        <v>1176</v>
      </c>
      <c r="G3289" s="19" t="s">
        <v>1057</v>
      </c>
      <c r="H3289" s="19" t="s">
        <v>1001</v>
      </c>
      <c r="I3289" s="19" t="s">
        <v>1575</v>
      </c>
      <c r="J3289" s="20">
        <v>34</v>
      </c>
      <c r="K3289" t="s">
        <v>625</v>
      </c>
      <c r="L3289" t="s">
        <v>622</v>
      </c>
      <c r="M3289" t="s">
        <v>623</v>
      </c>
      <c r="N3289" t="s">
        <v>624</v>
      </c>
      <c r="O3289" t="s">
        <v>626</v>
      </c>
    </row>
    <row r="3290" spans="1:15" x14ac:dyDescent="0.35">
      <c r="A3290" s="77">
        <v>0.44657534246575342</v>
      </c>
      <c r="B3290" s="19">
        <v>99374</v>
      </c>
      <c r="C3290" s="19" t="s">
        <v>5584</v>
      </c>
      <c r="D3290" s="19" t="s">
        <v>307</v>
      </c>
      <c r="E3290" s="19" t="s">
        <v>308</v>
      </c>
      <c r="F3290" s="19" t="s">
        <v>1524</v>
      </c>
      <c r="G3290" s="19" t="s">
        <v>1028</v>
      </c>
      <c r="H3290" s="19" t="s">
        <v>1020</v>
      </c>
      <c r="I3290" s="19" t="s">
        <v>1575</v>
      </c>
      <c r="J3290" s="20">
        <v>22</v>
      </c>
      <c r="K3290" t="s">
        <v>668</v>
      </c>
      <c r="L3290" t="s">
        <v>656</v>
      </c>
      <c r="M3290" t="s">
        <v>657</v>
      </c>
      <c r="N3290" t="s">
        <v>658</v>
      </c>
      <c r="O3290" t="s">
        <v>718</v>
      </c>
    </row>
    <row r="3291" spans="1:15" x14ac:dyDescent="0.35">
      <c r="A3291" s="77">
        <v>0.44383561643835617</v>
      </c>
      <c r="B3291" s="19">
        <v>99375</v>
      </c>
      <c r="C3291" s="19" t="s">
        <v>5585</v>
      </c>
      <c r="D3291" s="19" t="s">
        <v>427</v>
      </c>
      <c r="E3291" s="19" t="s">
        <v>427</v>
      </c>
      <c r="F3291" s="19" t="s">
        <v>1290</v>
      </c>
      <c r="G3291" s="19" t="s">
        <v>1028</v>
      </c>
      <c r="H3291" s="19" t="s">
        <v>1020</v>
      </c>
      <c r="I3291" s="19" t="s">
        <v>1599</v>
      </c>
      <c r="J3291" s="20">
        <v>20</v>
      </c>
      <c r="K3291" t="s">
        <v>654</v>
      </c>
      <c r="L3291" t="s">
        <v>651</v>
      </c>
      <c r="M3291" t="s">
        <v>629</v>
      </c>
      <c r="N3291" t="s">
        <v>630</v>
      </c>
      <c r="O3291" t="s">
        <v>652</v>
      </c>
    </row>
    <row r="3292" spans="1:15" x14ac:dyDescent="0.35">
      <c r="A3292" s="77">
        <v>0.44383561643835617</v>
      </c>
      <c r="B3292" s="19">
        <v>99377</v>
      </c>
      <c r="C3292" s="19" t="s">
        <v>5586</v>
      </c>
      <c r="D3292" s="19" t="s">
        <v>41</v>
      </c>
      <c r="E3292" s="19" t="s">
        <v>41</v>
      </c>
      <c r="F3292" s="19" t="s">
        <v>1157</v>
      </c>
      <c r="G3292" s="19" t="s">
        <v>1008</v>
      </c>
      <c r="H3292" s="19" t="s">
        <v>1001</v>
      </c>
      <c r="I3292" s="19" t="s">
        <v>1575</v>
      </c>
      <c r="J3292" s="20">
        <v>19</v>
      </c>
      <c r="K3292" t="s">
        <v>625</v>
      </c>
      <c r="L3292" t="s">
        <v>691</v>
      </c>
      <c r="M3292" t="s">
        <v>657</v>
      </c>
      <c r="N3292" t="s">
        <v>658</v>
      </c>
      <c r="O3292" t="s">
        <v>632</v>
      </c>
    </row>
    <row r="3293" spans="1:15" x14ac:dyDescent="0.35">
      <c r="A3293" s="77">
        <v>0.44383561643835617</v>
      </c>
      <c r="B3293" s="19">
        <v>99378</v>
      </c>
      <c r="C3293" s="19" t="s">
        <v>5587</v>
      </c>
      <c r="D3293" s="19" t="s">
        <v>41</v>
      </c>
      <c r="E3293" s="19" t="s">
        <v>41</v>
      </c>
      <c r="F3293" s="19" t="s">
        <v>1157</v>
      </c>
      <c r="G3293" s="19" t="s">
        <v>1028</v>
      </c>
      <c r="H3293" s="19" t="s">
        <v>1020</v>
      </c>
      <c r="I3293" s="19" t="s">
        <v>1575</v>
      </c>
      <c r="J3293" s="20">
        <v>20</v>
      </c>
      <c r="K3293" t="s">
        <v>625</v>
      </c>
      <c r="L3293" t="s">
        <v>691</v>
      </c>
      <c r="M3293" t="s">
        <v>657</v>
      </c>
      <c r="N3293" t="s">
        <v>658</v>
      </c>
      <c r="O3293" t="s">
        <v>632</v>
      </c>
    </row>
    <row r="3294" spans="1:15" x14ac:dyDescent="0.35">
      <c r="A3294" s="77">
        <v>0.44383561643835617</v>
      </c>
      <c r="B3294" s="19">
        <v>99379</v>
      </c>
      <c r="C3294" s="19" t="s">
        <v>5588</v>
      </c>
      <c r="D3294" s="19" t="s">
        <v>41</v>
      </c>
      <c r="E3294" s="19" t="s">
        <v>41</v>
      </c>
      <c r="F3294" s="19" t="s">
        <v>1157</v>
      </c>
      <c r="G3294" s="19" t="s">
        <v>1028</v>
      </c>
      <c r="H3294" s="19" t="s">
        <v>1020</v>
      </c>
      <c r="I3294" s="19" t="s">
        <v>1575</v>
      </c>
      <c r="J3294" s="20">
        <v>21</v>
      </c>
      <c r="K3294" t="s">
        <v>625</v>
      </c>
      <c r="L3294" t="s">
        <v>691</v>
      </c>
      <c r="M3294" t="s">
        <v>657</v>
      </c>
      <c r="N3294" t="s">
        <v>658</v>
      </c>
      <c r="O3294" t="s">
        <v>632</v>
      </c>
    </row>
    <row r="3295" spans="1:15" x14ac:dyDescent="0.35">
      <c r="A3295" s="77">
        <v>0.44383561643835617</v>
      </c>
      <c r="B3295" s="19">
        <v>99385</v>
      </c>
      <c r="C3295" s="19" t="s">
        <v>5589</v>
      </c>
      <c r="D3295" s="19" t="s">
        <v>91</v>
      </c>
      <c r="E3295" s="19" t="s">
        <v>92</v>
      </c>
      <c r="F3295" s="19" t="s">
        <v>1113</v>
      </c>
      <c r="G3295" s="19" t="s">
        <v>1028</v>
      </c>
      <c r="H3295" s="19" t="s">
        <v>1020</v>
      </c>
      <c r="I3295" s="19" t="s">
        <v>1575</v>
      </c>
      <c r="J3295" s="20">
        <v>25</v>
      </c>
      <c r="K3295" t="s">
        <v>636</v>
      </c>
      <c r="L3295" t="s">
        <v>634</v>
      </c>
      <c r="M3295" t="s">
        <v>629</v>
      </c>
      <c r="N3295" t="s">
        <v>630</v>
      </c>
      <c r="O3295" t="s">
        <v>734</v>
      </c>
    </row>
    <row r="3296" spans="1:15" x14ac:dyDescent="0.35">
      <c r="A3296" s="77">
        <v>0.44383561643835617</v>
      </c>
      <c r="B3296" s="19">
        <v>99391</v>
      </c>
      <c r="C3296" s="19" t="s">
        <v>5590</v>
      </c>
      <c r="D3296" s="19" t="s">
        <v>186</v>
      </c>
      <c r="E3296" s="19" t="s">
        <v>187</v>
      </c>
      <c r="F3296" s="19" t="s">
        <v>1164</v>
      </c>
      <c r="G3296" s="19" t="s">
        <v>1028</v>
      </c>
      <c r="H3296" s="19" t="s">
        <v>1020</v>
      </c>
      <c r="I3296" s="19" t="s">
        <v>1575</v>
      </c>
      <c r="J3296" s="20">
        <v>20</v>
      </c>
      <c r="K3296" t="s">
        <v>642</v>
      </c>
      <c r="L3296" t="s">
        <v>648</v>
      </c>
      <c r="M3296" t="s">
        <v>623</v>
      </c>
      <c r="N3296" t="s">
        <v>624</v>
      </c>
      <c r="O3296" t="s">
        <v>649</v>
      </c>
    </row>
    <row r="3297" spans="1:15" x14ac:dyDescent="0.35">
      <c r="A3297" s="77">
        <v>0.44383561643835617</v>
      </c>
      <c r="B3297" s="19">
        <v>99394</v>
      </c>
      <c r="C3297" s="19" t="s">
        <v>5591</v>
      </c>
      <c r="D3297" s="19" t="s">
        <v>425</v>
      </c>
      <c r="E3297" s="19" t="s">
        <v>425</v>
      </c>
      <c r="F3297" s="19" t="s">
        <v>1330</v>
      </c>
      <c r="G3297" s="19" t="s">
        <v>1008</v>
      </c>
      <c r="H3297" s="19" t="s">
        <v>1001</v>
      </c>
      <c r="I3297" s="19" t="s">
        <v>1575</v>
      </c>
      <c r="J3297" s="20">
        <v>24</v>
      </c>
      <c r="K3297" t="s">
        <v>654</v>
      </c>
      <c r="L3297" t="s">
        <v>678</v>
      </c>
      <c r="M3297" t="s">
        <v>623</v>
      </c>
      <c r="N3297" t="s">
        <v>624</v>
      </c>
      <c r="O3297" t="s">
        <v>689</v>
      </c>
    </row>
    <row r="3298" spans="1:15" x14ac:dyDescent="0.35">
      <c r="A3298" s="77">
        <v>0.44383561643835617</v>
      </c>
      <c r="B3298" s="19">
        <v>99395</v>
      </c>
      <c r="C3298" s="19" t="s">
        <v>5592</v>
      </c>
      <c r="D3298" s="19" t="s">
        <v>195</v>
      </c>
      <c r="E3298" s="19" t="s">
        <v>196</v>
      </c>
      <c r="F3298" s="19" t="s">
        <v>908</v>
      </c>
      <c r="G3298" s="19" t="s">
        <v>1028</v>
      </c>
      <c r="H3298" s="19" t="s">
        <v>1020</v>
      </c>
      <c r="I3298" s="19" t="s">
        <v>1599</v>
      </c>
      <c r="J3298" s="20">
        <v>22</v>
      </c>
      <c r="K3298" t="s">
        <v>636</v>
      </c>
      <c r="L3298" t="s">
        <v>670</v>
      </c>
      <c r="M3298" t="s">
        <v>657</v>
      </c>
      <c r="N3298" t="s">
        <v>641</v>
      </c>
      <c r="O3298" t="s">
        <v>676</v>
      </c>
    </row>
    <row r="3299" spans="1:15" x14ac:dyDescent="0.35">
      <c r="A3299" s="77">
        <v>0.44383561643835617</v>
      </c>
      <c r="B3299" s="19">
        <v>99397</v>
      </c>
      <c r="C3299" s="19" t="s">
        <v>5593</v>
      </c>
      <c r="D3299" s="19" t="s">
        <v>109</v>
      </c>
      <c r="E3299" s="19" t="s">
        <v>110</v>
      </c>
      <c r="F3299" s="19" t="s">
        <v>2347</v>
      </c>
      <c r="G3299" s="19" t="s">
        <v>1008</v>
      </c>
      <c r="H3299" s="19" t="s">
        <v>1001</v>
      </c>
      <c r="I3299" s="19" t="s">
        <v>1575</v>
      </c>
      <c r="J3299" s="20">
        <v>34</v>
      </c>
      <c r="K3299" t="s">
        <v>654</v>
      </c>
      <c r="L3299" t="s">
        <v>684</v>
      </c>
      <c r="M3299" t="s">
        <v>623</v>
      </c>
      <c r="N3299" t="s">
        <v>662</v>
      </c>
      <c r="O3299" t="s">
        <v>685</v>
      </c>
    </row>
    <row r="3300" spans="1:15" x14ac:dyDescent="0.35">
      <c r="A3300" s="77">
        <v>0.44383561643835617</v>
      </c>
      <c r="B3300" s="19">
        <v>99398</v>
      </c>
      <c r="C3300" s="19" t="s">
        <v>5594</v>
      </c>
      <c r="D3300" s="19" t="s">
        <v>353</v>
      </c>
      <c r="E3300" s="19" t="s">
        <v>354</v>
      </c>
      <c r="F3300" s="19" t="s">
        <v>850</v>
      </c>
      <c r="G3300" s="19" t="s">
        <v>1019</v>
      </c>
      <c r="H3300" s="19" t="s">
        <v>1020</v>
      </c>
      <c r="I3300" s="19" t="s">
        <v>1575</v>
      </c>
      <c r="J3300" s="20">
        <v>22</v>
      </c>
      <c r="K3300" t="s">
        <v>654</v>
      </c>
      <c r="L3300" t="s">
        <v>640</v>
      </c>
      <c r="M3300" t="s">
        <v>623</v>
      </c>
      <c r="N3300" t="s">
        <v>624</v>
      </c>
      <c r="O3300" t="s">
        <v>789</v>
      </c>
    </row>
    <row r="3301" spans="1:15" x14ac:dyDescent="0.35">
      <c r="A3301" s="77">
        <v>0.43561643835616437</v>
      </c>
      <c r="B3301" s="19">
        <v>99399</v>
      </c>
      <c r="C3301" s="19" t="s">
        <v>5595</v>
      </c>
      <c r="D3301" s="19" t="s">
        <v>357</v>
      </c>
      <c r="E3301" s="19" t="s">
        <v>358</v>
      </c>
      <c r="F3301" s="19" t="s">
        <v>1161</v>
      </c>
      <c r="G3301" s="19" t="s">
        <v>1028</v>
      </c>
      <c r="H3301" s="19" t="s">
        <v>1020</v>
      </c>
      <c r="I3301" s="19" t="s">
        <v>1575</v>
      </c>
      <c r="J3301" s="20">
        <v>24</v>
      </c>
      <c r="K3301" t="s">
        <v>668</v>
      </c>
      <c r="L3301" t="s">
        <v>640</v>
      </c>
      <c r="M3301" t="s">
        <v>623</v>
      </c>
      <c r="N3301" t="s">
        <v>641</v>
      </c>
      <c r="O3301" t="s">
        <v>852</v>
      </c>
    </row>
    <row r="3302" spans="1:15" x14ac:dyDescent="0.35">
      <c r="A3302" s="77">
        <v>0.43561643835616437</v>
      </c>
      <c r="B3302" s="19">
        <v>99401</v>
      </c>
      <c r="C3302" s="19" t="s">
        <v>5596</v>
      </c>
      <c r="D3302" s="19" t="s">
        <v>245</v>
      </c>
      <c r="E3302" s="19" t="s">
        <v>246</v>
      </c>
      <c r="F3302" s="19" t="s">
        <v>1365</v>
      </c>
      <c r="G3302" s="19" t="s">
        <v>1028</v>
      </c>
      <c r="H3302" s="19" t="s">
        <v>1020</v>
      </c>
      <c r="I3302" s="19" t="s">
        <v>1575</v>
      </c>
      <c r="J3302" s="20">
        <v>27</v>
      </c>
      <c r="K3302" t="s">
        <v>654</v>
      </c>
      <c r="L3302" t="s">
        <v>678</v>
      </c>
      <c r="M3302" t="s">
        <v>623</v>
      </c>
      <c r="N3302" t="s">
        <v>624</v>
      </c>
      <c r="O3302" t="s">
        <v>679</v>
      </c>
    </row>
    <row r="3303" spans="1:15" x14ac:dyDescent="0.35">
      <c r="A3303" s="77">
        <v>0.43561643835616437</v>
      </c>
      <c r="B3303" s="19">
        <v>99403</v>
      </c>
      <c r="C3303" s="19" t="s">
        <v>5597</v>
      </c>
      <c r="D3303" s="19" t="s">
        <v>424</v>
      </c>
      <c r="E3303" s="19" t="s">
        <v>424</v>
      </c>
      <c r="F3303" s="19" t="s">
        <v>699</v>
      </c>
      <c r="G3303" s="19" t="s">
        <v>1057</v>
      </c>
      <c r="H3303" s="19" t="s">
        <v>1001</v>
      </c>
      <c r="I3303" s="19" t="s">
        <v>1575</v>
      </c>
      <c r="J3303" s="20">
        <v>25</v>
      </c>
      <c r="K3303" t="s">
        <v>642</v>
      </c>
      <c r="L3303" t="s">
        <v>628</v>
      </c>
      <c r="M3303" t="s">
        <v>629</v>
      </c>
      <c r="N3303" t="s">
        <v>646</v>
      </c>
      <c r="O3303" t="s">
        <v>632</v>
      </c>
    </row>
    <row r="3304" spans="1:15" x14ac:dyDescent="0.35">
      <c r="A3304" s="77">
        <v>0.43561643835616437</v>
      </c>
      <c r="B3304" s="19">
        <v>99404</v>
      </c>
      <c r="C3304" s="19" t="s">
        <v>5598</v>
      </c>
      <c r="D3304" s="19" t="s">
        <v>201</v>
      </c>
      <c r="E3304" s="19" t="s">
        <v>202</v>
      </c>
      <c r="F3304" s="19" t="s">
        <v>1061</v>
      </c>
      <c r="G3304" s="19" t="s">
        <v>1028</v>
      </c>
      <c r="H3304" s="19" t="s">
        <v>1020</v>
      </c>
      <c r="I3304" s="19" t="s">
        <v>1575</v>
      </c>
      <c r="J3304" s="20">
        <v>21</v>
      </c>
      <c r="K3304" t="s">
        <v>631</v>
      </c>
      <c r="L3304" t="s">
        <v>628</v>
      </c>
      <c r="M3304" t="s">
        <v>629</v>
      </c>
      <c r="N3304" t="s">
        <v>630</v>
      </c>
      <c r="O3304" t="s">
        <v>784</v>
      </c>
    </row>
    <row r="3305" spans="1:15" x14ac:dyDescent="0.35">
      <c r="A3305" s="77">
        <v>0.43561643835616437</v>
      </c>
      <c r="B3305" s="19">
        <v>99405</v>
      </c>
      <c r="C3305" s="19" t="s">
        <v>5599</v>
      </c>
      <c r="D3305" s="19" t="s">
        <v>320</v>
      </c>
      <c r="E3305" s="19" t="s">
        <v>321</v>
      </c>
      <c r="F3305" s="19" t="s">
        <v>1205</v>
      </c>
      <c r="G3305" s="19" t="s">
        <v>1084</v>
      </c>
      <c r="H3305" s="19" t="s">
        <v>1001</v>
      </c>
      <c r="I3305" s="19" t="s">
        <v>1599</v>
      </c>
      <c r="J3305" s="20">
        <v>20</v>
      </c>
      <c r="K3305" t="s">
        <v>668</v>
      </c>
      <c r="L3305" t="s">
        <v>707</v>
      </c>
      <c r="M3305" t="s">
        <v>629</v>
      </c>
      <c r="N3305" t="s">
        <v>635</v>
      </c>
      <c r="O3305" t="s">
        <v>708</v>
      </c>
    </row>
    <row r="3306" spans="1:15" x14ac:dyDescent="0.35">
      <c r="A3306" s="77">
        <v>0.43561643835616437</v>
      </c>
      <c r="B3306" s="19">
        <v>99408</v>
      </c>
      <c r="C3306" s="19" t="s">
        <v>5600</v>
      </c>
      <c r="D3306" s="19" t="s">
        <v>409</v>
      </c>
      <c r="E3306" s="19" t="s">
        <v>410</v>
      </c>
      <c r="F3306" s="19" t="s">
        <v>874</v>
      </c>
      <c r="G3306" s="19" t="s">
        <v>1028</v>
      </c>
      <c r="H3306" s="19" t="s">
        <v>1020</v>
      </c>
      <c r="I3306" s="19" t="s">
        <v>1575</v>
      </c>
      <c r="J3306" s="20">
        <v>22</v>
      </c>
      <c r="K3306" t="s">
        <v>631</v>
      </c>
      <c r="L3306" t="s">
        <v>666</v>
      </c>
      <c r="M3306" t="s">
        <v>629</v>
      </c>
      <c r="N3306" t="s">
        <v>635</v>
      </c>
      <c r="O3306" t="s">
        <v>637</v>
      </c>
    </row>
    <row r="3307" spans="1:15" x14ac:dyDescent="0.35">
      <c r="A3307" s="77">
        <v>0.43561643835616437</v>
      </c>
      <c r="B3307" s="19">
        <v>99409</v>
      </c>
      <c r="C3307" s="19" t="s">
        <v>5601</v>
      </c>
      <c r="D3307" s="19" t="s">
        <v>409</v>
      </c>
      <c r="E3307" s="19" t="s">
        <v>410</v>
      </c>
      <c r="F3307" s="19" t="s">
        <v>874</v>
      </c>
      <c r="G3307" s="19" t="s">
        <v>1008</v>
      </c>
      <c r="H3307" s="19" t="s">
        <v>1001</v>
      </c>
      <c r="I3307" s="19" t="s">
        <v>1575</v>
      </c>
      <c r="J3307" s="20">
        <v>26</v>
      </c>
      <c r="K3307" t="s">
        <v>631</v>
      </c>
      <c r="L3307" t="s">
        <v>666</v>
      </c>
      <c r="M3307" t="s">
        <v>629</v>
      </c>
      <c r="N3307" t="s">
        <v>635</v>
      </c>
      <c r="O3307" t="s">
        <v>637</v>
      </c>
    </row>
    <row r="3308" spans="1:15" x14ac:dyDescent="0.35">
      <c r="A3308" s="77">
        <v>0.43561643835616437</v>
      </c>
      <c r="B3308" s="19">
        <v>99413</v>
      </c>
      <c r="C3308" s="19" t="s">
        <v>5602</v>
      </c>
      <c r="D3308" s="19" t="s">
        <v>355</v>
      </c>
      <c r="E3308" s="19" t="s">
        <v>356</v>
      </c>
      <c r="F3308" s="19" t="s">
        <v>1100</v>
      </c>
      <c r="G3308" s="19" t="s">
        <v>1008</v>
      </c>
      <c r="H3308" s="19" t="s">
        <v>1001</v>
      </c>
      <c r="I3308" s="19" t="s">
        <v>1599</v>
      </c>
      <c r="J3308" s="20">
        <v>19</v>
      </c>
      <c r="K3308" t="s">
        <v>625</v>
      </c>
      <c r="L3308" t="s">
        <v>622</v>
      </c>
      <c r="M3308" t="s">
        <v>623</v>
      </c>
      <c r="N3308" t="s">
        <v>624</v>
      </c>
      <c r="O3308" t="s">
        <v>649</v>
      </c>
    </row>
    <row r="3309" spans="1:15" x14ac:dyDescent="0.35">
      <c r="A3309" s="77">
        <v>0.43561643835616437</v>
      </c>
      <c r="B3309" s="19">
        <v>99417</v>
      </c>
      <c r="C3309" s="19" t="s">
        <v>5603</v>
      </c>
      <c r="D3309" s="19" t="s">
        <v>355</v>
      </c>
      <c r="E3309" s="19" t="s">
        <v>356</v>
      </c>
      <c r="F3309" s="19" t="s">
        <v>1100</v>
      </c>
      <c r="G3309" s="19" t="s">
        <v>1019</v>
      </c>
      <c r="H3309" s="19" t="s">
        <v>1020</v>
      </c>
      <c r="I3309" s="19" t="s">
        <v>1599</v>
      </c>
      <c r="J3309" s="20">
        <v>21</v>
      </c>
      <c r="K3309" t="s">
        <v>625</v>
      </c>
      <c r="L3309" t="s">
        <v>622</v>
      </c>
      <c r="M3309" t="s">
        <v>623</v>
      </c>
      <c r="N3309" t="s">
        <v>624</v>
      </c>
      <c r="O3309" t="s">
        <v>649</v>
      </c>
    </row>
    <row r="3310" spans="1:15" x14ac:dyDescent="0.35">
      <c r="A3310" s="77">
        <v>0.43287671232876712</v>
      </c>
      <c r="B3310" s="19">
        <v>99426</v>
      </c>
      <c r="C3310" s="19" t="s">
        <v>5604</v>
      </c>
      <c r="D3310" s="19" t="s">
        <v>95</v>
      </c>
      <c r="E3310" s="19" t="s">
        <v>96</v>
      </c>
      <c r="F3310" s="19" t="s">
        <v>1188</v>
      </c>
      <c r="G3310" s="19" t="s">
        <v>3508</v>
      </c>
      <c r="H3310" s="19" t="s">
        <v>1020</v>
      </c>
      <c r="I3310" s="19" t="s">
        <v>1575</v>
      </c>
      <c r="J3310" s="20">
        <v>15</v>
      </c>
      <c r="K3310" t="s">
        <v>636</v>
      </c>
      <c r="L3310" t="s">
        <v>737</v>
      </c>
      <c r="M3310" t="s">
        <v>657</v>
      </c>
      <c r="N3310" t="s">
        <v>641</v>
      </c>
      <c r="O3310" t="s">
        <v>738</v>
      </c>
    </row>
    <row r="3311" spans="1:15" x14ac:dyDescent="0.35">
      <c r="A3311" s="77">
        <v>0.43287671232876712</v>
      </c>
      <c r="B3311" s="19">
        <v>99430</v>
      </c>
      <c r="C3311" s="19" t="s">
        <v>5605</v>
      </c>
      <c r="D3311" s="19" t="s">
        <v>13</v>
      </c>
      <c r="E3311" s="19" t="s">
        <v>13</v>
      </c>
      <c r="F3311" s="19" t="s">
        <v>1467</v>
      </c>
      <c r="G3311" s="19" t="s">
        <v>1028</v>
      </c>
      <c r="H3311" s="19" t="s">
        <v>1020</v>
      </c>
      <c r="I3311" s="19" t="s">
        <v>1575</v>
      </c>
      <c r="J3311" s="20">
        <v>22</v>
      </c>
      <c r="K3311" t="s">
        <v>631</v>
      </c>
      <c r="L3311" t="s">
        <v>628</v>
      </c>
      <c r="M3311" t="s">
        <v>629</v>
      </c>
      <c r="N3311" t="s">
        <v>630</v>
      </c>
      <c r="O3311" t="s">
        <v>639</v>
      </c>
    </row>
    <row r="3312" spans="1:15" x14ac:dyDescent="0.35">
      <c r="A3312" s="77">
        <v>0.43287671232876712</v>
      </c>
      <c r="B3312" s="19">
        <v>99432</v>
      </c>
      <c r="C3312" s="19" t="s">
        <v>5606</v>
      </c>
      <c r="D3312" s="19" t="s">
        <v>362</v>
      </c>
      <c r="E3312" s="19" t="s">
        <v>363</v>
      </c>
      <c r="F3312" s="19" t="s">
        <v>1056</v>
      </c>
      <c r="G3312" s="19" t="s">
        <v>1028</v>
      </c>
      <c r="H3312" s="19" t="s">
        <v>1020</v>
      </c>
      <c r="I3312" s="19" t="s">
        <v>1575</v>
      </c>
      <c r="J3312" s="20">
        <v>21</v>
      </c>
      <c r="K3312" t="s">
        <v>654</v>
      </c>
      <c r="L3312" t="s">
        <v>663</v>
      </c>
      <c r="M3312" t="s">
        <v>629</v>
      </c>
      <c r="N3312" t="s">
        <v>646</v>
      </c>
      <c r="O3312" t="s">
        <v>810</v>
      </c>
    </row>
    <row r="3313" spans="1:15" x14ac:dyDescent="0.35">
      <c r="A3313" s="77">
        <v>0.43287671232876712</v>
      </c>
      <c r="B3313" s="19">
        <v>99434</v>
      </c>
      <c r="C3313" s="19" t="s">
        <v>5607</v>
      </c>
      <c r="D3313" s="19" t="s">
        <v>355</v>
      </c>
      <c r="E3313" s="19" t="s">
        <v>356</v>
      </c>
      <c r="F3313" s="19" t="s">
        <v>1100</v>
      </c>
      <c r="G3313" s="19" t="s">
        <v>1028</v>
      </c>
      <c r="H3313" s="19" t="s">
        <v>1020</v>
      </c>
      <c r="I3313" s="19" t="s">
        <v>1575</v>
      </c>
      <c r="J3313" s="20">
        <v>32</v>
      </c>
      <c r="K3313" t="s">
        <v>625</v>
      </c>
      <c r="L3313" t="s">
        <v>622</v>
      </c>
      <c r="M3313" t="s">
        <v>623</v>
      </c>
      <c r="N3313" t="s">
        <v>624</v>
      </c>
      <c r="O3313" t="s">
        <v>649</v>
      </c>
    </row>
    <row r="3314" spans="1:15" x14ac:dyDescent="0.35">
      <c r="A3314" s="77">
        <v>0.43013698630136987</v>
      </c>
      <c r="B3314" s="19">
        <v>99442</v>
      </c>
      <c r="C3314" s="19" t="s">
        <v>5608</v>
      </c>
      <c r="D3314" s="19" t="s">
        <v>420</v>
      </c>
      <c r="E3314" s="19" t="s">
        <v>420</v>
      </c>
      <c r="F3314" s="19" t="s">
        <v>686</v>
      </c>
      <c r="G3314" s="19" t="s">
        <v>1084</v>
      </c>
      <c r="H3314" s="19" t="s">
        <v>1001</v>
      </c>
      <c r="I3314" s="19" t="s">
        <v>1599</v>
      </c>
      <c r="J3314" s="20">
        <v>28</v>
      </c>
      <c r="K3314" t="s">
        <v>631</v>
      </c>
      <c r="L3314" t="s">
        <v>634</v>
      </c>
      <c r="M3314" t="s">
        <v>629</v>
      </c>
      <c r="N3314" t="s">
        <v>635</v>
      </c>
      <c r="O3314" t="s">
        <v>637</v>
      </c>
    </row>
    <row r="3315" spans="1:15" x14ac:dyDescent="0.35">
      <c r="A3315" s="77">
        <v>0.43013698630136987</v>
      </c>
      <c r="B3315" s="19">
        <v>99447</v>
      </c>
      <c r="C3315" s="19" t="s">
        <v>5609</v>
      </c>
      <c r="D3315" s="19" t="s">
        <v>193</v>
      </c>
      <c r="E3315" s="19" t="s">
        <v>194</v>
      </c>
      <c r="F3315" s="19" t="s">
        <v>2422</v>
      </c>
      <c r="G3315" s="19" t="s">
        <v>1028</v>
      </c>
      <c r="H3315" s="19" t="s">
        <v>1020</v>
      </c>
      <c r="I3315" s="19" t="s">
        <v>1575</v>
      </c>
      <c r="J3315" s="20">
        <v>22</v>
      </c>
      <c r="K3315" t="s">
        <v>654</v>
      </c>
      <c r="L3315" t="s">
        <v>670</v>
      </c>
      <c r="M3315" t="s">
        <v>657</v>
      </c>
      <c r="N3315" t="s">
        <v>641</v>
      </c>
      <c r="O3315" t="s">
        <v>676</v>
      </c>
    </row>
    <row r="3316" spans="1:15" x14ac:dyDescent="0.35">
      <c r="A3316" s="77">
        <v>0.42739726027397262</v>
      </c>
      <c r="B3316" s="19">
        <v>99452</v>
      </c>
      <c r="C3316" s="19" t="s">
        <v>5610</v>
      </c>
      <c r="D3316" s="19" t="s">
        <v>427</v>
      </c>
      <c r="E3316" s="19" t="s">
        <v>427</v>
      </c>
      <c r="F3316" s="19" t="s">
        <v>1290</v>
      </c>
      <c r="G3316" s="19" t="s">
        <v>1028</v>
      </c>
      <c r="H3316" s="19" t="s">
        <v>1020</v>
      </c>
      <c r="I3316" s="19" t="s">
        <v>1575</v>
      </c>
      <c r="J3316" s="20">
        <v>21</v>
      </c>
      <c r="K3316" t="s">
        <v>654</v>
      </c>
      <c r="L3316" t="s">
        <v>651</v>
      </c>
      <c r="M3316" t="s">
        <v>629</v>
      </c>
      <c r="N3316" t="s">
        <v>630</v>
      </c>
      <c r="O3316" t="s">
        <v>652</v>
      </c>
    </row>
    <row r="3317" spans="1:15" x14ac:dyDescent="0.35">
      <c r="A3317" s="77">
        <v>0.42739726027397262</v>
      </c>
      <c r="B3317" s="19">
        <v>99454</v>
      </c>
      <c r="C3317" s="19" t="s">
        <v>5611</v>
      </c>
      <c r="D3317" s="19" t="s">
        <v>397</v>
      </c>
      <c r="E3317" s="19" t="s">
        <v>398</v>
      </c>
      <c r="F3317" s="19" t="s">
        <v>867</v>
      </c>
      <c r="G3317" s="19" t="s">
        <v>3508</v>
      </c>
      <c r="H3317" s="19" t="s">
        <v>1020</v>
      </c>
      <c r="I3317" s="19" t="s">
        <v>1575</v>
      </c>
      <c r="J3317" s="20">
        <v>15</v>
      </c>
      <c r="K3317" t="s">
        <v>625</v>
      </c>
      <c r="L3317" t="s">
        <v>634</v>
      </c>
      <c r="M3317" t="s">
        <v>629</v>
      </c>
      <c r="N3317" t="s">
        <v>635</v>
      </c>
      <c r="O3317" t="s">
        <v>637</v>
      </c>
    </row>
    <row r="3318" spans="1:15" x14ac:dyDescent="0.35">
      <c r="A3318" s="77">
        <v>0.42739726027397262</v>
      </c>
      <c r="B3318" s="19">
        <v>99460</v>
      </c>
      <c r="C3318" s="19" t="s">
        <v>5612</v>
      </c>
      <c r="D3318" s="19" t="s">
        <v>371</v>
      </c>
      <c r="E3318" s="19" t="s">
        <v>372</v>
      </c>
      <c r="F3318" s="19" t="s">
        <v>2222</v>
      </c>
      <c r="G3318" s="19" t="s">
        <v>1028</v>
      </c>
      <c r="H3318" s="19" t="s">
        <v>1020</v>
      </c>
      <c r="I3318" s="19" t="s">
        <v>1575</v>
      </c>
      <c r="J3318" s="20">
        <v>21</v>
      </c>
      <c r="K3318" t="s">
        <v>668</v>
      </c>
      <c r="L3318" t="s">
        <v>640</v>
      </c>
      <c r="M3318" t="s">
        <v>623</v>
      </c>
      <c r="N3318" t="s">
        <v>641</v>
      </c>
      <c r="O3318" t="s">
        <v>859</v>
      </c>
    </row>
    <row r="3319" spans="1:15" x14ac:dyDescent="0.35">
      <c r="A3319" s="77">
        <v>0.42739726027397262</v>
      </c>
      <c r="B3319" s="19">
        <v>99464</v>
      </c>
      <c r="C3319" s="19" t="s">
        <v>5613</v>
      </c>
      <c r="D3319" s="19" t="s">
        <v>252</v>
      </c>
      <c r="E3319" s="19" t="s">
        <v>253</v>
      </c>
      <c r="F3319" s="19" t="s">
        <v>914</v>
      </c>
      <c r="G3319" s="19" t="s">
        <v>1019</v>
      </c>
      <c r="H3319" s="19" t="s">
        <v>1020</v>
      </c>
      <c r="I3319" s="19" t="s">
        <v>1599</v>
      </c>
      <c r="J3319" s="20">
        <v>22</v>
      </c>
      <c r="K3319" t="s">
        <v>636</v>
      </c>
      <c r="L3319" t="s">
        <v>656</v>
      </c>
      <c r="M3319" t="s">
        <v>657</v>
      </c>
      <c r="N3319" t="s">
        <v>658</v>
      </c>
      <c r="O3319" t="s">
        <v>718</v>
      </c>
    </row>
    <row r="3320" spans="1:15" x14ac:dyDescent="0.35">
      <c r="A3320" s="77">
        <v>0.42739726027397262</v>
      </c>
      <c r="B3320" s="19">
        <v>99465</v>
      </c>
      <c r="C3320" s="19" t="s">
        <v>5614</v>
      </c>
      <c r="D3320" s="19" t="s">
        <v>349</v>
      </c>
      <c r="E3320" s="19" t="s">
        <v>350</v>
      </c>
      <c r="F3320" s="19" t="s">
        <v>912</v>
      </c>
      <c r="G3320" s="19" t="s">
        <v>1028</v>
      </c>
      <c r="H3320" s="19" t="s">
        <v>1020</v>
      </c>
      <c r="I3320" s="19" t="s">
        <v>1575</v>
      </c>
      <c r="J3320" s="20">
        <v>20</v>
      </c>
      <c r="K3320" t="s">
        <v>625</v>
      </c>
      <c r="L3320" t="s">
        <v>648</v>
      </c>
      <c r="M3320" t="s">
        <v>623</v>
      </c>
      <c r="N3320" t="s">
        <v>624</v>
      </c>
      <c r="O3320" t="s">
        <v>649</v>
      </c>
    </row>
    <row r="3321" spans="1:15" x14ac:dyDescent="0.35">
      <c r="A3321" s="77">
        <v>0.42739726027397262</v>
      </c>
      <c r="B3321" s="19">
        <v>99466</v>
      </c>
      <c r="C3321" s="19" t="s">
        <v>5615</v>
      </c>
      <c r="D3321" s="19" t="s">
        <v>324</v>
      </c>
      <c r="E3321" s="19" t="s">
        <v>325</v>
      </c>
      <c r="F3321" s="19" t="s">
        <v>1284</v>
      </c>
      <c r="G3321" s="19" t="s">
        <v>1028</v>
      </c>
      <c r="H3321" s="19" t="s">
        <v>1020</v>
      </c>
      <c r="I3321" s="19" t="s">
        <v>1575</v>
      </c>
      <c r="J3321" s="20">
        <v>19</v>
      </c>
      <c r="K3321" t="s">
        <v>631</v>
      </c>
      <c r="L3321" t="s">
        <v>663</v>
      </c>
      <c r="M3321" t="s">
        <v>629</v>
      </c>
      <c r="N3321" t="s">
        <v>646</v>
      </c>
      <c r="O3321" t="s">
        <v>639</v>
      </c>
    </row>
    <row r="3322" spans="1:15" x14ac:dyDescent="0.35">
      <c r="A3322" s="77">
        <v>0.42739726027397262</v>
      </c>
      <c r="B3322" s="19">
        <v>99470</v>
      </c>
      <c r="C3322" s="19" t="s">
        <v>5616</v>
      </c>
      <c r="D3322" s="19" t="s">
        <v>355</v>
      </c>
      <c r="E3322" s="19" t="s">
        <v>356</v>
      </c>
      <c r="F3322" s="19" t="s">
        <v>1100</v>
      </c>
      <c r="G3322" s="19" t="s">
        <v>1008</v>
      </c>
      <c r="H3322" s="19" t="s">
        <v>1001</v>
      </c>
      <c r="I3322" s="19" t="s">
        <v>1575</v>
      </c>
      <c r="J3322" s="20">
        <v>19</v>
      </c>
      <c r="K3322" t="s">
        <v>625</v>
      </c>
      <c r="L3322" t="s">
        <v>622</v>
      </c>
      <c r="M3322" t="s">
        <v>623</v>
      </c>
      <c r="N3322" t="s">
        <v>624</v>
      </c>
      <c r="O3322" t="s">
        <v>649</v>
      </c>
    </row>
    <row r="3323" spans="1:15" x14ac:dyDescent="0.35">
      <c r="A3323" s="77">
        <v>0.42739726027397262</v>
      </c>
      <c r="B3323" s="19">
        <v>99471</v>
      </c>
      <c r="C3323" s="19" t="s">
        <v>5617</v>
      </c>
      <c r="D3323" s="19" t="s">
        <v>355</v>
      </c>
      <c r="E3323" s="19" t="s">
        <v>356</v>
      </c>
      <c r="F3323" s="19" t="s">
        <v>1100</v>
      </c>
      <c r="G3323" s="19" t="s">
        <v>1019</v>
      </c>
      <c r="H3323" s="19" t="s">
        <v>1020</v>
      </c>
      <c r="I3323" s="19" t="s">
        <v>1599</v>
      </c>
      <c r="J3323" s="20">
        <v>22</v>
      </c>
      <c r="K3323" t="s">
        <v>625</v>
      </c>
      <c r="L3323" t="s">
        <v>622</v>
      </c>
      <c r="M3323" t="s">
        <v>623</v>
      </c>
      <c r="N3323" t="s">
        <v>624</v>
      </c>
      <c r="O3323" t="s">
        <v>649</v>
      </c>
    </row>
    <row r="3324" spans="1:15" x14ac:dyDescent="0.35">
      <c r="A3324" s="77">
        <v>0.42465753424657532</v>
      </c>
      <c r="B3324" s="19">
        <v>99473</v>
      </c>
      <c r="C3324" s="19" t="s">
        <v>5618</v>
      </c>
      <c r="D3324" s="19" t="s">
        <v>247</v>
      </c>
      <c r="E3324" s="19" t="s">
        <v>248</v>
      </c>
      <c r="F3324" s="19" t="s">
        <v>1726</v>
      </c>
      <c r="G3324" s="19" t="s">
        <v>3508</v>
      </c>
      <c r="H3324" s="19" t="s">
        <v>1020</v>
      </c>
      <c r="I3324" s="19" t="s">
        <v>1599</v>
      </c>
      <c r="J3324" s="20">
        <v>14</v>
      </c>
      <c r="K3324" t="s">
        <v>668</v>
      </c>
      <c r="L3324" t="s">
        <v>634</v>
      </c>
      <c r="M3324" t="s">
        <v>629</v>
      </c>
      <c r="N3324" t="s">
        <v>635</v>
      </c>
      <c r="O3324" t="s">
        <v>637</v>
      </c>
    </row>
    <row r="3325" spans="1:15" x14ac:dyDescent="0.35">
      <c r="A3325" s="77">
        <v>0.42465753424657532</v>
      </c>
      <c r="B3325" s="19">
        <v>99474</v>
      </c>
      <c r="C3325" s="19" t="s">
        <v>5619</v>
      </c>
      <c r="D3325" s="19" t="s">
        <v>247</v>
      </c>
      <c r="E3325" s="19" t="s">
        <v>248</v>
      </c>
      <c r="F3325" s="19" t="s">
        <v>1726</v>
      </c>
      <c r="G3325" s="19" t="s">
        <v>3508</v>
      </c>
      <c r="H3325" s="19" t="s">
        <v>1020</v>
      </c>
      <c r="I3325" s="19" t="s">
        <v>1599</v>
      </c>
      <c r="J3325" s="20">
        <v>15</v>
      </c>
      <c r="K3325" t="s">
        <v>668</v>
      </c>
      <c r="L3325" t="s">
        <v>634</v>
      </c>
      <c r="M3325" t="s">
        <v>629</v>
      </c>
      <c r="N3325" t="s">
        <v>635</v>
      </c>
      <c r="O3325" t="s">
        <v>637</v>
      </c>
    </row>
    <row r="3326" spans="1:15" x14ac:dyDescent="0.35">
      <c r="A3326" s="77">
        <v>0.42465753424657532</v>
      </c>
      <c r="B3326" s="19">
        <v>99478</v>
      </c>
      <c r="C3326" s="19" t="s">
        <v>5620</v>
      </c>
      <c r="D3326" s="19" t="s">
        <v>322</v>
      </c>
      <c r="E3326" s="19" t="s">
        <v>323</v>
      </c>
      <c r="F3326" s="19" t="s">
        <v>834</v>
      </c>
      <c r="G3326" s="19" t="s">
        <v>1019</v>
      </c>
      <c r="H3326" s="19" t="s">
        <v>1020</v>
      </c>
      <c r="I3326" s="19" t="s">
        <v>1575</v>
      </c>
      <c r="J3326" s="20">
        <v>24</v>
      </c>
      <c r="K3326" t="s">
        <v>668</v>
      </c>
      <c r="L3326" t="s">
        <v>628</v>
      </c>
      <c r="M3326" t="s">
        <v>629</v>
      </c>
      <c r="N3326" t="s">
        <v>630</v>
      </c>
      <c r="O3326" t="s">
        <v>632</v>
      </c>
    </row>
    <row r="3327" spans="1:15" x14ac:dyDescent="0.35">
      <c r="A3327" s="77">
        <v>0.42465753424657532</v>
      </c>
      <c r="B3327" s="19">
        <v>99480</v>
      </c>
      <c r="C3327" s="19" t="s">
        <v>5621</v>
      </c>
      <c r="D3327" s="19" t="s">
        <v>95</v>
      </c>
      <c r="E3327" s="19" t="s">
        <v>96</v>
      </c>
      <c r="F3327" s="19" t="s">
        <v>1188</v>
      </c>
      <c r="G3327" s="19" t="s">
        <v>1028</v>
      </c>
      <c r="H3327" s="19" t="s">
        <v>1020</v>
      </c>
      <c r="I3327" s="19" t="s">
        <v>1575</v>
      </c>
      <c r="J3327" s="20">
        <v>23</v>
      </c>
      <c r="K3327" t="s">
        <v>636</v>
      </c>
      <c r="L3327" t="s">
        <v>737</v>
      </c>
      <c r="M3327" t="s">
        <v>657</v>
      </c>
      <c r="N3327" t="s">
        <v>641</v>
      </c>
      <c r="O3327" t="s">
        <v>738</v>
      </c>
    </row>
    <row r="3328" spans="1:15" x14ac:dyDescent="0.35">
      <c r="A3328" s="77">
        <v>0.42465753424657532</v>
      </c>
      <c r="B3328" s="19">
        <v>99483</v>
      </c>
      <c r="C3328" s="19" t="s">
        <v>5622</v>
      </c>
      <c r="D3328" s="19" t="s">
        <v>430</v>
      </c>
      <c r="E3328" s="19" t="e">
        <v>#N/A</v>
      </c>
      <c r="F3328" s="19" t="s">
        <v>1105</v>
      </c>
      <c r="G3328" s="19" t="s">
        <v>1046</v>
      </c>
      <c r="H3328" s="19" t="s">
        <v>1001</v>
      </c>
      <c r="I3328" s="19" t="s">
        <v>1575</v>
      </c>
      <c r="J3328" s="20">
        <v>28</v>
      </c>
      <c r="K3328" t="s">
        <v>654</v>
      </c>
      <c r="L3328" t="s">
        <v>645</v>
      </c>
      <c r="M3328" t="s">
        <v>629</v>
      </c>
      <c r="N3328" t="s">
        <v>646</v>
      </c>
      <c r="O3328" t="s">
        <v>632</v>
      </c>
    </row>
    <row r="3329" spans="1:15" x14ac:dyDescent="0.35">
      <c r="A3329" s="77">
        <v>0.42465753424657532</v>
      </c>
      <c r="B3329" s="19">
        <v>99485</v>
      </c>
      <c r="C3329" s="19" t="s">
        <v>5623</v>
      </c>
      <c r="D3329" s="19" t="s">
        <v>330</v>
      </c>
      <c r="E3329" s="19" t="s">
        <v>331</v>
      </c>
      <c r="F3329" s="19" t="s">
        <v>332</v>
      </c>
      <c r="G3329" s="19" t="s">
        <v>1028</v>
      </c>
      <c r="H3329" s="19" t="s">
        <v>1020</v>
      </c>
      <c r="I3329" s="19" t="s">
        <v>1575</v>
      </c>
      <c r="J3329" s="20">
        <v>18</v>
      </c>
      <c r="K3329" t="s">
        <v>636</v>
      </c>
      <c r="L3329" t="s">
        <v>762</v>
      </c>
      <c r="M3329" t="s">
        <v>629</v>
      </c>
      <c r="N3329" t="s">
        <v>646</v>
      </c>
      <c r="O3329" t="s">
        <v>839</v>
      </c>
    </row>
    <row r="3330" spans="1:15" x14ac:dyDescent="0.35">
      <c r="A3330" s="77">
        <v>0.42465753424657532</v>
      </c>
      <c r="B3330" s="19">
        <v>99488</v>
      </c>
      <c r="C3330" s="19" t="s">
        <v>5624</v>
      </c>
      <c r="D3330" s="19" t="s">
        <v>355</v>
      </c>
      <c r="E3330" s="19" t="s">
        <v>356</v>
      </c>
      <c r="F3330" s="19" t="s">
        <v>1100</v>
      </c>
      <c r="G3330" s="19" t="s">
        <v>1019</v>
      </c>
      <c r="H3330" s="19" t="s">
        <v>1020</v>
      </c>
      <c r="I3330" s="19" t="s">
        <v>1599</v>
      </c>
      <c r="J3330" s="20">
        <v>21</v>
      </c>
      <c r="K3330" t="s">
        <v>625</v>
      </c>
      <c r="L3330" t="s">
        <v>622</v>
      </c>
      <c r="M3330" t="s">
        <v>623</v>
      </c>
      <c r="N3330" t="s">
        <v>624</v>
      </c>
      <c r="O3330" t="s">
        <v>649</v>
      </c>
    </row>
    <row r="3331" spans="1:15" x14ac:dyDescent="0.35">
      <c r="A3331" s="77">
        <v>0.41095890410958902</v>
      </c>
      <c r="B3331" s="19">
        <v>99502</v>
      </c>
      <c r="C3331" s="19" t="s">
        <v>5625</v>
      </c>
      <c r="D3331" s="19" t="s">
        <v>157</v>
      </c>
      <c r="E3331" s="19" t="s">
        <v>158</v>
      </c>
      <c r="F3331" s="19" t="s">
        <v>1012</v>
      </c>
      <c r="G3331" s="19" t="s">
        <v>1028</v>
      </c>
      <c r="H3331" s="19" t="s">
        <v>1020</v>
      </c>
      <c r="I3331" s="19" t="s">
        <v>1575</v>
      </c>
      <c r="J3331" s="20">
        <v>20</v>
      </c>
      <c r="K3331" t="s">
        <v>668</v>
      </c>
      <c r="L3331" t="s">
        <v>670</v>
      </c>
      <c r="M3331" t="s">
        <v>657</v>
      </c>
      <c r="N3331" t="s">
        <v>641</v>
      </c>
      <c r="O3331" t="s">
        <v>671</v>
      </c>
    </row>
    <row r="3332" spans="1:15" x14ac:dyDescent="0.35">
      <c r="A3332" s="77">
        <v>0.41095890410958902</v>
      </c>
      <c r="B3332" s="19">
        <v>99503</v>
      </c>
      <c r="C3332" s="19" t="s">
        <v>5626</v>
      </c>
      <c r="D3332" s="19" t="s">
        <v>189</v>
      </c>
      <c r="E3332" s="19" t="s">
        <v>190</v>
      </c>
      <c r="F3332" s="19" t="s">
        <v>1369</v>
      </c>
      <c r="G3332" s="19" t="s">
        <v>1057</v>
      </c>
      <c r="H3332" s="19" t="s">
        <v>1001</v>
      </c>
      <c r="I3332" s="19" t="s">
        <v>1575</v>
      </c>
      <c r="J3332" s="20">
        <v>23</v>
      </c>
      <c r="K3332" t="s">
        <v>654</v>
      </c>
      <c r="L3332" t="s">
        <v>640</v>
      </c>
      <c r="M3332" t="s">
        <v>623</v>
      </c>
      <c r="N3332" t="s">
        <v>641</v>
      </c>
      <c r="O3332" t="s">
        <v>754</v>
      </c>
    </row>
    <row r="3333" spans="1:15" x14ac:dyDescent="0.35">
      <c r="A3333" s="77">
        <v>0.41095890410958902</v>
      </c>
      <c r="B3333" s="19">
        <v>99504</v>
      </c>
      <c r="C3333" s="19" t="s">
        <v>5627</v>
      </c>
      <c r="D3333" s="19" t="s">
        <v>189</v>
      </c>
      <c r="E3333" s="19" t="s">
        <v>190</v>
      </c>
      <c r="F3333" s="19" t="s">
        <v>1369</v>
      </c>
      <c r="G3333" s="19" t="s">
        <v>1008</v>
      </c>
      <c r="H3333" s="19" t="s">
        <v>1001</v>
      </c>
      <c r="I3333" s="19" t="s">
        <v>1599</v>
      </c>
      <c r="J3333" s="20">
        <v>20</v>
      </c>
      <c r="K3333" t="s">
        <v>654</v>
      </c>
      <c r="L3333" t="s">
        <v>640</v>
      </c>
      <c r="M3333" t="s">
        <v>623</v>
      </c>
      <c r="N3333" t="s">
        <v>641</v>
      </c>
      <c r="O3333" t="s">
        <v>754</v>
      </c>
    </row>
    <row r="3334" spans="1:15" x14ac:dyDescent="0.35">
      <c r="A3334" s="77">
        <v>0.41095890410958902</v>
      </c>
      <c r="B3334" s="19">
        <v>99505</v>
      </c>
      <c r="C3334" s="19" t="s">
        <v>5628</v>
      </c>
      <c r="D3334" s="19" t="s">
        <v>315</v>
      </c>
      <c r="E3334" s="19" t="s">
        <v>316</v>
      </c>
      <c r="F3334" s="19" t="s">
        <v>1322</v>
      </c>
      <c r="G3334" s="19" t="s">
        <v>1008</v>
      </c>
      <c r="H3334" s="19" t="s">
        <v>1001</v>
      </c>
      <c r="I3334" s="19" t="s">
        <v>1599</v>
      </c>
      <c r="J3334" s="20">
        <v>25</v>
      </c>
      <c r="K3334" t="s">
        <v>654</v>
      </c>
      <c r="L3334" t="s">
        <v>684</v>
      </c>
      <c r="M3334" t="s">
        <v>623</v>
      </c>
      <c r="N3334" t="s">
        <v>662</v>
      </c>
      <c r="O3334" t="s">
        <v>831</v>
      </c>
    </row>
    <row r="3335" spans="1:15" x14ac:dyDescent="0.35">
      <c r="A3335" s="77">
        <v>0.41095890410958902</v>
      </c>
      <c r="B3335" s="19">
        <v>99507</v>
      </c>
      <c r="C3335" s="19" t="s">
        <v>5629</v>
      </c>
      <c r="D3335" s="19" t="s">
        <v>315</v>
      </c>
      <c r="E3335" s="19" t="s">
        <v>316</v>
      </c>
      <c r="F3335" s="19" t="s">
        <v>1322</v>
      </c>
      <c r="G3335" s="19" t="s">
        <v>1019</v>
      </c>
      <c r="H3335" s="19" t="s">
        <v>1020</v>
      </c>
      <c r="I3335" s="19" t="s">
        <v>1575</v>
      </c>
      <c r="J3335" s="20">
        <v>22</v>
      </c>
      <c r="K3335" t="s">
        <v>654</v>
      </c>
      <c r="L3335" t="s">
        <v>684</v>
      </c>
      <c r="M3335" t="s">
        <v>623</v>
      </c>
      <c r="N3335" t="s">
        <v>662</v>
      </c>
      <c r="O3335" t="s">
        <v>831</v>
      </c>
    </row>
    <row r="3336" spans="1:15" x14ac:dyDescent="0.35">
      <c r="A3336" s="77">
        <v>0.41095890410958902</v>
      </c>
      <c r="B3336" s="19">
        <v>99511</v>
      </c>
      <c r="C3336" s="19" t="s">
        <v>5630</v>
      </c>
      <c r="D3336" s="19" t="s">
        <v>313</v>
      </c>
      <c r="E3336" s="19" t="s">
        <v>314</v>
      </c>
      <c r="F3336" s="19" t="s">
        <v>1401</v>
      </c>
      <c r="G3336" s="19" t="s">
        <v>1028</v>
      </c>
      <c r="H3336" s="19" t="s">
        <v>1020</v>
      </c>
      <c r="I3336" s="19" t="s">
        <v>1575</v>
      </c>
      <c r="J3336" s="20">
        <v>23</v>
      </c>
      <c r="K3336" t="s">
        <v>654</v>
      </c>
      <c r="L3336" t="s">
        <v>666</v>
      </c>
      <c r="M3336" t="s">
        <v>629</v>
      </c>
      <c r="N3336" t="s">
        <v>635</v>
      </c>
      <c r="O3336" t="s">
        <v>637</v>
      </c>
    </row>
    <row r="3337" spans="1:15" x14ac:dyDescent="0.35">
      <c r="A3337" s="77">
        <v>0.41095890410958902</v>
      </c>
      <c r="B3337" s="19">
        <v>99512</v>
      </c>
      <c r="C3337" s="19" t="s">
        <v>5631</v>
      </c>
      <c r="D3337" s="19" t="s">
        <v>313</v>
      </c>
      <c r="E3337" s="19" t="s">
        <v>314</v>
      </c>
      <c r="F3337" s="19" t="s">
        <v>1401</v>
      </c>
      <c r="G3337" s="19" t="s">
        <v>1028</v>
      </c>
      <c r="H3337" s="19" t="s">
        <v>1020</v>
      </c>
      <c r="I3337" s="19" t="s">
        <v>1599</v>
      </c>
      <c r="J3337" s="20">
        <v>18</v>
      </c>
      <c r="K3337" t="s">
        <v>654</v>
      </c>
      <c r="L3337" t="s">
        <v>666</v>
      </c>
      <c r="M3337" t="s">
        <v>629</v>
      </c>
      <c r="N3337" t="s">
        <v>635</v>
      </c>
      <c r="O3337" t="s">
        <v>637</v>
      </c>
    </row>
    <row r="3338" spans="1:15" x14ac:dyDescent="0.35">
      <c r="A3338" s="77">
        <v>0.41095890410958902</v>
      </c>
      <c r="B3338" s="19">
        <v>99516</v>
      </c>
      <c r="C3338" s="19" t="s">
        <v>5632</v>
      </c>
      <c r="D3338" s="19" t="s">
        <v>421</v>
      </c>
      <c r="E3338" s="19" t="s">
        <v>421</v>
      </c>
      <c r="F3338" s="19" t="s">
        <v>698</v>
      </c>
      <c r="G3338" s="19" t="s">
        <v>1008</v>
      </c>
      <c r="H3338" s="19" t="s">
        <v>1001</v>
      </c>
      <c r="I3338" s="19" t="s">
        <v>1599</v>
      </c>
      <c r="J3338" s="20">
        <v>25</v>
      </c>
      <c r="K3338" t="s">
        <v>636</v>
      </c>
      <c r="L3338" t="s">
        <v>678</v>
      </c>
      <c r="M3338" t="s">
        <v>623</v>
      </c>
      <c r="N3338" t="s">
        <v>624</v>
      </c>
      <c r="O3338" t="s">
        <v>679</v>
      </c>
    </row>
    <row r="3339" spans="1:15" x14ac:dyDescent="0.35">
      <c r="A3339" s="77">
        <v>0.41095890410958902</v>
      </c>
      <c r="B3339" s="19">
        <v>99517</v>
      </c>
      <c r="C3339" s="19" t="s">
        <v>5633</v>
      </c>
      <c r="D3339" s="19" t="s">
        <v>271</v>
      </c>
      <c r="E3339" s="19" t="s">
        <v>272</v>
      </c>
      <c r="F3339" s="19" t="s">
        <v>2611</v>
      </c>
      <c r="G3339" s="19" t="s">
        <v>1046</v>
      </c>
      <c r="H3339" s="19" t="s">
        <v>1001</v>
      </c>
      <c r="I3339" s="19" t="s">
        <v>1575</v>
      </c>
      <c r="J3339" s="20">
        <v>23</v>
      </c>
      <c r="K3339" t="s">
        <v>654</v>
      </c>
      <c r="L3339" t="s">
        <v>666</v>
      </c>
      <c r="M3339" t="s">
        <v>629</v>
      </c>
      <c r="N3339" t="s">
        <v>635</v>
      </c>
      <c r="O3339" t="s">
        <v>739</v>
      </c>
    </row>
    <row r="3340" spans="1:15" x14ac:dyDescent="0.35">
      <c r="A3340" s="77">
        <v>0.41095890410958902</v>
      </c>
      <c r="B3340" s="19">
        <v>99519</v>
      </c>
      <c r="C3340" s="19" t="s">
        <v>5634</v>
      </c>
      <c r="D3340" s="19" t="s">
        <v>421</v>
      </c>
      <c r="E3340" s="19" t="s">
        <v>421</v>
      </c>
      <c r="F3340" s="19" t="s">
        <v>698</v>
      </c>
      <c r="G3340" s="19" t="s">
        <v>1028</v>
      </c>
      <c r="H3340" s="19" t="s">
        <v>1020</v>
      </c>
      <c r="I3340" s="19" t="s">
        <v>1575</v>
      </c>
      <c r="J3340" s="20">
        <v>26</v>
      </c>
      <c r="K3340" t="s">
        <v>636</v>
      </c>
      <c r="L3340" t="s">
        <v>678</v>
      </c>
      <c r="M3340" t="s">
        <v>623</v>
      </c>
      <c r="N3340" t="s">
        <v>624</v>
      </c>
      <c r="O3340" t="s">
        <v>679</v>
      </c>
    </row>
    <row r="3341" spans="1:15" x14ac:dyDescent="0.35">
      <c r="A3341" s="77">
        <v>0.41095890410958902</v>
      </c>
      <c r="B3341" s="19">
        <v>99520</v>
      </c>
      <c r="C3341" s="19" t="s">
        <v>5635</v>
      </c>
      <c r="D3341" s="19" t="s">
        <v>126</v>
      </c>
      <c r="E3341" s="19" t="s">
        <v>127</v>
      </c>
      <c r="F3341" s="19" t="s">
        <v>1152</v>
      </c>
      <c r="G3341" s="19" t="s">
        <v>1057</v>
      </c>
      <c r="H3341" s="19" t="s">
        <v>1001</v>
      </c>
      <c r="I3341" s="19" t="s">
        <v>1575</v>
      </c>
      <c r="J3341" s="20">
        <v>26</v>
      </c>
      <c r="K3341" t="s">
        <v>654</v>
      </c>
      <c r="L3341" t="s">
        <v>628</v>
      </c>
      <c r="M3341" t="s">
        <v>629</v>
      </c>
      <c r="N3341" t="s">
        <v>630</v>
      </c>
      <c r="O3341" t="s">
        <v>632</v>
      </c>
    </row>
    <row r="3342" spans="1:15" x14ac:dyDescent="0.35">
      <c r="A3342" s="77">
        <v>0.41095890410958902</v>
      </c>
      <c r="B3342" s="19">
        <v>99521</v>
      </c>
      <c r="C3342" s="19" t="s">
        <v>5636</v>
      </c>
      <c r="D3342" s="19" t="s">
        <v>243</v>
      </c>
      <c r="E3342" s="19" t="s">
        <v>244</v>
      </c>
      <c r="F3342" s="19" t="s">
        <v>1318</v>
      </c>
      <c r="G3342" s="19" t="s">
        <v>1057</v>
      </c>
      <c r="H3342" s="19" t="s">
        <v>1001</v>
      </c>
      <c r="I3342" s="19" t="s">
        <v>1575</v>
      </c>
      <c r="J3342" s="20">
        <v>29</v>
      </c>
      <c r="K3342" t="s">
        <v>631</v>
      </c>
      <c r="L3342" t="s">
        <v>707</v>
      </c>
      <c r="M3342" t="s">
        <v>629</v>
      </c>
      <c r="N3342" t="s">
        <v>635</v>
      </c>
      <c r="O3342" t="s">
        <v>710</v>
      </c>
    </row>
    <row r="3343" spans="1:15" x14ac:dyDescent="0.35">
      <c r="A3343" s="77">
        <v>0.41095890410958902</v>
      </c>
      <c r="B3343" s="19">
        <v>99532</v>
      </c>
      <c r="C3343" s="19" t="s">
        <v>5637</v>
      </c>
      <c r="D3343" s="19" t="s">
        <v>330</v>
      </c>
      <c r="E3343" s="19" t="s">
        <v>331</v>
      </c>
      <c r="F3343" s="19" t="s">
        <v>332</v>
      </c>
      <c r="G3343" s="19" t="s">
        <v>1008</v>
      </c>
      <c r="H3343" s="19" t="s">
        <v>1001</v>
      </c>
      <c r="I3343" s="19" t="s">
        <v>1575</v>
      </c>
      <c r="J3343" s="20">
        <v>27</v>
      </c>
      <c r="K3343" t="s">
        <v>636</v>
      </c>
      <c r="L3343" t="s">
        <v>762</v>
      </c>
      <c r="M3343" t="s">
        <v>629</v>
      </c>
      <c r="N3343" t="s">
        <v>646</v>
      </c>
      <c r="O3343" t="s">
        <v>839</v>
      </c>
    </row>
    <row r="3344" spans="1:15" x14ac:dyDescent="0.35">
      <c r="A3344" s="77">
        <v>0.40821917808219177</v>
      </c>
      <c r="B3344" s="19">
        <v>99537</v>
      </c>
      <c r="C3344" s="19" t="s">
        <v>5638</v>
      </c>
      <c r="D3344" s="19" t="s">
        <v>120</v>
      </c>
      <c r="E3344" s="19" t="s">
        <v>121</v>
      </c>
      <c r="F3344" s="19" t="s">
        <v>1236</v>
      </c>
      <c r="G3344" s="19" t="s">
        <v>1008</v>
      </c>
      <c r="H3344" s="19" t="s">
        <v>1001</v>
      </c>
      <c r="I3344" s="19" t="s">
        <v>1599</v>
      </c>
      <c r="J3344" s="20">
        <v>25</v>
      </c>
      <c r="K3344" t="s">
        <v>636</v>
      </c>
      <c r="L3344" t="s">
        <v>673</v>
      </c>
      <c r="M3344" t="s">
        <v>623</v>
      </c>
      <c r="N3344" t="s">
        <v>641</v>
      </c>
      <c r="O3344" t="s">
        <v>748</v>
      </c>
    </row>
    <row r="3345" spans="1:15" x14ac:dyDescent="0.35">
      <c r="A3345" s="77">
        <v>0.40547945205479452</v>
      </c>
      <c r="B3345" s="19">
        <v>99545</v>
      </c>
      <c r="C3345" s="19" t="s">
        <v>5639</v>
      </c>
      <c r="D3345" s="19" t="s">
        <v>419</v>
      </c>
      <c r="E3345" s="19" t="s">
        <v>419</v>
      </c>
      <c r="F3345" s="19" t="s">
        <v>695</v>
      </c>
      <c r="G3345" s="19" t="s">
        <v>1028</v>
      </c>
      <c r="H3345" s="19" t="s">
        <v>1020</v>
      </c>
      <c r="I3345" s="19" t="s">
        <v>1575</v>
      </c>
      <c r="J3345" s="20">
        <v>19</v>
      </c>
      <c r="K3345" t="s">
        <v>654</v>
      </c>
      <c r="L3345" t="s">
        <v>628</v>
      </c>
      <c r="M3345" t="s">
        <v>629</v>
      </c>
      <c r="N3345" t="s">
        <v>630</v>
      </c>
      <c r="O3345" t="s">
        <v>632</v>
      </c>
    </row>
    <row r="3346" spans="1:15" x14ac:dyDescent="0.35">
      <c r="A3346" s="77">
        <v>0.39726027397260272</v>
      </c>
      <c r="B3346" s="19">
        <v>99556</v>
      </c>
      <c r="C3346" s="19" t="s">
        <v>5640</v>
      </c>
      <c r="D3346" s="19" t="s">
        <v>76</v>
      </c>
      <c r="E3346" s="19" t="s">
        <v>77</v>
      </c>
      <c r="F3346" s="19" t="s">
        <v>899</v>
      </c>
      <c r="G3346" s="19" t="s">
        <v>1028</v>
      </c>
      <c r="H3346" s="19" t="s">
        <v>1020</v>
      </c>
      <c r="I3346" s="19" t="s">
        <v>1599</v>
      </c>
      <c r="J3346" s="20">
        <v>22</v>
      </c>
      <c r="K3346" t="s">
        <v>636</v>
      </c>
      <c r="L3346" t="s">
        <v>645</v>
      </c>
      <c r="M3346" t="s">
        <v>629</v>
      </c>
      <c r="N3346" t="s">
        <v>646</v>
      </c>
      <c r="O3346" t="s">
        <v>632</v>
      </c>
    </row>
    <row r="3347" spans="1:15" x14ac:dyDescent="0.35">
      <c r="A3347" s="77">
        <v>0.39726027397260272</v>
      </c>
      <c r="B3347" s="19">
        <v>99557</v>
      </c>
      <c r="C3347" s="19" t="s">
        <v>5641</v>
      </c>
      <c r="D3347" s="19" t="s">
        <v>66</v>
      </c>
      <c r="E3347" s="19" t="s">
        <v>67</v>
      </c>
      <c r="F3347" s="19" t="s">
        <v>1708</v>
      </c>
      <c r="G3347" s="19" t="s">
        <v>1028</v>
      </c>
      <c r="H3347" s="19" t="s">
        <v>1020</v>
      </c>
      <c r="I3347" s="19" t="s">
        <v>1575</v>
      </c>
      <c r="J3347" s="20">
        <v>20</v>
      </c>
      <c r="K3347" t="s">
        <v>654</v>
      </c>
      <c r="L3347" t="s">
        <v>645</v>
      </c>
      <c r="M3347" t="s">
        <v>629</v>
      </c>
      <c r="N3347" t="s">
        <v>646</v>
      </c>
      <c r="O3347" t="s">
        <v>632</v>
      </c>
    </row>
    <row r="3348" spans="1:15" x14ac:dyDescent="0.35">
      <c r="A3348" s="77">
        <v>0.39726027397260272</v>
      </c>
      <c r="B3348" s="19">
        <v>99558</v>
      </c>
      <c r="C3348" s="19" t="s">
        <v>5642</v>
      </c>
      <c r="D3348" s="19" t="s">
        <v>27</v>
      </c>
      <c r="E3348" s="19" t="s">
        <v>27</v>
      </c>
      <c r="F3348" s="19" t="s">
        <v>1250</v>
      </c>
      <c r="G3348" s="19" t="s">
        <v>1019</v>
      </c>
      <c r="H3348" s="19" t="s">
        <v>1020</v>
      </c>
      <c r="I3348" s="19" t="s">
        <v>1599</v>
      </c>
      <c r="J3348" s="20">
        <v>20</v>
      </c>
      <c r="K3348" t="s">
        <v>668</v>
      </c>
      <c r="L3348" t="s">
        <v>645</v>
      </c>
      <c r="M3348" t="s">
        <v>629</v>
      </c>
      <c r="N3348" t="s">
        <v>646</v>
      </c>
      <c r="O3348" t="s">
        <v>632</v>
      </c>
    </row>
    <row r="3349" spans="1:15" x14ac:dyDescent="0.35">
      <c r="A3349" s="77">
        <v>0.39726027397260272</v>
      </c>
      <c r="B3349" s="19">
        <v>99563</v>
      </c>
      <c r="C3349" s="19" t="s">
        <v>5643</v>
      </c>
      <c r="D3349" s="19" t="s">
        <v>421</v>
      </c>
      <c r="E3349" s="19" t="s">
        <v>421</v>
      </c>
      <c r="F3349" s="19" t="s">
        <v>698</v>
      </c>
      <c r="G3349" s="19" t="s">
        <v>1008</v>
      </c>
      <c r="H3349" s="19" t="s">
        <v>1001</v>
      </c>
      <c r="I3349" s="19" t="s">
        <v>1575</v>
      </c>
      <c r="J3349" s="20">
        <v>29</v>
      </c>
      <c r="K3349" t="s">
        <v>636</v>
      </c>
      <c r="L3349" t="s">
        <v>678</v>
      </c>
      <c r="M3349" t="s">
        <v>623</v>
      </c>
      <c r="N3349" t="s">
        <v>624</v>
      </c>
      <c r="O3349" t="s">
        <v>679</v>
      </c>
    </row>
    <row r="3350" spans="1:15" x14ac:dyDescent="0.35">
      <c r="A3350" s="77">
        <v>0.39726027397260272</v>
      </c>
      <c r="B3350" s="19">
        <v>99568</v>
      </c>
      <c r="C3350" s="19" t="s">
        <v>5644</v>
      </c>
      <c r="D3350" s="19" t="s">
        <v>51</v>
      </c>
      <c r="E3350" s="19" t="s">
        <v>52</v>
      </c>
      <c r="F3350" s="19" t="s">
        <v>921</v>
      </c>
      <c r="G3350" s="19" t="s">
        <v>1008</v>
      </c>
      <c r="H3350" s="19" t="s">
        <v>1001</v>
      </c>
      <c r="I3350" s="19" t="s">
        <v>1575</v>
      </c>
      <c r="J3350" s="20">
        <v>26</v>
      </c>
      <c r="K3350" t="s">
        <v>636</v>
      </c>
      <c r="L3350" t="s">
        <v>656</v>
      </c>
      <c r="M3350" t="s">
        <v>657</v>
      </c>
      <c r="N3350" t="s">
        <v>658</v>
      </c>
      <c r="O3350" t="s">
        <v>718</v>
      </c>
    </row>
    <row r="3351" spans="1:15" x14ac:dyDescent="0.35">
      <c r="A3351" s="77">
        <v>0.39726027397260272</v>
      </c>
      <c r="B3351" s="19">
        <v>99572</v>
      </c>
      <c r="C3351" s="19" t="s">
        <v>5645</v>
      </c>
      <c r="D3351" s="19" t="s">
        <v>339</v>
      </c>
      <c r="E3351" s="19" t="s">
        <v>340</v>
      </c>
      <c r="F3351" s="19" t="s">
        <v>1024</v>
      </c>
      <c r="G3351" s="19" t="s">
        <v>1028</v>
      </c>
      <c r="H3351" s="19" t="s">
        <v>1020</v>
      </c>
      <c r="I3351" s="19" t="s">
        <v>1599</v>
      </c>
      <c r="J3351" s="20">
        <v>19</v>
      </c>
      <c r="K3351" t="s">
        <v>631</v>
      </c>
      <c r="L3351" t="s">
        <v>651</v>
      </c>
      <c r="M3351" t="s">
        <v>629</v>
      </c>
      <c r="N3351" t="s">
        <v>630</v>
      </c>
      <c r="O3351" t="s">
        <v>705</v>
      </c>
    </row>
    <row r="3352" spans="1:15" x14ac:dyDescent="0.35">
      <c r="A3352" s="77">
        <v>0.39452054794520547</v>
      </c>
      <c r="B3352" s="19">
        <v>99573</v>
      </c>
      <c r="C3352" s="19" t="s">
        <v>5646</v>
      </c>
      <c r="D3352" s="19" t="s">
        <v>339</v>
      </c>
      <c r="E3352" s="19" t="s">
        <v>340</v>
      </c>
      <c r="F3352" s="19" t="s">
        <v>1024</v>
      </c>
      <c r="G3352" s="19" t="s">
        <v>1028</v>
      </c>
      <c r="H3352" s="19" t="s">
        <v>1020</v>
      </c>
      <c r="I3352" s="19" t="s">
        <v>1599</v>
      </c>
      <c r="J3352" s="20">
        <v>18</v>
      </c>
      <c r="K3352" t="s">
        <v>631</v>
      </c>
      <c r="L3352" t="s">
        <v>651</v>
      </c>
      <c r="M3352" t="s">
        <v>629</v>
      </c>
      <c r="N3352" t="s">
        <v>630</v>
      </c>
      <c r="O3352" t="s">
        <v>705</v>
      </c>
    </row>
    <row r="3353" spans="1:15" x14ac:dyDescent="0.35">
      <c r="A3353" s="77">
        <v>0.39452054794520547</v>
      </c>
      <c r="B3353" s="19">
        <v>99574</v>
      </c>
      <c r="C3353" s="19" t="s">
        <v>5647</v>
      </c>
      <c r="D3353" s="19" t="s">
        <v>45</v>
      </c>
      <c r="E3353" s="19" t="s">
        <v>46</v>
      </c>
      <c r="F3353" s="19" t="s">
        <v>1122</v>
      </c>
      <c r="G3353" s="19" t="s">
        <v>1028</v>
      </c>
      <c r="H3353" s="19" t="s">
        <v>1020</v>
      </c>
      <c r="I3353" s="19" t="s">
        <v>1575</v>
      </c>
      <c r="J3353" s="20">
        <v>23</v>
      </c>
      <c r="K3353" t="s">
        <v>631</v>
      </c>
      <c r="L3353" t="s">
        <v>651</v>
      </c>
      <c r="M3353" t="s">
        <v>629</v>
      </c>
      <c r="N3353" t="s">
        <v>630</v>
      </c>
      <c r="O3353" t="s">
        <v>705</v>
      </c>
    </row>
    <row r="3354" spans="1:15" x14ac:dyDescent="0.35">
      <c r="A3354" s="77">
        <v>0.4</v>
      </c>
      <c r="B3354" s="19">
        <v>99579</v>
      </c>
      <c r="C3354" s="19" t="s">
        <v>5648</v>
      </c>
      <c r="D3354" s="19" t="s">
        <v>16</v>
      </c>
      <c r="E3354" s="19" t="s">
        <v>16</v>
      </c>
      <c r="F3354" s="19" t="s">
        <v>1211</v>
      </c>
      <c r="G3354" s="19" t="s">
        <v>1057</v>
      </c>
      <c r="H3354" s="19" t="s">
        <v>1001</v>
      </c>
      <c r="I3354" s="19" t="s">
        <v>1575</v>
      </c>
      <c r="J3354" s="20">
        <v>24</v>
      </c>
      <c r="K3354" t="s">
        <v>631</v>
      </c>
      <c r="L3354" t="s">
        <v>645</v>
      </c>
      <c r="M3354" t="s">
        <v>629</v>
      </c>
      <c r="N3354" t="s">
        <v>646</v>
      </c>
      <c r="O3354" t="s">
        <v>632</v>
      </c>
    </row>
    <row r="3355" spans="1:15" x14ac:dyDescent="0.35">
      <c r="A3355" s="77">
        <v>0.39726027397260272</v>
      </c>
      <c r="B3355" s="19">
        <v>99581</v>
      </c>
      <c r="C3355" s="19" t="s">
        <v>5649</v>
      </c>
      <c r="D3355" s="19" t="s">
        <v>124</v>
      </c>
      <c r="E3355" s="19" t="s">
        <v>125</v>
      </c>
      <c r="F3355" s="19" t="s">
        <v>1398</v>
      </c>
      <c r="G3355" s="19" t="s">
        <v>1019</v>
      </c>
      <c r="H3355" s="19" t="s">
        <v>1020</v>
      </c>
      <c r="I3355" s="19" t="s">
        <v>1575</v>
      </c>
      <c r="J3355" s="20">
        <v>23</v>
      </c>
      <c r="K3355" t="s">
        <v>654</v>
      </c>
      <c r="L3355" t="s">
        <v>661</v>
      </c>
      <c r="M3355" t="s">
        <v>657</v>
      </c>
      <c r="N3355" t="s">
        <v>662</v>
      </c>
      <c r="O3355" t="s">
        <v>632</v>
      </c>
    </row>
    <row r="3356" spans="1:15" x14ac:dyDescent="0.35">
      <c r="A3356" s="77">
        <v>0.39726027397260272</v>
      </c>
      <c r="B3356" s="19">
        <v>99582</v>
      </c>
      <c r="C3356" s="19" t="s">
        <v>5650</v>
      </c>
      <c r="D3356" s="19" t="s">
        <v>97</v>
      </c>
      <c r="E3356" s="19" t="s">
        <v>98</v>
      </c>
      <c r="F3356" s="19" t="s">
        <v>2395</v>
      </c>
      <c r="G3356" s="19" t="s">
        <v>1008</v>
      </c>
      <c r="H3356" s="19" t="s">
        <v>1001</v>
      </c>
      <c r="I3356" s="19" t="s">
        <v>1575</v>
      </c>
      <c r="J3356" s="20">
        <v>25</v>
      </c>
      <c r="K3356" t="s">
        <v>654</v>
      </c>
      <c r="L3356" t="s">
        <v>666</v>
      </c>
      <c r="M3356" t="s">
        <v>629</v>
      </c>
      <c r="N3356" t="s">
        <v>635</v>
      </c>
      <c r="O3356" t="s">
        <v>739</v>
      </c>
    </row>
    <row r="3357" spans="1:15" x14ac:dyDescent="0.35">
      <c r="A3357" s="77">
        <v>0.39726027397260272</v>
      </c>
      <c r="B3357" s="19">
        <v>99583</v>
      </c>
      <c r="C3357" s="19" t="s">
        <v>5651</v>
      </c>
      <c r="D3357" s="19" t="s">
        <v>409</v>
      </c>
      <c r="E3357" s="19" t="s">
        <v>410</v>
      </c>
      <c r="F3357" s="19" t="s">
        <v>874</v>
      </c>
      <c r="G3357" s="19" t="s">
        <v>1028</v>
      </c>
      <c r="H3357" s="19" t="s">
        <v>1020</v>
      </c>
      <c r="I3357" s="19" t="s">
        <v>1575</v>
      </c>
      <c r="J3357" s="20">
        <v>21</v>
      </c>
      <c r="K3357" t="s">
        <v>631</v>
      </c>
      <c r="L3357" t="s">
        <v>666</v>
      </c>
      <c r="M3357" t="s">
        <v>629</v>
      </c>
      <c r="N3357" t="s">
        <v>635</v>
      </c>
      <c r="O3357" t="s">
        <v>637</v>
      </c>
    </row>
    <row r="3358" spans="1:15" x14ac:dyDescent="0.35">
      <c r="A3358" s="77">
        <v>0.39726027397260272</v>
      </c>
      <c r="B3358" s="19">
        <v>99584</v>
      </c>
      <c r="C3358" s="19" t="s">
        <v>5652</v>
      </c>
      <c r="D3358" s="19" t="s">
        <v>409</v>
      </c>
      <c r="E3358" s="19" t="s">
        <v>410</v>
      </c>
      <c r="F3358" s="19" t="s">
        <v>874</v>
      </c>
      <c r="G3358" s="19" t="s">
        <v>1008</v>
      </c>
      <c r="H3358" s="19" t="s">
        <v>1001</v>
      </c>
      <c r="I3358" s="19" t="s">
        <v>1575</v>
      </c>
      <c r="J3358" s="20">
        <v>37</v>
      </c>
      <c r="K3358" t="s">
        <v>631</v>
      </c>
      <c r="L3358" t="s">
        <v>666</v>
      </c>
      <c r="M3358" t="s">
        <v>629</v>
      </c>
      <c r="N3358" t="s">
        <v>635</v>
      </c>
      <c r="O3358" t="s">
        <v>637</v>
      </c>
    </row>
    <row r="3359" spans="1:15" x14ac:dyDescent="0.35">
      <c r="A3359" s="77">
        <v>0.39726027397260272</v>
      </c>
      <c r="B3359" s="19">
        <v>99588</v>
      </c>
      <c r="C3359" s="19" t="s">
        <v>5653</v>
      </c>
      <c r="D3359" s="19" t="s">
        <v>39</v>
      </c>
      <c r="E3359" s="19" t="s">
        <v>39</v>
      </c>
      <c r="F3359" s="19" t="s">
        <v>1168</v>
      </c>
      <c r="G3359" s="19" t="s">
        <v>1028</v>
      </c>
      <c r="H3359" s="19" t="s">
        <v>1020</v>
      </c>
      <c r="I3359" s="19" t="s">
        <v>1575</v>
      </c>
      <c r="J3359" s="20">
        <v>24</v>
      </c>
      <c r="K3359" t="s">
        <v>636</v>
      </c>
      <c r="L3359" t="s">
        <v>661</v>
      </c>
      <c r="M3359" t="s">
        <v>657</v>
      </c>
      <c r="N3359" t="s">
        <v>662</v>
      </c>
      <c r="O3359" t="s">
        <v>632</v>
      </c>
    </row>
    <row r="3360" spans="1:15" x14ac:dyDescent="0.35">
      <c r="A3360" s="77">
        <v>0.41369863013698632</v>
      </c>
      <c r="B3360" s="19">
        <v>99590</v>
      </c>
      <c r="C3360" s="19" t="s">
        <v>5654</v>
      </c>
      <c r="D3360" s="19" t="s">
        <v>243</v>
      </c>
      <c r="E3360" s="19" t="s">
        <v>244</v>
      </c>
      <c r="F3360" s="19" t="s">
        <v>1318</v>
      </c>
      <c r="G3360" s="19" t="s">
        <v>3508</v>
      </c>
      <c r="H3360" s="19" t="s">
        <v>1020</v>
      </c>
      <c r="I3360" s="19" t="s">
        <v>1599</v>
      </c>
      <c r="J3360" s="20">
        <v>18</v>
      </c>
      <c r="K3360" t="s">
        <v>631</v>
      </c>
      <c r="L3360" t="s">
        <v>707</v>
      </c>
      <c r="M3360" t="s">
        <v>629</v>
      </c>
      <c r="N3360" t="s">
        <v>635</v>
      </c>
      <c r="O3360" t="s">
        <v>710</v>
      </c>
    </row>
    <row r="3361" spans="1:15" x14ac:dyDescent="0.35">
      <c r="A3361" s="77">
        <v>0.4</v>
      </c>
      <c r="B3361" s="19">
        <v>99593</v>
      </c>
      <c r="C3361" s="19" t="s">
        <v>5655</v>
      </c>
      <c r="D3361" s="19" t="s">
        <v>204</v>
      </c>
      <c r="E3361" s="19" t="s">
        <v>205</v>
      </c>
      <c r="F3361" s="19" t="s">
        <v>1090</v>
      </c>
      <c r="G3361" s="19" t="s">
        <v>3508</v>
      </c>
      <c r="H3361" s="19" t="s">
        <v>1020</v>
      </c>
      <c r="I3361" s="19" t="s">
        <v>1575</v>
      </c>
      <c r="J3361" s="20">
        <v>15</v>
      </c>
      <c r="K3361" t="s">
        <v>668</v>
      </c>
      <c r="L3361" t="s">
        <v>634</v>
      </c>
      <c r="M3361" t="s">
        <v>629</v>
      </c>
      <c r="N3361" t="s">
        <v>635</v>
      </c>
      <c r="O3361" t="s">
        <v>637</v>
      </c>
    </row>
    <row r="3362" spans="1:15" x14ac:dyDescent="0.35">
      <c r="A3362" s="77">
        <v>0.39726027397260272</v>
      </c>
      <c r="B3362" s="19">
        <v>99594</v>
      </c>
      <c r="C3362" s="19" t="s">
        <v>5656</v>
      </c>
      <c r="D3362" s="19" t="s">
        <v>237</v>
      </c>
      <c r="E3362" s="19" t="s">
        <v>238</v>
      </c>
      <c r="F3362" s="19" t="s">
        <v>1070</v>
      </c>
      <c r="G3362" s="19" t="s">
        <v>3508</v>
      </c>
      <c r="H3362" s="19" t="s">
        <v>1020</v>
      </c>
      <c r="I3362" s="19" t="s">
        <v>1599</v>
      </c>
      <c r="J3362" s="20">
        <v>15</v>
      </c>
      <c r="K3362" t="s">
        <v>631</v>
      </c>
      <c r="L3362" t="s">
        <v>661</v>
      </c>
      <c r="M3362" t="s">
        <v>657</v>
      </c>
      <c r="N3362" t="s">
        <v>662</v>
      </c>
      <c r="O3362" t="s">
        <v>632</v>
      </c>
    </row>
    <row r="3363" spans="1:15" x14ac:dyDescent="0.35">
      <c r="A3363" s="77">
        <v>0.39726027397260272</v>
      </c>
      <c r="B3363" s="19">
        <v>99595</v>
      </c>
      <c r="C3363" s="19" t="s">
        <v>5657</v>
      </c>
      <c r="D3363" s="19" t="s">
        <v>237</v>
      </c>
      <c r="E3363" s="19" t="s">
        <v>238</v>
      </c>
      <c r="F3363" s="19" t="s">
        <v>1070</v>
      </c>
      <c r="G3363" s="19" t="s">
        <v>3508</v>
      </c>
      <c r="H3363" s="19" t="s">
        <v>1020</v>
      </c>
      <c r="I3363" s="19" t="s">
        <v>1575</v>
      </c>
      <c r="J3363" s="20">
        <v>14</v>
      </c>
      <c r="K3363" t="s">
        <v>631</v>
      </c>
      <c r="L3363" t="s">
        <v>661</v>
      </c>
      <c r="M3363" t="s">
        <v>657</v>
      </c>
      <c r="N3363" t="s">
        <v>662</v>
      </c>
      <c r="O3363" t="s">
        <v>632</v>
      </c>
    </row>
    <row r="3364" spans="1:15" x14ac:dyDescent="0.35">
      <c r="A3364" s="77">
        <v>0.39452054794520547</v>
      </c>
      <c r="B3364" s="19">
        <v>99596</v>
      </c>
      <c r="C3364" s="19" t="s">
        <v>5658</v>
      </c>
      <c r="D3364" s="19" t="s">
        <v>82</v>
      </c>
      <c r="E3364" s="19" t="s">
        <v>83</v>
      </c>
      <c r="F3364" s="19" t="s">
        <v>1103</v>
      </c>
      <c r="G3364" s="19" t="s">
        <v>3508</v>
      </c>
      <c r="H3364" s="19" t="s">
        <v>1020</v>
      </c>
      <c r="I3364" s="19" t="s">
        <v>1599</v>
      </c>
      <c r="J3364" s="20">
        <v>14</v>
      </c>
      <c r="K3364" t="s">
        <v>642</v>
      </c>
      <c r="L3364" t="s">
        <v>661</v>
      </c>
      <c r="M3364" t="s">
        <v>657</v>
      </c>
      <c r="N3364" t="s">
        <v>662</v>
      </c>
      <c r="O3364" t="s">
        <v>632</v>
      </c>
    </row>
    <row r="3365" spans="1:15" x14ac:dyDescent="0.35">
      <c r="A3365" s="77">
        <v>0.39452054794520547</v>
      </c>
      <c r="B3365" s="19">
        <v>99598</v>
      </c>
      <c r="C3365" s="19" t="s">
        <v>5659</v>
      </c>
      <c r="D3365" s="19" t="s">
        <v>252</v>
      </c>
      <c r="E3365" s="19" t="s">
        <v>253</v>
      </c>
      <c r="F3365" s="19" t="s">
        <v>914</v>
      </c>
      <c r="G3365" s="19" t="s">
        <v>1028</v>
      </c>
      <c r="H3365" s="19" t="s">
        <v>1020</v>
      </c>
      <c r="I3365" s="19" t="s">
        <v>1575</v>
      </c>
      <c r="J3365" s="20">
        <v>18</v>
      </c>
      <c r="K3365" t="s">
        <v>636</v>
      </c>
      <c r="L3365" t="s">
        <v>656</v>
      </c>
      <c r="M3365" t="s">
        <v>657</v>
      </c>
      <c r="N3365" t="s">
        <v>658</v>
      </c>
      <c r="O3365" t="s">
        <v>718</v>
      </c>
    </row>
    <row r="3366" spans="1:15" x14ac:dyDescent="0.35">
      <c r="A3366" s="77">
        <v>0.39452054794520547</v>
      </c>
      <c r="B3366" s="19">
        <v>99599</v>
      </c>
      <c r="C3366" s="19" t="s">
        <v>5660</v>
      </c>
      <c r="D3366" s="19" t="s">
        <v>30</v>
      </c>
      <c r="E3366" s="19" t="s">
        <v>30</v>
      </c>
      <c r="F3366" s="19" t="s">
        <v>672</v>
      </c>
      <c r="G3366" s="19" t="s">
        <v>1008</v>
      </c>
      <c r="H3366" s="19" t="s">
        <v>1001</v>
      </c>
      <c r="I3366" s="19" t="s">
        <v>1575</v>
      </c>
      <c r="J3366" s="20">
        <v>22</v>
      </c>
      <c r="K3366" t="s">
        <v>636</v>
      </c>
      <c r="L3366" t="s">
        <v>673</v>
      </c>
      <c r="M3366" t="s">
        <v>623</v>
      </c>
      <c r="N3366" t="s">
        <v>641</v>
      </c>
      <c r="O3366" t="s">
        <v>674</v>
      </c>
    </row>
    <row r="3367" spans="1:15" x14ac:dyDescent="0.35">
      <c r="A3367" s="77">
        <v>0.39452054794520547</v>
      </c>
      <c r="B3367" s="19">
        <v>99602</v>
      </c>
      <c r="C3367" s="19" t="s">
        <v>5661</v>
      </c>
      <c r="D3367" s="19" t="s">
        <v>118</v>
      </c>
      <c r="E3367" s="19" t="s">
        <v>119</v>
      </c>
      <c r="F3367" s="19" t="s">
        <v>1360</v>
      </c>
      <c r="G3367" s="19" t="s">
        <v>1028</v>
      </c>
      <c r="H3367" s="19" t="s">
        <v>1020</v>
      </c>
      <c r="I3367" s="19" t="s">
        <v>1599</v>
      </c>
      <c r="J3367" s="20">
        <v>22</v>
      </c>
      <c r="K3367" t="s">
        <v>625</v>
      </c>
      <c r="L3367" t="s">
        <v>656</v>
      </c>
      <c r="M3367" t="s">
        <v>657</v>
      </c>
      <c r="N3367" t="s">
        <v>658</v>
      </c>
      <c r="O3367" t="s">
        <v>632</v>
      </c>
    </row>
    <row r="3368" spans="1:15" x14ac:dyDescent="0.35">
      <c r="A3368" s="77">
        <v>0.39452054794520547</v>
      </c>
      <c r="B3368" s="19">
        <v>99603</v>
      </c>
      <c r="C3368" s="19" t="s">
        <v>5662</v>
      </c>
      <c r="D3368" s="19" t="s">
        <v>426</v>
      </c>
      <c r="E3368" s="19" t="s">
        <v>426</v>
      </c>
      <c r="F3368" s="19" t="s">
        <v>1220</v>
      </c>
      <c r="G3368" s="19" t="s">
        <v>1008</v>
      </c>
      <c r="H3368" s="19" t="s">
        <v>1001</v>
      </c>
      <c r="I3368" s="19" t="s">
        <v>1575</v>
      </c>
      <c r="J3368" s="20">
        <v>24</v>
      </c>
      <c r="K3368" t="s">
        <v>654</v>
      </c>
      <c r="L3368" t="s">
        <v>622</v>
      </c>
      <c r="M3368" t="s">
        <v>623</v>
      </c>
      <c r="N3368" t="s">
        <v>624</v>
      </c>
      <c r="O3368" t="s">
        <v>649</v>
      </c>
    </row>
    <row r="3369" spans="1:15" x14ac:dyDescent="0.35">
      <c r="A3369" s="77">
        <v>0.39452054794520547</v>
      </c>
      <c r="B3369" s="19">
        <v>99604</v>
      </c>
      <c r="C3369" s="19" t="s">
        <v>5663</v>
      </c>
      <c r="D3369" s="19" t="s">
        <v>199</v>
      </c>
      <c r="E3369" s="19" t="s">
        <v>200</v>
      </c>
      <c r="F3369" s="19" t="s">
        <v>1496</v>
      </c>
      <c r="G3369" s="19" t="s">
        <v>3508</v>
      </c>
      <c r="H3369" s="19" t="s">
        <v>1020</v>
      </c>
      <c r="I3369" s="19" t="s">
        <v>1575</v>
      </c>
      <c r="J3369" s="20">
        <v>15</v>
      </c>
      <c r="K3369" t="s">
        <v>654</v>
      </c>
      <c r="L3369" t="s">
        <v>737</v>
      </c>
      <c r="M3369" t="s">
        <v>657</v>
      </c>
      <c r="N3369" t="s">
        <v>641</v>
      </c>
      <c r="O3369" t="s">
        <v>738</v>
      </c>
    </row>
    <row r="3370" spans="1:15" x14ac:dyDescent="0.35">
      <c r="A3370" s="77">
        <v>0.39452054794520547</v>
      </c>
      <c r="B3370" s="19">
        <v>99605</v>
      </c>
      <c r="C3370" s="19" t="s">
        <v>5664</v>
      </c>
      <c r="D3370" s="19" t="s">
        <v>199</v>
      </c>
      <c r="E3370" s="19" t="s">
        <v>200</v>
      </c>
      <c r="F3370" s="19" t="s">
        <v>1496</v>
      </c>
      <c r="G3370" s="19" t="s">
        <v>3508</v>
      </c>
      <c r="H3370" s="19" t="s">
        <v>1020</v>
      </c>
      <c r="I3370" s="19" t="s">
        <v>1575</v>
      </c>
      <c r="J3370" s="20">
        <v>15</v>
      </c>
      <c r="K3370" t="s">
        <v>654</v>
      </c>
      <c r="L3370" t="s">
        <v>737</v>
      </c>
      <c r="M3370" t="s">
        <v>657</v>
      </c>
      <c r="N3370" t="s">
        <v>641</v>
      </c>
      <c r="O3370" t="s">
        <v>738</v>
      </c>
    </row>
    <row r="3371" spans="1:15" x14ac:dyDescent="0.35">
      <c r="A3371" s="77">
        <v>0.39726027397260272</v>
      </c>
      <c r="B3371" s="19">
        <v>99607</v>
      </c>
      <c r="C3371" s="19" t="s">
        <v>5665</v>
      </c>
      <c r="D3371" s="19" t="s">
        <v>417</v>
      </c>
      <c r="E3371" s="19" t="s">
        <v>417</v>
      </c>
      <c r="F3371" s="19" t="s">
        <v>418</v>
      </c>
      <c r="G3371" s="19" t="s">
        <v>1028</v>
      </c>
      <c r="H3371" s="19" t="s">
        <v>1020</v>
      </c>
      <c r="I3371" s="19" t="s">
        <v>1599</v>
      </c>
      <c r="J3371" s="20">
        <v>23</v>
      </c>
      <c r="K3371" t="s">
        <v>654</v>
      </c>
      <c r="L3371" t="s">
        <v>684</v>
      </c>
      <c r="M3371" t="s">
        <v>623</v>
      </c>
      <c r="N3371" t="s">
        <v>662</v>
      </c>
      <c r="O3371" t="s">
        <v>687</v>
      </c>
    </row>
    <row r="3372" spans="1:15" x14ac:dyDescent="0.35">
      <c r="A3372" s="77">
        <v>0.39726027397260272</v>
      </c>
      <c r="B3372" s="19">
        <v>99609</v>
      </c>
      <c r="C3372" s="19" t="s">
        <v>5666</v>
      </c>
      <c r="D3372" s="19" t="s">
        <v>419</v>
      </c>
      <c r="E3372" s="19" t="s">
        <v>419</v>
      </c>
      <c r="F3372" s="19" t="s">
        <v>695</v>
      </c>
      <c r="G3372" s="19" t="s">
        <v>1019</v>
      </c>
      <c r="H3372" s="19" t="s">
        <v>1020</v>
      </c>
      <c r="I3372" s="19" t="s">
        <v>1575</v>
      </c>
      <c r="J3372" s="20">
        <v>19</v>
      </c>
      <c r="K3372" t="s">
        <v>654</v>
      </c>
      <c r="L3372" t="s">
        <v>628</v>
      </c>
      <c r="M3372" t="s">
        <v>629</v>
      </c>
      <c r="N3372" t="s">
        <v>630</v>
      </c>
      <c r="O3372" t="s">
        <v>632</v>
      </c>
    </row>
    <row r="3373" spans="1:15" x14ac:dyDescent="0.35">
      <c r="A3373" s="77">
        <v>0.39452054794520547</v>
      </c>
      <c r="B3373" s="19">
        <v>99612</v>
      </c>
      <c r="C3373" s="19" t="s">
        <v>5667</v>
      </c>
      <c r="D3373" s="19" t="s">
        <v>311</v>
      </c>
      <c r="E3373" s="19" t="s">
        <v>312</v>
      </c>
      <c r="F3373" s="19" t="s">
        <v>1140</v>
      </c>
      <c r="G3373" s="19" t="s">
        <v>1028</v>
      </c>
      <c r="H3373" s="19" t="s">
        <v>1020</v>
      </c>
      <c r="I3373" s="19" t="s">
        <v>1575</v>
      </c>
      <c r="J3373" s="20">
        <v>18</v>
      </c>
      <c r="K3373" t="s">
        <v>631</v>
      </c>
      <c r="L3373" t="s">
        <v>628</v>
      </c>
      <c r="M3373" t="s">
        <v>629</v>
      </c>
      <c r="N3373" t="s">
        <v>630</v>
      </c>
      <c r="O3373" t="s">
        <v>632</v>
      </c>
    </row>
    <row r="3374" spans="1:15" x14ac:dyDescent="0.35">
      <c r="A3374" s="77">
        <v>0.39452054794520547</v>
      </c>
      <c r="B3374" s="19">
        <v>99616</v>
      </c>
      <c r="C3374" s="19" t="s">
        <v>5668</v>
      </c>
      <c r="D3374" s="19" t="s">
        <v>53</v>
      </c>
      <c r="E3374" s="19" t="s">
        <v>54</v>
      </c>
      <c r="F3374" s="19" t="s">
        <v>1308</v>
      </c>
      <c r="G3374" s="19" t="s">
        <v>1019</v>
      </c>
      <c r="H3374" s="19" t="s">
        <v>1020</v>
      </c>
      <c r="I3374" s="19" t="s">
        <v>1599</v>
      </c>
      <c r="J3374" s="20">
        <v>21</v>
      </c>
      <c r="K3374" t="s">
        <v>668</v>
      </c>
      <c r="L3374" t="s">
        <v>691</v>
      </c>
      <c r="M3374" t="s">
        <v>657</v>
      </c>
      <c r="N3374" t="s">
        <v>658</v>
      </c>
      <c r="O3374" t="s">
        <v>632</v>
      </c>
    </row>
    <row r="3375" spans="1:15" x14ac:dyDescent="0.35">
      <c r="A3375" s="77">
        <v>0.39452054794520547</v>
      </c>
      <c r="B3375" s="19">
        <v>99617</v>
      </c>
      <c r="C3375" s="19" t="s">
        <v>5669</v>
      </c>
      <c r="D3375" s="19" t="s">
        <v>420</v>
      </c>
      <c r="E3375" s="19" t="s">
        <v>420</v>
      </c>
      <c r="F3375" s="19" t="s">
        <v>686</v>
      </c>
      <c r="G3375" s="19" t="s">
        <v>1057</v>
      </c>
      <c r="H3375" s="19" t="s">
        <v>1001</v>
      </c>
      <c r="I3375" s="19" t="s">
        <v>1575</v>
      </c>
      <c r="J3375" s="20">
        <v>21</v>
      </c>
      <c r="K3375" t="s">
        <v>631</v>
      </c>
      <c r="L3375" t="s">
        <v>634</v>
      </c>
      <c r="M3375" t="s">
        <v>629</v>
      </c>
      <c r="N3375" t="s">
        <v>635</v>
      </c>
      <c r="O3375" t="s">
        <v>637</v>
      </c>
    </row>
    <row r="3376" spans="1:15" x14ac:dyDescent="0.35">
      <c r="A3376" s="77">
        <v>0.39178082191780822</v>
      </c>
      <c r="B3376" s="19">
        <v>99622</v>
      </c>
      <c r="C3376" s="19" t="s">
        <v>5670</v>
      </c>
      <c r="D3376" s="19" t="s">
        <v>297</v>
      </c>
      <c r="E3376" s="19" t="s">
        <v>298</v>
      </c>
      <c r="F3376" s="19" t="s">
        <v>904</v>
      </c>
      <c r="G3376" s="19" t="s">
        <v>1008</v>
      </c>
      <c r="H3376" s="19" t="s">
        <v>1001</v>
      </c>
      <c r="I3376" s="19" t="s">
        <v>1599</v>
      </c>
      <c r="J3376" s="20">
        <v>24</v>
      </c>
      <c r="K3376" t="s">
        <v>654</v>
      </c>
      <c r="L3376" t="s">
        <v>762</v>
      </c>
      <c r="M3376" t="s">
        <v>629</v>
      </c>
      <c r="N3376" t="s">
        <v>646</v>
      </c>
      <c r="O3376" t="s">
        <v>823</v>
      </c>
    </row>
    <row r="3377" spans="1:15" x14ac:dyDescent="0.35">
      <c r="A3377" s="77">
        <v>0.39178082191780822</v>
      </c>
      <c r="B3377" s="19">
        <v>99623</v>
      </c>
      <c r="C3377" s="19" t="s">
        <v>5671</v>
      </c>
      <c r="D3377" s="19" t="s">
        <v>355</v>
      </c>
      <c r="E3377" s="19" t="s">
        <v>356</v>
      </c>
      <c r="F3377" s="19" t="s">
        <v>1100</v>
      </c>
      <c r="G3377" s="19" t="s">
        <v>1019</v>
      </c>
      <c r="H3377" s="19" t="s">
        <v>1020</v>
      </c>
      <c r="I3377" s="19" t="s">
        <v>1575</v>
      </c>
      <c r="J3377" s="20">
        <v>21</v>
      </c>
      <c r="K3377" t="s">
        <v>625</v>
      </c>
      <c r="L3377" t="s">
        <v>622</v>
      </c>
      <c r="M3377" t="s">
        <v>623</v>
      </c>
      <c r="N3377" t="s">
        <v>624</v>
      </c>
      <c r="O3377" t="s">
        <v>649</v>
      </c>
    </row>
    <row r="3378" spans="1:15" x14ac:dyDescent="0.35">
      <c r="A3378" s="77">
        <v>0.39178082191780822</v>
      </c>
      <c r="B3378" s="19">
        <v>99625</v>
      </c>
      <c r="C3378" s="19" t="s">
        <v>5672</v>
      </c>
      <c r="D3378" s="19" t="s">
        <v>252</v>
      </c>
      <c r="E3378" s="19" t="s">
        <v>253</v>
      </c>
      <c r="F3378" s="19" t="s">
        <v>914</v>
      </c>
      <c r="G3378" s="19" t="s">
        <v>1057</v>
      </c>
      <c r="H3378" s="19" t="s">
        <v>1001</v>
      </c>
      <c r="I3378" s="19" t="s">
        <v>1599</v>
      </c>
      <c r="J3378" s="20">
        <v>20</v>
      </c>
      <c r="K3378" t="s">
        <v>636</v>
      </c>
      <c r="L3378" t="s">
        <v>656</v>
      </c>
      <c r="M3378" t="s">
        <v>657</v>
      </c>
      <c r="N3378" t="s">
        <v>658</v>
      </c>
      <c r="O3378" t="s">
        <v>718</v>
      </c>
    </row>
    <row r="3379" spans="1:15" x14ac:dyDescent="0.35">
      <c r="A3379" s="77">
        <v>0.39178082191780822</v>
      </c>
      <c r="B3379" s="19">
        <v>99627</v>
      </c>
      <c r="C3379" s="19" t="s">
        <v>5673</v>
      </c>
      <c r="D3379" s="19" t="s">
        <v>385</v>
      </c>
      <c r="E3379" s="19" t="s">
        <v>386</v>
      </c>
      <c r="F3379" s="19" t="s">
        <v>1059</v>
      </c>
      <c r="G3379" s="19" t="s">
        <v>1019</v>
      </c>
      <c r="H3379" s="19" t="s">
        <v>1020</v>
      </c>
      <c r="I3379" s="19" t="s">
        <v>1575</v>
      </c>
      <c r="J3379" s="20">
        <v>21</v>
      </c>
      <c r="K3379" t="s">
        <v>631</v>
      </c>
      <c r="L3379" t="s">
        <v>663</v>
      </c>
      <c r="M3379" t="s">
        <v>629</v>
      </c>
      <c r="N3379" t="s">
        <v>646</v>
      </c>
      <c r="O3379" t="s">
        <v>810</v>
      </c>
    </row>
    <row r="3380" spans="1:15" x14ac:dyDescent="0.35">
      <c r="A3380" s="77">
        <v>0.39178082191780822</v>
      </c>
      <c r="B3380" s="19">
        <v>99630</v>
      </c>
      <c r="C3380" s="19" t="s">
        <v>5674</v>
      </c>
      <c r="D3380" s="19" t="s">
        <v>286</v>
      </c>
      <c r="E3380" s="19" t="s">
        <v>287</v>
      </c>
      <c r="F3380" s="19" t="s">
        <v>1675</v>
      </c>
      <c r="G3380" s="19" t="s">
        <v>1057</v>
      </c>
      <c r="H3380" s="19" t="s">
        <v>1001</v>
      </c>
      <c r="I3380" s="19" t="s">
        <v>1575</v>
      </c>
      <c r="J3380" s="20">
        <v>26</v>
      </c>
      <c r="K3380" t="s">
        <v>668</v>
      </c>
      <c r="L3380" t="s">
        <v>640</v>
      </c>
      <c r="M3380" t="s">
        <v>623</v>
      </c>
      <c r="N3380" t="s">
        <v>641</v>
      </c>
      <c r="O3380" t="s">
        <v>754</v>
      </c>
    </row>
    <row r="3381" spans="1:15" x14ac:dyDescent="0.35">
      <c r="A3381" s="77">
        <v>0.39178082191780822</v>
      </c>
      <c r="B3381" s="19">
        <v>99631</v>
      </c>
      <c r="C3381" s="19" t="s">
        <v>5675</v>
      </c>
      <c r="D3381" s="19" t="s">
        <v>80</v>
      </c>
      <c r="E3381" s="19" t="s">
        <v>81</v>
      </c>
      <c r="F3381" s="19" t="s">
        <v>1022</v>
      </c>
      <c r="G3381" s="19" t="s">
        <v>1019</v>
      </c>
      <c r="H3381" s="19" t="s">
        <v>1020</v>
      </c>
      <c r="I3381" s="19" t="s">
        <v>1575</v>
      </c>
      <c r="J3381" s="20">
        <v>19</v>
      </c>
      <c r="K3381" t="s">
        <v>654</v>
      </c>
      <c r="L3381" t="s">
        <v>628</v>
      </c>
      <c r="M3381" t="s">
        <v>629</v>
      </c>
      <c r="N3381" t="s">
        <v>630</v>
      </c>
      <c r="O3381" t="s">
        <v>632</v>
      </c>
    </row>
    <row r="3382" spans="1:15" x14ac:dyDescent="0.35">
      <c r="A3382" s="77">
        <v>0.39178082191780822</v>
      </c>
      <c r="B3382" s="19">
        <v>99632</v>
      </c>
      <c r="C3382" s="19" t="s">
        <v>5676</v>
      </c>
      <c r="D3382" s="19" t="s">
        <v>405</v>
      </c>
      <c r="E3382" s="19" t="s">
        <v>406</v>
      </c>
      <c r="F3382" s="19" t="s">
        <v>594</v>
      </c>
      <c r="G3382" s="19" t="s">
        <v>1008</v>
      </c>
      <c r="H3382" s="19" t="s">
        <v>1001</v>
      </c>
      <c r="I3382" s="19" t="s">
        <v>1575</v>
      </c>
      <c r="J3382" s="20">
        <v>21</v>
      </c>
      <c r="K3382" t="s">
        <v>654</v>
      </c>
      <c r="L3382" t="s">
        <v>684</v>
      </c>
      <c r="M3382" t="s">
        <v>623</v>
      </c>
      <c r="N3382" t="s">
        <v>662</v>
      </c>
      <c r="O3382" t="s">
        <v>872</v>
      </c>
    </row>
    <row r="3383" spans="1:15" x14ac:dyDescent="0.35">
      <c r="A3383" s="77">
        <v>0.38904109589041097</v>
      </c>
      <c r="B3383" s="19">
        <v>99636</v>
      </c>
      <c r="C3383" s="19" t="s">
        <v>5677</v>
      </c>
      <c r="D3383" s="19" t="s">
        <v>295</v>
      </c>
      <c r="E3383" s="19" t="s">
        <v>296</v>
      </c>
      <c r="F3383" s="19" t="s">
        <v>1095</v>
      </c>
      <c r="G3383" s="19" t="s">
        <v>1019</v>
      </c>
      <c r="H3383" s="19" t="s">
        <v>1020</v>
      </c>
      <c r="I3383" s="19" t="s">
        <v>1575</v>
      </c>
      <c r="J3383" s="20">
        <v>23</v>
      </c>
      <c r="K3383" t="s">
        <v>654</v>
      </c>
      <c r="L3383" t="s">
        <v>651</v>
      </c>
      <c r="M3383" t="s">
        <v>629</v>
      </c>
      <c r="N3383" t="s">
        <v>630</v>
      </c>
      <c r="O3383" t="s">
        <v>705</v>
      </c>
    </row>
    <row r="3384" spans="1:15" x14ac:dyDescent="0.35">
      <c r="A3384" s="77">
        <v>0.38904109589041097</v>
      </c>
      <c r="B3384" s="19">
        <v>99643</v>
      </c>
      <c r="C3384" s="19" t="s">
        <v>5678</v>
      </c>
      <c r="D3384" s="19" t="s">
        <v>191</v>
      </c>
      <c r="E3384" s="19" t="s">
        <v>192</v>
      </c>
      <c r="F3384" s="19" t="s">
        <v>1626</v>
      </c>
      <c r="G3384" s="19" t="s">
        <v>1008</v>
      </c>
      <c r="H3384" s="19" t="s">
        <v>1001</v>
      </c>
      <c r="I3384" s="19" t="s">
        <v>1575</v>
      </c>
      <c r="J3384" s="20">
        <v>24</v>
      </c>
      <c r="K3384" t="s">
        <v>654</v>
      </c>
      <c r="L3384" t="s">
        <v>673</v>
      </c>
      <c r="M3384" t="s">
        <v>623</v>
      </c>
      <c r="N3384" t="s">
        <v>641</v>
      </c>
      <c r="O3384" t="s">
        <v>779</v>
      </c>
    </row>
    <row r="3385" spans="1:15" x14ac:dyDescent="0.35">
      <c r="A3385" s="77">
        <v>0.38904109589041097</v>
      </c>
      <c r="B3385" s="19">
        <v>99646</v>
      </c>
      <c r="C3385" s="19" t="s">
        <v>5679</v>
      </c>
      <c r="D3385" s="19" t="s">
        <v>36</v>
      </c>
      <c r="E3385" s="19" t="s">
        <v>36</v>
      </c>
      <c r="F3385" s="19" t="s">
        <v>1403</v>
      </c>
      <c r="G3385" s="19" t="s">
        <v>1028</v>
      </c>
      <c r="H3385" s="19" t="s">
        <v>1020</v>
      </c>
      <c r="I3385" s="19" t="s">
        <v>1575</v>
      </c>
      <c r="J3385" s="20">
        <v>20</v>
      </c>
      <c r="K3385" t="s">
        <v>668</v>
      </c>
      <c r="L3385" t="s">
        <v>691</v>
      </c>
      <c r="M3385" t="s">
        <v>657</v>
      </c>
      <c r="N3385" t="s">
        <v>658</v>
      </c>
      <c r="O3385" t="s">
        <v>632</v>
      </c>
    </row>
    <row r="3386" spans="1:15" x14ac:dyDescent="0.35">
      <c r="A3386" s="77">
        <v>0.38904109589041097</v>
      </c>
      <c r="B3386" s="19">
        <v>99649</v>
      </c>
      <c r="C3386" s="19" t="s">
        <v>5680</v>
      </c>
      <c r="D3386" s="19" t="s">
        <v>167</v>
      </c>
      <c r="E3386" s="19" t="s">
        <v>168</v>
      </c>
      <c r="F3386" s="19" t="s">
        <v>2009</v>
      </c>
      <c r="G3386" s="19" t="s">
        <v>1084</v>
      </c>
      <c r="H3386" s="19" t="s">
        <v>1001</v>
      </c>
      <c r="I3386" s="19" t="s">
        <v>1599</v>
      </c>
      <c r="J3386" s="20">
        <v>22</v>
      </c>
      <c r="K3386" t="s">
        <v>636</v>
      </c>
      <c r="L3386" t="s">
        <v>640</v>
      </c>
      <c r="M3386" t="s">
        <v>623</v>
      </c>
      <c r="N3386" t="s">
        <v>641</v>
      </c>
      <c r="O3386" t="s">
        <v>754</v>
      </c>
    </row>
    <row r="3387" spans="1:15" x14ac:dyDescent="0.35">
      <c r="A3387" s="77">
        <v>0.38904109589041097</v>
      </c>
      <c r="B3387" s="19">
        <v>99654</v>
      </c>
      <c r="C3387" s="19" t="s">
        <v>5681</v>
      </c>
      <c r="D3387" s="19" t="s">
        <v>13</v>
      </c>
      <c r="E3387" s="19" t="s">
        <v>13</v>
      </c>
      <c r="F3387" s="19" t="s">
        <v>1467</v>
      </c>
      <c r="G3387" s="19" t="s">
        <v>1028</v>
      </c>
      <c r="H3387" s="19" t="s">
        <v>1020</v>
      </c>
      <c r="I3387" s="19" t="s">
        <v>1575</v>
      </c>
      <c r="J3387" s="20">
        <v>24</v>
      </c>
      <c r="K3387" t="s">
        <v>631</v>
      </c>
      <c r="L3387" t="s">
        <v>628</v>
      </c>
      <c r="M3387" t="s">
        <v>629</v>
      </c>
      <c r="N3387" t="s">
        <v>630</v>
      </c>
      <c r="O3387" t="s">
        <v>639</v>
      </c>
    </row>
    <row r="3388" spans="1:15" x14ac:dyDescent="0.35">
      <c r="A3388" s="77">
        <v>0.38904109589041097</v>
      </c>
      <c r="B3388" s="19">
        <v>99656</v>
      </c>
      <c r="C3388" s="19" t="s">
        <v>5682</v>
      </c>
      <c r="D3388" s="19" t="s">
        <v>397</v>
      </c>
      <c r="E3388" s="19" t="s">
        <v>398</v>
      </c>
      <c r="F3388" s="19" t="s">
        <v>867</v>
      </c>
      <c r="G3388" s="19" t="s">
        <v>3508</v>
      </c>
      <c r="H3388" s="19" t="s">
        <v>1020</v>
      </c>
      <c r="I3388" s="19" t="s">
        <v>1575</v>
      </c>
      <c r="J3388" s="20">
        <v>15</v>
      </c>
      <c r="K3388" t="s">
        <v>625</v>
      </c>
      <c r="L3388" t="s">
        <v>634</v>
      </c>
      <c r="M3388" t="s">
        <v>629</v>
      </c>
      <c r="N3388" t="s">
        <v>635</v>
      </c>
      <c r="O3388" t="s">
        <v>637</v>
      </c>
    </row>
    <row r="3389" spans="1:15" x14ac:dyDescent="0.35">
      <c r="A3389" s="77">
        <v>0.39178082191780822</v>
      </c>
      <c r="B3389" s="19">
        <v>99660</v>
      </c>
      <c r="C3389" s="19" t="s">
        <v>5683</v>
      </c>
      <c r="D3389" s="19" t="s">
        <v>367</v>
      </c>
      <c r="E3389" s="19" t="s">
        <v>368</v>
      </c>
      <c r="F3389" s="19" t="s">
        <v>1604</v>
      </c>
      <c r="G3389" s="19" t="s">
        <v>3508</v>
      </c>
      <c r="H3389" s="19" t="s">
        <v>1020</v>
      </c>
      <c r="I3389" s="19" t="s">
        <v>1599</v>
      </c>
      <c r="J3389" s="20">
        <v>17</v>
      </c>
      <c r="K3389" t="s">
        <v>636</v>
      </c>
      <c r="L3389" t="s">
        <v>737</v>
      </c>
      <c r="M3389" t="s">
        <v>657</v>
      </c>
      <c r="N3389" t="s">
        <v>641</v>
      </c>
      <c r="O3389" t="s">
        <v>738</v>
      </c>
    </row>
    <row r="3390" spans="1:15" x14ac:dyDescent="0.35">
      <c r="A3390" s="77">
        <v>0.38630136986301372</v>
      </c>
      <c r="B3390" s="19">
        <v>99663</v>
      </c>
      <c r="C3390" s="19" t="s">
        <v>5684</v>
      </c>
      <c r="D3390" s="19" t="s">
        <v>11</v>
      </c>
      <c r="E3390" s="19" t="s">
        <v>11</v>
      </c>
      <c r="F3390" s="19" t="s">
        <v>627</v>
      </c>
      <c r="G3390" s="19" t="s">
        <v>1028</v>
      </c>
      <c r="H3390" s="19" t="s">
        <v>1020</v>
      </c>
      <c r="I3390" s="19" t="s">
        <v>1575</v>
      </c>
      <c r="J3390" s="20">
        <v>18</v>
      </c>
      <c r="K3390" t="s">
        <v>631</v>
      </c>
      <c r="L3390" t="s">
        <v>628</v>
      </c>
      <c r="M3390" t="s">
        <v>629</v>
      </c>
      <c r="N3390" t="s">
        <v>630</v>
      </c>
      <c r="O3390" t="s">
        <v>632</v>
      </c>
    </row>
    <row r="3391" spans="1:15" x14ac:dyDescent="0.35">
      <c r="A3391" s="77">
        <v>0.38630136986301372</v>
      </c>
      <c r="B3391" s="19">
        <v>99667</v>
      </c>
      <c r="C3391" s="19" t="s">
        <v>5685</v>
      </c>
      <c r="D3391" s="19" t="s">
        <v>130</v>
      </c>
      <c r="E3391" s="19" t="s">
        <v>131</v>
      </c>
      <c r="F3391" s="19" t="s">
        <v>1693</v>
      </c>
      <c r="G3391" s="19" t="s">
        <v>1028</v>
      </c>
      <c r="H3391" s="19" t="s">
        <v>1020</v>
      </c>
      <c r="I3391" s="19" t="s">
        <v>1575</v>
      </c>
      <c r="J3391" s="20">
        <v>29</v>
      </c>
      <c r="K3391" t="s">
        <v>654</v>
      </c>
      <c r="L3391" t="s">
        <v>670</v>
      </c>
      <c r="M3391" t="s">
        <v>657</v>
      </c>
      <c r="N3391" t="s">
        <v>641</v>
      </c>
      <c r="O3391" t="s">
        <v>752</v>
      </c>
    </row>
    <row r="3392" spans="1:15" x14ac:dyDescent="0.35">
      <c r="A3392" s="77">
        <v>0.38630136986301372</v>
      </c>
      <c r="B3392" s="19">
        <v>99668</v>
      </c>
      <c r="C3392" s="19" t="s">
        <v>5686</v>
      </c>
      <c r="D3392" s="19" t="s">
        <v>239</v>
      </c>
      <c r="E3392" s="19" t="s">
        <v>240</v>
      </c>
      <c r="F3392" s="19" t="s">
        <v>798</v>
      </c>
      <c r="G3392" s="19" t="s">
        <v>1028</v>
      </c>
      <c r="H3392" s="19" t="s">
        <v>1020</v>
      </c>
      <c r="I3392" s="19" t="s">
        <v>1575</v>
      </c>
      <c r="J3392" s="20">
        <v>22</v>
      </c>
      <c r="K3392" t="s">
        <v>636</v>
      </c>
      <c r="L3392" t="s">
        <v>628</v>
      </c>
      <c r="M3392" t="s">
        <v>629</v>
      </c>
      <c r="N3392" t="s">
        <v>646</v>
      </c>
      <c r="O3392" t="s">
        <v>632</v>
      </c>
    </row>
    <row r="3393" spans="1:15" x14ac:dyDescent="0.35">
      <c r="A3393" s="77">
        <v>2.4657534246575342E-2</v>
      </c>
      <c r="B3393" s="19">
        <v>99669</v>
      </c>
      <c r="C3393" s="19" t="s">
        <v>5687</v>
      </c>
      <c r="D3393" s="19" t="s">
        <v>239</v>
      </c>
      <c r="E3393" s="19" t="s">
        <v>240</v>
      </c>
      <c r="F3393" s="19" t="s">
        <v>798</v>
      </c>
      <c r="G3393" s="19" t="s">
        <v>1008</v>
      </c>
      <c r="H3393" s="19" t="s">
        <v>1001</v>
      </c>
      <c r="I3393" s="19" t="s">
        <v>1575</v>
      </c>
      <c r="J3393" s="20">
        <v>22</v>
      </c>
      <c r="K3393" t="s">
        <v>636</v>
      </c>
      <c r="L3393" t="s">
        <v>628</v>
      </c>
      <c r="M3393" t="s">
        <v>629</v>
      </c>
      <c r="N3393" t="s">
        <v>646</v>
      </c>
      <c r="O3393" t="s">
        <v>632</v>
      </c>
    </row>
    <row r="3394" spans="1:15" x14ac:dyDescent="0.35">
      <c r="A3394" s="77">
        <v>0.38630136986301372</v>
      </c>
      <c r="B3394" s="19">
        <v>99676</v>
      </c>
      <c r="C3394" s="19" t="s">
        <v>5688</v>
      </c>
      <c r="D3394" s="19" t="s">
        <v>89</v>
      </c>
      <c r="E3394" s="19" t="s">
        <v>90</v>
      </c>
      <c r="F3394" s="19" t="s">
        <v>1217</v>
      </c>
      <c r="G3394" s="19" t="s">
        <v>1008</v>
      </c>
      <c r="H3394" s="19" t="s">
        <v>1001</v>
      </c>
      <c r="I3394" s="19" t="s">
        <v>1575</v>
      </c>
      <c r="J3394" s="20">
        <v>21</v>
      </c>
      <c r="K3394" t="s">
        <v>636</v>
      </c>
      <c r="L3394" t="s">
        <v>666</v>
      </c>
      <c r="M3394" t="s">
        <v>629</v>
      </c>
      <c r="N3394" t="s">
        <v>635</v>
      </c>
      <c r="O3394" t="s">
        <v>637</v>
      </c>
    </row>
    <row r="3395" spans="1:15" x14ac:dyDescent="0.35">
      <c r="A3395" s="77">
        <v>0.38630136986301372</v>
      </c>
      <c r="B3395" s="19">
        <v>99677</v>
      </c>
      <c r="C3395" s="19" t="s">
        <v>5689</v>
      </c>
      <c r="D3395" s="19" t="s">
        <v>280</v>
      </c>
      <c r="E3395" s="19" t="s">
        <v>281</v>
      </c>
      <c r="F3395" s="19" t="s">
        <v>1223</v>
      </c>
      <c r="G3395" s="19" t="s">
        <v>1028</v>
      </c>
      <c r="H3395" s="19" t="s">
        <v>1020</v>
      </c>
      <c r="I3395" s="19" t="s">
        <v>1575</v>
      </c>
      <c r="J3395" s="20">
        <v>19</v>
      </c>
      <c r="K3395" t="s">
        <v>631</v>
      </c>
      <c r="L3395" t="s">
        <v>691</v>
      </c>
      <c r="M3395" t="s">
        <v>657</v>
      </c>
      <c r="N3395" t="s">
        <v>658</v>
      </c>
      <c r="O3395" t="s">
        <v>632</v>
      </c>
    </row>
    <row r="3396" spans="1:15" x14ac:dyDescent="0.35">
      <c r="A3396" s="77">
        <v>0.38630136986301372</v>
      </c>
      <c r="B3396" s="19">
        <v>99680</v>
      </c>
      <c r="C3396" s="19" t="s">
        <v>5690</v>
      </c>
      <c r="D3396" s="19" t="s">
        <v>280</v>
      </c>
      <c r="E3396" s="19" t="s">
        <v>281</v>
      </c>
      <c r="F3396" s="19" t="s">
        <v>1223</v>
      </c>
      <c r="G3396" s="19" t="s">
        <v>1008</v>
      </c>
      <c r="H3396" s="19" t="s">
        <v>1001</v>
      </c>
      <c r="I3396" s="19" t="s">
        <v>1575</v>
      </c>
      <c r="J3396" s="20">
        <v>20</v>
      </c>
      <c r="K3396" t="s">
        <v>631</v>
      </c>
      <c r="L3396" t="s">
        <v>691</v>
      </c>
      <c r="M3396" t="s">
        <v>657</v>
      </c>
      <c r="N3396" t="s">
        <v>658</v>
      </c>
      <c r="O3396" t="s">
        <v>632</v>
      </c>
    </row>
    <row r="3397" spans="1:15" x14ac:dyDescent="0.35">
      <c r="A3397" s="77">
        <v>0.38630136986301372</v>
      </c>
      <c r="B3397" s="19">
        <v>99683</v>
      </c>
      <c r="C3397" s="19" t="s">
        <v>5691</v>
      </c>
      <c r="D3397" s="19" t="s">
        <v>601</v>
      </c>
      <c r="E3397" s="19" t="e">
        <v>#N/A</v>
      </c>
      <c r="F3397" s="19" t="s">
        <v>1136</v>
      </c>
      <c r="G3397" s="19" t="s">
        <v>1028</v>
      </c>
      <c r="H3397" s="19" t="s">
        <v>1020</v>
      </c>
      <c r="I3397" s="19" t="s">
        <v>1575</v>
      </c>
      <c r="J3397" s="20">
        <v>21</v>
      </c>
      <c r="K3397" t="s">
        <v>654</v>
      </c>
      <c r="L3397" t="s">
        <v>651</v>
      </c>
      <c r="M3397" t="s">
        <v>629</v>
      </c>
      <c r="N3397" t="s">
        <v>630</v>
      </c>
      <c r="O3397" t="s">
        <v>715</v>
      </c>
    </row>
    <row r="3398" spans="1:15" x14ac:dyDescent="0.35">
      <c r="A3398" s="77">
        <v>0.37808219178082192</v>
      </c>
      <c r="B3398" s="19">
        <v>99684</v>
      </c>
      <c r="C3398" s="19" t="s">
        <v>5692</v>
      </c>
      <c r="D3398" s="19" t="s">
        <v>38</v>
      </c>
      <c r="E3398" s="19" t="s">
        <v>38</v>
      </c>
      <c r="F3398" s="19" t="s">
        <v>711</v>
      </c>
      <c r="G3398" s="19" t="s">
        <v>1028</v>
      </c>
      <c r="H3398" s="19" t="s">
        <v>1020</v>
      </c>
      <c r="I3398" s="19" t="s">
        <v>1599</v>
      </c>
      <c r="J3398" s="20">
        <v>24</v>
      </c>
      <c r="K3398" t="s">
        <v>668</v>
      </c>
      <c r="L3398" t="s">
        <v>691</v>
      </c>
      <c r="M3398" t="s">
        <v>657</v>
      </c>
      <c r="N3398" t="s">
        <v>658</v>
      </c>
      <c r="O3398" t="s">
        <v>632</v>
      </c>
    </row>
    <row r="3399" spans="1:15" x14ac:dyDescent="0.35">
      <c r="A3399" s="77">
        <v>0.37808219178082192</v>
      </c>
      <c r="B3399" s="19">
        <v>99687</v>
      </c>
      <c r="C3399" s="19" t="s">
        <v>5693</v>
      </c>
      <c r="D3399" s="19" t="s">
        <v>11</v>
      </c>
      <c r="E3399" s="19" t="s">
        <v>11</v>
      </c>
      <c r="F3399" s="19" t="s">
        <v>627</v>
      </c>
      <c r="G3399" s="19" t="s">
        <v>1057</v>
      </c>
      <c r="H3399" s="19" t="s">
        <v>1001</v>
      </c>
      <c r="I3399" s="19" t="s">
        <v>1575</v>
      </c>
      <c r="J3399" s="20">
        <v>22</v>
      </c>
      <c r="K3399" t="s">
        <v>631</v>
      </c>
      <c r="L3399" t="s">
        <v>628</v>
      </c>
      <c r="M3399" t="s">
        <v>629</v>
      </c>
      <c r="N3399" t="s">
        <v>630</v>
      </c>
      <c r="O3399" t="s">
        <v>632</v>
      </c>
    </row>
    <row r="3400" spans="1:15" x14ac:dyDescent="0.35">
      <c r="A3400" s="77">
        <v>0.37808219178082192</v>
      </c>
      <c r="B3400" s="19">
        <v>99690</v>
      </c>
      <c r="C3400" s="19" t="s">
        <v>5694</v>
      </c>
      <c r="D3400" s="19" t="s">
        <v>237</v>
      </c>
      <c r="E3400" s="19" t="s">
        <v>238</v>
      </c>
      <c r="F3400" s="19" t="s">
        <v>1070</v>
      </c>
      <c r="G3400" s="19" t="s">
        <v>3508</v>
      </c>
      <c r="H3400" s="19" t="s">
        <v>1020</v>
      </c>
      <c r="I3400" s="19" t="s">
        <v>1599</v>
      </c>
      <c r="J3400" s="20">
        <v>14</v>
      </c>
      <c r="K3400" t="s">
        <v>631</v>
      </c>
      <c r="L3400" t="s">
        <v>661</v>
      </c>
      <c r="M3400" t="s">
        <v>657</v>
      </c>
      <c r="N3400" t="s">
        <v>662</v>
      </c>
      <c r="O3400" t="s">
        <v>632</v>
      </c>
    </row>
    <row r="3401" spans="1:15" x14ac:dyDescent="0.35">
      <c r="A3401" s="77">
        <v>0.37808219178082192</v>
      </c>
      <c r="B3401" s="19">
        <v>99691</v>
      </c>
      <c r="C3401" s="19" t="s">
        <v>5695</v>
      </c>
      <c r="D3401" s="19" t="s">
        <v>232</v>
      </c>
      <c r="E3401" s="19" t="s">
        <v>233</v>
      </c>
      <c r="F3401" s="19" t="s">
        <v>1040</v>
      </c>
      <c r="G3401" s="19" t="s">
        <v>1028</v>
      </c>
      <c r="H3401" s="19" t="s">
        <v>1020</v>
      </c>
      <c r="I3401" s="19" t="s">
        <v>1575</v>
      </c>
      <c r="J3401" s="20">
        <v>21</v>
      </c>
      <c r="K3401" t="s">
        <v>654</v>
      </c>
      <c r="L3401" t="s">
        <v>684</v>
      </c>
      <c r="M3401" t="s">
        <v>623</v>
      </c>
      <c r="N3401" t="s">
        <v>662</v>
      </c>
      <c r="O3401" t="s">
        <v>795</v>
      </c>
    </row>
    <row r="3402" spans="1:15" x14ac:dyDescent="0.35">
      <c r="A3402" s="77">
        <v>0.37534246575342467</v>
      </c>
      <c r="B3402" s="19">
        <v>99692</v>
      </c>
      <c r="C3402" s="19" t="s">
        <v>5696</v>
      </c>
      <c r="D3402" s="19" t="s">
        <v>601</v>
      </c>
      <c r="E3402" s="19" t="e">
        <v>#N/A</v>
      </c>
      <c r="F3402" s="19" t="s">
        <v>1136</v>
      </c>
      <c r="G3402" s="19" t="s">
        <v>1057</v>
      </c>
      <c r="H3402" s="19" t="s">
        <v>1001</v>
      </c>
      <c r="I3402" s="19" t="s">
        <v>1575</v>
      </c>
      <c r="J3402" s="20">
        <v>20</v>
      </c>
      <c r="K3402" t="s">
        <v>654</v>
      </c>
      <c r="L3402" t="s">
        <v>651</v>
      </c>
      <c r="M3402" t="s">
        <v>629</v>
      </c>
      <c r="N3402" t="s">
        <v>630</v>
      </c>
      <c r="O3402" t="s">
        <v>715</v>
      </c>
    </row>
    <row r="3403" spans="1:15" x14ac:dyDescent="0.35">
      <c r="A3403" s="77">
        <v>0.37808219178082192</v>
      </c>
      <c r="B3403" s="19">
        <v>99693</v>
      </c>
      <c r="C3403" s="19" t="s">
        <v>5697</v>
      </c>
      <c r="D3403" s="19" t="s">
        <v>20</v>
      </c>
      <c r="E3403" s="19" t="s">
        <v>20</v>
      </c>
      <c r="F3403" s="19" t="s">
        <v>1133</v>
      </c>
      <c r="G3403" s="19" t="s">
        <v>1028</v>
      </c>
      <c r="H3403" s="19" t="s">
        <v>1020</v>
      </c>
      <c r="I3403" s="19" t="s">
        <v>1575</v>
      </c>
      <c r="J3403" s="20">
        <v>21</v>
      </c>
      <c r="K3403" t="s">
        <v>654</v>
      </c>
      <c r="L3403" t="s">
        <v>634</v>
      </c>
      <c r="M3403" t="s">
        <v>629</v>
      </c>
      <c r="N3403" t="s">
        <v>635</v>
      </c>
      <c r="O3403" t="s">
        <v>637</v>
      </c>
    </row>
    <row r="3404" spans="1:15" x14ac:dyDescent="0.35">
      <c r="A3404" s="77">
        <v>0.37808219178082192</v>
      </c>
      <c r="B3404" s="19">
        <v>99696</v>
      </c>
      <c r="C3404" s="19" t="s">
        <v>5698</v>
      </c>
      <c r="D3404" s="19" t="s">
        <v>82</v>
      </c>
      <c r="E3404" s="19" t="s">
        <v>83</v>
      </c>
      <c r="F3404" s="19" t="s">
        <v>1103</v>
      </c>
      <c r="G3404" s="19" t="s">
        <v>1008</v>
      </c>
      <c r="H3404" s="19" t="s">
        <v>1001</v>
      </c>
      <c r="I3404" s="19" t="s">
        <v>1575</v>
      </c>
      <c r="J3404" s="20">
        <v>19</v>
      </c>
      <c r="K3404" t="s">
        <v>642</v>
      </c>
      <c r="L3404" t="s">
        <v>661</v>
      </c>
      <c r="M3404" t="s">
        <v>657</v>
      </c>
      <c r="N3404" t="s">
        <v>662</v>
      </c>
      <c r="O3404" t="s">
        <v>632</v>
      </c>
    </row>
    <row r="3405" spans="1:15" x14ac:dyDescent="0.35">
      <c r="A3405" s="77">
        <v>0.37808219178082192</v>
      </c>
      <c r="B3405" s="19">
        <v>99697</v>
      </c>
      <c r="C3405" s="19" t="s">
        <v>5699</v>
      </c>
      <c r="D3405" s="19" t="s">
        <v>218</v>
      </c>
      <c r="E3405" s="19" t="s">
        <v>219</v>
      </c>
      <c r="F3405" s="19" t="s">
        <v>1372</v>
      </c>
      <c r="G3405" s="19" t="s">
        <v>1008</v>
      </c>
      <c r="H3405" s="19" t="s">
        <v>1001</v>
      </c>
      <c r="I3405" s="19" t="s">
        <v>1575</v>
      </c>
      <c r="J3405" s="20">
        <v>22</v>
      </c>
      <c r="K3405" t="s">
        <v>625</v>
      </c>
      <c r="L3405" t="s">
        <v>661</v>
      </c>
      <c r="M3405" t="s">
        <v>657</v>
      </c>
      <c r="N3405" t="s">
        <v>662</v>
      </c>
      <c r="O3405" t="s">
        <v>632</v>
      </c>
    </row>
    <row r="3406" spans="1:15" x14ac:dyDescent="0.35">
      <c r="A3406" s="77">
        <v>0.37808219178082192</v>
      </c>
      <c r="B3406" s="19">
        <v>99698</v>
      </c>
      <c r="C3406" s="19" t="s">
        <v>5700</v>
      </c>
      <c r="D3406" s="19" t="s">
        <v>218</v>
      </c>
      <c r="E3406" s="19" t="s">
        <v>219</v>
      </c>
      <c r="F3406" s="19" t="s">
        <v>1372</v>
      </c>
      <c r="G3406" s="19" t="s">
        <v>1028</v>
      </c>
      <c r="H3406" s="19" t="s">
        <v>1020</v>
      </c>
      <c r="I3406" s="19" t="s">
        <v>1575</v>
      </c>
      <c r="J3406" s="20">
        <v>19</v>
      </c>
      <c r="K3406" t="s">
        <v>625</v>
      </c>
      <c r="L3406" t="s">
        <v>661</v>
      </c>
      <c r="M3406" t="s">
        <v>657</v>
      </c>
      <c r="N3406" t="s">
        <v>662</v>
      </c>
      <c r="O3406" t="s">
        <v>632</v>
      </c>
    </row>
    <row r="3407" spans="1:15" x14ac:dyDescent="0.35">
      <c r="A3407" s="77">
        <v>0.37534246575342467</v>
      </c>
      <c r="B3407" s="19">
        <v>99701</v>
      </c>
      <c r="C3407" s="19" t="s">
        <v>5701</v>
      </c>
      <c r="D3407" s="19" t="s">
        <v>42</v>
      </c>
      <c r="E3407" s="19" t="s">
        <v>42</v>
      </c>
      <c r="F3407" s="19" t="s">
        <v>1262</v>
      </c>
      <c r="G3407" s="19" t="s">
        <v>1034</v>
      </c>
      <c r="H3407" s="19" t="s">
        <v>1001</v>
      </c>
      <c r="I3407" s="19" t="s">
        <v>1575</v>
      </c>
      <c r="J3407" s="20">
        <v>29</v>
      </c>
      <c r="K3407" t="s">
        <v>625</v>
      </c>
      <c r="L3407" t="s">
        <v>628</v>
      </c>
      <c r="M3407" t="s">
        <v>629</v>
      </c>
      <c r="N3407" t="s">
        <v>630</v>
      </c>
      <c r="O3407" t="s">
        <v>632</v>
      </c>
    </row>
    <row r="3408" spans="1:15" x14ac:dyDescent="0.35">
      <c r="A3408" s="77">
        <v>0.37534246575342467</v>
      </c>
      <c r="B3408" s="19">
        <v>99705</v>
      </c>
      <c r="C3408" s="19" t="s">
        <v>5702</v>
      </c>
      <c r="D3408" s="19" t="s">
        <v>186</v>
      </c>
      <c r="E3408" s="19" t="s">
        <v>187</v>
      </c>
      <c r="F3408" s="19" t="s">
        <v>1164</v>
      </c>
      <c r="G3408" s="19" t="s">
        <v>1008</v>
      </c>
      <c r="H3408" s="19" t="s">
        <v>1001</v>
      </c>
      <c r="I3408" s="19" t="s">
        <v>1575</v>
      </c>
      <c r="J3408" s="20">
        <v>29</v>
      </c>
      <c r="K3408" t="s">
        <v>642</v>
      </c>
      <c r="L3408" t="s">
        <v>648</v>
      </c>
      <c r="M3408" t="s">
        <v>623</v>
      </c>
      <c r="N3408" t="s">
        <v>624</v>
      </c>
      <c r="O3408" t="s">
        <v>649</v>
      </c>
    </row>
    <row r="3409" spans="1:15" x14ac:dyDescent="0.35">
      <c r="A3409" s="77">
        <v>0.37534246575342467</v>
      </c>
      <c r="B3409" s="19">
        <v>99707</v>
      </c>
      <c r="C3409" s="19" t="s">
        <v>5703</v>
      </c>
      <c r="D3409" s="19" t="s">
        <v>167</v>
      </c>
      <c r="E3409" s="19" t="s">
        <v>168</v>
      </c>
      <c r="F3409" s="19" t="s">
        <v>2009</v>
      </c>
      <c r="G3409" s="19" t="s">
        <v>1008</v>
      </c>
      <c r="H3409" s="19" t="s">
        <v>1001</v>
      </c>
      <c r="I3409" s="19" t="s">
        <v>1599</v>
      </c>
      <c r="J3409" s="20">
        <v>27</v>
      </c>
      <c r="K3409" t="s">
        <v>636</v>
      </c>
      <c r="L3409" t="s">
        <v>640</v>
      </c>
      <c r="M3409" t="s">
        <v>623</v>
      </c>
      <c r="N3409" t="s">
        <v>641</v>
      </c>
      <c r="O3409" t="s">
        <v>754</v>
      </c>
    </row>
    <row r="3410" spans="1:15" x14ac:dyDescent="0.35">
      <c r="A3410" s="77">
        <v>0.37534246575342467</v>
      </c>
      <c r="B3410" s="19">
        <v>99709</v>
      </c>
      <c r="C3410" s="19" t="s">
        <v>5704</v>
      </c>
      <c r="D3410" s="19" t="s">
        <v>155</v>
      </c>
      <c r="E3410" s="19" t="s">
        <v>156</v>
      </c>
      <c r="F3410" s="19" t="s">
        <v>896</v>
      </c>
      <c r="G3410" s="19" t="s">
        <v>1028</v>
      </c>
      <c r="H3410" s="19" t="s">
        <v>1020</v>
      </c>
      <c r="I3410" s="19" t="s">
        <v>1575</v>
      </c>
      <c r="J3410" s="20">
        <v>23</v>
      </c>
      <c r="K3410" t="s">
        <v>636</v>
      </c>
      <c r="L3410" t="s">
        <v>663</v>
      </c>
      <c r="M3410" t="s">
        <v>629</v>
      </c>
      <c r="N3410" t="s">
        <v>646</v>
      </c>
      <c r="O3410" t="s">
        <v>639</v>
      </c>
    </row>
    <row r="3411" spans="1:15" x14ac:dyDescent="0.35">
      <c r="A3411" s="77">
        <v>0.37534246575342467</v>
      </c>
      <c r="B3411" s="19">
        <v>99711</v>
      </c>
      <c r="C3411" s="19" t="s">
        <v>5705</v>
      </c>
      <c r="D3411" s="19" t="s">
        <v>297</v>
      </c>
      <c r="E3411" s="19" t="s">
        <v>298</v>
      </c>
      <c r="F3411" s="19" t="s">
        <v>904</v>
      </c>
      <c r="G3411" s="19" t="s">
        <v>1028</v>
      </c>
      <c r="H3411" s="19" t="s">
        <v>1020</v>
      </c>
      <c r="I3411" s="19" t="s">
        <v>1599</v>
      </c>
      <c r="J3411" s="20">
        <v>23</v>
      </c>
      <c r="K3411" t="s">
        <v>654</v>
      </c>
      <c r="L3411" t="s">
        <v>762</v>
      </c>
      <c r="M3411" t="s">
        <v>629</v>
      </c>
      <c r="N3411" t="s">
        <v>646</v>
      </c>
      <c r="O3411" t="s">
        <v>823</v>
      </c>
    </row>
    <row r="3412" spans="1:15" x14ac:dyDescent="0.35">
      <c r="A3412" s="77">
        <v>0.37534246575342467</v>
      </c>
      <c r="B3412" s="19">
        <v>99715</v>
      </c>
      <c r="C3412" s="19" t="s">
        <v>5706</v>
      </c>
      <c r="D3412" s="19" t="s">
        <v>409</v>
      </c>
      <c r="E3412" s="19" t="s">
        <v>410</v>
      </c>
      <c r="F3412" s="19" t="s">
        <v>874</v>
      </c>
      <c r="G3412" s="19" t="s">
        <v>1008</v>
      </c>
      <c r="H3412" s="19" t="s">
        <v>1001</v>
      </c>
      <c r="I3412" s="19" t="s">
        <v>1575</v>
      </c>
      <c r="J3412" s="20">
        <v>24</v>
      </c>
      <c r="K3412" t="s">
        <v>631</v>
      </c>
      <c r="L3412" t="s">
        <v>666</v>
      </c>
      <c r="M3412" t="s">
        <v>629</v>
      </c>
      <c r="N3412" t="s">
        <v>635</v>
      </c>
      <c r="O3412" t="s">
        <v>637</v>
      </c>
    </row>
    <row r="3413" spans="1:15" x14ac:dyDescent="0.35">
      <c r="A3413" s="77">
        <v>0.37534246575342467</v>
      </c>
      <c r="B3413" s="19">
        <v>99716</v>
      </c>
      <c r="C3413" s="19" t="s">
        <v>5707</v>
      </c>
      <c r="D3413" s="19" t="s">
        <v>409</v>
      </c>
      <c r="E3413" s="19" t="s">
        <v>410</v>
      </c>
      <c r="F3413" s="19" t="s">
        <v>874</v>
      </c>
      <c r="G3413" s="19" t="s">
        <v>1028</v>
      </c>
      <c r="H3413" s="19" t="s">
        <v>1020</v>
      </c>
      <c r="I3413" s="19" t="s">
        <v>1575</v>
      </c>
      <c r="J3413" s="20">
        <v>18</v>
      </c>
      <c r="K3413" t="s">
        <v>631</v>
      </c>
      <c r="L3413" t="s">
        <v>666</v>
      </c>
      <c r="M3413" t="s">
        <v>629</v>
      </c>
      <c r="N3413" t="s">
        <v>635</v>
      </c>
      <c r="O3413" t="s">
        <v>637</v>
      </c>
    </row>
    <row r="3414" spans="1:15" x14ac:dyDescent="0.35">
      <c r="A3414" s="77">
        <v>0.37534246575342467</v>
      </c>
      <c r="B3414" s="19">
        <v>99717</v>
      </c>
      <c r="C3414" s="19" t="s">
        <v>5708</v>
      </c>
      <c r="D3414" s="19" t="s">
        <v>409</v>
      </c>
      <c r="E3414" s="19" t="s">
        <v>410</v>
      </c>
      <c r="F3414" s="19" t="s">
        <v>874</v>
      </c>
      <c r="G3414" s="19" t="s">
        <v>1057</v>
      </c>
      <c r="H3414" s="19" t="s">
        <v>1001</v>
      </c>
      <c r="I3414" s="19" t="s">
        <v>1575</v>
      </c>
      <c r="J3414" s="20">
        <v>19</v>
      </c>
      <c r="K3414" t="s">
        <v>631</v>
      </c>
      <c r="L3414" t="s">
        <v>666</v>
      </c>
      <c r="M3414" t="s">
        <v>629</v>
      </c>
      <c r="N3414" t="s">
        <v>635</v>
      </c>
      <c r="O3414" t="s">
        <v>637</v>
      </c>
    </row>
    <row r="3415" spans="1:15" x14ac:dyDescent="0.35">
      <c r="A3415" s="77">
        <v>0.37534246575342467</v>
      </c>
      <c r="B3415" s="19">
        <v>99719</v>
      </c>
      <c r="C3415" s="19" t="s">
        <v>5709</v>
      </c>
      <c r="D3415" s="19" t="s">
        <v>432</v>
      </c>
      <c r="E3415" s="19" t="e">
        <v>#N/A</v>
      </c>
      <c r="F3415" s="19" t="s">
        <v>1037</v>
      </c>
      <c r="G3415" s="19" t="s">
        <v>1028</v>
      </c>
      <c r="H3415" s="19" t="s">
        <v>1020</v>
      </c>
      <c r="I3415" s="19" t="s">
        <v>1599</v>
      </c>
      <c r="J3415" s="20">
        <v>21</v>
      </c>
      <c r="K3415" t="s">
        <v>668</v>
      </c>
      <c r="L3415" t="s">
        <v>707</v>
      </c>
      <c r="M3415" t="s">
        <v>629</v>
      </c>
      <c r="N3415" t="s">
        <v>635</v>
      </c>
      <c r="O3415" t="s">
        <v>708</v>
      </c>
    </row>
    <row r="3416" spans="1:15" x14ac:dyDescent="0.35">
      <c r="A3416" s="77">
        <v>0.37260273972602742</v>
      </c>
      <c r="B3416" s="19">
        <v>99720</v>
      </c>
      <c r="C3416" s="19" t="s">
        <v>5710</v>
      </c>
      <c r="D3416" s="19" t="s">
        <v>28</v>
      </c>
      <c r="E3416" s="19" t="s">
        <v>28</v>
      </c>
      <c r="F3416" s="19" t="s">
        <v>916</v>
      </c>
      <c r="G3416" s="19" t="s">
        <v>1028</v>
      </c>
      <c r="H3416" s="19" t="s">
        <v>1020</v>
      </c>
      <c r="I3416" s="19" t="s">
        <v>1575</v>
      </c>
      <c r="J3416" s="20">
        <v>20</v>
      </c>
      <c r="K3416" t="s">
        <v>654</v>
      </c>
      <c r="L3416" t="s">
        <v>670</v>
      </c>
      <c r="M3416" t="s">
        <v>657</v>
      </c>
      <c r="N3416" t="s">
        <v>641</v>
      </c>
      <c r="O3416" t="s">
        <v>671</v>
      </c>
    </row>
    <row r="3417" spans="1:15" x14ac:dyDescent="0.35">
      <c r="A3417" s="77">
        <v>0.37260273972602742</v>
      </c>
      <c r="B3417" s="19">
        <v>99722</v>
      </c>
      <c r="C3417" s="19" t="s">
        <v>5711</v>
      </c>
      <c r="D3417" s="19" t="s">
        <v>130</v>
      </c>
      <c r="E3417" s="19" t="s">
        <v>131</v>
      </c>
      <c r="F3417" s="19" t="s">
        <v>1693</v>
      </c>
      <c r="G3417" s="19" t="s">
        <v>1028</v>
      </c>
      <c r="H3417" s="19" t="s">
        <v>1020</v>
      </c>
      <c r="I3417" s="19" t="s">
        <v>1575</v>
      </c>
      <c r="J3417" s="20">
        <v>22</v>
      </c>
      <c r="K3417" t="s">
        <v>654</v>
      </c>
      <c r="L3417" t="s">
        <v>670</v>
      </c>
      <c r="M3417" t="s">
        <v>657</v>
      </c>
      <c r="N3417" t="s">
        <v>641</v>
      </c>
      <c r="O3417" t="s">
        <v>752</v>
      </c>
    </row>
    <row r="3418" spans="1:15" x14ac:dyDescent="0.35">
      <c r="A3418" s="77">
        <v>0.37260273972602742</v>
      </c>
      <c r="B3418" s="19">
        <v>99724</v>
      </c>
      <c r="C3418" s="19" t="s">
        <v>5712</v>
      </c>
      <c r="D3418" s="19" t="s">
        <v>37</v>
      </c>
      <c r="E3418" s="19" t="s">
        <v>37</v>
      </c>
      <c r="F3418" s="19" t="s">
        <v>1480</v>
      </c>
      <c r="G3418" s="19" t="s">
        <v>1008</v>
      </c>
      <c r="H3418" s="19" t="s">
        <v>1001</v>
      </c>
      <c r="I3418" s="19" t="s">
        <v>1599</v>
      </c>
      <c r="J3418" s="20">
        <v>34</v>
      </c>
      <c r="K3418" t="s">
        <v>654</v>
      </c>
      <c r="L3418" t="s">
        <v>648</v>
      </c>
      <c r="M3418" t="s">
        <v>623</v>
      </c>
      <c r="N3418" t="s">
        <v>624</v>
      </c>
      <c r="O3418" t="s">
        <v>649</v>
      </c>
    </row>
    <row r="3419" spans="1:15" x14ac:dyDescent="0.35">
      <c r="A3419" s="77">
        <v>0.37260273972602742</v>
      </c>
      <c r="B3419" s="19">
        <v>99727</v>
      </c>
      <c r="C3419" s="19" t="s">
        <v>5713</v>
      </c>
      <c r="D3419" s="19" t="s">
        <v>355</v>
      </c>
      <c r="E3419" s="19" t="s">
        <v>356</v>
      </c>
      <c r="F3419" s="19" t="s">
        <v>1100</v>
      </c>
      <c r="G3419" s="19" t="s">
        <v>1028</v>
      </c>
      <c r="H3419" s="19" t="s">
        <v>1020</v>
      </c>
      <c r="I3419" s="19" t="s">
        <v>1575</v>
      </c>
      <c r="J3419" s="20">
        <v>20</v>
      </c>
      <c r="K3419" t="s">
        <v>625</v>
      </c>
      <c r="L3419" t="s">
        <v>622</v>
      </c>
      <c r="M3419" t="s">
        <v>623</v>
      </c>
      <c r="N3419" t="s">
        <v>624</v>
      </c>
      <c r="O3419" t="s">
        <v>649</v>
      </c>
    </row>
    <row r="3420" spans="1:15" x14ac:dyDescent="0.35">
      <c r="A3420" s="77">
        <v>0.37808219178082192</v>
      </c>
      <c r="B3420" s="19">
        <v>99733</v>
      </c>
      <c r="C3420" s="19" t="s">
        <v>5714</v>
      </c>
      <c r="D3420" s="19" t="s">
        <v>181</v>
      </c>
      <c r="E3420" s="19" t="s">
        <v>182</v>
      </c>
      <c r="F3420" s="19" t="s">
        <v>1374</v>
      </c>
      <c r="G3420" s="19" t="s">
        <v>3508</v>
      </c>
      <c r="H3420" s="19" t="s">
        <v>1020</v>
      </c>
      <c r="I3420" s="19" t="s">
        <v>1599</v>
      </c>
      <c r="J3420" s="20">
        <v>16</v>
      </c>
      <c r="K3420" t="s">
        <v>625</v>
      </c>
      <c r="L3420" t="s">
        <v>678</v>
      </c>
      <c r="M3420" t="s">
        <v>623</v>
      </c>
      <c r="N3420" t="s">
        <v>624</v>
      </c>
      <c r="O3420" t="s">
        <v>679</v>
      </c>
    </row>
    <row r="3421" spans="1:15" x14ac:dyDescent="0.35">
      <c r="A3421" s="77">
        <v>0.36986301369863012</v>
      </c>
      <c r="B3421" s="19">
        <v>99736</v>
      </c>
      <c r="C3421" s="19" t="s">
        <v>5715</v>
      </c>
      <c r="D3421" s="19" t="s">
        <v>21</v>
      </c>
      <c r="E3421" s="19" t="s">
        <v>21</v>
      </c>
      <c r="F3421" s="19" t="s">
        <v>22</v>
      </c>
      <c r="G3421" s="19" t="s">
        <v>1057</v>
      </c>
      <c r="H3421" s="19" t="s">
        <v>1001</v>
      </c>
      <c r="I3421" s="19" t="s">
        <v>1575</v>
      </c>
      <c r="J3421" s="20">
        <v>26</v>
      </c>
      <c r="K3421" t="s">
        <v>654</v>
      </c>
      <c r="L3421" t="s">
        <v>656</v>
      </c>
      <c r="M3421" t="s">
        <v>657</v>
      </c>
      <c r="N3421" t="s">
        <v>658</v>
      </c>
      <c r="O3421" t="s">
        <v>659</v>
      </c>
    </row>
    <row r="3422" spans="1:15" x14ac:dyDescent="0.35">
      <c r="A3422" s="77">
        <v>0.36986301369863012</v>
      </c>
      <c r="B3422" s="19">
        <v>99737</v>
      </c>
      <c r="C3422" s="19" t="s">
        <v>5716</v>
      </c>
      <c r="D3422" s="19" t="s">
        <v>186</v>
      </c>
      <c r="E3422" s="19" t="s">
        <v>187</v>
      </c>
      <c r="F3422" s="19" t="s">
        <v>1164</v>
      </c>
      <c r="G3422" s="19" t="s">
        <v>1008</v>
      </c>
      <c r="H3422" s="19" t="s">
        <v>1001</v>
      </c>
      <c r="I3422" s="19" t="s">
        <v>1599</v>
      </c>
      <c r="J3422" s="20">
        <v>20</v>
      </c>
      <c r="K3422" t="s">
        <v>642</v>
      </c>
      <c r="L3422" t="s">
        <v>648</v>
      </c>
      <c r="M3422" t="s">
        <v>623</v>
      </c>
      <c r="N3422" t="s">
        <v>624</v>
      </c>
      <c r="O3422" t="s">
        <v>649</v>
      </c>
    </row>
    <row r="3423" spans="1:15" x14ac:dyDescent="0.35">
      <c r="A3423" s="77">
        <v>0.36986301369863012</v>
      </c>
      <c r="B3423" s="19">
        <v>99741</v>
      </c>
      <c r="C3423" s="19" t="s">
        <v>5717</v>
      </c>
      <c r="D3423" s="19" t="s">
        <v>28</v>
      </c>
      <c r="E3423" s="19" t="s">
        <v>28</v>
      </c>
      <c r="F3423" s="19" t="s">
        <v>916</v>
      </c>
      <c r="G3423" s="19" t="s">
        <v>1028</v>
      </c>
      <c r="H3423" s="19" t="s">
        <v>1020</v>
      </c>
      <c r="I3423" s="19" t="s">
        <v>1575</v>
      </c>
      <c r="J3423" s="20">
        <v>19</v>
      </c>
      <c r="K3423" t="s">
        <v>654</v>
      </c>
      <c r="L3423" t="s">
        <v>670</v>
      </c>
      <c r="M3423" t="s">
        <v>657</v>
      </c>
      <c r="N3423" t="s">
        <v>641</v>
      </c>
      <c r="O3423" t="s">
        <v>671</v>
      </c>
    </row>
    <row r="3424" spans="1:15" x14ac:dyDescent="0.35">
      <c r="A3424" s="77">
        <v>0.36986301369863012</v>
      </c>
      <c r="B3424" s="19">
        <v>99743</v>
      </c>
      <c r="C3424" s="19" t="s">
        <v>5718</v>
      </c>
      <c r="D3424" s="19" t="s">
        <v>181</v>
      </c>
      <c r="E3424" s="19" t="s">
        <v>182</v>
      </c>
      <c r="F3424" s="19" t="s">
        <v>1374</v>
      </c>
      <c r="G3424" s="19" t="s">
        <v>3508</v>
      </c>
      <c r="H3424" s="19" t="s">
        <v>1020</v>
      </c>
      <c r="I3424" s="19" t="s">
        <v>1599</v>
      </c>
      <c r="J3424" s="20">
        <v>14</v>
      </c>
      <c r="K3424" t="s">
        <v>625</v>
      </c>
      <c r="L3424" t="s">
        <v>678</v>
      </c>
      <c r="M3424" t="s">
        <v>623</v>
      </c>
      <c r="N3424" t="s">
        <v>624</v>
      </c>
      <c r="O3424" t="s">
        <v>679</v>
      </c>
    </row>
    <row r="3425" spans="1:15" x14ac:dyDescent="0.35">
      <c r="A3425" s="77">
        <v>0.37534246575342467</v>
      </c>
      <c r="B3425" s="19">
        <v>99746</v>
      </c>
      <c r="C3425" s="19" t="s">
        <v>5719</v>
      </c>
      <c r="D3425" s="19" t="s">
        <v>367</v>
      </c>
      <c r="E3425" s="19" t="s">
        <v>368</v>
      </c>
      <c r="F3425" s="19" t="s">
        <v>1604</v>
      </c>
      <c r="G3425" s="19" t="s">
        <v>3508</v>
      </c>
      <c r="H3425" s="19" t="s">
        <v>1020</v>
      </c>
      <c r="I3425" s="19" t="s">
        <v>1575</v>
      </c>
      <c r="J3425" s="20">
        <v>17</v>
      </c>
      <c r="K3425" t="s">
        <v>636</v>
      </c>
      <c r="L3425" t="s">
        <v>737</v>
      </c>
      <c r="M3425" t="s">
        <v>657</v>
      </c>
      <c r="N3425" t="s">
        <v>641</v>
      </c>
      <c r="O3425" t="s">
        <v>738</v>
      </c>
    </row>
    <row r="3426" spans="1:15" x14ac:dyDescent="0.35">
      <c r="A3426" s="77">
        <v>0.36712328767123287</v>
      </c>
      <c r="B3426" s="19">
        <v>99747</v>
      </c>
      <c r="C3426" s="19" t="s">
        <v>5720</v>
      </c>
      <c r="D3426" s="19" t="s">
        <v>118</v>
      </c>
      <c r="E3426" s="19" t="s">
        <v>119</v>
      </c>
      <c r="F3426" s="19" t="s">
        <v>1360</v>
      </c>
      <c r="G3426" s="19" t="s">
        <v>1008</v>
      </c>
      <c r="H3426" s="19" t="s">
        <v>1001</v>
      </c>
      <c r="I3426" s="19" t="s">
        <v>1575</v>
      </c>
      <c r="J3426" s="20">
        <v>21</v>
      </c>
      <c r="K3426" t="s">
        <v>625</v>
      </c>
      <c r="L3426" t="s">
        <v>656</v>
      </c>
      <c r="M3426" t="s">
        <v>657</v>
      </c>
      <c r="N3426" t="s">
        <v>658</v>
      </c>
      <c r="O3426" t="s">
        <v>632</v>
      </c>
    </row>
    <row r="3427" spans="1:15" x14ac:dyDescent="0.35">
      <c r="A3427" s="77">
        <v>0.36712328767123287</v>
      </c>
      <c r="B3427" s="19">
        <v>99749</v>
      </c>
      <c r="C3427" s="19" t="s">
        <v>5721</v>
      </c>
      <c r="D3427" s="19" t="s">
        <v>76</v>
      </c>
      <c r="E3427" s="19" t="s">
        <v>77</v>
      </c>
      <c r="F3427" s="19" t="s">
        <v>899</v>
      </c>
      <c r="G3427" s="19" t="s">
        <v>1028</v>
      </c>
      <c r="H3427" s="19" t="s">
        <v>1020</v>
      </c>
      <c r="I3427" s="19" t="s">
        <v>1599</v>
      </c>
      <c r="J3427" s="20">
        <v>23</v>
      </c>
      <c r="K3427" t="s">
        <v>636</v>
      </c>
      <c r="L3427" t="s">
        <v>645</v>
      </c>
      <c r="M3427" t="s">
        <v>629</v>
      </c>
      <c r="N3427" t="s">
        <v>646</v>
      </c>
      <c r="O3427" t="s">
        <v>632</v>
      </c>
    </row>
    <row r="3428" spans="1:15" x14ac:dyDescent="0.35">
      <c r="A3428" s="77">
        <v>0.36712328767123287</v>
      </c>
      <c r="B3428" s="19">
        <v>99750</v>
      </c>
      <c r="C3428" s="19" t="s">
        <v>5722</v>
      </c>
      <c r="D3428" s="19" t="s">
        <v>239</v>
      </c>
      <c r="E3428" s="19" t="s">
        <v>240</v>
      </c>
      <c r="F3428" s="19" t="s">
        <v>798</v>
      </c>
      <c r="G3428" s="19" t="s">
        <v>1028</v>
      </c>
      <c r="H3428" s="19" t="s">
        <v>1020</v>
      </c>
      <c r="I3428" s="19" t="s">
        <v>1575</v>
      </c>
      <c r="J3428" s="20">
        <v>26</v>
      </c>
      <c r="K3428" t="s">
        <v>636</v>
      </c>
      <c r="L3428" t="s">
        <v>628</v>
      </c>
      <c r="M3428" t="s">
        <v>629</v>
      </c>
      <c r="N3428" t="s">
        <v>646</v>
      </c>
      <c r="O3428" t="s">
        <v>632</v>
      </c>
    </row>
    <row r="3429" spans="1:15" x14ac:dyDescent="0.35">
      <c r="A3429" s="77">
        <v>0.36712328767123287</v>
      </c>
      <c r="B3429" s="19">
        <v>99751</v>
      </c>
      <c r="C3429" s="19" t="s">
        <v>5723</v>
      </c>
      <c r="D3429" s="19" t="s">
        <v>165</v>
      </c>
      <c r="E3429" s="19" t="s">
        <v>166</v>
      </c>
      <c r="F3429" s="19" t="s">
        <v>1238</v>
      </c>
      <c r="G3429" s="19" t="s">
        <v>1057</v>
      </c>
      <c r="H3429" s="19" t="s">
        <v>1001</v>
      </c>
      <c r="I3429" s="19" t="s">
        <v>1575</v>
      </c>
      <c r="J3429" s="20">
        <v>19</v>
      </c>
      <c r="K3429" t="s">
        <v>636</v>
      </c>
      <c r="L3429" t="s">
        <v>648</v>
      </c>
      <c r="M3429" t="s">
        <v>623</v>
      </c>
      <c r="N3429" t="s">
        <v>624</v>
      </c>
      <c r="O3429" t="s">
        <v>649</v>
      </c>
    </row>
    <row r="3430" spans="1:15" x14ac:dyDescent="0.35">
      <c r="A3430" s="77">
        <v>0.36712328767123287</v>
      </c>
      <c r="B3430" s="19">
        <v>99753</v>
      </c>
      <c r="C3430" s="19" t="s">
        <v>5724</v>
      </c>
      <c r="D3430" s="19" t="s">
        <v>183</v>
      </c>
      <c r="E3430" s="19" t="s">
        <v>184</v>
      </c>
      <c r="F3430" s="19" t="s">
        <v>1532</v>
      </c>
      <c r="G3430" s="19" t="s">
        <v>1028</v>
      </c>
      <c r="H3430" s="19" t="s">
        <v>1020</v>
      </c>
      <c r="I3430" s="19" t="s">
        <v>1575</v>
      </c>
      <c r="J3430" s="20">
        <v>22</v>
      </c>
      <c r="K3430" t="s">
        <v>654</v>
      </c>
      <c r="L3430" t="s">
        <v>648</v>
      </c>
      <c r="M3430" t="s">
        <v>623</v>
      </c>
      <c r="N3430" t="s">
        <v>624</v>
      </c>
      <c r="O3430" t="s">
        <v>725</v>
      </c>
    </row>
    <row r="3431" spans="1:15" x14ac:dyDescent="0.35">
      <c r="A3431" s="77">
        <v>0.35616438356164382</v>
      </c>
      <c r="B3431" s="19">
        <v>99763</v>
      </c>
      <c r="C3431" s="19" t="s">
        <v>5725</v>
      </c>
      <c r="D3431" s="19" t="s">
        <v>273</v>
      </c>
      <c r="E3431" s="19" t="s">
        <v>274</v>
      </c>
      <c r="F3431" s="19" t="s">
        <v>1093</v>
      </c>
      <c r="G3431" s="19" t="s">
        <v>1028</v>
      </c>
      <c r="H3431" s="19" t="s">
        <v>1020</v>
      </c>
      <c r="I3431" s="19" t="s">
        <v>1575</v>
      </c>
      <c r="J3431" s="20">
        <v>19</v>
      </c>
      <c r="K3431" t="s">
        <v>636</v>
      </c>
      <c r="L3431" t="s">
        <v>663</v>
      </c>
      <c r="M3431" t="s">
        <v>629</v>
      </c>
      <c r="N3431" t="s">
        <v>646</v>
      </c>
      <c r="O3431" t="s">
        <v>639</v>
      </c>
    </row>
    <row r="3432" spans="1:15" x14ac:dyDescent="0.35">
      <c r="A3432" s="77">
        <v>0.35616438356164382</v>
      </c>
      <c r="B3432" s="19">
        <v>99764</v>
      </c>
      <c r="C3432" s="19" t="s">
        <v>5726</v>
      </c>
      <c r="D3432" s="19" t="s">
        <v>367</v>
      </c>
      <c r="E3432" s="19" t="s">
        <v>368</v>
      </c>
      <c r="F3432" s="19" t="s">
        <v>1604</v>
      </c>
      <c r="G3432" s="19" t="s">
        <v>1019</v>
      </c>
      <c r="H3432" s="19" t="s">
        <v>1020</v>
      </c>
      <c r="I3432" s="19" t="s">
        <v>1575</v>
      </c>
      <c r="J3432" s="20">
        <v>25</v>
      </c>
      <c r="K3432" t="s">
        <v>636</v>
      </c>
      <c r="L3432" t="s">
        <v>737</v>
      </c>
      <c r="M3432" t="s">
        <v>657</v>
      </c>
      <c r="N3432" t="s">
        <v>641</v>
      </c>
      <c r="O3432" t="s">
        <v>738</v>
      </c>
    </row>
    <row r="3433" spans="1:15" x14ac:dyDescent="0.35">
      <c r="A3433" s="77">
        <v>0.35616438356164382</v>
      </c>
      <c r="B3433" s="19">
        <v>99765</v>
      </c>
      <c r="C3433" s="19" t="s">
        <v>5727</v>
      </c>
      <c r="D3433" s="19" t="s">
        <v>367</v>
      </c>
      <c r="E3433" s="19" t="s">
        <v>368</v>
      </c>
      <c r="F3433" s="19" t="s">
        <v>1604</v>
      </c>
      <c r="G3433" s="19" t="s">
        <v>1028</v>
      </c>
      <c r="H3433" s="19" t="s">
        <v>1020</v>
      </c>
      <c r="I3433" s="19" t="s">
        <v>1575</v>
      </c>
      <c r="J3433" s="20">
        <v>21</v>
      </c>
      <c r="K3433" t="s">
        <v>636</v>
      </c>
      <c r="L3433" t="s">
        <v>737</v>
      </c>
      <c r="M3433" t="s">
        <v>657</v>
      </c>
      <c r="N3433" t="s">
        <v>641</v>
      </c>
      <c r="O3433" t="s">
        <v>738</v>
      </c>
    </row>
    <row r="3434" spans="1:15" x14ac:dyDescent="0.35">
      <c r="A3434" s="77">
        <v>0.35616438356164382</v>
      </c>
      <c r="B3434" s="19">
        <v>99768</v>
      </c>
      <c r="C3434" s="19" t="s">
        <v>5728</v>
      </c>
      <c r="D3434" s="19" t="s">
        <v>208</v>
      </c>
      <c r="E3434" s="19" t="s">
        <v>209</v>
      </c>
      <c r="F3434" s="19" t="s">
        <v>1444</v>
      </c>
      <c r="G3434" s="19" t="s">
        <v>1057</v>
      </c>
      <c r="H3434" s="19" t="s">
        <v>1001</v>
      </c>
      <c r="I3434" s="19" t="s">
        <v>1575</v>
      </c>
      <c r="J3434" s="20">
        <v>24</v>
      </c>
      <c r="K3434" t="s">
        <v>636</v>
      </c>
      <c r="L3434" t="s">
        <v>640</v>
      </c>
      <c r="M3434" t="s">
        <v>623</v>
      </c>
      <c r="N3434" t="s">
        <v>624</v>
      </c>
      <c r="O3434" t="s">
        <v>787</v>
      </c>
    </row>
    <row r="3435" spans="1:15" x14ac:dyDescent="0.35">
      <c r="A3435" s="77">
        <v>0.35342465753424657</v>
      </c>
      <c r="B3435" s="19">
        <v>99769</v>
      </c>
      <c r="C3435" s="19" t="s">
        <v>5729</v>
      </c>
      <c r="D3435" s="19" t="s">
        <v>403</v>
      </c>
      <c r="E3435" s="19" t="s">
        <v>404</v>
      </c>
      <c r="F3435" s="19" t="s">
        <v>870</v>
      </c>
      <c r="G3435" s="19" t="s">
        <v>1084</v>
      </c>
      <c r="H3435" s="19" t="s">
        <v>1020</v>
      </c>
      <c r="I3435" s="19" t="s">
        <v>1575</v>
      </c>
      <c r="J3435" s="20">
        <v>42</v>
      </c>
      <c r="K3435" t="s">
        <v>631</v>
      </c>
      <c r="L3435" t="s">
        <v>691</v>
      </c>
      <c r="M3435" t="s">
        <v>657</v>
      </c>
      <c r="N3435" t="s">
        <v>658</v>
      </c>
      <c r="O3435" t="s">
        <v>632</v>
      </c>
    </row>
    <row r="3436" spans="1:15" x14ac:dyDescent="0.35">
      <c r="A3436" s="77">
        <v>0.35342465753424657</v>
      </c>
      <c r="B3436" s="19">
        <v>99770</v>
      </c>
      <c r="C3436" s="19" t="s">
        <v>5730</v>
      </c>
      <c r="D3436" s="19" t="s">
        <v>151</v>
      </c>
      <c r="E3436" s="19" t="s">
        <v>152</v>
      </c>
      <c r="F3436" s="19" t="s">
        <v>1557</v>
      </c>
      <c r="G3436" s="19" t="s">
        <v>1028</v>
      </c>
      <c r="H3436" s="19" t="s">
        <v>1020</v>
      </c>
      <c r="I3436" s="19" t="s">
        <v>1575</v>
      </c>
      <c r="J3436" s="20">
        <v>22</v>
      </c>
      <c r="K3436" t="s">
        <v>654</v>
      </c>
      <c r="L3436" t="s">
        <v>691</v>
      </c>
      <c r="M3436" t="s">
        <v>657</v>
      </c>
      <c r="N3436" t="s">
        <v>658</v>
      </c>
      <c r="O3436" t="s">
        <v>632</v>
      </c>
    </row>
    <row r="3437" spans="1:15" x14ac:dyDescent="0.35">
      <c r="A3437" s="77">
        <v>0.35342465753424657</v>
      </c>
      <c r="B3437" s="19">
        <v>99774</v>
      </c>
      <c r="C3437" s="19" t="s">
        <v>5731</v>
      </c>
      <c r="D3437" s="19" t="s">
        <v>330</v>
      </c>
      <c r="E3437" s="19" t="s">
        <v>331</v>
      </c>
      <c r="F3437" s="19" t="s">
        <v>332</v>
      </c>
      <c r="G3437" s="19" t="s">
        <v>1008</v>
      </c>
      <c r="H3437" s="19" t="s">
        <v>1001</v>
      </c>
      <c r="I3437" s="19" t="s">
        <v>1575</v>
      </c>
      <c r="J3437" s="20">
        <v>36</v>
      </c>
      <c r="K3437" t="s">
        <v>636</v>
      </c>
      <c r="L3437" t="s">
        <v>762</v>
      </c>
      <c r="M3437" t="s">
        <v>629</v>
      </c>
      <c r="N3437" t="s">
        <v>646</v>
      </c>
      <c r="O3437" t="s">
        <v>839</v>
      </c>
    </row>
    <row r="3438" spans="1:15" x14ac:dyDescent="0.35">
      <c r="A3438" s="77">
        <v>0.35616438356164382</v>
      </c>
      <c r="B3438" s="19">
        <v>99776</v>
      </c>
      <c r="C3438" s="19" t="s">
        <v>5732</v>
      </c>
      <c r="D3438" s="19" t="s">
        <v>26</v>
      </c>
      <c r="E3438" s="19" t="s">
        <v>26</v>
      </c>
      <c r="F3438" s="19" t="s">
        <v>1124</v>
      </c>
      <c r="G3438" s="19" t="s">
        <v>1028</v>
      </c>
      <c r="H3438" s="19" t="s">
        <v>1020</v>
      </c>
      <c r="I3438" s="19" t="s">
        <v>1599</v>
      </c>
      <c r="J3438" s="20">
        <v>33</v>
      </c>
      <c r="K3438" t="s">
        <v>636</v>
      </c>
      <c r="L3438" t="s">
        <v>666</v>
      </c>
      <c r="M3438" t="s">
        <v>629</v>
      </c>
      <c r="N3438" t="s">
        <v>635</v>
      </c>
      <c r="O3438" t="s">
        <v>637</v>
      </c>
    </row>
    <row r="3439" spans="1:15" x14ac:dyDescent="0.35">
      <c r="A3439" s="77">
        <v>0.35342465753424657</v>
      </c>
      <c r="B3439" s="19">
        <v>99777</v>
      </c>
      <c r="C3439" s="19" t="s">
        <v>5733</v>
      </c>
      <c r="D3439" s="19" t="s">
        <v>201</v>
      </c>
      <c r="E3439" s="19" t="s">
        <v>202</v>
      </c>
      <c r="F3439" s="19" t="s">
        <v>1061</v>
      </c>
      <c r="G3439" s="19" t="s">
        <v>1028</v>
      </c>
      <c r="H3439" s="19" t="s">
        <v>1020</v>
      </c>
      <c r="I3439" s="19" t="s">
        <v>1575</v>
      </c>
      <c r="J3439" s="20">
        <v>19</v>
      </c>
      <c r="K3439" t="s">
        <v>631</v>
      </c>
      <c r="L3439" t="s">
        <v>628</v>
      </c>
      <c r="M3439" t="s">
        <v>629</v>
      </c>
      <c r="N3439" t="s">
        <v>630</v>
      </c>
      <c r="O3439" t="s">
        <v>784</v>
      </c>
    </row>
    <row r="3440" spans="1:15" x14ac:dyDescent="0.35">
      <c r="A3440" s="77">
        <v>0.35342465753424657</v>
      </c>
      <c r="B3440" s="19">
        <v>99778</v>
      </c>
      <c r="C3440" s="19" t="s">
        <v>5734</v>
      </c>
      <c r="D3440" s="19" t="s">
        <v>137</v>
      </c>
      <c r="E3440" s="19" t="s">
        <v>138</v>
      </c>
      <c r="F3440" s="19" t="s">
        <v>1115</v>
      </c>
      <c r="G3440" s="19" t="s">
        <v>1019</v>
      </c>
      <c r="H3440" s="19" t="s">
        <v>1020</v>
      </c>
      <c r="I3440" s="19" t="s">
        <v>1575</v>
      </c>
      <c r="J3440" s="20">
        <v>26</v>
      </c>
      <c r="K3440" t="s">
        <v>636</v>
      </c>
      <c r="L3440" t="s">
        <v>684</v>
      </c>
      <c r="M3440" t="s">
        <v>623</v>
      </c>
      <c r="N3440" t="s">
        <v>662</v>
      </c>
      <c r="O3440" t="s">
        <v>685</v>
      </c>
    </row>
    <row r="3441" spans="1:15" x14ac:dyDescent="0.35">
      <c r="A3441" s="77">
        <v>0.35342465753424657</v>
      </c>
      <c r="B3441" s="19">
        <v>99782</v>
      </c>
      <c r="C3441" s="19" t="s">
        <v>5735</v>
      </c>
      <c r="D3441" s="19" t="s">
        <v>195</v>
      </c>
      <c r="E3441" s="19" t="s">
        <v>196</v>
      </c>
      <c r="F3441" s="19" t="s">
        <v>908</v>
      </c>
      <c r="G3441" s="19" t="s">
        <v>1028</v>
      </c>
      <c r="H3441" s="19" t="s">
        <v>1020</v>
      </c>
      <c r="I3441" s="19" t="s">
        <v>1575</v>
      </c>
      <c r="J3441" s="20">
        <v>23</v>
      </c>
      <c r="K3441" t="s">
        <v>636</v>
      </c>
      <c r="L3441" t="s">
        <v>670</v>
      </c>
      <c r="M3441" t="s">
        <v>657</v>
      </c>
      <c r="N3441" t="s">
        <v>641</v>
      </c>
      <c r="O3441" t="s">
        <v>676</v>
      </c>
    </row>
    <row r="3442" spans="1:15" x14ac:dyDescent="0.35">
      <c r="A3442" s="77">
        <v>0.35616438356164382</v>
      </c>
      <c r="B3442" s="19">
        <v>99784</v>
      </c>
      <c r="C3442" s="19" t="s">
        <v>5736</v>
      </c>
      <c r="D3442" s="19" t="s">
        <v>55</v>
      </c>
      <c r="E3442" s="19" t="s">
        <v>56</v>
      </c>
      <c r="F3442" s="19" t="s">
        <v>1684</v>
      </c>
      <c r="G3442" s="19" t="s">
        <v>1028</v>
      </c>
      <c r="H3442" s="19" t="s">
        <v>1020</v>
      </c>
      <c r="I3442" s="19" t="s">
        <v>1575</v>
      </c>
      <c r="J3442" s="20">
        <v>22</v>
      </c>
      <c r="K3442" t="s">
        <v>668</v>
      </c>
      <c r="L3442" t="s">
        <v>707</v>
      </c>
      <c r="M3442" t="s">
        <v>629</v>
      </c>
      <c r="N3442" t="s">
        <v>635</v>
      </c>
      <c r="O3442" t="s">
        <v>708</v>
      </c>
    </row>
    <row r="3443" spans="1:15" x14ac:dyDescent="0.35">
      <c r="A3443" s="77">
        <v>0.35616438356164382</v>
      </c>
      <c r="B3443" s="19">
        <v>99788</v>
      </c>
      <c r="C3443" s="19" t="s">
        <v>5737</v>
      </c>
      <c r="D3443" s="19" t="s">
        <v>313</v>
      </c>
      <c r="E3443" s="19" t="s">
        <v>314</v>
      </c>
      <c r="F3443" s="19" t="s">
        <v>1401</v>
      </c>
      <c r="G3443" s="19" t="s">
        <v>1028</v>
      </c>
      <c r="H3443" s="19" t="s">
        <v>1020</v>
      </c>
      <c r="I3443" s="19" t="s">
        <v>1575</v>
      </c>
      <c r="J3443" s="20">
        <v>26</v>
      </c>
      <c r="K3443" t="s">
        <v>654</v>
      </c>
      <c r="L3443" t="s">
        <v>666</v>
      </c>
      <c r="M3443" t="s">
        <v>629</v>
      </c>
      <c r="N3443" t="s">
        <v>635</v>
      </c>
      <c r="O3443" t="s">
        <v>637</v>
      </c>
    </row>
    <row r="3444" spans="1:15" x14ac:dyDescent="0.35">
      <c r="A3444" s="77">
        <v>0.35068493150684932</v>
      </c>
      <c r="B3444" s="19">
        <v>99790</v>
      </c>
      <c r="C3444" s="19" t="s">
        <v>5738</v>
      </c>
      <c r="D3444" s="19" t="s">
        <v>55</v>
      </c>
      <c r="E3444" s="19" t="s">
        <v>56</v>
      </c>
      <c r="F3444" s="19" t="s">
        <v>1684</v>
      </c>
      <c r="G3444" s="19" t="s">
        <v>1028</v>
      </c>
      <c r="H3444" s="19" t="s">
        <v>1020</v>
      </c>
      <c r="I3444" s="19" t="s">
        <v>1599</v>
      </c>
      <c r="J3444" s="20">
        <v>22</v>
      </c>
      <c r="K3444" t="s">
        <v>668</v>
      </c>
      <c r="L3444" t="s">
        <v>707</v>
      </c>
      <c r="M3444" t="s">
        <v>629</v>
      </c>
      <c r="N3444" t="s">
        <v>635</v>
      </c>
      <c r="O3444" t="s">
        <v>708</v>
      </c>
    </row>
    <row r="3445" spans="1:15" x14ac:dyDescent="0.35">
      <c r="A3445" s="77">
        <v>0.35068493150684932</v>
      </c>
      <c r="B3445" s="19">
        <v>99794</v>
      </c>
      <c r="C3445" s="19" t="s">
        <v>5739</v>
      </c>
      <c r="D3445" s="19" t="s">
        <v>147</v>
      </c>
      <c r="E3445" s="19" t="s">
        <v>148</v>
      </c>
      <c r="F3445" s="19" t="s">
        <v>1396</v>
      </c>
      <c r="G3445" s="19" t="s">
        <v>1057</v>
      </c>
      <c r="H3445" s="19" t="s">
        <v>1001</v>
      </c>
      <c r="I3445" s="19" t="s">
        <v>1575</v>
      </c>
      <c r="J3445" s="20">
        <v>22</v>
      </c>
      <c r="K3445" t="s">
        <v>636</v>
      </c>
      <c r="L3445" t="s">
        <v>661</v>
      </c>
      <c r="M3445" t="s">
        <v>657</v>
      </c>
      <c r="N3445" t="s">
        <v>662</v>
      </c>
      <c r="O3445" t="s">
        <v>632</v>
      </c>
    </row>
    <row r="3446" spans="1:15" x14ac:dyDescent="0.35">
      <c r="A3446" s="77">
        <v>0.35068493150684932</v>
      </c>
      <c r="B3446" s="19">
        <v>99798</v>
      </c>
      <c r="C3446" s="19" t="s">
        <v>5740</v>
      </c>
      <c r="D3446" s="19" t="s">
        <v>80</v>
      </c>
      <c r="E3446" s="19" t="s">
        <v>81</v>
      </c>
      <c r="F3446" s="19" t="s">
        <v>1022</v>
      </c>
      <c r="G3446" s="19" t="s">
        <v>1028</v>
      </c>
      <c r="H3446" s="19" t="s">
        <v>1020</v>
      </c>
      <c r="I3446" s="19" t="s">
        <v>1575</v>
      </c>
      <c r="J3446" s="20">
        <v>21</v>
      </c>
      <c r="K3446" t="s">
        <v>654</v>
      </c>
      <c r="L3446" t="s">
        <v>628</v>
      </c>
      <c r="M3446" t="s">
        <v>629</v>
      </c>
      <c r="N3446" t="s">
        <v>630</v>
      </c>
      <c r="O3446" t="s">
        <v>632</v>
      </c>
    </row>
    <row r="3447" spans="1:15" x14ac:dyDescent="0.35">
      <c r="A3447" s="77">
        <v>0.34794520547945207</v>
      </c>
      <c r="B3447" s="19">
        <v>99800</v>
      </c>
      <c r="C3447" s="19" t="s">
        <v>5741</v>
      </c>
      <c r="D3447" s="19" t="s">
        <v>339</v>
      </c>
      <c r="E3447" s="19" t="s">
        <v>340</v>
      </c>
      <c r="F3447" s="19" t="s">
        <v>1024</v>
      </c>
      <c r="G3447" s="19" t="s">
        <v>1028</v>
      </c>
      <c r="H3447" s="19" t="s">
        <v>1020</v>
      </c>
      <c r="I3447" s="19" t="s">
        <v>1575</v>
      </c>
      <c r="J3447" s="20">
        <v>25</v>
      </c>
      <c r="K3447" t="s">
        <v>631</v>
      </c>
      <c r="L3447" t="s">
        <v>651</v>
      </c>
      <c r="M3447" t="s">
        <v>629</v>
      </c>
      <c r="N3447" t="s">
        <v>630</v>
      </c>
      <c r="O3447" t="s">
        <v>705</v>
      </c>
    </row>
    <row r="3448" spans="1:15" x14ac:dyDescent="0.35">
      <c r="A3448" s="77">
        <v>0.34794520547945207</v>
      </c>
      <c r="B3448" s="19">
        <v>99801</v>
      </c>
      <c r="C3448" s="19" t="s">
        <v>5742</v>
      </c>
      <c r="D3448" s="19" t="s">
        <v>339</v>
      </c>
      <c r="E3448" s="19" t="s">
        <v>340</v>
      </c>
      <c r="F3448" s="19" t="s">
        <v>1024</v>
      </c>
      <c r="G3448" s="19" t="s">
        <v>1028</v>
      </c>
      <c r="H3448" s="19" t="s">
        <v>1020</v>
      </c>
      <c r="I3448" s="19" t="s">
        <v>1575</v>
      </c>
      <c r="J3448" s="20">
        <v>22</v>
      </c>
      <c r="K3448" t="s">
        <v>631</v>
      </c>
      <c r="L3448" t="s">
        <v>651</v>
      </c>
      <c r="M3448" t="s">
        <v>629</v>
      </c>
      <c r="N3448" t="s">
        <v>630</v>
      </c>
      <c r="O3448" t="s">
        <v>705</v>
      </c>
    </row>
    <row r="3449" spans="1:15" x14ac:dyDescent="0.35">
      <c r="A3449" s="77">
        <v>0.34794520547945207</v>
      </c>
      <c r="B3449" s="19">
        <v>99802</v>
      </c>
      <c r="C3449" s="19" t="s">
        <v>5743</v>
      </c>
      <c r="D3449" s="19" t="s">
        <v>78</v>
      </c>
      <c r="E3449" s="19" t="s">
        <v>79</v>
      </c>
      <c r="F3449" s="19" t="s">
        <v>1107</v>
      </c>
      <c r="G3449" s="19" t="s">
        <v>1057</v>
      </c>
      <c r="H3449" s="19" t="s">
        <v>1001</v>
      </c>
      <c r="I3449" s="19" t="s">
        <v>1575</v>
      </c>
      <c r="J3449" s="20">
        <v>18</v>
      </c>
      <c r="K3449" t="s">
        <v>654</v>
      </c>
      <c r="L3449" t="s">
        <v>661</v>
      </c>
      <c r="M3449" t="s">
        <v>657</v>
      </c>
      <c r="N3449" t="s">
        <v>658</v>
      </c>
      <c r="O3449" t="s">
        <v>632</v>
      </c>
    </row>
    <row r="3450" spans="1:15" x14ac:dyDescent="0.35">
      <c r="A3450" s="77">
        <v>0.34794520547945207</v>
      </c>
      <c r="B3450" s="19">
        <v>99808</v>
      </c>
      <c r="C3450" s="19" t="s">
        <v>5744</v>
      </c>
      <c r="D3450" s="19" t="s">
        <v>42</v>
      </c>
      <c r="E3450" s="19" t="s">
        <v>42</v>
      </c>
      <c r="F3450" s="19" t="s">
        <v>1262</v>
      </c>
      <c r="G3450" s="19" t="s">
        <v>1028</v>
      </c>
      <c r="H3450" s="19" t="s">
        <v>1020</v>
      </c>
      <c r="I3450" s="19" t="s">
        <v>1575</v>
      </c>
      <c r="J3450" s="20">
        <v>21</v>
      </c>
      <c r="K3450" t="s">
        <v>625</v>
      </c>
      <c r="L3450" t="s">
        <v>628</v>
      </c>
      <c r="M3450" t="s">
        <v>629</v>
      </c>
      <c r="N3450" t="s">
        <v>630</v>
      </c>
      <c r="O3450" t="s">
        <v>632</v>
      </c>
    </row>
    <row r="3451" spans="1:15" x14ac:dyDescent="0.35">
      <c r="A3451" s="77">
        <v>0.34794520547945207</v>
      </c>
      <c r="B3451" s="19">
        <v>99810</v>
      </c>
      <c r="C3451" s="19" t="s">
        <v>5745</v>
      </c>
      <c r="D3451" s="19" t="s">
        <v>425</v>
      </c>
      <c r="E3451" s="19" t="s">
        <v>425</v>
      </c>
      <c r="F3451" s="19" t="s">
        <v>1330</v>
      </c>
      <c r="G3451" s="19" t="s">
        <v>1028</v>
      </c>
      <c r="H3451" s="19" t="s">
        <v>1020</v>
      </c>
      <c r="I3451" s="19" t="s">
        <v>1575</v>
      </c>
      <c r="J3451" s="20">
        <v>23</v>
      </c>
      <c r="K3451" t="s">
        <v>654</v>
      </c>
      <c r="L3451" t="s">
        <v>678</v>
      </c>
      <c r="M3451" t="s">
        <v>623</v>
      </c>
      <c r="N3451" t="s">
        <v>624</v>
      </c>
      <c r="O3451" t="s">
        <v>689</v>
      </c>
    </row>
    <row r="3452" spans="1:15" x14ac:dyDescent="0.35">
      <c r="A3452" s="77">
        <v>0.34794520547945207</v>
      </c>
      <c r="B3452" s="19">
        <v>99811</v>
      </c>
      <c r="C3452" s="19" t="s">
        <v>5746</v>
      </c>
      <c r="D3452" s="19" t="s">
        <v>124</v>
      </c>
      <c r="E3452" s="19" t="s">
        <v>125</v>
      </c>
      <c r="F3452" s="19" t="s">
        <v>1398</v>
      </c>
      <c r="G3452" s="19" t="s">
        <v>1046</v>
      </c>
      <c r="H3452" s="19" t="s">
        <v>1001</v>
      </c>
      <c r="I3452" s="19" t="s">
        <v>1575</v>
      </c>
      <c r="J3452" s="20">
        <v>25</v>
      </c>
      <c r="K3452" t="s">
        <v>654</v>
      </c>
      <c r="L3452" t="s">
        <v>661</v>
      </c>
      <c r="M3452" t="s">
        <v>657</v>
      </c>
      <c r="N3452" t="s">
        <v>662</v>
      </c>
      <c r="O3452" t="s">
        <v>632</v>
      </c>
    </row>
    <row r="3453" spans="1:15" x14ac:dyDescent="0.35">
      <c r="A3453" s="77">
        <v>0.34794520547945207</v>
      </c>
      <c r="B3453" s="19">
        <v>99814</v>
      </c>
      <c r="C3453" s="19" t="s">
        <v>4591</v>
      </c>
      <c r="D3453" s="19" t="s">
        <v>324</v>
      </c>
      <c r="E3453" s="19" t="s">
        <v>325</v>
      </c>
      <c r="F3453" s="19" t="s">
        <v>1284</v>
      </c>
      <c r="G3453" s="19" t="s">
        <v>1028</v>
      </c>
      <c r="H3453" s="19" t="s">
        <v>1020</v>
      </c>
      <c r="I3453" s="19" t="s">
        <v>1575</v>
      </c>
      <c r="J3453" s="20">
        <v>33</v>
      </c>
      <c r="K3453" t="s">
        <v>631</v>
      </c>
      <c r="L3453" t="s">
        <v>663</v>
      </c>
      <c r="M3453" t="s">
        <v>629</v>
      </c>
      <c r="N3453" t="s">
        <v>646</v>
      </c>
      <c r="O3453" t="s">
        <v>639</v>
      </c>
    </row>
    <row r="3454" spans="1:15" x14ac:dyDescent="0.35">
      <c r="A3454" s="77">
        <v>0.33972602739726027</v>
      </c>
      <c r="B3454" s="19">
        <v>99818</v>
      </c>
      <c r="C3454" s="19" t="s">
        <v>5747</v>
      </c>
      <c r="D3454" s="19" t="s">
        <v>8</v>
      </c>
      <c r="E3454" s="19" t="s">
        <v>8</v>
      </c>
      <c r="F3454" s="19" t="s">
        <v>1176</v>
      </c>
      <c r="G3454" s="19" t="s">
        <v>1028</v>
      </c>
      <c r="H3454" s="19" t="s">
        <v>1020</v>
      </c>
      <c r="I3454" s="19" t="s">
        <v>1575</v>
      </c>
      <c r="J3454" s="20">
        <v>27</v>
      </c>
      <c r="K3454" t="s">
        <v>625</v>
      </c>
      <c r="L3454" t="s">
        <v>622</v>
      </c>
      <c r="M3454" t="s">
        <v>623</v>
      </c>
      <c r="N3454" t="s">
        <v>624</v>
      </c>
      <c r="O3454" t="s">
        <v>626</v>
      </c>
    </row>
    <row r="3455" spans="1:15" x14ac:dyDescent="0.35">
      <c r="A3455" s="77">
        <v>0.33972602739726027</v>
      </c>
      <c r="B3455" s="19">
        <v>99819</v>
      </c>
      <c r="C3455" s="19" t="s">
        <v>5748</v>
      </c>
      <c r="D3455" s="19" t="s">
        <v>8</v>
      </c>
      <c r="E3455" s="19" t="s">
        <v>8</v>
      </c>
      <c r="F3455" s="19" t="s">
        <v>1176</v>
      </c>
      <c r="G3455" s="19" t="s">
        <v>1008</v>
      </c>
      <c r="H3455" s="19" t="s">
        <v>1001</v>
      </c>
      <c r="I3455" s="19" t="s">
        <v>1575</v>
      </c>
      <c r="J3455" s="20">
        <v>23</v>
      </c>
      <c r="K3455" t="s">
        <v>625</v>
      </c>
      <c r="L3455" t="s">
        <v>622</v>
      </c>
      <c r="M3455" t="s">
        <v>623</v>
      </c>
      <c r="N3455" t="s">
        <v>624</v>
      </c>
      <c r="O3455" t="s">
        <v>626</v>
      </c>
    </row>
    <row r="3456" spans="1:15" x14ac:dyDescent="0.35">
      <c r="A3456" s="77">
        <v>0.33972602739726027</v>
      </c>
      <c r="B3456" s="19">
        <v>99820</v>
      </c>
      <c r="C3456" s="19" t="s">
        <v>5749</v>
      </c>
      <c r="D3456" s="19" t="s">
        <v>8</v>
      </c>
      <c r="E3456" s="19" t="s">
        <v>8</v>
      </c>
      <c r="F3456" s="19" t="s">
        <v>1176</v>
      </c>
      <c r="G3456" s="19" t="s">
        <v>1008</v>
      </c>
      <c r="H3456" s="19" t="s">
        <v>1001</v>
      </c>
      <c r="I3456" s="19" t="s">
        <v>1575</v>
      </c>
      <c r="J3456" s="20">
        <v>23</v>
      </c>
      <c r="K3456" t="s">
        <v>625</v>
      </c>
      <c r="L3456" t="s">
        <v>622</v>
      </c>
      <c r="M3456" t="s">
        <v>623</v>
      </c>
      <c r="N3456" t="s">
        <v>624</v>
      </c>
      <c r="O3456" t="s">
        <v>626</v>
      </c>
    </row>
    <row r="3457" spans="1:15" x14ac:dyDescent="0.35">
      <c r="A3457" s="77">
        <v>0.33972602739726027</v>
      </c>
      <c r="B3457" s="19">
        <v>99824</v>
      </c>
      <c r="C3457" s="19" t="s">
        <v>5750</v>
      </c>
      <c r="D3457" s="19" t="s">
        <v>8</v>
      </c>
      <c r="E3457" s="19" t="s">
        <v>8</v>
      </c>
      <c r="F3457" s="19" t="s">
        <v>1176</v>
      </c>
      <c r="G3457" s="19" t="s">
        <v>1028</v>
      </c>
      <c r="H3457" s="19" t="s">
        <v>1020</v>
      </c>
      <c r="I3457" s="19" t="s">
        <v>1575</v>
      </c>
      <c r="J3457" s="20">
        <v>26</v>
      </c>
      <c r="K3457" t="s">
        <v>625</v>
      </c>
      <c r="L3457" t="s">
        <v>622</v>
      </c>
      <c r="M3457" t="s">
        <v>623</v>
      </c>
      <c r="N3457" t="s">
        <v>624</v>
      </c>
      <c r="O3457" t="s">
        <v>626</v>
      </c>
    </row>
    <row r="3458" spans="1:15" x14ac:dyDescent="0.35">
      <c r="A3458" s="77">
        <v>0.33972602739726027</v>
      </c>
      <c r="B3458" s="19">
        <v>99826</v>
      </c>
      <c r="C3458" s="19" t="s">
        <v>5751</v>
      </c>
      <c r="D3458" s="19" t="s">
        <v>208</v>
      </c>
      <c r="E3458" s="19" t="s">
        <v>209</v>
      </c>
      <c r="F3458" s="19" t="s">
        <v>1444</v>
      </c>
      <c r="G3458" s="19" t="s">
        <v>1008</v>
      </c>
      <c r="H3458" s="19" t="s">
        <v>1001</v>
      </c>
      <c r="I3458" s="19" t="s">
        <v>1575</v>
      </c>
      <c r="J3458" s="20">
        <v>25</v>
      </c>
      <c r="K3458" t="s">
        <v>636</v>
      </c>
      <c r="L3458" t="s">
        <v>640</v>
      </c>
      <c r="M3458" t="s">
        <v>623</v>
      </c>
      <c r="N3458" t="s">
        <v>624</v>
      </c>
      <c r="O3458" t="s">
        <v>787</v>
      </c>
    </row>
    <row r="3459" spans="1:15" x14ac:dyDescent="0.35">
      <c r="A3459" s="77">
        <v>0.33972602739726027</v>
      </c>
      <c r="B3459" s="19">
        <v>99827</v>
      </c>
      <c r="C3459" s="19" t="s">
        <v>5752</v>
      </c>
      <c r="D3459" s="19" t="s">
        <v>80</v>
      </c>
      <c r="E3459" s="19" t="s">
        <v>81</v>
      </c>
      <c r="F3459" s="19" t="s">
        <v>1022</v>
      </c>
      <c r="G3459" s="19" t="s">
        <v>1008</v>
      </c>
      <c r="H3459" s="19" t="s">
        <v>1001</v>
      </c>
      <c r="I3459" s="19" t="s">
        <v>1575</v>
      </c>
      <c r="J3459" s="20">
        <v>19</v>
      </c>
      <c r="K3459" t="s">
        <v>654</v>
      </c>
      <c r="L3459" t="s">
        <v>628</v>
      </c>
      <c r="M3459" t="s">
        <v>629</v>
      </c>
      <c r="N3459" t="s">
        <v>630</v>
      </c>
      <c r="O3459" t="s">
        <v>632</v>
      </c>
    </row>
    <row r="3460" spans="1:15" x14ac:dyDescent="0.35">
      <c r="A3460" s="77">
        <v>0.33972602739726027</v>
      </c>
      <c r="B3460" s="19">
        <v>99828</v>
      </c>
      <c r="C3460" s="19" t="s">
        <v>5753</v>
      </c>
      <c r="D3460" s="19" t="s">
        <v>128</v>
      </c>
      <c r="E3460" s="19" t="s">
        <v>129</v>
      </c>
      <c r="F3460" s="19" t="s">
        <v>1075</v>
      </c>
      <c r="G3460" s="19" t="s">
        <v>1028</v>
      </c>
      <c r="H3460" s="19" t="s">
        <v>1020</v>
      </c>
      <c r="I3460" s="19" t="s">
        <v>1575</v>
      </c>
      <c r="J3460" s="20">
        <v>43</v>
      </c>
      <c r="K3460" t="s">
        <v>636</v>
      </c>
      <c r="L3460" t="s">
        <v>678</v>
      </c>
      <c r="M3460" t="s">
        <v>623</v>
      </c>
      <c r="N3460" t="s">
        <v>624</v>
      </c>
      <c r="O3460" t="s">
        <v>679</v>
      </c>
    </row>
    <row r="3461" spans="1:15" x14ac:dyDescent="0.35">
      <c r="A3461" s="77">
        <v>0.33972602739726027</v>
      </c>
      <c r="B3461" s="19">
        <v>99830</v>
      </c>
      <c r="C3461" s="19" t="s">
        <v>5019</v>
      </c>
      <c r="D3461" s="19" t="s">
        <v>189</v>
      </c>
      <c r="E3461" s="19" t="s">
        <v>190</v>
      </c>
      <c r="F3461" s="19" t="s">
        <v>1369</v>
      </c>
      <c r="G3461" s="19" t="s">
        <v>1008</v>
      </c>
      <c r="H3461" s="19" t="s">
        <v>1001</v>
      </c>
      <c r="I3461" s="19" t="s">
        <v>1575</v>
      </c>
      <c r="J3461" s="20">
        <v>24</v>
      </c>
      <c r="K3461" t="s">
        <v>654</v>
      </c>
      <c r="L3461" t="s">
        <v>640</v>
      </c>
      <c r="M3461" t="s">
        <v>623</v>
      </c>
      <c r="N3461" t="s">
        <v>641</v>
      </c>
      <c r="O3461" t="s">
        <v>754</v>
      </c>
    </row>
    <row r="3462" spans="1:15" x14ac:dyDescent="0.35">
      <c r="A3462" s="77">
        <v>0.33972602739726027</v>
      </c>
      <c r="B3462" s="19">
        <v>99833</v>
      </c>
      <c r="C3462" s="19" t="s">
        <v>5754</v>
      </c>
      <c r="D3462" s="19" t="s">
        <v>143</v>
      </c>
      <c r="E3462" s="19" t="s">
        <v>144</v>
      </c>
      <c r="F3462" s="19" t="s">
        <v>2391</v>
      </c>
      <c r="G3462" s="19" t="s">
        <v>1008</v>
      </c>
      <c r="H3462" s="19" t="s">
        <v>1001</v>
      </c>
      <c r="I3462" s="19" t="s">
        <v>1575</v>
      </c>
      <c r="J3462" s="20">
        <v>22</v>
      </c>
      <c r="K3462" t="s">
        <v>654</v>
      </c>
      <c r="L3462" t="s">
        <v>640</v>
      </c>
      <c r="M3462" t="s">
        <v>623</v>
      </c>
      <c r="N3462" t="s">
        <v>641</v>
      </c>
      <c r="O3462" t="s">
        <v>754</v>
      </c>
    </row>
    <row r="3463" spans="1:15" x14ac:dyDescent="0.35">
      <c r="A3463" s="77">
        <v>0.33698630136986302</v>
      </c>
      <c r="B3463" s="19">
        <v>99836</v>
      </c>
      <c r="C3463" s="19" t="s">
        <v>5755</v>
      </c>
      <c r="D3463" s="19" t="s">
        <v>82</v>
      </c>
      <c r="E3463" s="19" t="s">
        <v>83</v>
      </c>
      <c r="F3463" s="19" t="s">
        <v>1103</v>
      </c>
      <c r="G3463" s="19" t="s">
        <v>1084</v>
      </c>
      <c r="H3463" s="19" t="s">
        <v>1020</v>
      </c>
      <c r="I3463" s="19" t="s">
        <v>1575</v>
      </c>
      <c r="J3463" s="20">
        <v>30</v>
      </c>
      <c r="K3463" t="s">
        <v>642</v>
      </c>
      <c r="L3463" t="s">
        <v>661</v>
      </c>
      <c r="M3463" t="s">
        <v>657</v>
      </c>
      <c r="N3463" t="s">
        <v>662</v>
      </c>
      <c r="O3463" t="s">
        <v>632</v>
      </c>
    </row>
    <row r="3464" spans="1:15" x14ac:dyDescent="0.35">
      <c r="A3464" s="77">
        <v>0.33698630136986302</v>
      </c>
      <c r="B3464" s="19">
        <v>99838</v>
      </c>
      <c r="C3464" s="19" t="s">
        <v>5756</v>
      </c>
      <c r="D3464" s="19" t="s">
        <v>167</v>
      </c>
      <c r="E3464" s="19" t="s">
        <v>168</v>
      </c>
      <c r="F3464" s="19" t="s">
        <v>2009</v>
      </c>
      <c r="G3464" s="19" t="s">
        <v>1008</v>
      </c>
      <c r="H3464" s="19" t="s">
        <v>1001</v>
      </c>
      <c r="I3464" s="19" t="s">
        <v>1575</v>
      </c>
      <c r="J3464" s="20">
        <v>25</v>
      </c>
      <c r="K3464" t="s">
        <v>636</v>
      </c>
      <c r="L3464" t="s">
        <v>640</v>
      </c>
      <c r="M3464" t="s">
        <v>623</v>
      </c>
      <c r="N3464" t="s">
        <v>641</v>
      </c>
      <c r="O3464" t="s">
        <v>754</v>
      </c>
    </row>
    <row r="3465" spans="1:15" x14ac:dyDescent="0.35">
      <c r="A3465" s="77">
        <v>0.33698630136986302</v>
      </c>
      <c r="B3465" s="19">
        <v>99839</v>
      </c>
      <c r="C3465" s="19" t="s">
        <v>5757</v>
      </c>
      <c r="D3465" s="19" t="s">
        <v>145</v>
      </c>
      <c r="E3465" s="19" t="s">
        <v>146</v>
      </c>
      <c r="F3465" s="19" t="s">
        <v>1015</v>
      </c>
      <c r="G3465" s="19" t="s">
        <v>1008</v>
      </c>
      <c r="H3465" s="19" t="s">
        <v>1001</v>
      </c>
      <c r="I3465" s="19" t="s">
        <v>1575</v>
      </c>
      <c r="J3465" s="20">
        <v>19</v>
      </c>
      <c r="K3465" t="s">
        <v>636</v>
      </c>
      <c r="L3465" t="s">
        <v>737</v>
      </c>
      <c r="M3465" t="s">
        <v>657</v>
      </c>
      <c r="N3465" t="s">
        <v>641</v>
      </c>
      <c r="O3465" t="s">
        <v>757</v>
      </c>
    </row>
    <row r="3466" spans="1:15" x14ac:dyDescent="0.35">
      <c r="A3466" s="77">
        <v>0.33698630136986302</v>
      </c>
      <c r="B3466" s="19">
        <v>99840</v>
      </c>
      <c r="C3466" s="19" t="s">
        <v>5758</v>
      </c>
      <c r="D3466" s="19" t="s">
        <v>375</v>
      </c>
      <c r="E3466" s="19" t="s">
        <v>376</v>
      </c>
      <c r="F3466" s="19" t="s">
        <v>1270</v>
      </c>
      <c r="G3466" s="19" t="s">
        <v>1008</v>
      </c>
      <c r="H3466" s="19" t="s">
        <v>1001</v>
      </c>
      <c r="I3466" s="19" t="s">
        <v>1575</v>
      </c>
      <c r="J3466" s="20">
        <v>18</v>
      </c>
      <c r="K3466" t="s">
        <v>636</v>
      </c>
      <c r="L3466" t="s">
        <v>678</v>
      </c>
      <c r="M3466" t="s">
        <v>623</v>
      </c>
      <c r="N3466" t="s">
        <v>624</v>
      </c>
      <c r="O3466" t="s">
        <v>679</v>
      </c>
    </row>
    <row r="3467" spans="1:15" x14ac:dyDescent="0.35">
      <c r="A3467" s="77">
        <v>0.32602739726027397</v>
      </c>
      <c r="B3467" s="19">
        <v>99842</v>
      </c>
      <c r="C3467" s="19" t="s">
        <v>5759</v>
      </c>
      <c r="D3467" s="19" t="s">
        <v>271</v>
      </c>
      <c r="E3467" s="19" t="s">
        <v>272</v>
      </c>
      <c r="F3467" s="19" t="s">
        <v>2611</v>
      </c>
      <c r="G3467" s="19" t="s">
        <v>1000</v>
      </c>
      <c r="H3467" s="19" t="s">
        <v>1001</v>
      </c>
      <c r="I3467" s="19" t="s">
        <v>1599</v>
      </c>
      <c r="J3467" s="20">
        <v>30</v>
      </c>
      <c r="K3467" t="s">
        <v>654</v>
      </c>
      <c r="L3467" t="s">
        <v>666</v>
      </c>
      <c r="M3467" t="s">
        <v>629</v>
      </c>
      <c r="N3467" t="s">
        <v>635</v>
      </c>
      <c r="O3467" t="s">
        <v>739</v>
      </c>
    </row>
    <row r="3468" spans="1:15" x14ac:dyDescent="0.35">
      <c r="A3468" s="77">
        <v>0.32328767123287672</v>
      </c>
      <c r="B3468" s="19">
        <v>99843</v>
      </c>
      <c r="C3468" s="19" t="s">
        <v>5760</v>
      </c>
      <c r="D3468" s="19" t="s">
        <v>175</v>
      </c>
      <c r="E3468" s="19" t="s">
        <v>176</v>
      </c>
      <c r="F3468" s="19" t="s">
        <v>1538</v>
      </c>
      <c r="G3468" s="19" t="s">
        <v>1045</v>
      </c>
      <c r="H3468" s="19" t="s">
        <v>1001</v>
      </c>
      <c r="I3468" s="19" t="s">
        <v>1599</v>
      </c>
      <c r="J3468" s="20">
        <v>46</v>
      </c>
      <c r="K3468" t="s">
        <v>668</v>
      </c>
      <c r="L3468" t="s">
        <v>707</v>
      </c>
      <c r="M3468" t="s">
        <v>629</v>
      </c>
      <c r="N3468" t="s">
        <v>635</v>
      </c>
      <c r="O3468" t="s">
        <v>710</v>
      </c>
    </row>
    <row r="3469" spans="1:15" x14ac:dyDescent="0.35">
      <c r="A3469" s="77">
        <v>0.32602739726027397</v>
      </c>
      <c r="B3469" s="19">
        <v>99844</v>
      </c>
      <c r="C3469" s="19" t="s">
        <v>5761</v>
      </c>
      <c r="D3469" s="19" t="s">
        <v>32</v>
      </c>
      <c r="E3469" s="19" t="s">
        <v>33</v>
      </c>
      <c r="F3469" s="19" t="s">
        <v>1154</v>
      </c>
      <c r="G3469" s="19" t="s">
        <v>1028</v>
      </c>
      <c r="H3469" s="19" t="s">
        <v>1020</v>
      </c>
      <c r="I3469" s="19" t="s">
        <v>1599</v>
      </c>
      <c r="J3469" s="20">
        <v>23</v>
      </c>
      <c r="K3469" t="s">
        <v>654</v>
      </c>
      <c r="L3469" t="s">
        <v>622</v>
      </c>
      <c r="M3469" t="s">
        <v>623</v>
      </c>
      <c r="N3469" t="s">
        <v>624</v>
      </c>
      <c r="O3469" t="s">
        <v>681</v>
      </c>
    </row>
    <row r="3470" spans="1:15" x14ac:dyDescent="0.35">
      <c r="A3470" s="77">
        <v>0.32602739726027397</v>
      </c>
      <c r="B3470" s="19">
        <v>99852</v>
      </c>
      <c r="C3470" s="19" t="s">
        <v>5762</v>
      </c>
      <c r="D3470" s="19" t="s">
        <v>102</v>
      </c>
      <c r="E3470" s="19" t="s">
        <v>103</v>
      </c>
      <c r="F3470" s="19" t="s">
        <v>1306</v>
      </c>
      <c r="G3470" s="19" t="s">
        <v>1028</v>
      </c>
      <c r="H3470" s="19" t="s">
        <v>1020</v>
      </c>
      <c r="I3470" s="19" t="s">
        <v>1575</v>
      </c>
      <c r="J3470" s="20">
        <v>36</v>
      </c>
      <c r="K3470" t="s">
        <v>654</v>
      </c>
      <c r="L3470" t="s">
        <v>707</v>
      </c>
      <c r="M3470" t="s">
        <v>629</v>
      </c>
      <c r="N3470" t="s">
        <v>635</v>
      </c>
      <c r="O3470" t="s">
        <v>708</v>
      </c>
    </row>
    <row r="3471" spans="1:15" x14ac:dyDescent="0.35">
      <c r="A3471" s="77">
        <v>0.32328767123287672</v>
      </c>
      <c r="B3471" s="19">
        <v>99858</v>
      </c>
      <c r="C3471" s="19" t="s">
        <v>5763</v>
      </c>
      <c r="D3471" s="19" t="s">
        <v>237</v>
      </c>
      <c r="E3471" s="19" t="s">
        <v>238</v>
      </c>
      <c r="F3471" s="19" t="s">
        <v>1070</v>
      </c>
      <c r="G3471" s="19" t="s">
        <v>1046</v>
      </c>
      <c r="H3471" s="19" t="s">
        <v>1001</v>
      </c>
      <c r="I3471" s="19" t="s">
        <v>1599</v>
      </c>
      <c r="J3471" s="20">
        <v>28</v>
      </c>
      <c r="K3471" t="s">
        <v>631</v>
      </c>
      <c r="L3471" t="s">
        <v>661</v>
      </c>
      <c r="M3471" t="s">
        <v>657</v>
      </c>
      <c r="N3471" t="s">
        <v>662</v>
      </c>
      <c r="O3471" t="s">
        <v>632</v>
      </c>
    </row>
    <row r="3472" spans="1:15" x14ac:dyDescent="0.35">
      <c r="A3472" s="77">
        <v>0.32602739726027397</v>
      </c>
      <c r="B3472" s="19">
        <v>99862</v>
      </c>
      <c r="C3472" s="19" t="s">
        <v>5764</v>
      </c>
      <c r="D3472" s="19" t="s">
        <v>239</v>
      </c>
      <c r="E3472" s="19" t="s">
        <v>240</v>
      </c>
      <c r="F3472" s="19" t="s">
        <v>798</v>
      </c>
      <c r="G3472" s="19" t="s">
        <v>1028</v>
      </c>
      <c r="H3472" s="19" t="s">
        <v>1020</v>
      </c>
      <c r="I3472" s="19" t="s">
        <v>1599</v>
      </c>
      <c r="J3472" s="20">
        <v>20</v>
      </c>
      <c r="K3472" t="s">
        <v>636</v>
      </c>
      <c r="L3472" t="s">
        <v>628</v>
      </c>
      <c r="M3472" t="s">
        <v>629</v>
      </c>
      <c r="N3472" t="s">
        <v>646</v>
      </c>
      <c r="O3472" t="s">
        <v>632</v>
      </c>
    </row>
    <row r="3473" spans="1:15" x14ac:dyDescent="0.35">
      <c r="A3473" s="77">
        <v>0.32602739726027397</v>
      </c>
      <c r="B3473" s="19">
        <v>99864</v>
      </c>
      <c r="C3473" s="19" t="s">
        <v>5765</v>
      </c>
      <c r="D3473" s="19" t="s">
        <v>167</v>
      </c>
      <c r="E3473" s="19" t="s">
        <v>168</v>
      </c>
      <c r="F3473" s="19" t="s">
        <v>2009</v>
      </c>
      <c r="G3473" s="19" t="s">
        <v>1008</v>
      </c>
      <c r="H3473" s="19" t="s">
        <v>1001</v>
      </c>
      <c r="I3473" s="19" t="s">
        <v>1575</v>
      </c>
      <c r="J3473" s="20">
        <v>36</v>
      </c>
      <c r="K3473" t="s">
        <v>636</v>
      </c>
      <c r="L3473" t="s">
        <v>640</v>
      </c>
      <c r="M3473" t="s">
        <v>623</v>
      </c>
      <c r="N3473" t="s">
        <v>641</v>
      </c>
      <c r="O3473" t="s">
        <v>754</v>
      </c>
    </row>
    <row r="3474" spans="1:15" x14ac:dyDescent="0.35">
      <c r="A3474" s="77">
        <v>0.32602739726027397</v>
      </c>
      <c r="B3474" s="19">
        <v>99865</v>
      </c>
      <c r="C3474" s="19" t="s">
        <v>5766</v>
      </c>
      <c r="D3474" s="19" t="s">
        <v>80</v>
      </c>
      <c r="E3474" s="19" t="s">
        <v>81</v>
      </c>
      <c r="F3474" s="19" t="s">
        <v>1022</v>
      </c>
      <c r="G3474" s="19" t="s">
        <v>1008</v>
      </c>
      <c r="H3474" s="19" t="s">
        <v>1001</v>
      </c>
      <c r="I3474" s="19" t="s">
        <v>1575</v>
      </c>
      <c r="J3474" s="20">
        <v>18</v>
      </c>
      <c r="K3474" t="s">
        <v>654</v>
      </c>
      <c r="L3474" t="s">
        <v>628</v>
      </c>
      <c r="M3474" t="s">
        <v>629</v>
      </c>
      <c r="N3474" t="s">
        <v>630</v>
      </c>
      <c r="O3474" t="s">
        <v>632</v>
      </c>
    </row>
    <row r="3475" spans="1:15" x14ac:dyDescent="0.35">
      <c r="A3475" s="77">
        <v>0.32602739726027397</v>
      </c>
      <c r="B3475" s="19">
        <v>99866</v>
      </c>
      <c r="C3475" s="19" t="s">
        <v>5767</v>
      </c>
      <c r="D3475" s="19" t="s">
        <v>425</v>
      </c>
      <c r="E3475" s="19" t="s">
        <v>425</v>
      </c>
      <c r="F3475" s="19" t="s">
        <v>1330</v>
      </c>
      <c r="G3475" s="19" t="s">
        <v>1028</v>
      </c>
      <c r="H3475" s="19" t="s">
        <v>1020</v>
      </c>
      <c r="I3475" s="19" t="s">
        <v>1575</v>
      </c>
      <c r="J3475" s="20">
        <v>23</v>
      </c>
      <c r="K3475" t="s">
        <v>654</v>
      </c>
      <c r="L3475" t="s">
        <v>678</v>
      </c>
      <c r="M3475" t="s">
        <v>623</v>
      </c>
      <c r="N3475" t="s">
        <v>624</v>
      </c>
      <c r="O3475" t="s">
        <v>689</v>
      </c>
    </row>
    <row r="3476" spans="1:15" x14ac:dyDescent="0.35">
      <c r="A3476" s="77">
        <v>0.32602739726027397</v>
      </c>
      <c r="B3476" s="19">
        <v>99869</v>
      </c>
      <c r="C3476" s="19" t="s">
        <v>5768</v>
      </c>
      <c r="D3476" s="19" t="s">
        <v>335</v>
      </c>
      <c r="E3476" s="19" t="s">
        <v>336</v>
      </c>
      <c r="F3476" s="19" t="s">
        <v>841</v>
      </c>
      <c r="G3476" s="19" t="s">
        <v>1028</v>
      </c>
      <c r="H3476" s="19" t="s">
        <v>1020</v>
      </c>
      <c r="I3476" s="19" t="s">
        <v>1575</v>
      </c>
      <c r="J3476" s="20">
        <v>21</v>
      </c>
      <c r="K3476" t="s">
        <v>636</v>
      </c>
      <c r="L3476" t="s">
        <v>622</v>
      </c>
      <c r="M3476" t="s">
        <v>623</v>
      </c>
      <c r="N3476" t="s">
        <v>624</v>
      </c>
      <c r="O3476" t="s">
        <v>649</v>
      </c>
    </row>
    <row r="3477" spans="1:15" x14ac:dyDescent="0.35">
      <c r="A3477" s="77">
        <v>0.32602739726027397</v>
      </c>
      <c r="B3477" s="19">
        <v>99871</v>
      </c>
      <c r="C3477" s="19" t="s">
        <v>5769</v>
      </c>
      <c r="D3477" s="19" t="s">
        <v>297</v>
      </c>
      <c r="E3477" s="19" t="s">
        <v>298</v>
      </c>
      <c r="F3477" s="19" t="s">
        <v>904</v>
      </c>
      <c r="G3477" s="19" t="s">
        <v>1028</v>
      </c>
      <c r="H3477" s="19" t="s">
        <v>1020</v>
      </c>
      <c r="I3477" s="19" t="s">
        <v>1575</v>
      </c>
      <c r="J3477" s="20">
        <v>23</v>
      </c>
      <c r="K3477" t="s">
        <v>654</v>
      </c>
      <c r="L3477" t="s">
        <v>762</v>
      </c>
      <c r="M3477" t="s">
        <v>629</v>
      </c>
      <c r="N3477" t="s">
        <v>646</v>
      </c>
      <c r="O3477" t="s">
        <v>823</v>
      </c>
    </row>
    <row r="3478" spans="1:15" x14ac:dyDescent="0.35">
      <c r="A3478" s="77">
        <v>0.32602739726027397</v>
      </c>
      <c r="B3478" s="19">
        <v>99878</v>
      </c>
      <c r="C3478" s="19" t="s">
        <v>5770</v>
      </c>
      <c r="D3478" s="19" t="s">
        <v>49</v>
      </c>
      <c r="E3478" s="19" t="s">
        <v>50</v>
      </c>
      <c r="F3478" s="19" t="s">
        <v>1213</v>
      </c>
      <c r="G3478" s="19" t="s">
        <v>1008</v>
      </c>
      <c r="H3478" s="19" t="s">
        <v>1001</v>
      </c>
      <c r="I3478" s="19" t="s">
        <v>1575</v>
      </c>
      <c r="J3478" s="20">
        <v>27</v>
      </c>
      <c r="K3478" t="s">
        <v>625</v>
      </c>
      <c r="L3478" t="s">
        <v>648</v>
      </c>
      <c r="M3478" t="s">
        <v>623</v>
      </c>
      <c r="N3478" t="s">
        <v>624</v>
      </c>
      <c r="O3478" t="s">
        <v>649</v>
      </c>
    </row>
    <row r="3479" spans="1:15" x14ac:dyDescent="0.35">
      <c r="A3479" s="77">
        <v>0.32602739726027397</v>
      </c>
      <c r="B3479" s="19">
        <v>99879</v>
      </c>
      <c r="C3479" s="19" t="s">
        <v>5771</v>
      </c>
      <c r="D3479" s="19" t="s">
        <v>399</v>
      </c>
      <c r="E3479" s="19" t="s">
        <v>400</v>
      </c>
      <c r="F3479" s="19" t="s">
        <v>868</v>
      </c>
      <c r="G3479" s="19" t="s">
        <v>1028</v>
      </c>
      <c r="H3479" s="19" t="s">
        <v>1020</v>
      </c>
      <c r="I3479" s="19" t="s">
        <v>1575</v>
      </c>
      <c r="J3479" s="20">
        <v>19</v>
      </c>
      <c r="K3479" t="s">
        <v>642</v>
      </c>
      <c r="L3479" t="s">
        <v>684</v>
      </c>
      <c r="M3479" t="s">
        <v>623</v>
      </c>
      <c r="N3479" t="s">
        <v>662</v>
      </c>
      <c r="O3479" t="s">
        <v>795</v>
      </c>
    </row>
    <row r="3480" spans="1:15" x14ac:dyDescent="0.35">
      <c r="A3480" s="77">
        <v>0.32054794520547947</v>
      </c>
      <c r="B3480" s="19">
        <v>99882</v>
      </c>
      <c r="C3480" s="19" t="s">
        <v>5772</v>
      </c>
      <c r="D3480" s="19" t="s">
        <v>239</v>
      </c>
      <c r="E3480" s="19" t="s">
        <v>240</v>
      </c>
      <c r="F3480" s="19" t="s">
        <v>798</v>
      </c>
      <c r="G3480" s="19" t="s">
        <v>1028</v>
      </c>
      <c r="H3480" s="19" t="s">
        <v>1020</v>
      </c>
      <c r="I3480" s="19" t="s">
        <v>1575</v>
      </c>
      <c r="J3480" s="20">
        <v>25</v>
      </c>
      <c r="K3480" t="s">
        <v>636</v>
      </c>
      <c r="L3480" t="s">
        <v>628</v>
      </c>
      <c r="M3480" t="s">
        <v>629</v>
      </c>
      <c r="N3480" t="s">
        <v>646</v>
      </c>
      <c r="O3480" t="s">
        <v>632</v>
      </c>
    </row>
    <row r="3481" spans="1:15" x14ac:dyDescent="0.35">
      <c r="A3481" s="77">
        <v>0.32054794520547947</v>
      </c>
      <c r="B3481" s="19">
        <v>99883</v>
      </c>
      <c r="C3481" s="19" t="s">
        <v>5773</v>
      </c>
      <c r="D3481" s="19" t="s">
        <v>167</v>
      </c>
      <c r="E3481" s="19" t="s">
        <v>168</v>
      </c>
      <c r="F3481" s="19" t="s">
        <v>2009</v>
      </c>
      <c r="G3481" s="19" t="s">
        <v>1008</v>
      </c>
      <c r="H3481" s="19" t="s">
        <v>1001</v>
      </c>
      <c r="I3481" s="19" t="s">
        <v>1575</v>
      </c>
      <c r="J3481" s="20">
        <v>21</v>
      </c>
      <c r="K3481" t="s">
        <v>636</v>
      </c>
      <c r="L3481" t="s">
        <v>640</v>
      </c>
      <c r="M3481" t="s">
        <v>623</v>
      </c>
      <c r="N3481" t="s">
        <v>641</v>
      </c>
      <c r="O3481" t="s">
        <v>754</v>
      </c>
    </row>
    <row r="3482" spans="1:15" x14ac:dyDescent="0.35">
      <c r="A3482" s="77">
        <v>0.31780821917808222</v>
      </c>
      <c r="B3482" s="19">
        <v>99891</v>
      </c>
      <c r="C3482" s="19" t="s">
        <v>5774</v>
      </c>
      <c r="D3482" s="19" t="s">
        <v>151</v>
      </c>
      <c r="E3482" s="19" t="s">
        <v>152</v>
      </c>
      <c r="F3482" s="19" t="s">
        <v>1557</v>
      </c>
      <c r="G3482" s="19" t="s">
        <v>1028</v>
      </c>
      <c r="H3482" s="19" t="s">
        <v>1020</v>
      </c>
      <c r="I3482" s="19" t="s">
        <v>1575</v>
      </c>
      <c r="J3482" s="20">
        <v>19</v>
      </c>
      <c r="K3482" t="s">
        <v>654</v>
      </c>
      <c r="L3482" t="s">
        <v>691</v>
      </c>
      <c r="M3482" t="s">
        <v>657</v>
      </c>
      <c r="N3482" t="s">
        <v>658</v>
      </c>
      <c r="O3482" t="s">
        <v>632</v>
      </c>
    </row>
    <row r="3483" spans="1:15" x14ac:dyDescent="0.35">
      <c r="A3483" s="77">
        <v>0.31780821917808222</v>
      </c>
      <c r="B3483" s="19">
        <v>99894</v>
      </c>
      <c r="C3483" s="19" t="s">
        <v>5775</v>
      </c>
      <c r="D3483" s="19" t="s">
        <v>47</v>
      </c>
      <c r="E3483" s="19" t="s">
        <v>48</v>
      </c>
      <c r="F3483" s="19" t="s">
        <v>1232</v>
      </c>
      <c r="G3483" s="19" t="s">
        <v>1028</v>
      </c>
      <c r="H3483" s="19" t="s">
        <v>1020</v>
      </c>
      <c r="I3483" s="19" t="s">
        <v>1575</v>
      </c>
      <c r="J3483" s="20">
        <v>19</v>
      </c>
      <c r="K3483" t="s">
        <v>636</v>
      </c>
      <c r="L3483" t="s">
        <v>622</v>
      </c>
      <c r="M3483" t="s">
        <v>623</v>
      </c>
      <c r="N3483" t="s">
        <v>624</v>
      </c>
      <c r="O3483" t="s">
        <v>649</v>
      </c>
    </row>
    <row r="3484" spans="1:15" x14ac:dyDescent="0.35">
      <c r="A3484" s="77">
        <v>0.31780821917808222</v>
      </c>
      <c r="B3484" s="19">
        <v>99895</v>
      </c>
      <c r="C3484" s="19" t="s">
        <v>5776</v>
      </c>
      <c r="D3484" s="19" t="s">
        <v>220</v>
      </c>
      <c r="E3484" s="19" t="s">
        <v>221</v>
      </c>
      <c r="F3484" s="19" t="s">
        <v>2309</v>
      </c>
      <c r="G3484" s="19" t="s">
        <v>1057</v>
      </c>
      <c r="H3484" s="19" t="s">
        <v>1001</v>
      </c>
      <c r="I3484" s="19" t="s">
        <v>1575</v>
      </c>
      <c r="J3484" s="20">
        <v>23</v>
      </c>
      <c r="K3484" t="s">
        <v>668</v>
      </c>
      <c r="L3484" t="s">
        <v>648</v>
      </c>
      <c r="M3484" t="s">
        <v>623</v>
      </c>
      <c r="N3484" t="s">
        <v>624</v>
      </c>
      <c r="O3484" t="s">
        <v>649</v>
      </c>
    </row>
    <row r="3485" spans="1:15" x14ac:dyDescent="0.35">
      <c r="A3485" s="77">
        <v>0.31780821917808222</v>
      </c>
      <c r="B3485" s="19">
        <v>99896</v>
      </c>
      <c r="C3485" s="19" t="s">
        <v>5777</v>
      </c>
      <c r="D3485" s="19" t="s">
        <v>382</v>
      </c>
      <c r="E3485" s="19" t="s">
        <v>383</v>
      </c>
      <c r="F3485" s="19" t="s">
        <v>384</v>
      </c>
      <c r="G3485" s="19" t="s">
        <v>1028</v>
      </c>
      <c r="H3485" s="19" t="s">
        <v>1020</v>
      </c>
      <c r="I3485" s="19" t="s">
        <v>1575</v>
      </c>
      <c r="J3485" s="20">
        <v>23</v>
      </c>
      <c r="K3485" t="s">
        <v>636</v>
      </c>
      <c r="L3485" t="s">
        <v>656</v>
      </c>
      <c r="M3485" t="s">
        <v>657</v>
      </c>
      <c r="N3485" t="s">
        <v>658</v>
      </c>
      <c r="O3485" t="s">
        <v>843</v>
      </c>
    </row>
    <row r="3486" spans="1:15" x14ac:dyDescent="0.35">
      <c r="A3486" s="77">
        <v>0.31780821917808222</v>
      </c>
      <c r="B3486" s="19">
        <v>99898</v>
      </c>
      <c r="C3486" s="19" t="s">
        <v>5778</v>
      </c>
      <c r="D3486" s="19" t="s">
        <v>34</v>
      </c>
      <c r="E3486" s="19" t="s">
        <v>34</v>
      </c>
      <c r="F3486" s="19" t="s">
        <v>1066</v>
      </c>
      <c r="G3486" s="19" t="s">
        <v>1028</v>
      </c>
      <c r="H3486" s="19" t="s">
        <v>1020</v>
      </c>
      <c r="I3486" s="19" t="s">
        <v>1575</v>
      </c>
      <c r="J3486" s="20">
        <v>21</v>
      </c>
      <c r="K3486" t="s">
        <v>654</v>
      </c>
      <c r="L3486" t="s">
        <v>656</v>
      </c>
      <c r="M3486" t="s">
        <v>657</v>
      </c>
      <c r="N3486" t="s">
        <v>658</v>
      </c>
      <c r="O3486" t="s">
        <v>632</v>
      </c>
    </row>
    <row r="3487" spans="1:15" x14ac:dyDescent="0.35">
      <c r="A3487" s="77">
        <v>0.31780821917808222</v>
      </c>
      <c r="B3487" s="19">
        <v>99901</v>
      </c>
      <c r="C3487" s="19" t="s">
        <v>5779</v>
      </c>
      <c r="D3487" s="19" t="s">
        <v>273</v>
      </c>
      <c r="E3487" s="19" t="s">
        <v>274</v>
      </c>
      <c r="F3487" s="19" t="s">
        <v>1093</v>
      </c>
      <c r="G3487" s="19" t="s">
        <v>1028</v>
      </c>
      <c r="H3487" s="19" t="s">
        <v>1020</v>
      </c>
      <c r="I3487" s="19" t="s">
        <v>1575</v>
      </c>
      <c r="J3487" s="20">
        <v>18</v>
      </c>
      <c r="K3487" t="s">
        <v>636</v>
      </c>
      <c r="L3487" t="s">
        <v>663</v>
      </c>
      <c r="M3487" t="s">
        <v>629</v>
      </c>
      <c r="N3487" t="s">
        <v>646</v>
      </c>
      <c r="O3487" t="s">
        <v>639</v>
      </c>
    </row>
    <row r="3488" spans="1:15" x14ac:dyDescent="0.35">
      <c r="A3488" s="77">
        <v>0.31780821917808222</v>
      </c>
      <c r="B3488" s="19">
        <v>99902</v>
      </c>
      <c r="C3488" s="19" t="s">
        <v>5780</v>
      </c>
      <c r="D3488" s="19" t="s">
        <v>252</v>
      </c>
      <c r="E3488" s="19" t="s">
        <v>253</v>
      </c>
      <c r="F3488" s="19" t="s">
        <v>914</v>
      </c>
      <c r="G3488" s="19" t="s">
        <v>1028</v>
      </c>
      <c r="H3488" s="19" t="s">
        <v>1020</v>
      </c>
      <c r="I3488" s="19" t="s">
        <v>1575</v>
      </c>
      <c r="J3488" s="20">
        <v>36</v>
      </c>
      <c r="K3488" t="s">
        <v>636</v>
      </c>
      <c r="L3488" t="s">
        <v>656</v>
      </c>
      <c r="M3488" t="s">
        <v>657</v>
      </c>
      <c r="N3488" t="s">
        <v>658</v>
      </c>
      <c r="O3488" t="s">
        <v>718</v>
      </c>
    </row>
    <row r="3489" spans="1:15" x14ac:dyDescent="0.35">
      <c r="A3489" s="77">
        <v>0.31506849315068491</v>
      </c>
      <c r="B3489" s="19">
        <v>99904</v>
      </c>
      <c r="C3489" s="19" t="s">
        <v>5781</v>
      </c>
      <c r="D3489" s="19" t="s">
        <v>318</v>
      </c>
      <c r="E3489" s="19" t="s">
        <v>319</v>
      </c>
      <c r="F3489" s="19" t="s">
        <v>1266</v>
      </c>
      <c r="G3489" s="19" t="s">
        <v>1008</v>
      </c>
      <c r="H3489" s="19" t="s">
        <v>1001</v>
      </c>
      <c r="I3489" s="19" t="s">
        <v>1575</v>
      </c>
      <c r="J3489" s="20">
        <v>18</v>
      </c>
      <c r="K3489" t="s">
        <v>625</v>
      </c>
      <c r="L3489" t="s">
        <v>678</v>
      </c>
      <c r="M3489" t="s">
        <v>623</v>
      </c>
      <c r="N3489" t="s">
        <v>624</v>
      </c>
      <c r="O3489" t="s">
        <v>679</v>
      </c>
    </row>
    <row r="3490" spans="1:15" x14ac:dyDescent="0.35">
      <c r="A3490" s="77">
        <v>0.31506849315068491</v>
      </c>
      <c r="B3490" s="19">
        <v>99909</v>
      </c>
      <c r="C3490" s="19" t="s">
        <v>5782</v>
      </c>
      <c r="D3490" s="19" t="s">
        <v>369</v>
      </c>
      <c r="E3490" s="19" t="s">
        <v>370</v>
      </c>
      <c r="F3490" s="19" t="s">
        <v>856</v>
      </c>
      <c r="G3490" s="19" t="s">
        <v>1038</v>
      </c>
      <c r="H3490" s="19" t="s">
        <v>1020</v>
      </c>
      <c r="I3490" s="19" t="s">
        <v>1575</v>
      </c>
      <c r="J3490" s="20">
        <v>56</v>
      </c>
      <c r="K3490" t="s">
        <v>654</v>
      </c>
      <c r="L3490" t="s">
        <v>684</v>
      </c>
      <c r="M3490" t="s">
        <v>623</v>
      </c>
      <c r="N3490" t="s">
        <v>662</v>
      </c>
      <c r="O3490" t="s">
        <v>857</v>
      </c>
    </row>
    <row r="3491" spans="1:15" x14ac:dyDescent="0.35">
      <c r="A3491" s="77">
        <v>0.31506849315068491</v>
      </c>
      <c r="B3491" s="19">
        <v>99910</v>
      </c>
      <c r="C3491" s="19" t="s">
        <v>5783</v>
      </c>
      <c r="D3491" s="19" t="s">
        <v>362</v>
      </c>
      <c r="E3491" s="19" t="s">
        <v>363</v>
      </c>
      <c r="F3491" s="19" t="s">
        <v>1056</v>
      </c>
      <c r="G3491" s="19" t="s">
        <v>1028</v>
      </c>
      <c r="H3491" s="19" t="s">
        <v>1020</v>
      </c>
      <c r="I3491" s="19" t="s">
        <v>1599</v>
      </c>
      <c r="J3491" s="20">
        <v>23</v>
      </c>
      <c r="K3491" t="s">
        <v>654</v>
      </c>
      <c r="L3491" t="s">
        <v>663</v>
      </c>
      <c r="M3491" t="s">
        <v>629</v>
      </c>
      <c r="N3491" t="s">
        <v>646</v>
      </c>
      <c r="O3491" t="s">
        <v>810</v>
      </c>
    </row>
    <row r="3492" spans="1:15" x14ac:dyDescent="0.35">
      <c r="A3492" s="77">
        <v>0.31506849315068491</v>
      </c>
      <c r="B3492" s="19">
        <v>99911</v>
      </c>
      <c r="C3492" s="19" t="s">
        <v>5784</v>
      </c>
      <c r="D3492" s="19" t="s">
        <v>252</v>
      </c>
      <c r="E3492" s="19" t="s">
        <v>253</v>
      </c>
      <c r="F3492" s="19" t="s">
        <v>914</v>
      </c>
      <c r="G3492" s="19" t="s">
        <v>1028</v>
      </c>
      <c r="H3492" s="19" t="s">
        <v>1020</v>
      </c>
      <c r="I3492" s="19" t="s">
        <v>1575</v>
      </c>
      <c r="J3492" s="20">
        <v>18</v>
      </c>
      <c r="K3492" t="s">
        <v>636</v>
      </c>
      <c r="L3492" t="s">
        <v>656</v>
      </c>
      <c r="M3492" t="s">
        <v>657</v>
      </c>
      <c r="N3492" t="s">
        <v>658</v>
      </c>
      <c r="O3492" t="s">
        <v>718</v>
      </c>
    </row>
    <row r="3493" spans="1:15" x14ac:dyDescent="0.35">
      <c r="A3493" s="77">
        <v>0.31506849315068491</v>
      </c>
      <c r="B3493" s="19">
        <v>99914</v>
      </c>
      <c r="C3493" s="19" t="s">
        <v>5785</v>
      </c>
      <c r="D3493" s="19" t="s">
        <v>313</v>
      </c>
      <c r="E3493" s="19" t="s">
        <v>314</v>
      </c>
      <c r="F3493" s="19" t="s">
        <v>1401</v>
      </c>
      <c r="G3493" s="19" t="s">
        <v>1057</v>
      </c>
      <c r="H3493" s="19" t="s">
        <v>1001</v>
      </c>
      <c r="I3493" s="19" t="s">
        <v>1575</v>
      </c>
      <c r="J3493" s="20">
        <v>18</v>
      </c>
      <c r="K3493" t="s">
        <v>654</v>
      </c>
      <c r="L3493" t="s">
        <v>666</v>
      </c>
      <c r="M3493" t="s">
        <v>629</v>
      </c>
      <c r="N3493" t="s">
        <v>635</v>
      </c>
      <c r="O3493" t="s">
        <v>637</v>
      </c>
    </row>
    <row r="3494" spans="1:15" x14ac:dyDescent="0.35">
      <c r="A3494" s="77">
        <v>0.31232876712328766</v>
      </c>
      <c r="B3494" s="19">
        <v>99923</v>
      </c>
      <c r="C3494" s="19" t="s">
        <v>5786</v>
      </c>
      <c r="D3494" s="19" t="s">
        <v>339</v>
      </c>
      <c r="E3494" s="19" t="s">
        <v>340</v>
      </c>
      <c r="F3494" s="19" t="s">
        <v>1024</v>
      </c>
      <c r="G3494" s="19" t="s">
        <v>1028</v>
      </c>
      <c r="H3494" s="19" t="s">
        <v>1020</v>
      </c>
      <c r="I3494" s="19" t="s">
        <v>1575</v>
      </c>
      <c r="J3494" s="20">
        <v>24</v>
      </c>
      <c r="K3494" t="s">
        <v>631</v>
      </c>
      <c r="L3494" t="s">
        <v>651</v>
      </c>
      <c r="M3494" t="s">
        <v>629</v>
      </c>
      <c r="N3494" t="s">
        <v>630</v>
      </c>
      <c r="O3494" t="s">
        <v>705</v>
      </c>
    </row>
    <row r="3495" spans="1:15" x14ac:dyDescent="0.35">
      <c r="A3495" s="77">
        <v>0.31232876712328766</v>
      </c>
      <c r="B3495" s="19">
        <v>99924</v>
      </c>
      <c r="C3495" s="19" t="s">
        <v>5787</v>
      </c>
      <c r="D3495" s="19" t="s">
        <v>339</v>
      </c>
      <c r="E3495" s="19" t="s">
        <v>340</v>
      </c>
      <c r="F3495" s="19" t="s">
        <v>1024</v>
      </c>
      <c r="G3495" s="19" t="s">
        <v>1028</v>
      </c>
      <c r="H3495" s="19" t="s">
        <v>1020</v>
      </c>
      <c r="I3495" s="19" t="s">
        <v>1575</v>
      </c>
      <c r="J3495" s="20">
        <v>26</v>
      </c>
      <c r="K3495" t="s">
        <v>631</v>
      </c>
      <c r="L3495" t="s">
        <v>651</v>
      </c>
      <c r="M3495" t="s">
        <v>629</v>
      </c>
      <c r="N3495" t="s">
        <v>630</v>
      </c>
      <c r="O3495" t="s">
        <v>705</v>
      </c>
    </row>
    <row r="3496" spans="1:15" x14ac:dyDescent="0.35">
      <c r="A3496" s="77">
        <v>0.31232876712328766</v>
      </c>
      <c r="B3496" s="19">
        <v>99926</v>
      </c>
      <c r="C3496" s="19" t="s">
        <v>5788</v>
      </c>
      <c r="D3496" s="19" t="s">
        <v>8</v>
      </c>
      <c r="E3496" s="19" t="s">
        <v>8</v>
      </c>
      <c r="F3496" s="19" t="s">
        <v>1176</v>
      </c>
      <c r="G3496" s="19" t="s">
        <v>1019</v>
      </c>
      <c r="H3496" s="19" t="s">
        <v>1020</v>
      </c>
      <c r="I3496" s="19" t="s">
        <v>1575</v>
      </c>
      <c r="J3496" s="20">
        <v>20</v>
      </c>
      <c r="K3496" t="s">
        <v>625</v>
      </c>
      <c r="L3496" t="s">
        <v>622</v>
      </c>
      <c r="M3496" t="s">
        <v>623</v>
      </c>
      <c r="N3496" t="s">
        <v>624</v>
      </c>
      <c r="O3496" t="s">
        <v>626</v>
      </c>
    </row>
    <row r="3497" spans="1:15" x14ac:dyDescent="0.35">
      <c r="A3497" s="77">
        <v>0.31232876712328766</v>
      </c>
      <c r="B3497" s="19">
        <v>99927</v>
      </c>
      <c r="C3497" s="19" t="s">
        <v>5789</v>
      </c>
      <c r="D3497" s="19" t="s">
        <v>395</v>
      </c>
      <c r="E3497" s="19" t="s">
        <v>396</v>
      </c>
      <c r="F3497" s="19" t="s">
        <v>1147</v>
      </c>
      <c r="G3497" s="19" t="s">
        <v>1028</v>
      </c>
      <c r="H3497" s="19" t="s">
        <v>1020</v>
      </c>
      <c r="I3497" s="19" t="s">
        <v>1575</v>
      </c>
      <c r="J3497" s="20">
        <v>20</v>
      </c>
      <c r="K3497" t="s">
        <v>642</v>
      </c>
      <c r="L3497" t="s">
        <v>678</v>
      </c>
      <c r="M3497" t="s">
        <v>623</v>
      </c>
      <c r="N3497" t="s">
        <v>624</v>
      </c>
      <c r="O3497" t="s">
        <v>679</v>
      </c>
    </row>
    <row r="3498" spans="1:15" x14ac:dyDescent="0.35">
      <c r="A3498" s="77">
        <v>0.31232876712328766</v>
      </c>
      <c r="B3498" s="19">
        <v>99928</v>
      </c>
      <c r="C3498" s="19" t="s">
        <v>5790</v>
      </c>
      <c r="D3498" s="19" t="s">
        <v>13</v>
      </c>
      <c r="E3498" s="19" t="s">
        <v>13</v>
      </c>
      <c r="F3498" s="19" t="s">
        <v>1467</v>
      </c>
      <c r="G3498" s="19" t="s">
        <v>1028</v>
      </c>
      <c r="H3498" s="19" t="s">
        <v>1020</v>
      </c>
      <c r="I3498" s="19" t="s">
        <v>1575</v>
      </c>
      <c r="J3498" s="20">
        <v>19</v>
      </c>
      <c r="K3498" t="s">
        <v>631</v>
      </c>
      <c r="L3498" t="s">
        <v>628</v>
      </c>
      <c r="M3498" t="s">
        <v>629</v>
      </c>
      <c r="N3498" t="s">
        <v>630</v>
      </c>
      <c r="O3498" t="s">
        <v>639</v>
      </c>
    </row>
    <row r="3499" spans="1:15" x14ac:dyDescent="0.35">
      <c r="A3499" s="77">
        <v>0.31232876712328766</v>
      </c>
      <c r="B3499" s="19">
        <v>99929</v>
      </c>
      <c r="C3499" s="19" t="s">
        <v>5791</v>
      </c>
      <c r="D3499" s="19" t="s">
        <v>80</v>
      </c>
      <c r="E3499" s="19" t="s">
        <v>81</v>
      </c>
      <c r="F3499" s="19" t="s">
        <v>1022</v>
      </c>
      <c r="G3499" s="19" t="s">
        <v>1028</v>
      </c>
      <c r="H3499" s="19" t="s">
        <v>1020</v>
      </c>
      <c r="I3499" s="19" t="s">
        <v>1575</v>
      </c>
      <c r="J3499" s="20">
        <v>18</v>
      </c>
      <c r="K3499" t="s">
        <v>654</v>
      </c>
      <c r="L3499" t="s">
        <v>628</v>
      </c>
      <c r="M3499" t="s">
        <v>629</v>
      </c>
      <c r="N3499" t="s">
        <v>630</v>
      </c>
      <c r="O3499" t="s">
        <v>632</v>
      </c>
    </row>
    <row r="3500" spans="1:15" x14ac:dyDescent="0.35">
      <c r="A3500" s="77">
        <v>0.30958904109589042</v>
      </c>
      <c r="B3500" s="19">
        <v>99934</v>
      </c>
      <c r="C3500" s="19" t="s">
        <v>5792</v>
      </c>
      <c r="D3500" s="19" t="s">
        <v>28</v>
      </c>
      <c r="E3500" s="19" t="s">
        <v>28</v>
      </c>
      <c r="F3500" s="19" t="s">
        <v>916</v>
      </c>
      <c r="G3500" s="19" t="s">
        <v>1019</v>
      </c>
      <c r="H3500" s="19" t="s">
        <v>1020</v>
      </c>
      <c r="I3500" s="19" t="s">
        <v>1575</v>
      </c>
      <c r="J3500" s="20">
        <v>19</v>
      </c>
      <c r="K3500" t="s">
        <v>654</v>
      </c>
      <c r="L3500" t="s">
        <v>670</v>
      </c>
      <c r="M3500" t="s">
        <v>657</v>
      </c>
      <c r="N3500" t="s">
        <v>641</v>
      </c>
      <c r="O3500" t="s">
        <v>671</v>
      </c>
    </row>
    <row r="3501" spans="1:15" x14ac:dyDescent="0.35">
      <c r="A3501" s="77">
        <v>0.30958904109589042</v>
      </c>
      <c r="B3501" s="19">
        <v>99936</v>
      </c>
      <c r="C3501" s="19" t="s">
        <v>5793</v>
      </c>
      <c r="D3501" s="19" t="s">
        <v>349</v>
      </c>
      <c r="E3501" s="19" t="s">
        <v>350</v>
      </c>
      <c r="F3501" s="19" t="s">
        <v>912</v>
      </c>
      <c r="G3501" s="19" t="s">
        <v>1028</v>
      </c>
      <c r="H3501" s="19" t="s">
        <v>1020</v>
      </c>
      <c r="I3501" s="19" t="s">
        <v>1575</v>
      </c>
      <c r="J3501" s="20">
        <v>24</v>
      </c>
      <c r="K3501" t="s">
        <v>625</v>
      </c>
      <c r="L3501" t="s">
        <v>648</v>
      </c>
      <c r="M3501" t="s">
        <v>623</v>
      </c>
      <c r="N3501" t="s">
        <v>624</v>
      </c>
      <c r="O3501" t="s">
        <v>649</v>
      </c>
    </row>
    <row r="3502" spans="1:15" x14ac:dyDescent="0.35">
      <c r="A3502" s="77">
        <v>0.30684931506849317</v>
      </c>
      <c r="B3502" s="19">
        <v>99943</v>
      </c>
      <c r="C3502" s="19" t="s">
        <v>5794</v>
      </c>
      <c r="D3502" s="19" t="s">
        <v>399</v>
      </c>
      <c r="E3502" s="19" t="s">
        <v>400</v>
      </c>
      <c r="F3502" s="19" t="s">
        <v>868</v>
      </c>
      <c r="G3502" s="19" t="s">
        <v>1028</v>
      </c>
      <c r="H3502" s="19" t="s">
        <v>1020</v>
      </c>
      <c r="I3502" s="19" t="s">
        <v>1575</v>
      </c>
      <c r="J3502" s="20">
        <v>25</v>
      </c>
      <c r="K3502" t="s">
        <v>642</v>
      </c>
      <c r="L3502" t="s">
        <v>684</v>
      </c>
      <c r="M3502" t="s">
        <v>623</v>
      </c>
      <c r="N3502" t="s">
        <v>662</v>
      </c>
      <c r="O3502" t="s">
        <v>795</v>
      </c>
    </row>
    <row r="3503" spans="1:15" x14ac:dyDescent="0.35">
      <c r="A3503" s="77">
        <v>0.30410958904109592</v>
      </c>
      <c r="B3503" s="19">
        <v>99946</v>
      </c>
      <c r="C3503" s="19" t="s">
        <v>5795</v>
      </c>
      <c r="D3503" s="19" t="s">
        <v>290</v>
      </c>
      <c r="E3503" s="19" t="s">
        <v>291</v>
      </c>
      <c r="F3503" s="19" t="s">
        <v>1182</v>
      </c>
      <c r="G3503" s="19" t="s">
        <v>1084</v>
      </c>
      <c r="H3503" s="19" t="s">
        <v>1001</v>
      </c>
      <c r="I3503" s="19" t="s">
        <v>1599</v>
      </c>
      <c r="J3503" s="20">
        <v>21</v>
      </c>
      <c r="K3503" t="s">
        <v>668</v>
      </c>
      <c r="L3503" t="s">
        <v>663</v>
      </c>
      <c r="M3503" t="s">
        <v>629</v>
      </c>
      <c r="N3503" t="s">
        <v>646</v>
      </c>
      <c r="O3503" t="s">
        <v>639</v>
      </c>
    </row>
    <row r="3504" spans="1:15" x14ac:dyDescent="0.35">
      <c r="A3504" s="77">
        <v>0.30136986301369861</v>
      </c>
      <c r="B3504" s="19">
        <v>99949</v>
      </c>
      <c r="C3504" s="19" t="s">
        <v>5796</v>
      </c>
      <c r="D3504" s="19" t="s">
        <v>13</v>
      </c>
      <c r="E3504" s="19" t="s">
        <v>13</v>
      </c>
      <c r="F3504" s="19" t="s">
        <v>1467</v>
      </c>
      <c r="G3504" s="19" t="s">
        <v>1028</v>
      </c>
      <c r="H3504" s="19" t="s">
        <v>1020</v>
      </c>
      <c r="I3504" s="19" t="s">
        <v>1575</v>
      </c>
      <c r="J3504" s="20">
        <v>20</v>
      </c>
      <c r="K3504" t="s">
        <v>631</v>
      </c>
      <c r="L3504" t="s">
        <v>628</v>
      </c>
      <c r="M3504" t="s">
        <v>629</v>
      </c>
      <c r="N3504" t="s">
        <v>630</v>
      </c>
      <c r="O3504" t="s">
        <v>639</v>
      </c>
    </row>
    <row r="3505" spans="1:15" x14ac:dyDescent="0.35">
      <c r="A3505" s="77">
        <v>0.30136986301369861</v>
      </c>
      <c r="B3505" s="19">
        <v>99950</v>
      </c>
      <c r="C3505" s="19" t="s">
        <v>5797</v>
      </c>
      <c r="D3505" s="19" t="s">
        <v>145</v>
      </c>
      <c r="E3505" s="19" t="s">
        <v>146</v>
      </c>
      <c r="F3505" s="19" t="s">
        <v>1015</v>
      </c>
      <c r="G3505" s="19" t="s">
        <v>1028</v>
      </c>
      <c r="H3505" s="19" t="s">
        <v>1020</v>
      </c>
      <c r="I3505" s="19" t="s">
        <v>1575</v>
      </c>
      <c r="J3505" s="20">
        <v>46</v>
      </c>
      <c r="K3505" t="s">
        <v>636</v>
      </c>
      <c r="L3505" t="s">
        <v>737</v>
      </c>
      <c r="M3505" t="s">
        <v>657</v>
      </c>
      <c r="N3505" t="s">
        <v>641</v>
      </c>
      <c r="O3505" t="s">
        <v>757</v>
      </c>
    </row>
    <row r="3506" spans="1:15" x14ac:dyDescent="0.35">
      <c r="A3506" s="77">
        <v>0.30136986301369861</v>
      </c>
      <c r="B3506" s="19">
        <v>99951</v>
      </c>
      <c r="C3506" s="19" t="s">
        <v>5798</v>
      </c>
      <c r="D3506" s="19" t="s">
        <v>208</v>
      </c>
      <c r="E3506" s="19" t="s">
        <v>209</v>
      </c>
      <c r="F3506" s="19" t="s">
        <v>1444</v>
      </c>
      <c r="G3506" s="19" t="s">
        <v>1028</v>
      </c>
      <c r="H3506" s="19" t="s">
        <v>1020</v>
      </c>
      <c r="I3506" s="19" t="s">
        <v>1575</v>
      </c>
      <c r="J3506" s="20">
        <v>22</v>
      </c>
      <c r="K3506" t="s">
        <v>636</v>
      </c>
      <c r="L3506" t="s">
        <v>640</v>
      </c>
      <c r="M3506" t="s">
        <v>623</v>
      </c>
      <c r="N3506" t="s">
        <v>624</v>
      </c>
      <c r="O3506" t="s">
        <v>787</v>
      </c>
    </row>
    <row r="3507" spans="1:15" x14ac:dyDescent="0.35">
      <c r="A3507" s="77">
        <v>0.30136986301369861</v>
      </c>
      <c r="B3507" s="19">
        <v>99952</v>
      </c>
      <c r="C3507" s="19" t="s">
        <v>5799</v>
      </c>
      <c r="D3507" s="19" t="s">
        <v>193</v>
      </c>
      <c r="E3507" s="19" t="s">
        <v>194</v>
      </c>
      <c r="F3507" s="19" t="s">
        <v>2422</v>
      </c>
      <c r="G3507" s="19" t="s">
        <v>1019</v>
      </c>
      <c r="H3507" s="19" t="s">
        <v>1020</v>
      </c>
      <c r="I3507" s="19" t="s">
        <v>1599</v>
      </c>
      <c r="J3507" s="20">
        <v>24</v>
      </c>
      <c r="K3507" t="s">
        <v>654</v>
      </c>
      <c r="L3507" t="s">
        <v>670</v>
      </c>
      <c r="M3507" t="s">
        <v>657</v>
      </c>
      <c r="N3507" t="s">
        <v>641</v>
      </c>
      <c r="O3507" t="s">
        <v>676</v>
      </c>
    </row>
    <row r="3508" spans="1:15" x14ac:dyDescent="0.35">
      <c r="A3508" s="77">
        <v>0.30136986301369861</v>
      </c>
      <c r="B3508" s="19">
        <v>99953</v>
      </c>
      <c r="C3508" s="19" t="s">
        <v>5800</v>
      </c>
      <c r="D3508" s="19" t="s">
        <v>193</v>
      </c>
      <c r="E3508" s="19" t="s">
        <v>194</v>
      </c>
      <c r="F3508" s="19" t="s">
        <v>2422</v>
      </c>
      <c r="G3508" s="19" t="s">
        <v>1028</v>
      </c>
      <c r="H3508" s="19" t="s">
        <v>1020</v>
      </c>
      <c r="I3508" s="19" t="s">
        <v>1575</v>
      </c>
      <c r="J3508" s="20">
        <v>26</v>
      </c>
      <c r="K3508" t="s">
        <v>654</v>
      </c>
      <c r="L3508" t="s">
        <v>670</v>
      </c>
      <c r="M3508" t="s">
        <v>657</v>
      </c>
      <c r="N3508" t="s">
        <v>641</v>
      </c>
      <c r="O3508" t="s">
        <v>676</v>
      </c>
    </row>
    <row r="3509" spans="1:15" x14ac:dyDescent="0.35">
      <c r="A3509" s="77">
        <v>0.30136986301369861</v>
      </c>
      <c r="B3509" s="19">
        <v>99954</v>
      </c>
      <c r="C3509" s="19" t="s">
        <v>5801</v>
      </c>
      <c r="D3509" s="19" t="s">
        <v>330</v>
      </c>
      <c r="E3509" s="19" t="s">
        <v>331</v>
      </c>
      <c r="F3509" s="19" t="s">
        <v>332</v>
      </c>
      <c r="G3509" s="19" t="s">
        <v>1028</v>
      </c>
      <c r="H3509" s="19" t="s">
        <v>1020</v>
      </c>
      <c r="I3509" s="19" t="s">
        <v>1575</v>
      </c>
      <c r="J3509" s="20">
        <v>20</v>
      </c>
      <c r="K3509" t="s">
        <v>636</v>
      </c>
      <c r="L3509" t="s">
        <v>762</v>
      </c>
      <c r="M3509" t="s">
        <v>629</v>
      </c>
      <c r="N3509" t="s">
        <v>646</v>
      </c>
      <c r="O3509" t="s">
        <v>839</v>
      </c>
    </row>
    <row r="3510" spans="1:15" x14ac:dyDescent="0.35">
      <c r="A3510" s="77">
        <v>0.30136986301369861</v>
      </c>
      <c r="B3510" s="19">
        <v>99955</v>
      </c>
      <c r="C3510" s="19" t="s">
        <v>5802</v>
      </c>
      <c r="D3510" s="19" t="s">
        <v>337</v>
      </c>
      <c r="E3510" s="19" t="s">
        <v>338</v>
      </c>
      <c r="F3510" s="19" t="s">
        <v>2642</v>
      </c>
      <c r="G3510" s="19" t="s">
        <v>1028</v>
      </c>
      <c r="H3510" s="19" t="s">
        <v>1020</v>
      </c>
      <c r="I3510" s="19" t="s">
        <v>1575</v>
      </c>
      <c r="J3510" s="20">
        <v>25</v>
      </c>
      <c r="K3510" t="s">
        <v>668</v>
      </c>
      <c r="L3510" t="s">
        <v>656</v>
      </c>
      <c r="M3510" t="s">
        <v>657</v>
      </c>
      <c r="N3510" t="s">
        <v>658</v>
      </c>
      <c r="O3510" t="s">
        <v>843</v>
      </c>
    </row>
    <row r="3511" spans="1:15" x14ac:dyDescent="0.35">
      <c r="A3511" s="77">
        <v>0.29863013698630136</v>
      </c>
      <c r="B3511" s="19">
        <v>99966</v>
      </c>
      <c r="C3511" s="19" t="s">
        <v>5803</v>
      </c>
      <c r="D3511" s="19" t="s">
        <v>311</v>
      </c>
      <c r="E3511" s="19" t="s">
        <v>312</v>
      </c>
      <c r="F3511" s="19" t="s">
        <v>1140</v>
      </c>
      <c r="G3511" s="19" t="s">
        <v>1028</v>
      </c>
      <c r="H3511" s="19" t="s">
        <v>1020</v>
      </c>
      <c r="I3511" s="19" t="s">
        <v>1575</v>
      </c>
      <c r="J3511" s="20">
        <v>20</v>
      </c>
      <c r="K3511" t="s">
        <v>631</v>
      </c>
      <c r="L3511" t="s">
        <v>628</v>
      </c>
      <c r="M3511" t="s">
        <v>629</v>
      </c>
      <c r="N3511" t="s">
        <v>630</v>
      </c>
      <c r="O3511" t="s">
        <v>632</v>
      </c>
    </row>
    <row r="3512" spans="1:15" x14ac:dyDescent="0.35">
      <c r="A3512" s="77">
        <v>0.29863013698630136</v>
      </c>
      <c r="B3512" s="19">
        <v>99967</v>
      </c>
      <c r="C3512" s="19" t="s">
        <v>5804</v>
      </c>
      <c r="D3512" s="19" t="s">
        <v>42</v>
      </c>
      <c r="E3512" s="19" t="s">
        <v>42</v>
      </c>
      <c r="F3512" s="19" t="s">
        <v>1262</v>
      </c>
      <c r="G3512" s="19" t="s">
        <v>1028</v>
      </c>
      <c r="H3512" s="19" t="s">
        <v>1020</v>
      </c>
      <c r="I3512" s="19" t="s">
        <v>1599</v>
      </c>
      <c r="J3512" s="20">
        <v>19</v>
      </c>
      <c r="K3512" t="s">
        <v>625</v>
      </c>
      <c r="L3512" t="s">
        <v>628</v>
      </c>
      <c r="M3512" t="s">
        <v>629</v>
      </c>
      <c r="N3512" t="s">
        <v>630</v>
      </c>
      <c r="O3512" t="s">
        <v>632</v>
      </c>
    </row>
    <row r="3513" spans="1:15" x14ac:dyDescent="0.35">
      <c r="A3513" s="77">
        <v>0.29863013698630136</v>
      </c>
      <c r="B3513" s="19">
        <v>99975</v>
      </c>
      <c r="C3513" s="19" t="s">
        <v>5805</v>
      </c>
      <c r="D3513" s="19" t="s">
        <v>349</v>
      </c>
      <c r="E3513" s="19" t="s">
        <v>350</v>
      </c>
      <c r="F3513" s="19" t="s">
        <v>912</v>
      </c>
      <c r="G3513" s="19" t="s">
        <v>1008</v>
      </c>
      <c r="H3513" s="19" t="s">
        <v>1001</v>
      </c>
      <c r="I3513" s="19" t="s">
        <v>1575</v>
      </c>
      <c r="J3513" s="20">
        <v>25</v>
      </c>
      <c r="K3513" t="s">
        <v>625</v>
      </c>
      <c r="L3513" t="s">
        <v>648</v>
      </c>
      <c r="M3513" t="s">
        <v>623</v>
      </c>
      <c r="N3513" t="s">
        <v>624</v>
      </c>
      <c r="O3513" t="s">
        <v>649</v>
      </c>
    </row>
    <row r="3514" spans="1:15" x14ac:dyDescent="0.35">
      <c r="A3514" s="77">
        <v>0.29863013698630136</v>
      </c>
      <c r="B3514" s="19">
        <v>99977</v>
      </c>
      <c r="C3514" s="19" t="s">
        <v>5806</v>
      </c>
      <c r="D3514" s="19" t="s">
        <v>183</v>
      </c>
      <c r="E3514" s="19" t="s">
        <v>184</v>
      </c>
      <c r="F3514" s="19" t="s">
        <v>1532</v>
      </c>
      <c r="G3514" s="19" t="s">
        <v>1028</v>
      </c>
      <c r="H3514" s="19" t="s">
        <v>1020</v>
      </c>
      <c r="I3514" s="19" t="s">
        <v>1575</v>
      </c>
      <c r="J3514" s="20">
        <v>22</v>
      </c>
      <c r="K3514" t="s">
        <v>654</v>
      </c>
      <c r="L3514" t="s">
        <v>648</v>
      </c>
      <c r="M3514" t="s">
        <v>623</v>
      </c>
      <c r="N3514" t="s">
        <v>624</v>
      </c>
      <c r="O3514" t="s">
        <v>725</v>
      </c>
    </row>
    <row r="3515" spans="1:15" x14ac:dyDescent="0.35">
      <c r="A3515" s="77">
        <v>0.29863013698630136</v>
      </c>
      <c r="B3515" s="19">
        <v>99978</v>
      </c>
      <c r="C3515" s="19" t="s">
        <v>5807</v>
      </c>
      <c r="D3515" s="19" t="s">
        <v>309</v>
      </c>
      <c r="E3515" s="19" t="s">
        <v>310</v>
      </c>
      <c r="F3515" s="19" t="s">
        <v>1234</v>
      </c>
      <c r="G3515" s="19" t="s">
        <v>1028</v>
      </c>
      <c r="H3515" s="19" t="s">
        <v>1020</v>
      </c>
      <c r="I3515" s="19" t="s">
        <v>1599</v>
      </c>
      <c r="J3515" s="20">
        <v>26</v>
      </c>
      <c r="K3515" t="s">
        <v>668</v>
      </c>
      <c r="L3515" t="s">
        <v>666</v>
      </c>
      <c r="M3515" t="s">
        <v>629</v>
      </c>
      <c r="N3515" t="s">
        <v>635</v>
      </c>
      <c r="O3515" t="s">
        <v>637</v>
      </c>
    </row>
    <row r="3516" spans="1:15" x14ac:dyDescent="0.35">
      <c r="A3516" s="77">
        <v>0.29863013698630136</v>
      </c>
      <c r="B3516" s="19">
        <v>99979</v>
      </c>
      <c r="C3516" s="19" t="s">
        <v>5808</v>
      </c>
      <c r="D3516" s="19" t="s">
        <v>235</v>
      </c>
      <c r="E3516" s="19" t="s">
        <v>236</v>
      </c>
      <c r="F3516" s="19" t="s">
        <v>1457</v>
      </c>
      <c r="G3516" s="19" t="s">
        <v>1057</v>
      </c>
      <c r="H3516" s="19" t="s">
        <v>1001</v>
      </c>
      <c r="I3516" s="19" t="s">
        <v>1575</v>
      </c>
      <c r="J3516" s="20">
        <v>26</v>
      </c>
      <c r="K3516" t="s">
        <v>654</v>
      </c>
      <c r="L3516" t="s">
        <v>707</v>
      </c>
      <c r="M3516" t="s">
        <v>629</v>
      </c>
      <c r="N3516" t="s">
        <v>635</v>
      </c>
      <c r="O3516" t="s">
        <v>710</v>
      </c>
    </row>
    <row r="3517" spans="1:15" x14ac:dyDescent="0.35">
      <c r="A3517" s="77">
        <v>0.30410958904109592</v>
      </c>
      <c r="B3517" s="19">
        <v>99981</v>
      </c>
      <c r="C3517" s="19" t="s">
        <v>5809</v>
      </c>
      <c r="D3517" s="19" t="s">
        <v>250</v>
      </c>
      <c r="E3517" s="19" t="s">
        <v>251</v>
      </c>
      <c r="F3517" s="19" t="s">
        <v>1126</v>
      </c>
      <c r="G3517" s="19" t="s">
        <v>3508</v>
      </c>
      <c r="H3517" s="19" t="s">
        <v>1020</v>
      </c>
      <c r="I3517" s="19" t="s">
        <v>1599</v>
      </c>
      <c r="J3517" s="20">
        <v>16</v>
      </c>
      <c r="K3517" t="s">
        <v>668</v>
      </c>
      <c r="L3517" t="s">
        <v>634</v>
      </c>
      <c r="M3517" t="s">
        <v>629</v>
      </c>
      <c r="N3517" t="s">
        <v>635</v>
      </c>
      <c r="O3517" t="s">
        <v>637</v>
      </c>
    </row>
    <row r="3518" spans="1:15" x14ac:dyDescent="0.35">
      <c r="A3518" s="77">
        <v>0.29589041095890412</v>
      </c>
      <c r="B3518" s="19">
        <v>99984</v>
      </c>
      <c r="C3518" s="19" t="s">
        <v>5810</v>
      </c>
      <c r="D3518" s="19" t="s">
        <v>421</v>
      </c>
      <c r="E3518" s="19" t="s">
        <v>421</v>
      </c>
      <c r="F3518" s="19" t="s">
        <v>698</v>
      </c>
      <c r="G3518" s="19" t="s">
        <v>1008</v>
      </c>
      <c r="H3518" s="19" t="s">
        <v>1001</v>
      </c>
      <c r="I3518" s="19" t="s">
        <v>1575</v>
      </c>
      <c r="J3518" s="20">
        <v>19</v>
      </c>
      <c r="K3518" t="s">
        <v>636</v>
      </c>
      <c r="L3518" t="s">
        <v>678</v>
      </c>
      <c r="M3518" t="s">
        <v>623</v>
      </c>
      <c r="N3518" t="s">
        <v>624</v>
      </c>
      <c r="O3518" t="s">
        <v>679</v>
      </c>
    </row>
    <row r="3519" spans="1:15" x14ac:dyDescent="0.35">
      <c r="A3519" s="77">
        <v>0.29315068493150687</v>
      </c>
      <c r="B3519" s="19">
        <v>99993</v>
      </c>
      <c r="C3519" s="19" t="s">
        <v>5811</v>
      </c>
      <c r="D3519" s="19" t="s">
        <v>258</v>
      </c>
      <c r="E3519" s="19" t="s">
        <v>259</v>
      </c>
      <c r="F3519" s="19" t="s">
        <v>1349</v>
      </c>
      <c r="G3519" s="19" t="s">
        <v>1028</v>
      </c>
      <c r="H3519" s="19" t="s">
        <v>1020</v>
      </c>
      <c r="I3519" s="19" t="s">
        <v>1575</v>
      </c>
      <c r="J3519" s="20">
        <v>20</v>
      </c>
      <c r="K3519" t="s">
        <v>668</v>
      </c>
      <c r="L3519" t="s">
        <v>691</v>
      </c>
      <c r="M3519" t="s">
        <v>657</v>
      </c>
      <c r="N3519" t="s">
        <v>658</v>
      </c>
      <c r="O3519" t="s">
        <v>632</v>
      </c>
    </row>
    <row r="3520" spans="1:15" x14ac:dyDescent="0.35">
      <c r="A3520" s="77">
        <v>0.29589041095890412</v>
      </c>
      <c r="B3520" s="19">
        <v>99998</v>
      </c>
      <c r="C3520" s="19" t="s">
        <v>5812</v>
      </c>
      <c r="D3520" s="19" t="s">
        <v>23</v>
      </c>
      <c r="E3520" s="19" t="s">
        <v>23</v>
      </c>
      <c r="F3520" s="19" t="s">
        <v>660</v>
      </c>
      <c r="G3520" s="19" t="s">
        <v>1028</v>
      </c>
      <c r="H3520" s="19" t="s">
        <v>1020</v>
      </c>
      <c r="I3520" s="19" t="s">
        <v>1575</v>
      </c>
      <c r="J3520" s="20">
        <v>20</v>
      </c>
      <c r="K3520" t="s">
        <v>631</v>
      </c>
      <c r="L3520" t="s">
        <v>661</v>
      </c>
      <c r="M3520" t="s">
        <v>657</v>
      </c>
      <c r="N3520" t="s">
        <v>662</v>
      </c>
      <c r="O3520" t="s">
        <v>632</v>
      </c>
    </row>
    <row r="3521" spans="1:15" x14ac:dyDescent="0.35">
      <c r="A3521" s="77">
        <v>0.29589041095890412</v>
      </c>
      <c r="B3521" s="19">
        <v>100001</v>
      </c>
      <c r="C3521" s="19" t="s">
        <v>5813</v>
      </c>
      <c r="D3521" s="19" t="s">
        <v>278</v>
      </c>
      <c r="E3521" s="19" t="s">
        <v>279</v>
      </c>
      <c r="F3521" s="19" t="s">
        <v>1131</v>
      </c>
      <c r="G3521" s="19" t="s">
        <v>1028</v>
      </c>
      <c r="H3521" s="19" t="s">
        <v>1020</v>
      </c>
      <c r="I3521" s="19" t="s">
        <v>1599</v>
      </c>
      <c r="J3521" s="20">
        <v>21</v>
      </c>
      <c r="K3521" t="s">
        <v>625</v>
      </c>
      <c r="L3521" t="s">
        <v>661</v>
      </c>
      <c r="M3521" t="s">
        <v>657</v>
      </c>
      <c r="N3521" t="s">
        <v>662</v>
      </c>
      <c r="O3521" t="s">
        <v>632</v>
      </c>
    </row>
    <row r="3522" spans="1:15" x14ac:dyDescent="0.35">
      <c r="A3522" s="77">
        <v>0.29315068493150687</v>
      </c>
      <c r="B3522" s="19">
        <v>100004</v>
      </c>
      <c r="C3522" s="19" t="s">
        <v>5814</v>
      </c>
      <c r="D3522" s="19" t="s">
        <v>349</v>
      </c>
      <c r="E3522" s="19" t="s">
        <v>350</v>
      </c>
      <c r="F3522" s="19" t="s">
        <v>912</v>
      </c>
      <c r="G3522" s="19" t="s">
        <v>1057</v>
      </c>
      <c r="H3522" s="19" t="s">
        <v>1001</v>
      </c>
      <c r="I3522" s="19" t="s">
        <v>1575</v>
      </c>
      <c r="J3522" s="20">
        <v>29</v>
      </c>
      <c r="K3522" t="s">
        <v>625</v>
      </c>
      <c r="L3522" t="s">
        <v>648</v>
      </c>
      <c r="M3522" t="s">
        <v>623</v>
      </c>
      <c r="N3522" t="s">
        <v>624</v>
      </c>
      <c r="O3522" t="s">
        <v>649</v>
      </c>
    </row>
    <row r="3523" spans="1:15" x14ac:dyDescent="0.35">
      <c r="A3523" s="77">
        <v>0.29315068493150687</v>
      </c>
      <c r="B3523" s="19">
        <v>100005</v>
      </c>
      <c r="C3523" s="19" t="s">
        <v>5815</v>
      </c>
      <c r="D3523" s="19" t="s">
        <v>42</v>
      </c>
      <c r="E3523" s="19" t="s">
        <v>42</v>
      </c>
      <c r="F3523" s="19" t="s">
        <v>1262</v>
      </c>
      <c r="G3523" s="19" t="s">
        <v>1028</v>
      </c>
      <c r="H3523" s="19" t="s">
        <v>1020</v>
      </c>
      <c r="I3523" s="19" t="s">
        <v>1575</v>
      </c>
      <c r="J3523" s="20">
        <v>39</v>
      </c>
      <c r="K3523" t="s">
        <v>625</v>
      </c>
      <c r="L3523" t="s">
        <v>628</v>
      </c>
      <c r="M3523" t="s">
        <v>629</v>
      </c>
      <c r="N3523" t="s">
        <v>630</v>
      </c>
      <c r="O3523" t="s">
        <v>632</v>
      </c>
    </row>
    <row r="3524" spans="1:15" x14ac:dyDescent="0.35">
      <c r="A3524" s="77">
        <v>0.29315068493150687</v>
      </c>
      <c r="B3524" s="19">
        <v>100006</v>
      </c>
      <c r="C3524" s="19" t="s">
        <v>4456</v>
      </c>
      <c r="D3524" s="19" t="s">
        <v>379</v>
      </c>
      <c r="E3524" s="19" t="s">
        <v>380</v>
      </c>
      <c r="F3524" s="19" t="s">
        <v>381</v>
      </c>
      <c r="G3524" s="19" t="s">
        <v>1028</v>
      </c>
      <c r="H3524" s="19" t="s">
        <v>1020</v>
      </c>
      <c r="I3524" s="19" t="s">
        <v>1575</v>
      </c>
      <c r="J3524" s="20">
        <v>24</v>
      </c>
      <c r="K3524" t="s">
        <v>636</v>
      </c>
      <c r="L3524" t="s">
        <v>628</v>
      </c>
      <c r="M3524" t="s">
        <v>629</v>
      </c>
      <c r="N3524" t="s">
        <v>630</v>
      </c>
      <c r="O3524" t="s">
        <v>632</v>
      </c>
    </row>
    <row r="3525" spans="1:15" x14ac:dyDescent="0.35">
      <c r="A3525" s="77">
        <v>0.29315068493150687</v>
      </c>
      <c r="B3525" s="19">
        <v>100007</v>
      </c>
      <c r="C3525" s="19" t="s">
        <v>5816</v>
      </c>
      <c r="D3525" s="19" t="s">
        <v>300</v>
      </c>
      <c r="E3525" s="19" t="s">
        <v>301</v>
      </c>
      <c r="F3525" s="19" t="s">
        <v>1719</v>
      </c>
      <c r="G3525" s="19" t="s">
        <v>1028</v>
      </c>
      <c r="H3525" s="19" t="s">
        <v>1020</v>
      </c>
      <c r="I3525" s="19" t="s">
        <v>1575</v>
      </c>
      <c r="J3525" s="20">
        <v>20</v>
      </c>
      <c r="K3525" t="s">
        <v>668</v>
      </c>
      <c r="L3525" t="s">
        <v>737</v>
      </c>
      <c r="M3525" t="s">
        <v>657</v>
      </c>
      <c r="N3525" t="s">
        <v>641</v>
      </c>
      <c r="O3525" t="s">
        <v>738</v>
      </c>
    </row>
    <row r="3526" spans="1:15" x14ac:dyDescent="0.35">
      <c r="A3526" s="77">
        <v>0.29041095890410956</v>
      </c>
      <c r="B3526" s="19">
        <v>100008</v>
      </c>
      <c r="C3526" s="19" t="s">
        <v>5817</v>
      </c>
      <c r="D3526" s="19" t="s">
        <v>181</v>
      </c>
      <c r="E3526" s="19" t="s">
        <v>182</v>
      </c>
      <c r="F3526" s="19" t="s">
        <v>1374</v>
      </c>
      <c r="G3526" s="19" t="s">
        <v>1019</v>
      </c>
      <c r="H3526" s="19" t="s">
        <v>1020</v>
      </c>
      <c r="I3526" s="19" t="s">
        <v>1575</v>
      </c>
      <c r="J3526" s="20">
        <v>24</v>
      </c>
      <c r="K3526" t="s">
        <v>625</v>
      </c>
      <c r="L3526" t="s">
        <v>678</v>
      </c>
      <c r="M3526" t="s">
        <v>623</v>
      </c>
      <c r="N3526" t="s">
        <v>624</v>
      </c>
      <c r="O3526" t="s">
        <v>679</v>
      </c>
    </row>
    <row r="3527" spans="1:15" x14ac:dyDescent="0.35">
      <c r="A3527" s="77">
        <v>0.29041095890410956</v>
      </c>
      <c r="B3527" s="19">
        <v>100010</v>
      </c>
      <c r="C3527" s="19" t="s">
        <v>5818</v>
      </c>
      <c r="D3527" s="19" t="s">
        <v>405</v>
      </c>
      <c r="E3527" s="19" t="s">
        <v>406</v>
      </c>
      <c r="F3527" s="19" t="s">
        <v>594</v>
      </c>
      <c r="G3527" s="19" t="s">
        <v>1028</v>
      </c>
      <c r="H3527" s="19" t="s">
        <v>1020</v>
      </c>
      <c r="I3527" s="19" t="s">
        <v>1575</v>
      </c>
      <c r="J3527" s="20">
        <v>24</v>
      </c>
      <c r="K3527" t="s">
        <v>654</v>
      </c>
      <c r="L3527" t="s">
        <v>684</v>
      </c>
      <c r="M3527" t="s">
        <v>623</v>
      </c>
      <c r="N3527" t="s">
        <v>662</v>
      </c>
      <c r="O3527" t="s">
        <v>872</v>
      </c>
    </row>
    <row r="3528" spans="1:15" x14ac:dyDescent="0.35">
      <c r="A3528" s="77">
        <v>0.29041095890410956</v>
      </c>
      <c r="B3528" s="19">
        <v>100012</v>
      </c>
      <c r="C3528" s="19" t="s">
        <v>5819</v>
      </c>
      <c r="D3528" s="19" t="s">
        <v>311</v>
      </c>
      <c r="E3528" s="19" t="s">
        <v>312</v>
      </c>
      <c r="F3528" s="19" t="s">
        <v>1140</v>
      </c>
      <c r="G3528" s="19" t="s">
        <v>1019</v>
      </c>
      <c r="H3528" s="19" t="s">
        <v>1020</v>
      </c>
      <c r="I3528" s="19" t="s">
        <v>1575</v>
      </c>
      <c r="J3528" s="20">
        <v>21</v>
      </c>
      <c r="K3528" t="s">
        <v>631</v>
      </c>
      <c r="L3528" t="s">
        <v>628</v>
      </c>
      <c r="M3528" t="s">
        <v>629</v>
      </c>
      <c r="N3528" t="s">
        <v>630</v>
      </c>
      <c r="O3528" t="s">
        <v>632</v>
      </c>
    </row>
    <row r="3529" spans="1:15" x14ac:dyDescent="0.35">
      <c r="A3529" s="77">
        <v>0.29041095890410956</v>
      </c>
      <c r="B3529" s="19">
        <v>100014</v>
      </c>
      <c r="C3529" s="19" t="s">
        <v>5820</v>
      </c>
      <c r="D3529" s="19" t="s">
        <v>405</v>
      </c>
      <c r="E3529" s="19" t="s">
        <v>406</v>
      </c>
      <c r="F3529" s="19" t="s">
        <v>594</v>
      </c>
      <c r="G3529" s="19" t="s">
        <v>1028</v>
      </c>
      <c r="H3529" s="19" t="s">
        <v>1020</v>
      </c>
      <c r="I3529" s="19" t="s">
        <v>1575</v>
      </c>
      <c r="J3529" s="20">
        <v>20</v>
      </c>
      <c r="K3529" t="s">
        <v>654</v>
      </c>
      <c r="L3529" t="s">
        <v>684</v>
      </c>
      <c r="M3529" t="s">
        <v>623</v>
      </c>
      <c r="N3529" t="s">
        <v>662</v>
      </c>
      <c r="O3529" t="s">
        <v>872</v>
      </c>
    </row>
    <row r="3530" spans="1:15" x14ac:dyDescent="0.35">
      <c r="A3530" s="77">
        <v>0.29041095890410956</v>
      </c>
      <c r="B3530" s="19">
        <v>100015</v>
      </c>
      <c r="C3530" s="19" t="s">
        <v>5821</v>
      </c>
      <c r="D3530" s="19" t="s">
        <v>286</v>
      </c>
      <c r="E3530" s="19" t="s">
        <v>287</v>
      </c>
      <c r="F3530" s="19" t="s">
        <v>1675</v>
      </c>
      <c r="G3530" s="19" t="s">
        <v>1008</v>
      </c>
      <c r="H3530" s="19" t="s">
        <v>1001</v>
      </c>
      <c r="I3530" s="19" t="s">
        <v>1575</v>
      </c>
      <c r="J3530" s="20">
        <v>22</v>
      </c>
      <c r="K3530" t="s">
        <v>668</v>
      </c>
      <c r="L3530" t="s">
        <v>640</v>
      </c>
      <c r="M3530" t="s">
        <v>623</v>
      </c>
      <c r="N3530" t="s">
        <v>641</v>
      </c>
      <c r="O3530" t="s">
        <v>754</v>
      </c>
    </row>
    <row r="3531" spans="1:15" x14ac:dyDescent="0.35">
      <c r="A3531" s="77">
        <v>0.29041095890410956</v>
      </c>
      <c r="B3531" s="19">
        <v>100018</v>
      </c>
      <c r="C3531" s="19" t="s">
        <v>5822</v>
      </c>
      <c r="D3531" s="19" t="s">
        <v>365</v>
      </c>
      <c r="E3531" s="19" t="s">
        <v>366</v>
      </c>
      <c r="F3531" s="19" t="s">
        <v>1117</v>
      </c>
      <c r="G3531" s="19" t="s">
        <v>1019</v>
      </c>
      <c r="H3531" s="19" t="s">
        <v>1020</v>
      </c>
      <c r="I3531" s="19" t="s">
        <v>1575</v>
      </c>
      <c r="J3531" s="20">
        <v>21</v>
      </c>
      <c r="K3531" t="s">
        <v>668</v>
      </c>
      <c r="L3531" t="s">
        <v>691</v>
      </c>
      <c r="M3531" t="s">
        <v>657</v>
      </c>
      <c r="N3531" t="s">
        <v>658</v>
      </c>
      <c r="O3531" t="s">
        <v>632</v>
      </c>
    </row>
    <row r="3532" spans="1:15" x14ac:dyDescent="0.35">
      <c r="A3532" s="77">
        <v>0.29041095890410956</v>
      </c>
      <c r="B3532" s="19">
        <v>100019</v>
      </c>
      <c r="C3532" s="19" t="s">
        <v>5823</v>
      </c>
      <c r="D3532" s="19" t="s">
        <v>349</v>
      </c>
      <c r="E3532" s="19" t="s">
        <v>350</v>
      </c>
      <c r="F3532" s="19" t="s">
        <v>912</v>
      </c>
      <c r="G3532" s="19" t="s">
        <v>1028</v>
      </c>
      <c r="H3532" s="19" t="s">
        <v>1020</v>
      </c>
      <c r="I3532" s="19" t="s">
        <v>1575</v>
      </c>
      <c r="J3532" s="20">
        <v>23</v>
      </c>
      <c r="K3532" t="s">
        <v>625</v>
      </c>
      <c r="L3532" t="s">
        <v>648</v>
      </c>
      <c r="M3532" t="s">
        <v>623</v>
      </c>
      <c r="N3532" t="s">
        <v>624</v>
      </c>
      <c r="O3532" t="s">
        <v>649</v>
      </c>
    </row>
    <row r="3533" spans="1:15" x14ac:dyDescent="0.35">
      <c r="A3533" s="77">
        <v>0.28219178082191781</v>
      </c>
      <c r="B3533" s="19">
        <v>100021</v>
      </c>
      <c r="C3533" s="19" t="s">
        <v>5824</v>
      </c>
      <c r="D3533" s="19" t="s">
        <v>339</v>
      </c>
      <c r="E3533" s="19" t="s">
        <v>340</v>
      </c>
      <c r="F3533" s="19" t="s">
        <v>1024</v>
      </c>
      <c r="G3533" s="19" t="s">
        <v>1028</v>
      </c>
      <c r="H3533" s="19" t="s">
        <v>1020</v>
      </c>
      <c r="I3533" s="19" t="s">
        <v>1575</v>
      </c>
      <c r="J3533" s="20">
        <v>23</v>
      </c>
      <c r="K3533" t="s">
        <v>631</v>
      </c>
      <c r="L3533" t="s">
        <v>651</v>
      </c>
      <c r="M3533" t="s">
        <v>629</v>
      </c>
      <c r="N3533" t="s">
        <v>630</v>
      </c>
      <c r="O3533" t="s">
        <v>705</v>
      </c>
    </row>
    <row r="3534" spans="1:15" x14ac:dyDescent="0.35">
      <c r="A3534" s="77">
        <v>0.29041095890410956</v>
      </c>
      <c r="B3534" s="19">
        <v>100023</v>
      </c>
      <c r="C3534" s="19" t="s">
        <v>5825</v>
      </c>
      <c r="D3534" s="19" t="s">
        <v>235</v>
      </c>
      <c r="E3534" s="19" t="s">
        <v>236</v>
      </c>
      <c r="F3534" s="19" t="s">
        <v>1457</v>
      </c>
      <c r="G3534" s="19" t="s">
        <v>1028</v>
      </c>
      <c r="H3534" s="19" t="s">
        <v>1020</v>
      </c>
      <c r="I3534" s="19" t="s">
        <v>1575</v>
      </c>
      <c r="J3534" s="20">
        <v>26</v>
      </c>
      <c r="K3534" t="s">
        <v>654</v>
      </c>
      <c r="L3534" t="s">
        <v>707</v>
      </c>
      <c r="M3534" t="s">
        <v>629</v>
      </c>
      <c r="N3534" t="s">
        <v>635</v>
      </c>
      <c r="O3534" t="s">
        <v>710</v>
      </c>
    </row>
    <row r="3535" spans="1:15" x14ac:dyDescent="0.35">
      <c r="A3535" s="77">
        <v>0.29041095890410956</v>
      </c>
      <c r="B3535" s="19">
        <v>100029</v>
      </c>
      <c r="C3535" s="19" t="s">
        <v>5826</v>
      </c>
      <c r="D3535" s="19" t="s">
        <v>23</v>
      </c>
      <c r="E3535" s="19" t="s">
        <v>23</v>
      </c>
      <c r="F3535" s="19" t="s">
        <v>660</v>
      </c>
      <c r="G3535" s="19" t="s">
        <v>1028</v>
      </c>
      <c r="H3535" s="19" t="s">
        <v>1020</v>
      </c>
      <c r="I3535" s="19" t="s">
        <v>1575</v>
      </c>
      <c r="J3535" s="20">
        <v>19</v>
      </c>
      <c r="K3535" t="s">
        <v>631</v>
      </c>
      <c r="L3535" t="s">
        <v>661</v>
      </c>
      <c r="M3535" t="s">
        <v>657</v>
      </c>
      <c r="N3535" t="s">
        <v>662</v>
      </c>
      <c r="O3535" t="s">
        <v>632</v>
      </c>
    </row>
    <row r="3536" spans="1:15" x14ac:dyDescent="0.35">
      <c r="A3536" s="77">
        <v>0.29041095890410956</v>
      </c>
      <c r="B3536" s="19">
        <v>100031</v>
      </c>
      <c r="C3536" s="19" t="s">
        <v>5827</v>
      </c>
      <c r="D3536" s="19" t="s">
        <v>39</v>
      </c>
      <c r="E3536" s="19" t="s">
        <v>39</v>
      </c>
      <c r="F3536" s="19" t="s">
        <v>1168</v>
      </c>
      <c r="G3536" s="19" t="s">
        <v>1028</v>
      </c>
      <c r="H3536" s="19" t="s">
        <v>1020</v>
      </c>
      <c r="I3536" s="19" t="s">
        <v>1575</v>
      </c>
      <c r="J3536" s="20">
        <v>19</v>
      </c>
      <c r="K3536" t="s">
        <v>636</v>
      </c>
      <c r="L3536" t="s">
        <v>661</v>
      </c>
      <c r="M3536" t="s">
        <v>657</v>
      </c>
      <c r="N3536" t="s">
        <v>662</v>
      </c>
      <c r="O3536" t="s">
        <v>632</v>
      </c>
    </row>
    <row r="3537" spans="1:15" x14ac:dyDescent="0.35">
      <c r="A3537" s="77">
        <v>0.29041095890410956</v>
      </c>
      <c r="B3537" s="19">
        <v>100033</v>
      </c>
      <c r="C3537" s="19" t="s">
        <v>5828</v>
      </c>
      <c r="D3537" s="19" t="s">
        <v>237</v>
      </c>
      <c r="E3537" s="19" t="s">
        <v>238</v>
      </c>
      <c r="F3537" s="19" t="s">
        <v>1070</v>
      </c>
      <c r="G3537" s="19" t="s">
        <v>1057</v>
      </c>
      <c r="H3537" s="19" t="s">
        <v>1001</v>
      </c>
      <c r="I3537" s="19" t="s">
        <v>1575</v>
      </c>
      <c r="J3537" s="20">
        <v>19</v>
      </c>
      <c r="K3537" t="s">
        <v>631</v>
      </c>
      <c r="L3537" t="s">
        <v>661</v>
      </c>
      <c r="M3537" t="s">
        <v>657</v>
      </c>
      <c r="N3537" t="s">
        <v>662</v>
      </c>
      <c r="O3537" t="s">
        <v>632</v>
      </c>
    </row>
    <row r="3538" spans="1:15" x14ac:dyDescent="0.35">
      <c r="A3538" s="77">
        <v>0.28219178082191781</v>
      </c>
      <c r="B3538" s="19">
        <v>100039</v>
      </c>
      <c r="C3538" s="19" t="s">
        <v>5829</v>
      </c>
      <c r="D3538" s="19" t="s">
        <v>371</v>
      </c>
      <c r="E3538" s="19" t="s">
        <v>372</v>
      </c>
      <c r="F3538" s="19" t="s">
        <v>2222</v>
      </c>
      <c r="G3538" s="19" t="s">
        <v>1057</v>
      </c>
      <c r="H3538" s="19" t="s">
        <v>1001</v>
      </c>
      <c r="I3538" s="19" t="s">
        <v>1575</v>
      </c>
      <c r="J3538" s="20">
        <v>27</v>
      </c>
      <c r="K3538" t="s">
        <v>668</v>
      </c>
      <c r="L3538" t="s">
        <v>640</v>
      </c>
      <c r="M3538" t="s">
        <v>623</v>
      </c>
      <c r="N3538" t="s">
        <v>641</v>
      </c>
      <c r="O3538" t="s">
        <v>859</v>
      </c>
    </row>
    <row r="3539" spans="1:15" x14ac:dyDescent="0.35">
      <c r="A3539" s="77">
        <v>0.28219178082191781</v>
      </c>
      <c r="B3539" s="19">
        <v>100040</v>
      </c>
      <c r="C3539" s="19" t="s">
        <v>5830</v>
      </c>
      <c r="D3539" s="19" t="s">
        <v>349</v>
      </c>
      <c r="E3539" s="19" t="s">
        <v>350</v>
      </c>
      <c r="F3539" s="19" t="s">
        <v>912</v>
      </c>
      <c r="G3539" s="19" t="s">
        <v>1019</v>
      </c>
      <c r="H3539" s="19" t="s">
        <v>1020</v>
      </c>
      <c r="I3539" s="19" t="s">
        <v>1575</v>
      </c>
      <c r="J3539" s="20">
        <v>32</v>
      </c>
      <c r="K3539" t="s">
        <v>625</v>
      </c>
      <c r="L3539" t="s">
        <v>648</v>
      </c>
      <c r="M3539" t="s">
        <v>623</v>
      </c>
      <c r="N3539" t="s">
        <v>624</v>
      </c>
      <c r="O3539" t="s">
        <v>649</v>
      </c>
    </row>
    <row r="3540" spans="1:15" x14ac:dyDescent="0.35">
      <c r="A3540" s="77">
        <v>0.28219178082191781</v>
      </c>
      <c r="B3540" s="19">
        <v>100042</v>
      </c>
      <c r="C3540" s="19" t="s">
        <v>5831</v>
      </c>
      <c r="D3540" s="19" t="s">
        <v>335</v>
      </c>
      <c r="E3540" s="19" t="s">
        <v>336</v>
      </c>
      <c r="F3540" s="19" t="s">
        <v>841</v>
      </c>
      <c r="G3540" s="19" t="s">
        <v>1028</v>
      </c>
      <c r="H3540" s="19" t="s">
        <v>1020</v>
      </c>
      <c r="I3540" s="19" t="s">
        <v>1575</v>
      </c>
      <c r="J3540" s="20">
        <v>19</v>
      </c>
      <c r="K3540" t="s">
        <v>636</v>
      </c>
      <c r="L3540" t="s">
        <v>622</v>
      </c>
      <c r="M3540" t="s">
        <v>623</v>
      </c>
      <c r="N3540" t="s">
        <v>624</v>
      </c>
      <c r="O3540" t="s">
        <v>649</v>
      </c>
    </row>
    <row r="3541" spans="1:15" x14ac:dyDescent="0.35">
      <c r="A3541" s="77">
        <v>0.28219178082191781</v>
      </c>
      <c r="B3541" s="19">
        <v>100043</v>
      </c>
      <c r="C3541" s="19" t="s">
        <v>5832</v>
      </c>
      <c r="D3541" s="19" t="s">
        <v>307</v>
      </c>
      <c r="E3541" s="19" t="s">
        <v>308</v>
      </c>
      <c r="F3541" s="19" t="s">
        <v>1524</v>
      </c>
      <c r="G3541" s="19" t="s">
        <v>1008</v>
      </c>
      <c r="H3541" s="19" t="s">
        <v>1001</v>
      </c>
      <c r="I3541" s="19" t="s">
        <v>1575</v>
      </c>
      <c r="J3541" s="20">
        <v>25</v>
      </c>
      <c r="K3541" t="s">
        <v>668</v>
      </c>
      <c r="L3541" t="s">
        <v>656</v>
      </c>
      <c r="M3541" t="s">
        <v>657</v>
      </c>
      <c r="N3541" t="s">
        <v>658</v>
      </c>
      <c r="O3541" t="s">
        <v>718</v>
      </c>
    </row>
    <row r="3542" spans="1:15" x14ac:dyDescent="0.35">
      <c r="A3542" s="77">
        <v>0.28219178082191781</v>
      </c>
      <c r="B3542" s="19">
        <v>100045</v>
      </c>
      <c r="C3542" s="19" t="s">
        <v>5833</v>
      </c>
      <c r="D3542" s="19" t="s">
        <v>220</v>
      </c>
      <c r="E3542" s="19" t="s">
        <v>221</v>
      </c>
      <c r="F3542" s="19" t="s">
        <v>2309</v>
      </c>
      <c r="G3542" s="19" t="s">
        <v>1057</v>
      </c>
      <c r="H3542" s="19" t="s">
        <v>1001</v>
      </c>
      <c r="I3542" s="19" t="s">
        <v>1575</v>
      </c>
      <c r="J3542" s="20">
        <v>21</v>
      </c>
      <c r="K3542" t="s">
        <v>668</v>
      </c>
      <c r="L3542" t="s">
        <v>648</v>
      </c>
      <c r="M3542" t="s">
        <v>623</v>
      </c>
      <c r="N3542" t="s">
        <v>624</v>
      </c>
      <c r="O3542" t="s">
        <v>649</v>
      </c>
    </row>
    <row r="3543" spans="1:15" x14ac:dyDescent="0.35">
      <c r="A3543" s="77">
        <v>0.28219178082191781</v>
      </c>
      <c r="B3543" s="19">
        <v>100050</v>
      </c>
      <c r="C3543" s="19" t="s">
        <v>5834</v>
      </c>
      <c r="D3543" s="19" t="s">
        <v>235</v>
      </c>
      <c r="E3543" s="19" t="s">
        <v>236</v>
      </c>
      <c r="F3543" s="19" t="s">
        <v>1457</v>
      </c>
      <c r="G3543" s="19" t="s">
        <v>1008</v>
      </c>
      <c r="H3543" s="19" t="s">
        <v>1001</v>
      </c>
      <c r="I3543" s="19" t="s">
        <v>1575</v>
      </c>
      <c r="J3543" s="20">
        <v>23</v>
      </c>
      <c r="K3543" t="s">
        <v>654</v>
      </c>
      <c r="L3543" t="s">
        <v>707</v>
      </c>
      <c r="M3543" t="s">
        <v>629</v>
      </c>
      <c r="N3543" t="s">
        <v>635</v>
      </c>
      <c r="O3543" t="s">
        <v>710</v>
      </c>
    </row>
    <row r="3544" spans="1:15" x14ac:dyDescent="0.35">
      <c r="A3544" s="77">
        <v>0.27945205479452057</v>
      </c>
      <c r="B3544" s="19">
        <v>100051</v>
      </c>
      <c r="C3544" s="19" t="s">
        <v>5835</v>
      </c>
      <c r="D3544" s="19" t="s">
        <v>309</v>
      </c>
      <c r="E3544" s="19" t="s">
        <v>310</v>
      </c>
      <c r="F3544" s="19" t="s">
        <v>1234</v>
      </c>
      <c r="G3544" s="19" t="s">
        <v>1028</v>
      </c>
      <c r="H3544" s="19" t="s">
        <v>1020</v>
      </c>
      <c r="I3544" s="19" t="s">
        <v>1575</v>
      </c>
      <c r="J3544" s="20">
        <v>19</v>
      </c>
      <c r="K3544" t="s">
        <v>668</v>
      </c>
      <c r="L3544" t="s">
        <v>666</v>
      </c>
      <c r="M3544" t="s">
        <v>629</v>
      </c>
      <c r="N3544" t="s">
        <v>635</v>
      </c>
      <c r="O3544" t="s">
        <v>637</v>
      </c>
    </row>
    <row r="3545" spans="1:15" x14ac:dyDescent="0.35">
      <c r="A3545" s="77">
        <v>0.27945205479452057</v>
      </c>
      <c r="B3545" s="19">
        <v>100053</v>
      </c>
      <c r="C3545" s="19" t="s">
        <v>5836</v>
      </c>
      <c r="D3545" s="19" t="s">
        <v>181</v>
      </c>
      <c r="E3545" s="19" t="s">
        <v>182</v>
      </c>
      <c r="F3545" s="19" t="s">
        <v>1374</v>
      </c>
      <c r="G3545" s="19" t="s">
        <v>1028</v>
      </c>
      <c r="H3545" s="19" t="s">
        <v>1020</v>
      </c>
      <c r="I3545" s="19" t="s">
        <v>1575</v>
      </c>
      <c r="J3545" s="20">
        <v>20</v>
      </c>
      <c r="K3545" t="s">
        <v>625</v>
      </c>
      <c r="L3545" t="s">
        <v>678</v>
      </c>
      <c r="M3545" t="s">
        <v>623</v>
      </c>
      <c r="N3545" t="s">
        <v>624</v>
      </c>
      <c r="O3545" t="s">
        <v>679</v>
      </c>
    </row>
    <row r="3546" spans="1:15" x14ac:dyDescent="0.35">
      <c r="A3546" s="77">
        <v>0.27945205479452057</v>
      </c>
      <c r="B3546" s="19">
        <v>100054</v>
      </c>
      <c r="C3546" s="19" t="s">
        <v>5837</v>
      </c>
      <c r="D3546" s="19" t="s">
        <v>145</v>
      </c>
      <c r="E3546" s="19" t="s">
        <v>146</v>
      </c>
      <c r="F3546" s="19" t="s">
        <v>1015</v>
      </c>
      <c r="G3546" s="19" t="s">
        <v>1008</v>
      </c>
      <c r="H3546" s="19" t="s">
        <v>1001</v>
      </c>
      <c r="I3546" s="19" t="s">
        <v>1575</v>
      </c>
      <c r="J3546" s="20">
        <v>21</v>
      </c>
      <c r="K3546" t="s">
        <v>636</v>
      </c>
      <c r="L3546" t="s">
        <v>737</v>
      </c>
      <c r="M3546" t="s">
        <v>657</v>
      </c>
      <c r="N3546" t="s">
        <v>641</v>
      </c>
      <c r="O3546" t="s">
        <v>757</v>
      </c>
    </row>
    <row r="3547" spans="1:15" x14ac:dyDescent="0.35">
      <c r="A3547" s="77">
        <v>0.27945205479452057</v>
      </c>
      <c r="B3547" s="19">
        <v>100055</v>
      </c>
      <c r="C3547" s="19" t="s">
        <v>5838</v>
      </c>
      <c r="D3547" s="19" t="s">
        <v>26</v>
      </c>
      <c r="E3547" s="19" t="s">
        <v>26</v>
      </c>
      <c r="F3547" s="19" t="s">
        <v>1124</v>
      </c>
      <c r="G3547" s="19" t="s">
        <v>1028</v>
      </c>
      <c r="H3547" s="19" t="s">
        <v>1020</v>
      </c>
      <c r="I3547" s="19" t="s">
        <v>1575</v>
      </c>
      <c r="J3547" s="20">
        <v>22</v>
      </c>
      <c r="K3547" t="s">
        <v>636</v>
      </c>
      <c r="L3547" t="s">
        <v>666</v>
      </c>
      <c r="M3547" t="s">
        <v>629</v>
      </c>
      <c r="N3547" t="s">
        <v>635</v>
      </c>
      <c r="O3547" t="s">
        <v>637</v>
      </c>
    </row>
    <row r="3548" spans="1:15" x14ac:dyDescent="0.35">
      <c r="A3548" s="77">
        <v>0.27671232876712326</v>
      </c>
      <c r="B3548" s="19">
        <v>100061</v>
      </c>
      <c r="C3548" s="19" t="s">
        <v>5839</v>
      </c>
      <c r="D3548" s="19" t="s">
        <v>311</v>
      </c>
      <c r="E3548" s="19" t="s">
        <v>312</v>
      </c>
      <c r="F3548" s="19" t="s">
        <v>1140</v>
      </c>
      <c r="G3548" s="19" t="s">
        <v>1028</v>
      </c>
      <c r="H3548" s="19" t="s">
        <v>1020</v>
      </c>
      <c r="I3548" s="19" t="s">
        <v>1575</v>
      </c>
      <c r="J3548" s="20">
        <v>30</v>
      </c>
      <c r="K3548" t="s">
        <v>631</v>
      </c>
      <c r="L3548" t="s">
        <v>628</v>
      </c>
      <c r="M3548" t="s">
        <v>629</v>
      </c>
      <c r="N3548" t="s">
        <v>630</v>
      </c>
      <c r="O3548" t="s">
        <v>632</v>
      </c>
    </row>
    <row r="3549" spans="1:15" x14ac:dyDescent="0.35">
      <c r="A3549" s="77">
        <v>0.27671232876712326</v>
      </c>
      <c r="B3549" s="19">
        <v>100063</v>
      </c>
      <c r="C3549" s="19" t="s">
        <v>5840</v>
      </c>
      <c r="D3549" s="19" t="s">
        <v>239</v>
      </c>
      <c r="E3549" s="19" t="s">
        <v>240</v>
      </c>
      <c r="F3549" s="19" t="s">
        <v>798</v>
      </c>
      <c r="G3549" s="19" t="s">
        <v>1019</v>
      </c>
      <c r="H3549" s="19" t="s">
        <v>1020</v>
      </c>
      <c r="I3549" s="19" t="s">
        <v>1575</v>
      </c>
      <c r="J3549" s="20">
        <v>20</v>
      </c>
      <c r="K3549" t="s">
        <v>636</v>
      </c>
      <c r="L3549" t="s">
        <v>628</v>
      </c>
      <c r="M3549" t="s">
        <v>629</v>
      </c>
      <c r="N3549" t="s">
        <v>646</v>
      </c>
      <c r="O3549" t="s">
        <v>632</v>
      </c>
    </row>
    <row r="3550" spans="1:15" x14ac:dyDescent="0.35">
      <c r="A3550" s="77">
        <v>0.27671232876712326</v>
      </c>
      <c r="B3550" s="19">
        <v>100065</v>
      </c>
      <c r="C3550" s="19" t="s">
        <v>5841</v>
      </c>
      <c r="D3550" s="19" t="s">
        <v>324</v>
      </c>
      <c r="E3550" s="19" t="s">
        <v>325</v>
      </c>
      <c r="F3550" s="19" t="s">
        <v>1284</v>
      </c>
      <c r="G3550" s="19" t="s">
        <v>1028</v>
      </c>
      <c r="H3550" s="19" t="s">
        <v>1020</v>
      </c>
      <c r="I3550" s="19" t="s">
        <v>1575</v>
      </c>
      <c r="J3550" s="20">
        <v>20</v>
      </c>
      <c r="K3550" t="s">
        <v>631</v>
      </c>
      <c r="L3550" t="s">
        <v>663</v>
      </c>
      <c r="M3550" t="s">
        <v>629</v>
      </c>
      <c r="N3550" t="s">
        <v>646</v>
      </c>
      <c r="O3550" t="s">
        <v>639</v>
      </c>
    </row>
    <row r="3551" spans="1:15" x14ac:dyDescent="0.35">
      <c r="A3551" s="77">
        <v>0.27671232876712326</v>
      </c>
      <c r="B3551" s="19">
        <v>100066</v>
      </c>
      <c r="C3551" s="19" t="s">
        <v>5842</v>
      </c>
      <c r="D3551" s="19" t="s">
        <v>349</v>
      </c>
      <c r="E3551" s="19" t="s">
        <v>350</v>
      </c>
      <c r="F3551" s="19" t="s">
        <v>912</v>
      </c>
      <c r="G3551" s="19" t="s">
        <v>1046</v>
      </c>
      <c r="H3551" s="19" t="s">
        <v>1001</v>
      </c>
      <c r="I3551" s="19" t="s">
        <v>1575</v>
      </c>
      <c r="J3551" s="20">
        <v>42</v>
      </c>
      <c r="K3551" t="s">
        <v>625</v>
      </c>
      <c r="L3551" t="s">
        <v>648</v>
      </c>
      <c r="M3551" t="s">
        <v>623</v>
      </c>
      <c r="N3551" t="s">
        <v>624</v>
      </c>
      <c r="O3551" t="s">
        <v>649</v>
      </c>
    </row>
    <row r="3552" spans="1:15" x14ac:dyDescent="0.35">
      <c r="A3552" s="77">
        <v>0.27671232876712326</v>
      </c>
      <c r="B3552" s="19">
        <v>100068</v>
      </c>
      <c r="C3552" s="19" t="s">
        <v>5843</v>
      </c>
      <c r="D3552" s="19" t="s">
        <v>365</v>
      </c>
      <c r="E3552" s="19" t="s">
        <v>366</v>
      </c>
      <c r="F3552" s="19" t="s">
        <v>1117</v>
      </c>
      <c r="G3552" s="19" t="s">
        <v>1019</v>
      </c>
      <c r="H3552" s="19" t="s">
        <v>1020</v>
      </c>
      <c r="I3552" s="19" t="s">
        <v>1575</v>
      </c>
      <c r="J3552" s="20">
        <v>22</v>
      </c>
      <c r="K3552" t="s">
        <v>668</v>
      </c>
      <c r="L3552" t="s">
        <v>691</v>
      </c>
      <c r="M3552" t="s">
        <v>657</v>
      </c>
      <c r="N3552" t="s">
        <v>658</v>
      </c>
      <c r="O3552" t="s">
        <v>632</v>
      </c>
    </row>
    <row r="3553" spans="1:15" x14ac:dyDescent="0.35">
      <c r="A3553" s="77">
        <v>0.27671232876712326</v>
      </c>
      <c r="B3553" s="19">
        <v>100071</v>
      </c>
      <c r="C3553" s="19" t="s">
        <v>5844</v>
      </c>
      <c r="D3553" s="19" t="s">
        <v>47</v>
      </c>
      <c r="E3553" s="19" t="s">
        <v>48</v>
      </c>
      <c r="F3553" s="19" t="s">
        <v>1232</v>
      </c>
      <c r="G3553" s="19" t="s">
        <v>1028</v>
      </c>
      <c r="H3553" s="19" t="s">
        <v>1020</v>
      </c>
      <c r="I3553" s="19" t="s">
        <v>1575</v>
      </c>
      <c r="J3553" s="20">
        <v>21</v>
      </c>
      <c r="K3553" t="s">
        <v>636</v>
      </c>
      <c r="L3553" t="s">
        <v>622</v>
      </c>
      <c r="M3553" t="s">
        <v>623</v>
      </c>
      <c r="N3553" t="s">
        <v>624</v>
      </c>
      <c r="O3553" t="s">
        <v>649</v>
      </c>
    </row>
    <row r="3554" spans="1:15" x14ac:dyDescent="0.35">
      <c r="A3554" s="77">
        <v>0.27397260273972601</v>
      </c>
      <c r="B3554" s="19">
        <v>100077</v>
      </c>
      <c r="C3554" s="19" t="s">
        <v>5845</v>
      </c>
      <c r="D3554" s="19" t="s">
        <v>208</v>
      </c>
      <c r="E3554" s="19" t="s">
        <v>209</v>
      </c>
      <c r="F3554" s="19" t="s">
        <v>1444</v>
      </c>
      <c r="G3554" s="19" t="s">
        <v>1008</v>
      </c>
      <c r="H3554" s="19" t="s">
        <v>1001</v>
      </c>
      <c r="I3554" s="19" t="s">
        <v>1575</v>
      </c>
      <c r="J3554" s="20">
        <v>21</v>
      </c>
      <c r="K3554" t="s">
        <v>636</v>
      </c>
      <c r="L3554" t="s">
        <v>640</v>
      </c>
      <c r="M3554" t="s">
        <v>623</v>
      </c>
      <c r="N3554" t="s">
        <v>624</v>
      </c>
      <c r="O3554" t="s">
        <v>787</v>
      </c>
    </row>
    <row r="3555" spans="1:15" x14ac:dyDescent="0.35">
      <c r="A3555" s="77">
        <v>0.27397260273972601</v>
      </c>
      <c r="B3555" s="19">
        <v>100085</v>
      </c>
      <c r="C3555" s="19" t="s">
        <v>5846</v>
      </c>
      <c r="D3555" s="19" t="s">
        <v>373</v>
      </c>
      <c r="E3555" s="19" t="s">
        <v>374</v>
      </c>
      <c r="F3555" s="19" t="s">
        <v>1033</v>
      </c>
      <c r="G3555" s="19" t="s">
        <v>3508</v>
      </c>
      <c r="H3555" s="19" t="s">
        <v>1020</v>
      </c>
      <c r="I3555" s="19" t="s">
        <v>1575</v>
      </c>
      <c r="J3555" s="20">
        <v>17</v>
      </c>
      <c r="K3555" t="s">
        <v>654</v>
      </c>
      <c r="L3555" t="s">
        <v>634</v>
      </c>
      <c r="M3555" t="s">
        <v>629</v>
      </c>
      <c r="N3555" t="s">
        <v>635</v>
      </c>
      <c r="O3555" t="s">
        <v>637</v>
      </c>
    </row>
    <row r="3556" spans="1:15" x14ac:dyDescent="0.35">
      <c r="A3556" s="77">
        <v>0.27123287671232876</v>
      </c>
      <c r="B3556" s="19">
        <v>100087</v>
      </c>
      <c r="C3556" s="19" t="s">
        <v>5847</v>
      </c>
      <c r="D3556" s="19" t="s">
        <v>11</v>
      </c>
      <c r="E3556" s="19" t="s">
        <v>11</v>
      </c>
      <c r="F3556" s="19" t="s">
        <v>627</v>
      </c>
      <c r="G3556" s="19" t="s">
        <v>1028</v>
      </c>
      <c r="H3556" s="19" t="s">
        <v>1020</v>
      </c>
      <c r="I3556" s="19" t="s">
        <v>1575</v>
      </c>
      <c r="J3556" s="20">
        <v>20</v>
      </c>
      <c r="K3556" t="s">
        <v>631</v>
      </c>
      <c r="L3556" t="s">
        <v>628</v>
      </c>
      <c r="M3556" t="s">
        <v>629</v>
      </c>
      <c r="N3556" t="s">
        <v>630</v>
      </c>
      <c r="O3556" t="s">
        <v>632</v>
      </c>
    </row>
    <row r="3557" spans="1:15" x14ac:dyDescent="0.35">
      <c r="A3557" s="77">
        <v>0.27123287671232876</v>
      </c>
      <c r="B3557" s="19">
        <v>100088</v>
      </c>
      <c r="C3557" s="19" t="s">
        <v>5848</v>
      </c>
      <c r="D3557" s="19" t="s">
        <v>32</v>
      </c>
      <c r="E3557" s="19" t="s">
        <v>33</v>
      </c>
      <c r="F3557" s="19" t="s">
        <v>1154</v>
      </c>
      <c r="G3557" s="19" t="s">
        <v>1057</v>
      </c>
      <c r="H3557" s="19" t="s">
        <v>1001</v>
      </c>
      <c r="I3557" s="19" t="s">
        <v>1575</v>
      </c>
      <c r="J3557" s="20">
        <v>20</v>
      </c>
      <c r="K3557" t="s">
        <v>654</v>
      </c>
      <c r="L3557" t="s">
        <v>622</v>
      </c>
      <c r="M3557" t="s">
        <v>623</v>
      </c>
      <c r="N3557" t="s">
        <v>624</v>
      </c>
      <c r="O3557" t="s">
        <v>681</v>
      </c>
    </row>
    <row r="3558" spans="1:15" x14ac:dyDescent="0.35">
      <c r="A3558" s="77">
        <v>0.26849315068493151</v>
      </c>
      <c r="B3558" s="19">
        <v>100092</v>
      </c>
      <c r="C3558" s="19" t="s">
        <v>5849</v>
      </c>
      <c r="D3558" s="19" t="s">
        <v>426</v>
      </c>
      <c r="E3558" s="19" t="s">
        <v>426</v>
      </c>
      <c r="F3558" s="19" t="s">
        <v>1220</v>
      </c>
      <c r="G3558" s="19" t="s">
        <v>1028</v>
      </c>
      <c r="H3558" s="19" t="s">
        <v>1020</v>
      </c>
      <c r="I3558" s="19" t="s">
        <v>1575</v>
      </c>
      <c r="J3558" s="20">
        <v>21</v>
      </c>
      <c r="K3558" t="s">
        <v>654</v>
      </c>
      <c r="L3558" t="s">
        <v>622</v>
      </c>
      <c r="M3558" t="s">
        <v>623</v>
      </c>
      <c r="N3558" t="s">
        <v>624</v>
      </c>
      <c r="O3558" t="s">
        <v>649</v>
      </c>
    </row>
    <row r="3559" spans="1:15" x14ac:dyDescent="0.35">
      <c r="A3559" s="77">
        <v>0.26301369863013696</v>
      </c>
      <c r="B3559" s="19">
        <v>100095</v>
      </c>
      <c r="C3559" s="19" t="s">
        <v>5850</v>
      </c>
      <c r="D3559" s="19" t="s">
        <v>241</v>
      </c>
      <c r="E3559" s="19" t="s">
        <v>242</v>
      </c>
      <c r="F3559" s="19" t="s">
        <v>1030</v>
      </c>
      <c r="G3559" s="19" t="s">
        <v>1028</v>
      </c>
      <c r="H3559" s="19" t="s">
        <v>1020</v>
      </c>
      <c r="I3559" s="19" t="s">
        <v>1599</v>
      </c>
      <c r="J3559" s="20">
        <v>23</v>
      </c>
      <c r="K3559" t="s">
        <v>668</v>
      </c>
      <c r="L3559" t="s">
        <v>622</v>
      </c>
      <c r="M3559" t="s">
        <v>623</v>
      </c>
      <c r="N3559" t="s">
        <v>624</v>
      </c>
      <c r="O3559" t="s">
        <v>800</v>
      </c>
    </row>
    <row r="3560" spans="1:15" x14ac:dyDescent="0.35">
      <c r="A3560" s="77">
        <v>0.26301369863013696</v>
      </c>
      <c r="B3560" s="19">
        <v>100107</v>
      </c>
      <c r="C3560" s="19" t="s">
        <v>5851</v>
      </c>
      <c r="D3560" s="19" t="s">
        <v>369</v>
      </c>
      <c r="E3560" s="19" t="s">
        <v>370</v>
      </c>
      <c r="F3560" s="19" t="s">
        <v>856</v>
      </c>
      <c r="G3560" s="19" t="s">
        <v>1028</v>
      </c>
      <c r="H3560" s="19" t="s">
        <v>1020</v>
      </c>
      <c r="I3560" s="19" t="s">
        <v>1575</v>
      </c>
      <c r="J3560" s="20">
        <v>25</v>
      </c>
      <c r="K3560" t="s">
        <v>654</v>
      </c>
      <c r="L3560" t="s">
        <v>684</v>
      </c>
      <c r="M3560" t="s">
        <v>623</v>
      </c>
      <c r="N3560" t="s">
        <v>662</v>
      </c>
      <c r="O3560" t="s">
        <v>857</v>
      </c>
    </row>
    <row r="3561" spans="1:15" x14ac:dyDescent="0.35">
      <c r="A3561" s="77">
        <v>0.26301369863013696</v>
      </c>
      <c r="B3561" s="19">
        <v>100112</v>
      </c>
      <c r="C3561" s="19" t="s">
        <v>5852</v>
      </c>
      <c r="D3561" s="19" t="s">
        <v>16</v>
      </c>
      <c r="E3561" s="19" t="s">
        <v>16</v>
      </c>
      <c r="F3561" s="19" t="s">
        <v>1211</v>
      </c>
      <c r="G3561" s="19" t="s">
        <v>1028</v>
      </c>
      <c r="H3561" s="19" t="s">
        <v>1020</v>
      </c>
      <c r="I3561" s="19" t="s">
        <v>1575</v>
      </c>
      <c r="J3561" s="20">
        <v>23</v>
      </c>
      <c r="K3561" t="s">
        <v>631</v>
      </c>
      <c r="L3561" t="s">
        <v>645</v>
      </c>
      <c r="M3561" t="s">
        <v>629</v>
      </c>
      <c r="N3561" t="s">
        <v>646</v>
      </c>
      <c r="O3561" t="s">
        <v>632</v>
      </c>
    </row>
    <row r="3562" spans="1:15" x14ac:dyDescent="0.35">
      <c r="A3562" s="77">
        <v>0.26301369863013696</v>
      </c>
      <c r="B3562" s="19">
        <v>100116</v>
      </c>
      <c r="C3562" s="19" t="s">
        <v>5853</v>
      </c>
      <c r="D3562" s="19" t="s">
        <v>397</v>
      </c>
      <c r="E3562" s="19" t="s">
        <v>398</v>
      </c>
      <c r="F3562" s="19" t="s">
        <v>867</v>
      </c>
      <c r="G3562" s="19" t="s">
        <v>1028</v>
      </c>
      <c r="H3562" s="19" t="s">
        <v>1020</v>
      </c>
      <c r="I3562" s="19" t="s">
        <v>1575</v>
      </c>
      <c r="J3562" s="20">
        <v>21</v>
      </c>
      <c r="K3562" t="s">
        <v>625</v>
      </c>
      <c r="L3562" t="s">
        <v>634</v>
      </c>
      <c r="M3562" t="s">
        <v>629</v>
      </c>
      <c r="N3562" t="s">
        <v>635</v>
      </c>
      <c r="O3562" t="s">
        <v>637</v>
      </c>
    </row>
    <row r="3563" spans="1:15" x14ac:dyDescent="0.35">
      <c r="A3563" s="77">
        <v>0.26301369863013696</v>
      </c>
      <c r="B3563" s="19">
        <v>100117</v>
      </c>
      <c r="C3563" s="19" t="s">
        <v>5854</v>
      </c>
      <c r="D3563" s="19" t="s">
        <v>397</v>
      </c>
      <c r="E3563" s="19" t="s">
        <v>398</v>
      </c>
      <c r="F3563" s="19" t="s">
        <v>867</v>
      </c>
      <c r="G3563" s="19" t="s">
        <v>1028</v>
      </c>
      <c r="H3563" s="19" t="s">
        <v>1020</v>
      </c>
      <c r="I3563" s="19" t="s">
        <v>1575</v>
      </c>
      <c r="J3563" s="20">
        <v>20</v>
      </c>
      <c r="K3563" t="s">
        <v>625</v>
      </c>
      <c r="L3563" t="s">
        <v>634</v>
      </c>
      <c r="M3563" t="s">
        <v>629</v>
      </c>
      <c r="N3563" t="s">
        <v>635</v>
      </c>
      <c r="O3563" t="s">
        <v>637</v>
      </c>
    </row>
    <row r="3564" spans="1:15" x14ac:dyDescent="0.35">
      <c r="A3564" s="77">
        <v>0.26301369863013696</v>
      </c>
      <c r="B3564" s="19">
        <v>100118</v>
      </c>
      <c r="C3564" s="19" t="s">
        <v>5855</v>
      </c>
      <c r="D3564" s="19" t="s">
        <v>349</v>
      </c>
      <c r="E3564" s="19" t="s">
        <v>350</v>
      </c>
      <c r="F3564" s="19" t="s">
        <v>912</v>
      </c>
      <c r="G3564" s="19" t="s">
        <v>1028</v>
      </c>
      <c r="H3564" s="19" t="s">
        <v>1020</v>
      </c>
      <c r="I3564" s="19" t="s">
        <v>1575</v>
      </c>
      <c r="J3564" s="20">
        <v>30</v>
      </c>
      <c r="K3564" t="s">
        <v>625</v>
      </c>
      <c r="L3564" t="s">
        <v>648</v>
      </c>
      <c r="M3564" t="s">
        <v>623</v>
      </c>
      <c r="N3564" t="s">
        <v>624</v>
      </c>
      <c r="O3564" t="s">
        <v>649</v>
      </c>
    </row>
    <row r="3565" spans="1:15" x14ac:dyDescent="0.35">
      <c r="A3565" s="77">
        <v>0.26301369863013696</v>
      </c>
      <c r="B3565" s="19">
        <v>100119</v>
      </c>
      <c r="C3565" s="19" t="s">
        <v>5856</v>
      </c>
      <c r="D3565" s="19" t="s">
        <v>355</v>
      </c>
      <c r="E3565" s="19" t="s">
        <v>356</v>
      </c>
      <c r="F3565" s="19" t="s">
        <v>1100</v>
      </c>
      <c r="G3565" s="19" t="s">
        <v>1057</v>
      </c>
      <c r="H3565" s="19" t="s">
        <v>1001</v>
      </c>
      <c r="I3565" s="19" t="s">
        <v>1575</v>
      </c>
      <c r="J3565" s="20">
        <v>23</v>
      </c>
      <c r="K3565" t="s">
        <v>625</v>
      </c>
      <c r="L3565" t="s">
        <v>622</v>
      </c>
      <c r="M3565" t="s">
        <v>623</v>
      </c>
      <c r="N3565" t="s">
        <v>624</v>
      </c>
      <c r="O3565" t="s">
        <v>649</v>
      </c>
    </row>
    <row r="3566" spans="1:15" x14ac:dyDescent="0.35">
      <c r="A3566" s="77">
        <v>0.26301369863013696</v>
      </c>
      <c r="B3566" s="19">
        <v>100121</v>
      </c>
      <c r="C3566" s="19" t="s">
        <v>5857</v>
      </c>
      <c r="D3566" s="19" t="s">
        <v>153</v>
      </c>
      <c r="E3566" s="19" t="s">
        <v>154</v>
      </c>
      <c r="F3566" s="19" t="s">
        <v>2384</v>
      </c>
      <c r="G3566" s="19" t="s">
        <v>1028</v>
      </c>
      <c r="H3566" s="19" t="s">
        <v>1020</v>
      </c>
      <c r="I3566" s="19" t="s">
        <v>1575</v>
      </c>
      <c r="J3566" s="20">
        <v>33</v>
      </c>
      <c r="K3566" t="s">
        <v>654</v>
      </c>
      <c r="L3566" t="s">
        <v>762</v>
      </c>
      <c r="M3566" t="s">
        <v>629</v>
      </c>
      <c r="N3566" t="s">
        <v>646</v>
      </c>
      <c r="O3566" t="s">
        <v>763</v>
      </c>
    </row>
    <row r="3567" spans="1:15" x14ac:dyDescent="0.35">
      <c r="A3567" s="77">
        <v>0.26301369863013696</v>
      </c>
      <c r="B3567" s="19">
        <v>100122</v>
      </c>
      <c r="C3567" s="19" t="s">
        <v>5858</v>
      </c>
      <c r="D3567" s="19" t="s">
        <v>600</v>
      </c>
      <c r="E3567" s="19" t="e">
        <v>#N/A</v>
      </c>
      <c r="F3567" s="19" t="s">
        <v>1201</v>
      </c>
      <c r="G3567" s="19" t="s">
        <v>1028</v>
      </c>
      <c r="H3567" s="19" t="s">
        <v>1020</v>
      </c>
      <c r="I3567" s="19" t="s">
        <v>1575</v>
      </c>
      <c r="J3567" s="20">
        <v>19</v>
      </c>
      <c r="K3567" t="s">
        <v>668</v>
      </c>
      <c r="L3567" t="s">
        <v>622</v>
      </c>
      <c r="M3567" t="s">
        <v>623</v>
      </c>
      <c r="N3567" t="s">
        <v>624</v>
      </c>
      <c r="O3567" t="s">
        <v>649</v>
      </c>
    </row>
    <row r="3568" spans="1:15" x14ac:dyDescent="0.35">
      <c r="A3568" s="77">
        <v>0.26027397260273971</v>
      </c>
      <c r="B3568" s="19">
        <v>100124</v>
      </c>
      <c r="C3568" s="19" t="s">
        <v>5859</v>
      </c>
      <c r="D3568" s="19" t="s">
        <v>23</v>
      </c>
      <c r="E3568" s="19" t="s">
        <v>23</v>
      </c>
      <c r="F3568" s="19" t="s">
        <v>660</v>
      </c>
      <c r="G3568" s="19" t="s">
        <v>1019</v>
      </c>
      <c r="H3568" s="19" t="s">
        <v>1020</v>
      </c>
      <c r="I3568" s="19" t="s">
        <v>1599</v>
      </c>
      <c r="J3568" s="20">
        <v>19</v>
      </c>
      <c r="K3568" t="s">
        <v>631</v>
      </c>
      <c r="L3568" t="s">
        <v>661</v>
      </c>
      <c r="M3568" t="s">
        <v>657</v>
      </c>
      <c r="N3568" t="s">
        <v>662</v>
      </c>
      <c r="O3568" t="s">
        <v>632</v>
      </c>
    </row>
    <row r="3569" spans="1:15" x14ac:dyDescent="0.35">
      <c r="A3569" s="77">
        <v>0.26027397260273971</v>
      </c>
      <c r="B3569" s="19">
        <v>100126</v>
      </c>
      <c r="C3569" s="19" t="s">
        <v>5860</v>
      </c>
      <c r="D3569" s="19" t="s">
        <v>32</v>
      </c>
      <c r="E3569" s="19" t="s">
        <v>33</v>
      </c>
      <c r="F3569" s="19" t="s">
        <v>1154</v>
      </c>
      <c r="G3569" s="19" t="s">
        <v>1046</v>
      </c>
      <c r="H3569" s="19" t="s">
        <v>1001</v>
      </c>
      <c r="I3569" s="19" t="s">
        <v>1575</v>
      </c>
      <c r="J3569" s="20">
        <v>24</v>
      </c>
      <c r="K3569" t="s">
        <v>654</v>
      </c>
      <c r="L3569" t="s">
        <v>622</v>
      </c>
      <c r="M3569" t="s">
        <v>623</v>
      </c>
      <c r="N3569" t="s">
        <v>624</v>
      </c>
      <c r="O3569" t="s">
        <v>681</v>
      </c>
    </row>
    <row r="3570" spans="1:15" x14ac:dyDescent="0.35">
      <c r="A3570" s="77">
        <v>0.26027397260273971</v>
      </c>
      <c r="B3570" s="19">
        <v>100127</v>
      </c>
      <c r="C3570" s="19" t="s">
        <v>5861</v>
      </c>
      <c r="D3570" s="19" t="s">
        <v>204</v>
      </c>
      <c r="E3570" s="19" t="s">
        <v>205</v>
      </c>
      <c r="F3570" s="19" t="s">
        <v>1090</v>
      </c>
      <c r="G3570" s="19" t="s">
        <v>1028</v>
      </c>
      <c r="H3570" s="19" t="s">
        <v>1020</v>
      </c>
      <c r="I3570" s="19" t="s">
        <v>1575</v>
      </c>
      <c r="J3570" s="20">
        <v>24</v>
      </c>
      <c r="K3570" t="s">
        <v>668</v>
      </c>
      <c r="L3570" t="s">
        <v>634</v>
      </c>
      <c r="M3570" t="s">
        <v>629</v>
      </c>
      <c r="N3570" t="s">
        <v>635</v>
      </c>
      <c r="O3570" t="s">
        <v>637</v>
      </c>
    </row>
    <row r="3571" spans="1:15" x14ac:dyDescent="0.35">
      <c r="A3571" s="77">
        <v>0.26027397260273971</v>
      </c>
      <c r="B3571" s="19">
        <v>100128</v>
      </c>
      <c r="C3571" s="19" t="s">
        <v>5862</v>
      </c>
      <c r="D3571" s="19" t="s">
        <v>111</v>
      </c>
      <c r="E3571" s="19" t="s">
        <v>112</v>
      </c>
      <c r="F3571" s="19" t="s">
        <v>1083</v>
      </c>
      <c r="G3571" s="19" t="s">
        <v>1028</v>
      </c>
      <c r="H3571" s="19" t="s">
        <v>1020</v>
      </c>
      <c r="I3571" s="19" t="s">
        <v>1575</v>
      </c>
      <c r="J3571" s="20">
        <v>21</v>
      </c>
      <c r="K3571" t="s">
        <v>654</v>
      </c>
      <c r="L3571" t="s">
        <v>651</v>
      </c>
      <c r="M3571" t="s">
        <v>629</v>
      </c>
      <c r="N3571" t="s">
        <v>630</v>
      </c>
      <c r="O3571" t="s">
        <v>652</v>
      </c>
    </row>
    <row r="3572" spans="1:15" x14ac:dyDescent="0.35">
      <c r="A3572" s="77">
        <v>0.26027397260273971</v>
      </c>
      <c r="B3572" s="19">
        <v>100129</v>
      </c>
      <c r="C3572" s="19" t="s">
        <v>5863</v>
      </c>
      <c r="D3572" s="19" t="s">
        <v>324</v>
      </c>
      <c r="E3572" s="19" t="s">
        <v>325</v>
      </c>
      <c r="F3572" s="19" t="s">
        <v>1284</v>
      </c>
      <c r="G3572" s="19" t="s">
        <v>1028</v>
      </c>
      <c r="H3572" s="19" t="s">
        <v>1020</v>
      </c>
      <c r="I3572" s="19" t="s">
        <v>1575</v>
      </c>
      <c r="J3572" s="20">
        <v>22</v>
      </c>
      <c r="K3572" t="s">
        <v>631</v>
      </c>
      <c r="L3572" t="s">
        <v>663</v>
      </c>
      <c r="M3572" t="s">
        <v>629</v>
      </c>
      <c r="N3572" t="s">
        <v>646</v>
      </c>
      <c r="O3572" t="s">
        <v>639</v>
      </c>
    </row>
    <row r="3573" spans="1:15" x14ac:dyDescent="0.35">
      <c r="A3573" s="77">
        <v>0.26027397260273971</v>
      </c>
      <c r="B3573" s="19">
        <v>100132</v>
      </c>
      <c r="C3573" s="19" t="s">
        <v>5864</v>
      </c>
      <c r="D3573" s="19" t="s">
        <v>273</v>
      </c>
      <c r="E3573" s="19" t="s">
        <v>274</v>
      </c>
      <c r="F3573" s="19" t="s">
        <v>1093</v>
      </c>
      <c r="G3573" s="19" t="s">
        <v>1008</v>
      </c>
      <c r="H3573" s="19" t="s">
        <v>1001</v>
      </c>
      <c r="I3573" s="19" t="s">
        <v>1575</v>
      </c>
      <c r="J3573" s="20">
        <v>20</v>
      </c>
      <c r="K3573" t="s">
        <v>636</v>
      </c>
      <c r="L3573" t="s">
        <v>663</v>
      </c>
      <c r="M3573" t="s">
        <v>629</v>
      </c>
      <c r="N3573" t="s">
        <v>646</v>
      </c>
      <c r="O3573" t="s">
        <v>639</v>
      </c>
    </row>
    <row r="3574" spans="1:15" x14ac:dyDescent="0.35">
      <c r="A3574" s="77">
        <v>0.26027397260273971</v>
      </c>
      <c r="B3574" s="19">
        <v>100134</v>
      </c>
      <c r="C3574" s="19" t="s">
        <v>5865</v>
      </c>
      <c r="D3574" s="19" t="s">
        <v>191</v>
      </c>
      <c r="E3574" s="19" t="s">
        <v>192</v>
      </c>
      <c r="F3574" s="19" t="s">
        <v>1626</v>
      </c>
      <c r="G3574" s="19" t="s">
        <v>3508</v>
      </c>
      <c r="H3574" s="19" t="s">
        <v>1020</v>
      </c>
      <c r="I3574" s="19" t="s">
        <v>1575</v>
      </c>
      <c r="J3574" s="20">
        <v>17</v>
      </c>
      <c r="K3574" t="s">
        <v>654</v>
      </c>
      <c r="L3574" t="s">
        <v>673</v>
      </c>
      <c r="M3574" t="s">
        <v>623</v>
      </c>
      <c r="N3574" t="s">
        <v>641</v>
      </c>
      <c r="O3574" t="s">
        <v>779</v>
      </c>
    </row>
    <row r="3575" spans="1:15" x14ac:dyDescent="0.35">
      <c r="A3575" s="77">
        <v>0.24931506849315069</v>
      </c>
      <c r="B3575" s="19">
        <v>100135</v>
      </c>
      <c r="C3575" s="19" t="s">
        <v>5866</v>
      </c>
      <c r="D3575" s="19" t="s">
        <v>100</v>
      </c>
      <c r="E3575" s="19" t="s">
        <v>101</v>
      </c>
      <c r="F3575" s="19" t="s">
        <v>2786</v>
      </c>
      <c r="G3575" s="19" t="s">
        <v>1028</v>
      </c>
      <c r="H3575" s="19" t="s">
        <v>1020</v>
      </c>
      <c r="I3575" s="19" t="s">
        <v>1575</v>
      </c>
      <c r="J3575" s="20">
        <v>18</v>
      </c>
      <c r="K3575" t="s">
        <v>654</v>
      </c>
      <c r="L3575" t="s">
        <v>651</v>
      </c>
      <c r="M3575" t="s">
        <v>629</v>
      </c>
      <c r="N3575" t="s">
        <v>630</v>
      </c>
      <c r="O3575" t="s">
        <v>705</v>
      </c>
    </row>
    <row r="3576" spans="1:15" x14ac:dyDescent="0.35">
      <c r="A3576" s="77">
        <v>0.25753424657534246</v>
      </c>
      <c r="B3576" s="19">
        <v>100140</v>
      </c>
      <c r="C3576" s="19" t="s">
        <v>5867</v>
      </c>
      <c r="D3576" s="19" t="s">
        <v>68</v>
      </c>
      <c r="E3576" s="19" t="s">
        <v>69</v>
      </c>
      <c r="F3576" s="19" t="s">
        <v>1078</v>
      </c>
      <c r="G3576" s="19" t="s">
        <v>1028</v>
      </c>
      <c r="H3576" s="19" t="s">
        <v>1020</v>
      </c>
      <c r="I3576" s="19" t="s">
        <v>1599</v>
      </c>
      <c r="J3576" s="20">
        <v>18</v>
      </c>
      <c r="K3576" t="s">
        <v>636</v>
      </c>
      <c r="L3576" t="s">
        <v>670</v>
      </c>
      <c r="M3576" t="s">
        <v>657</v>
      </c>
      <c r="N3576" t="s">
        <v>641</v>
      </c>
      <c r="O3576" t="s">
        <v>671</v>
      </c>
    </row>
    <row r="3577" spans="1:15" x14ac:dyDescent="0.35">
      <c r="A3577" s="77">
        <v>0.25753424657534246</v>
      </c>
      <c r="B3577" s="19">
        <v>100142</v>
      </c>
      <c r="C3577" s="19" t="s">
        <v>5868</v>
      </c>
      <c r="D3577" s="19" t="s">
        <v>169</v>
      </c>
      <c r="E3577" s="19" t="s">
        <v>170</v>
      </c>
      <c r="F3577" s="19" t="s">
        <v>1274</v>
      </c>
      <c r="G3577" s="19" t="s">
        <v>1028</v>
      </c>
      <c r="H3577" s="19" t="s">
        <v>1020</v>
      </c>
      <c r="I3577" s="19" t="s">
        <v>1575</v>
      </c>
      <c r="J3577" s="20">
        <v>20</v>
      </c>
      <c r="K3577" t="s">
        <v>631</v>
      </c>
      <c r="L3577" t="s">
        <v>670</v>
      </c>
      <c r="M3577" t="s">
        <v>657</v>
      </c>
      <c r="N3577" t="s">
        <v>641</v>
      </c>
      <c r="O3577" t="s">
        <v>772</v>
      </c>
    </row>
    <row r="3578" spans="1:15" x14ac:dyDescent="0.35">
      <c r="A3578" s="77">
        <v>0.25753424657534246</v>
      </c>
      <c r="B3578" s="19">
        <v>100144</v>
      </c>
      <c r="C3578" s="19" t="s">
        <v>5869</v>
      </c>
      <c r="D3578" s="19" t="s">
        <v>429</v>
      </c>
      <c r="E3578" s="19" t="s">
        <v>429</v>
      </c>
      <c r="F3578" s="19" t="s">
        <v>1240</v>
      </c>
      <c r="G3578" s="19" t="s">
        <v>1084</v>
      </c>
      <c r="H3578" s="19" t="s">
        <v>1001</v>
      </c>
      <c r="I3578" s="19" t="s">
        <v>1575</v>
      </c>
      <c r="J3578" s="20">
        <v>33</v>
      </c>
      <c r="K3578" t="s">
        <v>654</v>
      </c>
      <c r="L3578" t="s">
        <v>678</v>
      </c>
      <c r="M3578" t="s">
        <v>623</v>
      </c>
      <c r="N3578" t="s">
        <v>624</v>
      </c>
      <c r="O3578" t="s">
        <v>679</v>
      </c>
    </row>
    <row r="3579" spans="1:15" x14ac:dyDescent="0.35">
      <c r="A3579" s="77">
        <v>0.25753424657534246</v>
      </c>
      <c r="B3579" s="19">
        <v>100145</v>
      </c>
      <c r="C3579" s="19" t="s">
        <v>5870</v>
      </c>
      <c r="D3579" s="19" t="s">
        <v>42</v>
      </c>
      <c r="E3579" s="19" t="s">
        <v>42</v>
      </c>
      <c r="F3579" s="19" t="s">
        <v>1262</v>
      </c>
      <c r="G3579" s="19" t="s">
        <v>1019</v>
      </c>
      <c r="H3579" s="19" t="s">
        <v>1020</v>
      </c>
      <c r="I3579" s="19" t="s">
        <v>1575</v>
      </c>
      <c r="J3579" s="20">
        <v>21</v>
      </c>
      <c r="K3579" t="s">
        <v>625</v>
      </c>
      <c r="L3579" t="s">
        <v>628</v>
      </c>
      <c r="M3579" t="s">
        <v>629</v>
      </c>
      <c r="N3579" t="s">
        <v>630</v>
      </c>
      <c r="O3579" t="s">
        <v>632</v>
      </c>
    </row>
    <row r="3580" spans="1:15" x14ac:dyDescent="0.35">
      <c r="A3580" s="77">
        <v>0.24931506849315069</v>
      </c>
      <c r="B3580" s="19">
        <v>100146</v>
      </c>
      <c r="C3580" s="19" t="s">
        <v>5871</v>
      </c>
      <c r="D3580" s="19" t="s">
        <v>421</v>
      </c>
      <c r="E3580" s="19" t="s">
        <v>421</v>
      </c>
      <c r="F3580" s="19" t="s">
        <v>698</v>
      </c>
      <c r="G3580" s="19" t="s">
        <v>1008</v>
      </c>
      <c r="H3580" s="19" t="s">
        <v>1001</v>
      </c>
      <c r="I3580" s="19" t="s">
        <v>1575</v>
      </c>
      <c r="J3580" s="20">
        <v>19</v>
      </c>
      <c r="K3580" t="s">
        <v>636</v>
      </c>
      <c r="L3580" t="s">
        <v>678</v>
      </c>
      <c r="M3580" t="s">
        <v>623</v>
      </c>
      <c r="N3580" t="s">
        <v>624</v>
      </c>
      <c r="O3580" t="s">
        <v>679</v>
      </c>
    </row>
    <row r="3581" spans="1:15" x14ac:dyDescent="0.35">
      <c r="A3581" s="77">
        <v>0.24931506849315069</v>
      </c>
      <c r="B3581" s="19">
        <v>100154</v>
      </c>
      <c r="C3581" s="19" t="s">
        <v>5872</v>
      </c>
      <c r="D3581" s="19" t="s">
        <v>276</v>
      </c>
      <c r="E3581" s="19" t="s">
        <v>277</v>
      </c>
      <c r="F3581" s="19" t="s">
        <v>893</v>
      </c>
      <c r="G3581" s="19" t="s">
        <v>1046</v>
      </c>
      <c r="H3581" s="19" t="s">
        <v>1001</v>
      </c>
      <c r="I3581" s="19" t="s">
        <v>1575</v>
      </c>
      <c r="J3581" s="20">
        <v>30</v>
      </c>
      <c r="K3581" t="s">
        <v>631</v>
      </c>
      <c r="L3581" t="s">
        <v>707</v>
      </c>
      <c r="M3581" t="s">
        <v>629</v>
      </c>
      <c r="N3581" t="s">
        <v>635</v>
      </c>
      <c r="O3581" t="s">
        <v>710</v>
      </c>
    </row>
    <row r="3582" spans="1:15" x14ac:dyDescent="0.35">
      <c r="A3582" s="77">
        <v>0.25479452054794521</v>
      </c>
      <c r="B3582" s="19">
        <v>100157</v>
      </c>
      <c r="C3582" s="19" t="s">
        <v>5873</v>
      </c>
      <c r="D3582" s="19" t="s">
        <v>428</v>
      </c>
      <c r="E3582" s="19" t="s">
        <v>428</v>
      </c>
      <c r="F3582" s="19" t="s">
        <v>1063</v>
      </c>
      <c r="G3582" s="19" t="s">
        <v>1028</v>
      </c>
      <c r="H3582" s="19" t="s">
        <v>1020</v>
      </c>
      <c r="I3582" s="19" t="s">
        <v>1599</v>
      </c>
      <c r="J3582" s="20">
        <v>22</v>
      </c>
      <c r="K3582" t="s">
        <v>668</v>
      </c>
      <c r="L3582" t="s">
        <v>656</v>
      </c>
      <c r="M3582" t="s">
        <v>657</v>
      </c>
      <c r="N3582" t="s">
        <v>658</v>
      </c>
      <c r="O3582" t="s">
        <v>632</v>
      </c>
    </row>
    <row r="3583" spans="1:15" x14ac:dyDescent="0.35">
      <c r="A3583" s="77">
        <v>0.24931506849315069</v>
      </c>
      <c r="B3583" s="19">
        <v>100159</v>
      </c>
      <c r="C3583" s="19" t="s">
        <v>5874</v>
      </c>
      <c r="D3583" s="19" t="s">
        <v>76</v>
      </c>
      <c r="E3583" s="19" t="s">
        <v>77</v>
      </c>
      <c r="F3583" s="19" t="s">
        <v>899</v>
      </c>
      <c r="G3583" s="19" t="s">
        <v>1028</v>
      </c>
      <c r="H3583" s="19" t="s">
        <v>1020</v>
      </c>
      <c r="I3583" s="19" t="s">
        <v>1575</v>
      </c>
      <c r="J3583" s="20">
        <v>21</v>
      </c>
      <c r="K3583" t="s">
        <v>636</v>
      </c>
      <c r="L3583" t="s">
        <v>645</v>
      </c>
      <c r="M3583" t="s">
        <v>629</v>
      </c>
      <c r="N3583" t="s">
        <v>646</v>
      </c>
      <c r="O3583" t="s">
        <v>632</v>
      </c>
    </row>
    <row r="3584" spans="1:15" x14ac:dyDescent="0.35">
      <c r="A3584" s="77">
        <v>0.24931506849315069</v>
      </c>
      <c r="B3584" s="19">
        <v>100161</v>
      </c>
      <c r="C3584" s="19" t="s">
        <v>5875</v>
      </c>
      <c r="D3584" s="19" t="s">
        <v>245</v>
      </c>
      <c r="E3584" s="19" t="s">
        <v>246</v>
      </c>
      <c r="F3584" s="19" t="s">
        <v>1365</v>
      </c>
      <c r="G3584" s="19" t="s">
        <v>1028</v>
      </c>
      <c r="H3584" s="19" t="s">
        <v>1020</v>
      </c>
      <c r="I3584" s="19" t="s">
        <v>1599</v>
      </c>
      <c r="J3584" s="20">
        <v>23</v>
      </c>
      <c r="K3584" t="s">
        <v>654</v>
      </c>
      <c r="L3584" t="s">
        <v>678</v>
      </c>
      <c r="M3584" t="s">
        <v>623</v>
      </c>
      <c r="N3584" t="s">
        <v>624</v>
      </c>
      <c r="O3584" t="s">
        <v>679</v>
      </c>
    </row>
    <row r="3585" spans="1:15" x14ac:dyDescent="0.35">
      <c r="A3585" s="77">
        <v>0.24931506849315069</v>
      </c>
      <c r="B3585" s="19">
        <v>100162</v>
      </c>
      <c r="C3585" s="19" t="s">
        <v>5876</v>
      </c>
      <c r="D3585" s="19" t="s">
        <v>375</v>
      </c>
      <c r="E3585" s="19" t="s">
        <v>376</v>
      </c>
      <c r="F3585" s="19" t="s">
        <v>1270</v>
      </c>
      <c r="G3585" s="19" t="s">
        <v>1028</v>
      </c>
      <c r="H3585" s="19" t="s">
        <v>1020</v>
      </c>
      <c r="I3585" s="19" t="s">
        <v>1575</v>
      </c>
      <c r="J3585" s="20">
        <v>19</v>
      </c>
      <c r="K3585" t="s">
        <v>636</v>
      </c>
      <c r="L3585" t="s">
        <v>678</v>
      </c>
      <c r="M3585" t="s">
        <v>623</v>
      </c>
      <c r="N3585" t="s">
        <v>624</v>
      </c>
      <c r="O3585" t="s">
        <v>679</v>
      </c>
    </row>
    <row r="3586" spans="1:15" x14ac:dyDescent="0.35">
      <c r="A3586" s="77">
        <v>0.24931506849315069</v>
      </c>
      <c r="B3586" s="19">
        <v>100167</v>
      </c>
      <c r="C3586" s="19" t="s">
        <v>5877</v>
      </c>
      <c r="D3586" s="19" t="s">
        <v>13</v>
      </c>
      <c r="E3586" s="19" t="s">
        <v>13</v>
      </c>
      <c r="F3586" s="19" t="s">
        <v>1467</v>
      </c>
      <c r="G3586" s="19" t="s">
        <v>1019</v>
      </c>
      <c r="H3586" s="19" t="s">
        <v>1020</v>
      </c>
      <c r="I3586" s="19" t="s">
        <v>1575</v>
      </c>
      <c r="J3586" s="20">
        <v>23</v>
      </c>
      <c r="K3586" t="s">
        <v>631</v>
      </c>
      <c r="L3586" t="s">
        <v>628</v>
      </c>
      <c r="M3586" t="s">
        <v>629</v>
      </c>
      <c r="N3586" t="s">
        <v>630</v>
      </c>
      <c r="O3586" t="s">
        <v>639</v>
      </c>
    </row>
    <row r="3587" spans="1:15" x14ac:dyDescent="0.35">
      <c r="A3587" s="77">
        <v>0.24931506849315069</v>
      </c>
      <c r="B3587" s="19">
        <v>100168</v>
      </c>
      <c r="C3587" s="19" t="s">
        <v>5878</v>
      </c>
      <c r="D3587" s="19" t="s">
        <v>415</v>
      </c>
      <c r="E3587" s="19" t="s">
        <v>416</v>
      </c>
      <c r="F3587" s="19" t="s">
        <v>1199</v>
      </c>
      <c r="G3587" s="19" t="s">
        <v>1019</v>
      </c>
      <c r="H3587" s="19" t="s">
        <v>1020</v>
      </c>
      <c r="I3587" s="19" t="s">
        <v>1575</v>
      </c>
      <c r="J3587" s="20">
        <v>26</v>
      </c>
      <c r="K3587" t="s">
        <v>668</v>
      </c>
      <c r="L3587" t="s">
        <v>666</v>
      </c>
      <c r="M3587" t="s">
        <v>629</v>
      </c>
      <c r="N3587" t="s">
        <v>635</v>
      </c>
      <c r="O3587" t="s">
        <v>637</v>
      </c>
    </row>
    <row r="3588" spans="1:15" x14ac:dyDescent="0.35">
      <c r="A3588" s="77">
        <v>0.24931506849315069</v>
      </c>
      <c r="B3588" s="19">
        <v>100169</v>
      </c>
      <c r="C3588" s="19" t="s">
        <v>5879</v>
      </c>
      <c r="D3588" s="19" t="s">
        <v>284</v>
      </c>
      <c r="E3588" s="19" t="s">
        <v>285</v>
      </c>
      <c r="F3588" s="19" t="s">
        <v>1150</v>
      </c>
      <c r="G3588" s="19" t="s">
        <v>1019</v>
      </c>
      <c r="H3588" s="19" t="s">
        <v>1020</v>
      </c>
      <c r="I3588" s="19" t="s">
        <v>1575</v>
      </c>
      <c r="J3588" s="20">
        <v>20</v>
      </c>
      <c r="K3588" t="s">
        <v>625</v>
      </c>
      <c r="L3588" t="s">
        <v>661</v>
      </c>
      <c r="M3588" t="s">
        <v>657</v>
      </c>
      <c r="N3588" t="s">
        <v>662</v>
      </c>
      <c r="O3588" t="s">
        <v>632</v>
      </c>
    </row>
    <row r="3589" spans="1:15" x14ac:dyDescent="0.35">
      <c r="A3589" s="77">
        <v>0.24931506849315069</v>
      </c>
      <c r="B3589" s="19">
        <v>100170</v>
      </c>
      <c r="C3589" s="19" t="s">
        <v>5880</v>
      </c>
      <c r="D3589" s="19" t="s">
        <v>204</v>
      </c>
      <c r="E3589" s="19" t="s">
        <v>205</v>
      </c>
      <c r="F3589" s="19" t="s">
        <v>1090</v>
      </c>
      <c r="G3589" s="19" t="s">
        <v>1028</v>
      </c>
      <c r="H3589" s="19" t="s">
        <v>1020</v>
      </c>
      <c r="I3589" s="19" t="s">
        <v>1575</v>
      </c>
      <c r="J3589" s="20">
        <v>22</v>
      </c>
      <c r="K3589" t="s">
        <v>668</v>
      </c>
      <c r="L3589" t="s">
        <v>634</v>
      </c>
      <c r="M3589" t="s">
        <v>629</v>
      </c>
      <c r="N3589" t="s">
        <v>635</v>
      </c>
      <c r="O3589" t="s">
        <v>637</v>
      </c>
    </row>
    <row r="3590" spans="1:15" x14ac:dyDescent="0.35">
      <c r="A3590" s="77">
        <v>0.24931506849315069</v>
      </c>
      <c r="B3590" s="19">
        <v>100172</v>
      </c>
      <c r="C3590" s="19" t="s">
        <v>5881</v>
      </c>
      <c r="D3590" s="19" t="s">
        <v>421</v>
      </c>
      <c r="E3590" s="19" t="s">
        <v>421</v>
      </c>
      <c r="F3590" s="19" t="s">
        <v>698</v>
      </c>
      <c r="G3590" s="19" t="s">
        <v>1008</v>
      </c>
      <c r="H3590" s="19" t="s">
        <v>1001</v>
      </c>
      <c r="I3590" s="19" t="s">
        <v>1575</v>
      </c>
      <c r="J3590" s="20">
        <v>23</v>
      </c>
      <c r="K3590" t="s">
        <v>636</v>
      </c>
      <c r="L3590" t="s">
        <v>678</v>
      </c>
      <c r="M3590" t="s">
        <v>623</v>
      </c>
      <c r="N3590" t="s">
        <v>624</v>
      </c>
      <c r="O3590" t="s">
        <v>679</v>
      </c>
    </row>
    <row r="3591" spans="1:15" x14ac:dyDescent="0.35">
      <c r="A3591" s="77">
        <v>0.24931506849315069</v>
      </c>
      <c r="B3591" s="19">
        <v>100173</v>
      </c>
      <c r="C3591" s="19" t="s">
        <v>5882</v>
      </c>
      <c r="D3591" s="19" t="s">
        <v>421</v>
      </c>
      <c r="E3591" s="19" t="s">
        <v>421</v>
      </c>
      <c r="F3591" s="19" t="s">
        <v>698</v>
      </c>
      <c r="G3591" s="19" t="s">
        <v>1008</v>
      </c>
      <c r="H3591" s="19" t="s">
        <v>1001</v>
      </c>
      <c r="I3591" s="19" t="s">
        <v>1575</v>
      </c>
      <c r="J3591" s="20">
        <v>18</v>
      </c>
      <c r="K3591" t="s">
        <v>636</v>
      </c>
      <c r="L3591" t="s">
        <v>678</v>
      </c>
      <c r="M3591" t="s">
        <v>623</v>
      </c>
      <c r="N3591" t="s">
        <v>624</v>
      </c>
      <c r="O3591" t="s">
        <v>679</v>
      </c>
    </row>
    <row r="3592" spans="1:15" x14ac:dyDescent="0.35">
      <c r="A3592" s="77">
        <v>0.24931506849315069</v>
      </c>
      <c r="B3592" s="19">
        <v>100174</v>
      </c>
      <c r="C3592" s="19" t="s">
        <v>5883</v>
      </c>
      <c r="D3592" s="19" t="s">
        <v>343</v>
      </c>
      <c r="E3592" s="19" t="s">
        <v>344</v>
      </c>
      <c r="F3592" s="19" t="s">
        <v>846</v>
      </c>
      <c r="G3592" s="19" t="s">
        <v>1028</v>
      </c>
      <c r="H3592" s="19" t="s">
        <v>1020</v>
      </c>
      <c r="I3592" s="19" t="s">
        <v>1575</v>
      </c>
      <c r="J3592" s="20">
        <v>21</v>
      </c>
      <c r="K3592" t="s">
        <v>642</v>
      </c>
      <c r="L3592" t="s">
        <v>645</v>
      </c>
      <c r="M3592" t="s">
        <v>629</v>
      </c>
      <c r="N3592" t="s">
        <v>646</v>
      </c>
      <c r="O3592" t="s">
        <v>632</v>
      </c>
    </row>
    <row r="3593" spans="1:15" x14ac:dyDescent="0.35">
      <c r="A3593" s="77">
        <v>0.24657534246575341</v>
      </c>
      <c r="B3593" s="19">
        <v>100176</v>
      </c>
      <c r="C3593" s="19" t="s">
        <v>5884</v>
      </c>
      <c r="D3593" s="19" t="s">
        <v>295</v>
      </c>
      <c r="E3593" s="19" t="s">
        <v>296</v>
      </c>
      <c r="F3593" s="19" t="s">
        <v>1095</v>
      </c>
      <c r="G3593" s="19" t="s">
        <v>1008</v>
      </c>
      <c r="H3593" s="19" t="s">
        <v>1001</v>
      </c>
      <c r="I3593" s="19" t="s">
        <v>1599</v>
      </c>
      <c r="J3593" s="20">
        <v>33</v>
      </c>
      <c r="K3593" t="s">
        <v>654</v>
      </c>
      <c r="L3593" t="s">
        <v>651</v>
      </c>
      <c r="M3593" t="s">
        <v>629</v>
      </c>
      <c r="N3593" t="s">
        <v>630</v>
      </c>
      <c r="O3593" t="s">
        <v>705</v>
      </c>
    </row>
    <row r="3594" spans="1:15" x14ac:dyDescent="0.35">
      <c r="A3594" s="77">
        <v>0.24931506849315069</v>
      </c>
      <c r="B3594" s="19">
        <v>100179</v>
      </c>
      <c r="C3594" s="19" t="s">
        <v>5885</v>
      </c>
      <c r="D3594" s="19" t="s">
        <v>349</v>
      </c>
      <c r="E3594" s="19" t="s">
        <v>350</v>
      </c>
      <c r="F3594" s="19" t="s">
        <v>912</v>
      </c>
      <c r="G3594" s="19" t="s">
        <v>1019</v>
      </c>
      <c r="H3594" s="19" t="s">
        <v>1020</v>
      </c>
      <c r="I3594" s="19" t="s">
        <v>1575</v>
      </c>
      <c r="J3594" s="20">
        <v>30</v>
      </c>
      <c r="K3594" t="s">
        <v>625</v>
      </c>
      <c r="L3594" t="s">
        <v>648</v>
      </c>
      <c r="M3594" t="s">
        <v>623</v>
      </c>
      <c r="N3594" t="s">
        <v>624</v>
      </c>
      <c r="O3594" t="s">
        <v>649</v>
      </c>
    </row>
    <row r="3595" spans="1:15" x14ac:dyDescent="0.35">
      <c r="A3595" s="77">
        <v>0.24931506849315069</v>
      </c>
      <c r="B3595" s="19">
        <v>100180</v>
      </c>
      <c r="C3595" s="19" t="s">
        <v>5886</v>
      </c>
      <c r="D3595" s="19" t="s">
        <v>260</v>
      </c>
      <c r="E3595" s="19" t="s">
        <v>261</v>
      </c>
      <c r="F3595" s="19" t="s">
        <v>1109</v>
      </c>
      <c r="G3595" s="19" t="s">
        <v>1028</v>
      </c>
      <c r="H3595" s="19" t="s">
        <v>1020</v>
      </c>
      <c r="I3595" s="19" t="s">
        <v>1575</v>
      </c>
      <c r="J3595" s="20">
        <v>22</v>
      </c>
      <c r="K3595" t="s">
        <v>636</v>
      </c>
      <c r="L3595" t="s">
        <v>656</v>
      </c>
      <c r="M3595" t="s">
        <v>657</v>
      </c>
      <c r="N3595" t="s">
        <v>658</v>
      </c>
      <c r="O3595" t="s">
        <v>808</v>
      </c>
    </row>
    <row r="3596" spans="1:15" x14ac:dyDescent="0.35">
      <c r="A3596" s="77">
        <v>0.24931506849315069</v>
      </c>
      <c r="B3596" s="19">
        <v>100181</v>
      </c>
      <c r="C3596" s="19" t="s">
        <v>5887</v>
      </c>
      <c r="D3596" s="19" t="s">
        <v>337</v>
      </c>
      <c r="E3596" s="19" t="s">
        <v>338</v>
      </c>
      <c r="F3596" s="19" t="s">
        <v>2642</v>
      </c>
      <c r="G3596" s="19" t="s">
        <v>1028</v>
      </c>
      <c r="H3596" s="19" t="s">
        <v>1020</v>
      </c>
      <c r="I3596" s="19" t="s">
        <v>1575</v>
      </c>
      <c r="J3596" s="20">
        <v>19</v>
      </c>
      <c r="K3596" t="s">
        <v>668</v>
      </c>
      <c r="L3596" t="s">
        <v>656</v>
      </c>
      <c r="M3596" t="s">
        <v>657</v>
      </c>
      <c r="N3596" t="s">
        <v>658</v>
      </c>
      <c r="O3596" t="s">
        <v>843</v>
      </c>
    </row>
    <row r="3597" spans="1:15" x14ac:dyDescent="0.35">
      <c r="A3597" s="77">
        <v>0.24931506849315069</v>
      </c>
      <c r="B3597" s="19">
        <v>100183</v>
      </c>
      <c r="C3597" s="19" t="s">
        <v>5888</v>
      </c>
      <c r="D3597" s="19" t="s">
        <v>273</v>
      </c>
      <c r="E3597" s="19" t="s">
        <v>274</v>
      </c>
      <c r="F3597" s="19" t="s">
        <v>1093</v>
      </c>
      <c r="G3597" s="19" t="s">
        <v>1028</v>
      </c>
      <c r="H3597" s="19" t="s">
        <v>1020</v>
      </c>
      <c r="I3597" s="19" t="s">
        <v>1575</v>
      </c>
      <c r="J3597" s="20">
        <v>20</v>
      </c>
      <c r="K3597" t="s">
        <v>636</v>
      </c>
      <c r="L3597" t="s">
        <v>663</v>
      </c>
      <c r="M3597" t="s">
        <v>629</v>
      </c>
      <c r="N3597" t="s">
        <v>646</v>
      </c>
      <c r="O3597" t="s">
        <v>639</v>
      </c>
    </row>
    <row r="3598" spans="1:15" x14ac:dyDescent="0.35">
      <c r="A3598" s="77">
        <v>0.24931506849315069</v>
      </c>
      <c r="B3598" s="19">
        <v>100187</v>
      </c>
      <c r="C3598" s="19" t="s">
        <v>5889</v>
      </c>
      <c r="D3598" s="19" t="s">
        <v>228</v>
      </c>
      <c r="E3598" s="19" t="s">
        <v>229</v>
      </c>
      <c r="F3598" s="19" t="s">
        <v>1643</v>
      </c>
      <c r="G3598" s="19" t="s">
        <v>1028</v>
      </c>
      <c r="H3598" s="19" t="s">
        <v>1020</v>
      </c>
      <c r="I3598" s="19" t="s">
        <v>1575</v>
      </c>
      <c r="J3598" s="20">
        <v>22</v>
      </c>
      <c r="K3598" t="s">
        <v>668</v>
      </c>
      <c r="L3598" t="s">
        <v>762</v>
      </c>
      <c r="M3598" t="s">
        <v>629</v>
      </c>
      <c r="N3598" t="s">
        <v>646</v>
      </c>
      <c r="O3598" t="s">
        <v>763</v>
      </c>
    </row>
    <row r="3599" spans="1:15" x14ac:dyDescent="0.35">
      <c r="A3599" s="77">
        <v>0.24931506849315069</v>
      </c>
      <c r="B3599" s="19">
        <v>100188</v>
      </c>
      <c r="C3599" s="19" t="s">
        <v>5890</v>
      </c>
      <c r="D3599" s="19" t="s">
        <v>228</v>
      </c>
      <c r="E3599" s="19" t="s">
        <v>229</v>
      </c>
      <c r="F3599" s="19" t="s">
        <v>1643</v>
      </c>
      <c r="G3599" s="19" t="s">
        <v>1028</v>
      </c>
      <c r="H3599" s="19" t="s">
        <v>1020</v>
      </c>
      <c r="I3599" s="19" t="s">
        <v>1575</v>
      </c>
      <c r="J3599" s="20">
        <v>24</v>
      </c>
      <c r="K3599" t="s">
        <v>668</v>
      </c>
      <c r="L3599" t="s">
        <v>762</v>
      </c>
      <c r="M3599" t="s">
        <v>629</v>
      </c>
      <c r="N3599" t="s">
        <v>646</v>
      </c>
      <c r="O3599" t="s">
        <v>763</v>
      </c>
    </row>
    <row r="3600" spans="1:15" x14ac:dyDescent="0.35">
      <c r="A3600" s="77">
        <v>0.24931506849315069</v>
      </c>
      <c r="B3600" s="19">
        <v>100189</v>
      </c>
      <c r="C3600" s="19" t="s">
        <v>5891</v>
      </c>
      <c r="D3600" s="19" t="s">
        <v>183</v>
      </c>
      <c r="E3600" s="19" t="s">
        <v>184</v>
      </c>
      <c r="F3600" s="19" t="s">
        <v>1532</v>
      </c>
      <c r="G3600" s="19" t="s">
        <v>1045</v>
      </c>
      <c r="H3600" s="19" t="s">
        <v>1001</v>
      </c>
      <c r="I3600" s="19" t="s">
        <v>1575</v>
      </c>
      <c r="J3600" s="20">
        <v>28</v>
      </c>
      <c r="K3600" t="s">
        <v>654</v>
      </c>
      <c r="L3600" t="s">
        <v>648</v>
      </c>
      <c r="M3600" t="s">
        <v>623</v>
      </c>
      <c r="N3600" t="s">
        <v>624</v>
      </c>
      <c r="O3600" t="s">
        <v>725</v>
      </c>
    </row>
    <row r="3601" spans="1:15" x14ac:dyDescent="0.35">
      <c r="A3601" s="77">
        <v>0.24657534246575341</v>
      </c>
      <c r="B3601" s="19">
        <v>100191</v>
      </c>
      <c r="C3601" s="19" t="s">
        <v>5892</v>
      </c>
      <c r="D3601" s="19" t="s">
        <v>167</v>
      </c>
      <c r="E3601" s="19" t="s">
        <v>168</v>
      </c>
      <c r="F3601" s="19" t="s">
        <v>2009</v>
      </c>
      <c r="G3601" s="19" t="s">
        <v>1008</v>
      </c>
      <c r="H3601" s="19" t="s">
        <v>1001</v>
      </c>
      <c r="I3601" s="19" t="s">
        <v>1575</v>
      </c>
      <c r="J3601" s="20">
        <v>31</v>
      </c>
      <c r="K3601" t="s">
        <v>636</v>
      </c>
      <c r="L3601" t="s">
        <v>640</v>
      </c>
      <c r="M3601" t="s">
        <v>623</v>
      </c>
      <c r="N3601" t="s">
        <v>641</v>
      </c>
      <c r="O3601" t="s">
        <v>754</v>
      </c>
    </row>
    <row r="3602" spans="1:15" x14ac:dyDescent="0.35">
      <c r="A3602" s="77">
        <v>0.24657534246575341</v>
      </c>
      <c r="B3602" s="19">
        <v>100192</v>
      </c>
      <c r="C3602" s="19" t="s">
        <v>5893</v>
      </c>
      <c r="D3602" s="19" t="s">
        <v>128</v>
      </c>
      <c r="E3602" s="19" t="s">
        <v>129</v>
      </c>
      <c r="F3602" s="19" t="s">
        <v>1075</v>
      </c>
      <c r="G3602" s="19" t="s">
        <v>1008</v>
      </c>
      <c r="H3602" s="19" t="s">
        <v>1001</v>
      </c>
      <c r="I3602" s="19" t="s">
        <v>1599</v>
      </c>
      <c r="J3602" s="20">
        <v>29</v>
      </c>
      <c r="K3602" t="s">
        <v>636</v>
      </c>
      <c r="L3602" t="s">
        <v>678</v>
      </c>
      <c r="M3602" t="s">
        <v>623</v>
      </c>
      <c r="N3602" t="s">
        <v>624</v>
      </c>
      <c r="O3602" t="s">
        <v>679</v>
      </c>
    </row>
    <row r="3603" spans="1:15" x14ac:dyDescent="0.35">
      <c r="A3603" s="77">
        <v>0.24383561643835616</v>
      </c>
      <c r="B3603" s="19">
        <v>100194</v>
      </c>
      <c r="C3603" s="19" t="s">
        <v>5894</v>
      </c>
      <c r="D3603" s="19" t="s">
        <v>401</v>
      </c>
      <c r="E3603" s="19" t="s">
        <v>402</v>
      </c>
      <c r="F3603" s="19" t="s">
        <v>1314</v>
      </c>
      <c r="G3603" s="19" t="s">
        <v>1028</v>
      </c>
      <c r="H3603" s="19" t="s">
        <v>1020</v>
      </c>
      <c r="I3603" s="19" t="s">
        <v>1575</v>
      </c>
      <c r="J3603" s="20">
        <v>18</v>
      </c>
      <c r="K3603" t="s">
        <v>668</v>
      </c>
      <c r="L3603" t="s">
        <v>691</v>
      </c>
      <c r="M3603" t="s">
        <v>657</v>
      </c>
      <c r="N3603" t="s">
        <v>658</v>
      </c>
      <c r="O3603" t="s">
        <v>632</v>
      </c>
    </row>
    <row r="3604" spans="1:15" x14ac:dyDescent="0.35">
      <c r="A3604" s="77">
        <v>0.24383561643835616</v>
      </c>
      <c r="B3604" s="19">
        <v>100195</v>
      </c>
      <c r="C3604" s="19" t="s">
        <v>5895</v>
      </c>
      <c r="D3604" s="19" t="s">
        <v>66</v>
      </c>
      <c r="E3604" s="19" t="s">
        <v>67</v>
      </c>
      <c r="F3604" s="19" t="s">
        <v>1708</v>
      </c>
      <c r="G3604" s="19" t="s">
        <v>1057</v>
      </c>
      <c r="H3604" s="19" t="s">
        <v>1001</v>
      </c>
      <c r="I3604" s="19" t="s">
        <v>1599</v>
      </c>
      <c r="J3604" s="20">
        <v>22</v>
      </c>
      <c r="K3604" t="s">
        <v>654</v>
      </c>
      <c r="L3604" t="s">
        <v>645</v>
      </c>
      <c r="M3604" t="s">
        <v>629</v>
      </c>
      <c r="N3604" t="s">
        <v>646</v>
      </c>
      <c r="O3604" t="s">
        <v>632</v>
      </c>
    </row>
    <row r="3605" spans="1:15" x14ac:dyDescent="0.35">
      <c r="A3605" s="77">
        <v>0.24383561643835616</v>
      </c>
      <c r="B3605" s="19">
        <v>100196</v>
      </c>
      <c r="C3605" s="19" t="s">
        <v>5896</v>
      </c>
      <c r="D3605" s="19" t="s">
        <v>424</v>
      </c>
      <c r="E3605" s="19" t="s">
        <v>424</v>
      </c>
      <c r="F3605" s="19" t="s">
        <v>699</v>
      </c>
      <c r="G3605" s="19" t="s">
        <v>1028</v>
      </c>
      <c r="H3605" s="19" t="s">
        <v>1020</v>
      </c>
      <c r="I3605" s="19" t="s">
        <v>1575</v>
      </c>
      <c r="J3605" s="20">
        <v>18</v>
      </c>
      <c r="K3605" t="s">
        <v>642</v>
      </c>
      <c r="L3605" t="s">
        <v>628</v>
      </c>
      <c r="M3605" t="s">
        <v>629</v>
      </c>
      <c r="N3605" t="s">
        <v>646</v>
      </c>
      <c r="O3605" t="s">
        <v>632</v>
      </c>
    </row>
    <row r="3606" spans="1:15" x14ac:dyDescent="0.35">
      <c r="A3606" s="77">
        <v>0.24383561643835616</v>
      </c>
      <c r="B3606" s="19">
        <v>100197</v>
      </c>
      <c r="C3606" s="19" t="s">
        <v>5897</v>
      </c>
      <c r="D3606" s="19" t="s">
        <v>424</v>
      </c>
      <c r="E3606" s="19" t="s">
        <v>424</v>
      </c>
      <c r="F3606" s="19" t="s">
        <v>699</v>
      </c>
      <c r="G3606" s="19" t="s">
        <v>1028</v>
      </c>
      <c r="H3606" s="19" t="s">
        <v>1020</v>
      </c>
      <c r="I3606" s="19" t="s">
        <v>1575</v>
      </c>
      <c r="J3606" s="20">
        <v>18</v>
      </c>
      <c r="K3606" t="s">
        <v>642</v>
      </c>
      <c r="L3606" t="s">
        <v>628</v>
      </c>
      <c r="M3606" t="s">
        <v>629</v>
      </c>
      <c r="N3606" t="s">
        <v>646</v>
      </c>
      <c r="O3606" t="s">
        <v>632</v>
      </c>
    </row>
    <row r="3607" spans="1:15" x14ac:dyDescent="0.35">
      <c r="A3607" s="77">
        <v>0.24383561643835616</v>
      </c>
      <c r="B3607" s="19">
        <v>100198</v>
      </c>
      <c r="C3607" s="19" t="s">
        <v>5898</v>
      </c>
      <c r="D3607" s="19" t="s">
        <v>318</v>
      </c>
      <c r="E3607" s="19" t="s">
        <v>319</v>
      </c>
      <c r="F3607" s="19" t="s">
        <v>1266</v>
      </c>
      <c r="G3607" s="19" t="s">
        <v>1028</v>
      </c>
      <c r="H3607" s="19" t="s">
        <v>1020</v>
      </c>
      <c r="I3607" s="19" t="s">
        <v>1575</v>
      </c>
      <c r="J3607" s="20">
        <v>19</v>
      </c>
      <c r="K3607" t="s">
        <v>625</v>
      </c>
      <c r="L3607" t="s">
        <v>678</v>
      </c>
      <c r="M3607" t="s">
        <v>623</v>
      </c>
      <c r="N3607" t="s">
        <v>624</v>
      </c>
      <c r="O3607" t="s">
        <v>679</v>
      </c>
    </row>
    <row r="3608" spans="1:15" x14ac:dyDescent="0.35">
      <c r="A3608" s="77">
        <v>0.24383561643835616</v>
      </c>
      <c r="B3608" s="19">
        <v>100200</v>
      </c>
      <c r="C3608" s="19" t="s">
        <v>5899</v>
      </c>
      <c r="D3608" s="19" t="s">
        <v>393</v>
      </c>
      <c r="E3608" s="19" t="s">
        <v>394</v>
      </c>
      <c r="F3608" s="19" t="s">
        <v>865</v>
      </c>
      <c r="G3608" s="19" t="s">
        <v>1028</v>
      </c>
      <c r="H3608" s="19" t="s">
        <v>1020</v>
      </c>
      <c r="I3608" s="19" t="s">
        <v>1575</v>
      </c>
      <c r="J3608" s="20">
        <v>27</v>
      </c>
      <c r="K3608" t="s">
        <v>631</v>
      </c>
      <c r="L3608" t="s">
        <v>684</v>
      </c>
      <c r="M3608" t="s">
        <v>623</v>
      </c>
      <c r="N3608" t="s">
        <v>662</v>
      </c>
      <c r="O3608" t="s">
        <v>685</v>
      </c>
    </row>
    <row r="3609" spans="1:15" x14ac:dyDescent="0.35">
      <c r="A3609" s="77">
        <v>0.24383561643835616</v>
      </c>
      <c r="B3609" s="19">
        <v>100202</v>
      </c>
      <c r="C3609" s="19" t="s">
        <v>5900</v>
      </c>
      <c r="D3609" s="19" t="s">
        <v>311</v>
      </c>
      <c r="E3609" s="19" t="s">
        <v>312</v>
      </c>
      <c r="F3609" s="19" t="s">
        <v>1140</v>
      </c>
      <c r="G3609" s="19" t="s">
        <v>1028</v>
      </c>
      <c r="H3609" s="19" t="s">
        <v>1020</v>
      </c>
      <c r="I3609" s="19" t="s">
        <v>1575</v>
      </c>
      <c r="J3609" s="20">
        <v>25</v>
      </c>
      <c r="K3609" t="s">
        <v>631</v>
      </c>
      <c r="L3609" t="s">
        <v>628</v>
      </c>
      <c r="M3609" t="s">
        <v>629</v>
      </c>
      <c r="N3609" t="s">
        <v>630</v>
      </c>
      <c r="O3609" t="s">
        <v>632</v>
      </c>
    </row>
    <row r="3610" spans="1:15" x14ac:dyDescent="0.35">
      <c r="A3610" s="77">
        <v>0.24383561643835616</v>
      </c>
      <c r="B3610" s="19">
        <v>100204</v>
      </c>
      <c r="C3610" s="19" t="s">
        <v>5901</v>
      </c>
      <c r="D3610" s="19" t="s">
        <v>11</v>
      </c>
      <c r="E3610" s="19" t="s">
        <v>11</v>
      </c>
      <c r="F3610" s="19" t="s">
        <v>627</v>
      </c>
      <c r="G3610" s="19" t="s">
        <v>1028</v>
      </c>
      <c r="H3610" s="19" t="s">
        <v>1020</v>
      </c>
      <c r="I3610" s="19" t="s">
        <v>1575</v>
      </c>
      <c r="J3610" s="20">
        <v>20</v>
      </c>
      <c r="K3610" t="s">
        <v>631</v>
      </c>
      <c r="L3610" t="s">
        <v>628</v>
      </c>
      <c r="M3610" t="s">
        <v>629</v>
      </c>
      <c r="N3610" t="s">
        <v>630</v>
      </c>
      <c r="O3610" t="s">
        <v>632</v>
      </c>
    </row>
    <row r="3611" spans="1:15" x14ac:dyDescent="0.35">
      <c r="A3611" s="77">
        <v>0.24383561643835616</v>
      </c>
      <c r="B3611" s="19">
        <v>100205</v>
      </c>
      <c r="C3611" s="19" t="s">
        <v>5902</v>
      </c>
      <c r="D3611" s="19" t="s">
        <v>140</v>
      </c>
      <c r="E3611" s="19" t="s">
        <v>141</v>
      </c>
      <c r="F3611" s="19" t="s">
        <v>1138</v>
      </c>
      <c r="G3611" s="19" t="s">
        <v>1057</v>
      </c>
      <c r="H3611" s="19" t="s">
        <v>1001</v>
      </c>
      <c r="I3611" s="19" t="s">
        <v>1599</v>
      </c>
      <c r="J3611" s="20">
        <v>32</v>
      </c>
      <c r="K3611" t="s">
        <v>636</v>
      </c>
      <c r="L3611" t="s">
        <v>640</v>
      </c>
      <c r="M3611" t="s">
        <v>623</v>
      </c>
      <c r="N3611" t="s">
        <v>641</v>
      </c>
      <c r="O3611" t="s">
        <v>754</v>
      </c>
    </row>
    <row r="3612" spans="1:15" x14ac:dyDescent="0.35">
      <c r="A3612" s="77">
        <v>0.24383561643835616</v>
      </c>
      <c r="B3612" s="19">
        <v>100211</v>
      </c>
      <c r="C3612" s="19" t="s">
        <v>5903</v>
      </c>
      <c r="D3612" s="19" t="s">
        <v>422</v>
      </c>
      <c r="E3612" s="19" t="s">
        <v>422</v>
      </c>
      <c r="F3612" s="19" t="s">
        <v>423</v>
      </c>
      <c r="G3612" s="19" t="s">
        <v>1008</v>
      </c>
      <c r="H3612" s="19" t="s">
        <v>1001</v>
      </c>
      <c r="I3612" s="19" t="s">
        <v>1575</v>
      </c>
      <c r="J3612" s="20">
        <v>25</v>
      </c>
      <c r="K3612" t="s">
        <v>654</v>
      </c>
      <c r="L3612" t="s">
        <v>673</v>
      </c>
      <c r="M3612" t="s">
        <v>623</v>
      </c>
      <c r="N3612" t="s">
        <v>641</v>
      </c>
      <c r="O3612" t="s">
        <v>697</v>
      </c>
    </row>
    <row r="3613" spans="1:15" x14ac:dyDescent="0.35">
      <c r="A3613" s="77">
        <v>0.24383561643835616</v>
      </c>
      <c r="B3613" s="19">
        <v>100212</v>
      </c>
      <c r="C3613" s="19" t="s">
        <v>5904</v>
      </c>
      <c r="D3613" s="19" t="s">
        <v>422</v>
      </c>
      <c r="E3613" s="19" t="s">
        <v>422</v>
      </c>
      <c r="F3613" s="19" t="s">
        <v>423</v>
      </c>
      <c r="G3613" s="19" t="s">
        <v>1028</v>
      </c>
      <c r="H3613" s="19" t="s">
        <v>1020</v>
      </c>
      <c r="I3613" s="19" t="s">
        <v>1575</v>
      </c>
      <c r="J3613" s="20">
        <v>19</v>
      </c>
      <c r="K3613" t="s">
        <v>654</v>
      </c>
      <c r="L3613" t="s">
        <v>673</v>
      </c>
      <c r="M3613" t="s">
        <v>623</v>
      </c>
      <c r="N3613" t="s">
        <v>641</v>
      </c>
      <c r="O3613" t="s">
        <v>697</v>
      </c>
    </row>
    <row r="3614" spans="1:15" x14ac:dyDescent="0.35">
      <c r="A3614" s="77">
        <v>0.24383561643835616</v>
      </c>
      <c r="B3614" s="19">
        <v>100213</v>
      </c>
      <c r="C3614" s="19" t="s">
        <v>5905</v>
      </c>
      <c r="D3614" s="19" t="s">
        <v>385</v>
      </c>
      <c r="E3614" s="19" t="s">
        <v>386</v>
      </c>
      <c r="F3614" s="19" t="s">
        <v>1059</v>
      </c>
      <c r="G3614" s="19" t="s">
        <v>1028</v>
      </c>
      <c r="H3614" s="19" t="s">
        <v>1020</v>
      </c>
      <c r="I3614" s="19" t="s">
        <v>1575</v>
      </c>
      <c r="J3614" s="20">
        <v>21</v>
      </c>
      <c r="K3614" t="s">
        <v>631</v>
      </c>
      <c r="L3614" t="s">
        <v>663</v>
      </c>
      <c r="M3614" t="s">
        <v>629</v>
      </c>
      <c r="N3614" t="s">
        <v>646</v>
      </c>
      <c r="O3614" t="s">
        <v>810</v>
      </c>
    </row>
    <row r="3615" spans="1:15" x14ac:dyDescent="0.35">
      <c r="A3615" s="77">
        <v>0.24383561643835616</v>
      </c>
      <c r="B3615" s="19">
        <v>100214</v>
      </c>
      <c r="C3615" s="19" t="s">
        <v>5906</v>
      </c>
      <c r="D3615" s="19" t="s">
        <v>326</v>
      </c>
      <c r="E3615" s="19" t="s">
        <v>327</v>
      </c>
      <c r="F3615" s="19" t="s">
        <v>1051</v>
      </c>
      <c r="G3615" s="19" t="s">
        <v>1028</v>
      </c>
      <c r="H3615" s="19" t="s">
        <v>1020</v>
      </c>
      <c r="I3615" s="19" t="s">
        <v>1599</v>
      </c>
      <c r="J3615" s="20">
        <v>25</v>
      </c>
      <c r="K3615" t="s">
        <v>631</v>
      </c>
      <c r="L3615" t="s">
        <v>648</v>
      </c>
      <c r="M3615" t="s">
        <v>623</v>
      </c>
      <c r="N3615" t="s">
        <v>624</v>
      </c>
      <c r="O3615" t="s">
        <v>837</v>
      </c>
    </row>
    <row r="3616" spans="1:15" x14ac:dyDescent="0.35">
      <c r="A3616" s="77">
        <v>0.24383561643835616</v>
      </c>
      <c r="B3616" s="19">
        <v>100220</v>
      </c>
      <c r="C3616" s="19" t="s">
        <v>5907</v>
      </c>
      <c r="D3616" s="19" t="s">
        <v>284</v>
      </c>
      <c r="E3616" s="19" t="s">
        <v>285</v>
      </c>
      <c r="F3616" s="19" t="s">
        <v>1150</v>
      </c>
      <c r="G3616" s="19" t="s">
        <v>1028</v>
      </c>
      <c r="H3616" s="19" t="s">
        <v>1020</v>
      </c>
      <c r="I3616" s="19" t="s">
        <v>1575</v>
      </c>
      <c r="J3616" s="20">
        <v>22</v>
      </c>
      <c r="K3616" t="s">
        <v>625</v>
      </c>
      <c r="L3616" t="s">
        <v>661</v>
      </c>
      <c r="M3616" t="s">
        <v>657</v>
      </c>
      <c r="N3616" t="s">
        <v>662</v>
      </c>
      <c r="O3616" t="s">
        <v>632</v>
      </c>
    </row>
    <row r="3617" spans="1:15" x14ac:dyDescent="0.35">
      <c r="A3617" s="77">
        <v>0.24383561643835616</v>
      </c>
      <c r="B3617" s="19">
        <v>100222</v>
      </c>
      <c r="C3617" s="19" t="s">
        <v>5908</v>
      </c>
      <c r="D3617" s="19" t="s">
        <v>218</v>
      </c>
      <c r="E3617" s="19" t="s">
        <v>219</v>
      </c>
      <c r="F3617" s="19" t="s">
        <v>1372</v>
      </c>
      <c r="G3617" s="19" t="s">
        <v>1028</v>
      </c>
      <c r="H3617" s="19" t="s">
        <v>1020</v>
      </c>
      <c r="I3617" s="19" t="s">
        <v>1575</v>
      </c>
      <c r="J3617" s="20">
        <v>23</v>
      </c>
      <c r="K3617" t="s">
        <v>625</v>
      </c>
      <c r="L3617" t="s">
        <v>661</v>
      </c>
      <c r="M3617" t="s">
        <v>657</v>
      </c>
      <c r="N3617" t="s">
        <v>662</v>
      </c>
      <c r="O3617" t="s">
        <v>632</v>
      </c>
    </row>
    <row r="3618" spans="1:15" x14ac:dyDescent="0.35">
      <c r="A3618" s="77">
        <v>0.24383561643835616</v>
      </c>
      <c r="B3618" s="19">
        <v>100223</v>
      </c>
      <c r="C3618" s="19" t="s">
        <v>5909</v>
      </c>
      <c r="D3618" s="19" t="s">
        <v>351</v>
      </c>
      <c r="E3618" s="19" t="s">
        <v>352</v>
      </c>
      <c r="F3618" s="19" t="s">
        <v>1507</v>
      </c>
      <c r="G3618" s="19" t="s">
        <v>1028</v>
      </c>
      <c r="H3618" s="19" t="s">
        <v>1020</v>
      </c>
      <c r="I3618" s="19" t="s">
        <v>1575</v>
      </c>
      <c r="J3618" s="20">
        <v>19</v>
      </c>
      <c r="K3618" t="s">
        <v>636</v>
      </c>
      <c r="L3618" t="s">
        <v>661</v>
      </c>
      <c r="M3618" t="s">
        <v>657</v>
      </c>
      <c r="N3618" t="s">
        <v>662</v>
      </c>
      <c r="O3618" t="s">
        <v>632</v>
      </c>
    </row>
    <row r="3619" spans="1:15" x14ac:dyDescent="0.35">
      <c r="A3619" s="77">
        <v>0.24383561643835616</v>
      </c>
      <c r="B3619" s="19">
        <v>100224</v>
      </c>
      <c r="C3619" s="19" t="s">
        <v>5910</v>
      </c>
      <c r="D3619" s="19" t="s">
        <v>351</v>
      </c>
      <c r="E3619" s="19" t="s">
        <v>352</v>
      </c>
      <c r="F3619" s="19" t="s">
        <v>1507</v>
      </c>
      <c r="G3619" s="19" t="s">
        <v>1028</v>
      </c>
      <c r="H3619" s="19" t="s">
        <v>1020</v>
      </c>
      <c r="I3619" s="19" t="s">
        <v>1575</v>
      </c>
      <c r="J3619" s="20">
        <v>55</v>
      </c>
      <c r="K3619" t="s">
        <v>636</v>
      </c>
      <c r="L3619" t="s">
        <v>661</v>
      </c>
      <c r="M3619" t="s">
        <v>657</v>
      </c>
      <c r="N3619" t="s">
        <v>662</v>
      </c>
      <c r="O3619" t="s">
        <v>632</v>
      </c>
    </row>
    <row r="3620" spans="1:15" x14ac:dyDescent="0.35">
      <c r="A3620" s="77">
        <v>0.24109589041095891</v>
      </c>
      <c r="B3620" s="19">
        <v>100225</v>
      </c>
      <c r="C3620" s="19" t="s">
        <v>5911</v>
      </c>
      <c r="D3620" s="19" t="s">
        <v>32</v>
      </c>
      <c r="E3620" s="19" t="s">
        <v>33</v>
      </c>
      <c r="F3620" s="19" t="s">
        <v>1154</v>
      </c>
      <c r="G3620" s="19" t="s">
        <v>1028</v>
      </c>
      <c r="H3620" s="19" t="s">
        <v>1020</v>
      </c>
      <c r="I3620" s="19" t="s">
        <v>1575</v>
      </c>
      <c r="J3620" s="20">
        <v>22</v>
      </c>
      <c r="K3620" t="s">
        <v>654</v>
      </c>
      <c r="L3620" t="s">
        <v>622</v>
      </c>
      <c r="M3620" t="s">
        <v>623</v>
      </c>
      <c r="N3620" t="s">
        <v>624</v>
      </c>
      <c r="O3620" t="s">
        <v>681</v>
      </c>
    </row>
    <row r="3621" spans="1:15" x14ac:dyDescent="0.35">
      <c r="A3621" s="77">
        <v>0.24109589041095891</v>
      </c>
      <c r="B3621" s="19">
        <v>100226</v>
      </c>
      <c r="C3621" s="19" t="s">
        <v>5912</v>
      </c>
      <c r="D3621" s="19" t="s">
        <v>157</v>
      </c>
      <c r="E3621" s="19" t="s">
        <v>158</v>
      </c>
      <c r="F3621" s="19" t="s">
        <v>1012</v>
      </c>
      <c r="G3621" s="19" t="s">
        <v>1028</v>
      </c>
      <c r="H3621" s="19" t="s">
        <v>1020</v>
      </c>
      <c r="I3621" s="19" t="s">
        <v>1599</v>
      </c>
      <c r="J3621" s="20">
        <v>19</v>
      </c>
      <c r="K3621" t="s">
        <v>668</v>
      </c>
      <c r="L3621" t="s">
        <v>670</v>
      </c>
      <c r="M3621" t="s">
        <v>657</v>
      </c>
      <c r="N3621" t="s">
        <v>641</v>
      </c>
      <c r="O3621" t="s">
        <v>671</v>
      </c>
    </row>
    <row r="3622" spans="1:15" x14ac:dyDescent="0.35">
      <c r="A3622" s="77">
        <v>0.24109589041095891</v>
      </c>
      <c r="B3622" s="19">
        <v>100230</v>
      </c>
      <c r="C3622" s="19" t="s">
        <v>5913</v>
      </c>
      <c r="D3622" s="19" t="s">
        <v>239</v>
      </c>
      <c r="E3622" s="19" t="s">
        <v>240</v>
      </c>
      <c r="F3622" s="19" t="s">
        <v>798</v>
      </c>
      <c r="G3622" s="19" t="s">
        <v>1028</v>
      </c>
      <c r="H3622" s="19" t="s">
        <v>1020</v>
      </c>
      <c r="I3622" s="19" t="s">
        <v>1575</v>
      </c>
      <c r="J3622" s="20">
        <v>21</v>
      </c>
      <c r="K3622" t="s">
        <v>636</v>
      </c>
      <c r="L3622" t="s">
        <v>628</v>
      </c>
      <c r="M3622" t="s">
        <v>629</v>
      </c>
      <c r="N3622" t="s">
        <v>646</v>
      </c>
      <c r="O3622" t="s">
        <v>632</v>
      </c>
    </row>
    <row r="3623" spans="1:15" x14ac:dyDescent="0.35">
      <c r="A3623" s="77">
        <v>0.24109589041095891</v>
      </c>
      <c r="B3623" s="19">
        <v>100233</v>
      </c>
      <c r="C3623" s="19" t="s">
        <v>5914</v>
      </c>
      <c r="D3623" s="19" t="s">
        <v>311</v>
      </c>
      <c r="E3623" s="19" t="s">
        <v>312</v>
      </c>
      <c r="F3623" s="19" t="s">
        <v>1140</v>
      </c>
      <c r="G3623" s="19" t="s">
        <v>1028</v>
      </c>
      <c r="H3623" s="19" t="s">
        <v>1020</v>
      </c>
      <c r="I3623" s="19" t="s">
        <v>1575</v>
      </c>
      <c r="J3623" s="20">
        <v>18</v>
      </c>
      <c r="K3623" t="s">
        <v>631</v>
      </c>
      <c r="L3623" t="s">
        <v>628</v>
      </c>
      <c r="M3623" t="s">
        <v>629</v>
      </c>
      <c r="N3623" t="s">
        <v>630</v>
      </c>
      <c r="O3623" t="s">
        <v>632</v>
      </c>
    </row>
    <row r="3624" spans="1:15" x14ac:dyDescent="0.35">
      <c r="A3624" s="77">
        <v>0.24109589041095891</v>
      </c>
      <c r="B3624" s="19">
        <v>100236</v>
      </c>
      <c r="C3624" s="19" t="s">
        <v>5915</v>
      </c>
      <c r="D3624" s="19" t="s">
        <v>425</v>
      </c>
      <c r="E3624" s="19" t="s">
        <v>425</v>
      </c>
      <c r="F3624" s="19" t="s">
        <v>1330</v>
      </c>
      <c r="G3624" s="19" t="s">
        <v>1084</v>
      </c>
      <c r="H3624" s="19" t="s">
        <v>1001</v>
      </c>
      <c r="I3624" s="19" t="s">
        <v>1599</v>
      </c>
      <c r="J3624" s="20">
        <v>25</v>
      </c>
      <c r="K3624" t="s">
        <v>654</v>
      </c>
      <c r="L3624" t="s">
        <v>678</v>
      </c>
      <c r="M3624" t="s">
        <v>623</v>
      </c>
      <c r="N3624" t="s">
        <v>624</v>
      </c>
      <c r="O3624" t="s">
        <v>689</v>
      </c>
    </row>
    <row r="3625" spans="1:15" x14ac:dyDescent="0.35">
      <c r="A3625" s="77">
        <v>0.23835616438356164</v>
      </c>
      <c r="B3625" s="19">
        <v>100237</v>
      </c>
      <c r="C3625" s="19" t="s">
        <v>5916</v>
      </c>
      <c r="D3625" s="19" t="s">
        <v>151</v>
      </c>
      <c r="E3625" s="19" t="s">
        <v>152</v>
      </c>
      <c r="F3625" s="19" t="s">
        <v>1557</v>
      </c>
      <c r="G3625" s="19" t="s">
        <v>1028</v>
      </c>
      <c r="H3625" s="19" t="s">
        <v>1020</v>
      </c>
      <c r="I3625" s="19" t="s">
        <v>1575</v>
      </c>
      <c r="J3625" s="20">
        <v>33</v>
      </c>
      <c r="K3625" t="s">
        <v>654</v>
      </c>
      <c r="L3625" t="s">
        <v>691</v>
      </c>
      <c r="M3625" t="s">
        <v>657</v>
      </c>
      <c r="N3625" t="s">
        <v>658</v>
      </c>
      <c r="O3625" t="s">
        <v>632</v>
      </c>
    </row>
    <row r="3626" spans="1:15" x14ac:dyDescent="0.35">
      <c r="A3626" s="77">
        <v>0.24383561643835616</v>
      </c>
      <c r="B3626" s="19">
        <v>100239</v>
      </c>
      <c r="C3626" s="19" t="s">
        <v>5917</v>
      </c>
      <c r="D3626" s="19" t="s">
        <v>245</v>
      </c>
      <c r="E3626" s="19" t="s">
        <v>246</v>
      </c>
      <c r="F3626" s="19" t="s">
        <v>1365</v>
      </c>
      <c r="G3626" s="19" t="s">
        <v>3508</v>
      </c>
      <c r="H3626" s="19" t="s">
        <v>1020</v>
      </c>
      <c r="I3626" s="19" t="s">
        <v>1575</v>
      </c>
      <c r="J3626" s="20">
        <v>18</v>
      </c>
      <c r="K3626" t="s">
        <v>654</v>
      </c>
      <c r="L3626" t="s">
        <v>678</v>
      </c>
      <c r="M3626" t="s">
        <v>623</v>
      </c>
      <c r="N3626" t="s">
        <v>624</v>
      </c>
      <c r="O3626" t="s">
        <v>679</v>
      </c>
    </row>
    <row r="3627" spans="1:15" x14ac:dyDescent="0.35">
      <c r="A3627" s="77">
        <v>0.24383561643835616</v>
      </c>
      <c r="B3627" s="19">
        <v>100241</v>
      </c>
      <c r="C3627" s="19" t="s">
        <v>5918</v>
      </c>
      <c r="D3627" s="19" t="s">
        <v>328</v>
      </c>
      <c r="E3627" s="19" t="s">
        <v>329</v>
      </c>
      <c r="F3627" s="19" t="s">
        <v>838</v>
      </c>
      <c r="G3627" s="19" t="s">
        <v>1028</v>
      </c>
      <c r="H3627" s="19" t="s">
        <v>1020</v>
      </c>
      <c r="I3627" s="19" t="s">
        <v>1575</v>
      </c>
      <c r="J3627" s="20">
        <v>20</v>
      </c>
      <c r="K3627" t="s">
        <v>631</v>
      </c>
      <c r="L3627" t="s">
        <v>645</v>
      </c>
      <c r="M3627" t="s">
        <v>629</v>
      </c>
      <c r="N3627" t="s">
        <v>646</v>
      </c>
      <c r="O3627" t="s">
        <v>632</v>
      </c>
    </row>
    <row r="3628" spans="1:15" x14ac:dyDescent="0.35">
      <c r="A3628" s="77">
        <v>0.24109589041095891</v>
      </c>
      <c r="B3628" s="19">
        <v>100242</v>
      </c>
      <c r="C3628" s="19" t="s">
        <v>5919</v>
      </c>
      <c r="D3628" s="19" t="s">
        <v>341</v>
      </c>
      <c r="E3628" s="19" t="s">
        <v>342</v>
      </c>
      <c r="F3628" s="19" t="s">
        <v>1264</v>
      </c>
      <c r="G3628" s="19" t="s">
        <v>1057</v>
      </c>
      <c r="H3628" s="19" t="s">
        <v>1001</v>
      </c>
      <c r="I3628" s="19" t="s">
        <v>1599</v>
      </c>
      <c r="J3628" s="20">
        <v>20</v>
      </c>
      <c r="K3628" t="s">
        <v>636</v>
      </c>
      <c r="L3628" t="s">
        <v>678</v>
      </c>
      <c r="M3628" t="s">
        <v>623</v>
      </c>
      <c r="N3628" t="s">
        <v>624</v>
      </c>
      <c r="O3628" t="s">
        <v>679</v>
      </c>
    </row>
    <row r="3629" spans="1:15" x14ac:dyDescent="0.35">
      <c r="A3629" s="77">
        <v>0.24109589041095891</v>
      </c>
      <c r="B3629" s="19">
        <v>100243</v>
      </c>
      <c r="C3629" s="19" t="s">
        <v>5920</v>
      </c>
      <c r="D3629" s="19" t="s">
        <v>341</v>
      </c>
      <c r="E3629" s="19" t="s">
        <v>342</v>
      </c>
      <c r="F3629" s="19" t="s">
        <v>1264</v>
      </c>
      <c r="G3629" s="19" t="s">
        <v>1008</v>
      </c>
      <c r="H3629" s="19" t="s">
        <v>1001</v>
      </c>
      <c r="I3629" s="19" t="s">
        <v>1599</v>
      </c>
      <c r="J3629" s="20">
        <v>25</v>
      </c>
      <c r="K3629" t="s">
        <v>636</v>
      </c>
      <c r="L3629" t="s">
        <v>678</v>
      </c>
      <c r="M3629" t="s">
        <v>623</v>
      </c>
      <c r="N3629" t="s">
        <v>624</v>
      </c>
      <c r="O3629" t="s">
        <v>679</v>
      </c>
    </row>
    <row r="3630" spans="1:15" x14ac:dyDescent="0.35">
      <c r="A3630" s="77">
        <v>0.24109589041095891</v>
      </c>
      <c r="B3630" s="19">
        <v>100245</v>
      </c>
      <c r="C3630" s="19" t="s">
        <v>5921</v>
      </c>
      <c r="D3630" s="19" t="s">
        <v>91</v>
      </c>
      <c r="E3630" s="19" t="s">
        <v>92</v>
      </c>
      <c r="F3630" s="19" t="s">
        <v>1113</v>
      </c>
      <c r="G3630" s="19" t="s">
        <v>1028</v>
      </c>
      <c r="H3630" s="19" t="s">
        <v>1020</v>
      </c>
      <c r="I3630" s="19" t="s">
        <v>1575</v>
      </c>
      <c r="J3630" s="20">
        <v>22</v>
      </c>
      <c r="K3630" t="s">
        <v>636</v>
      </c>
      <c r="L3630" t="s">
        <v>634</v>
      </c>
      <c r="M3630" t="s">
        <v>629</v>
      </c>
      <c r="N3630" t="s">
        <v>630</v>
      </c>
      <c r="O3630" t="s">
        <v>734</v>
      </c>
    </row>
    <row r="3631" spans="1:15" x14ac:dyDescent="0.35">
      <c r="A3631" s="77">
        <v>0.24109589041095891</v>
      </c>
      <c r="B3631" s="19">
        <v>100248</v>
      </c>
      <c r="C3631" s="19" t="s">
        <v>5922</v>
      </c>
      <c r="D3631" s="19" t="s">
        <v>293</v>
      </c>
      <c r="E3631" s="19" t="s">
        <v>294</v>
      </c>
      <c r="F3631" s="19" t="s">
        <v>1794</v>
      </c>
      <c r="G3631" s="19" t="s">
        <v>1028</v>
      </c>
      <c r="H3631" s="19" t="s">
        <v>1020</v>
      </c>
      <c r="I3631" s="19" t="s">
        <v>1575</v>
      </c>
      <c r="J3631" s="20">
        <v>42</v>
      </c>
      <c r="K3631" t="s">
        <v>654</v>
      </c>
      <c r="L3631" t="s">
        <v>634</v>
      </c>
      <c r="M3631" t="s">
        <v>629</v>
      </c>
      <c r="N3631" t="s">
        <v>635</v>
      </c>
      <c r="O3631" t="s">
        <v>637</v>
      </c>
    </row>
    <row r="3632" spans="1:15" x14ac:dyDescent="0.35">
      <c r="A3632" s="77">
        <v>0.23835616438356164</v>
      </c>
      <c r="B3632" s="19">
        <v>100249</v>
      </c>
      <c r="C3632" s="19" t="s">
        <v>5923</v>
      </c>
      <c r="D3632" s="19" t="s">
        <v>8</v>
      </c>
      <c r="E3632" s="19" t="s">
        <v>8</v>
      </c>
      <c r="F3632" s="19" t="s">
        <v>1176</v>
      </c>
      <c r="G3632" s="19" t="s">
        <v>1008</v>
      </c>
      <c r="H3632" s="19" t="s">
        <v>1001</v>
      </c>
      <c r="I3632" s="19" t="s">
        <v>1575</v>
      </c>
      <c r="J3632" s="20">
        <v>34</v>
      </c>
      <c r="K3632" t="s">
        <v>625</v>
      </c>
      <c r="L3632" t="s">
        <v>622</v>
      </c>
      <c r="M3632" t="s">
        <v>623</v>
      </c>
      <c r="N3632" t="s">
        <v>624</v>
      </c>
      <c r="O3632" t="s">
        <v>626</v>
      </c>
    </row>
    <row r="3633" spans="1:15" x14ac:dyDescent="0.35">
      <c r="A3633" s="77">
        <v>0.23835616438356164</v>
      </c>
      <c r="B3633" s="19">
        <v>100254</v>
      </c>
      <c r="C3633" s="19" t="s">
        <v>5924</v>
      </c>
      <c r="D3633" s="19" t="s">
        <v>360</v>
      </c>
      <c r="E3633" s="19" t="s">
        <v>361</v>
      </c>
      <c r="F3633" s="19" t="s">
        <v>2312</v>
      </c>
      <c r="G3633" s="19" t="s">
        <v>1028</v>
      </c>
      <c r="H3633" s="19" t="s">
        <v>1020</v>
      </c>
      <c r="I3633" s="19" t="s">
        <v>1575</v>
      </c>
      <c r="J3633" s="20">
        <v>24</v>
      </c>
      <c r="K3633" t="s">
        <v>642</v>
      </c>
      <c r="L3633" t="s">
        <v>670</v>
      </c>
      <c r="M3633" t="s">
        <v>657</v>
      </c>
      <c r="N3633" t="s">
        <v>641</v>
      </c>
      <c r="O3633" t="s">
        <v>671</v>
      </c>
    </row>
    <row r="3634" spans="1:15" x14ac:dyDescent="0.35">
      <c r="A3634" s="77">
        <v>0.23835616438356164</v>
      </c>
      <c r="B3634" s="19">
        <v>100255</v>
      </c>
      <c r="C3634" s="19" t="s">
        <v>5925</v>
      </c>
      <c r="D3634" s="19" t="s">
        <v>13</v>
      </c>
      <c r="E3634" s="19" t="s">
        <v>13</v>
      </c>
      <c r="F3634" s="19" t="s">
        <v>1467</v>
      </c>
      <c r="G3634" s="19" t="s">
        <v>1028</v>
      </c>
      <c r="H3634" s="19" t="s">
        <v>1020</v>
      </c>
      <c r="I3634" s="19" t="s">
        <v>1575</v>
      </c>
      <c r="J3634" s="20">
        <v>21</v>
      </c>
      <c r="K3634" t="s">
        <v>631</v>
      </c>
      <c r="L3634" t="s">
        <v>628</v>
      </c>
      <c r="M3634" t="s">
        <v>629</v>
      </c>
      <c r="N3634" t="s">
        <v>630</v>
      </c>
      <c r="O3634" t="s">
        <v>639</v>
      </c>
    </row>
    <row r="3635" spans="1:15" x14ac:dyDescent="0.35">
      <c r="A3635" s="77">
        <v>0.23835616438356164</v>
      </c>
      <c r="B3635" s="19">
        <v>100257</v>
      </c>
      <c r="C3635" s="19" t="s">
        <v>5926</v>
      </c>
      <c r="D3635" s="19" t="s">
        <v>324</v>
      </c>
      <c r="E3635" s="19" t="s">
        <v>325</v>
      </c>
      <c r="F3635" s="19" t="s">
        <v>1284</v>
      </c>
      <c r="G3635" s="19" t="s">
        <v>1028</v>
      </c>
      <c r="H3635" s="19" t="s">
        <v>1020</v>
      </c>
      <c r="I3635" s="19" t="s">
        <v>1575</v>
      </c>
      <c r="J3635" s="20">
        <v>22</v>
      </c>
      <c r="K3635" t="s">
        <v>631</v>
      </c>
      <c r="L3635" t="s">
        <v>663</v>
      </c>
      <c r="M3635" t="s">
        <v>629</v>
      </c>
      <c r="N3635" t="s">
        <v>646</v>
      </c>
      <c r="O3635" t="s">
        <v>639</v>
      </c>
    </row>
    <row r="3636" spans="1:15" x14ac:dyDescent="0.35">
      <c r="A3636" s="77">
        <v>0.23835616438356164</v>
      </c>
      <c r="B3636" s="19">
        <v>100258</v>
      </c>
      <c r="C3636" s="19" t="s">
        <v>5927</v>
      </c>
      <c r="D3636" s="19" t="s">
        <v>51</v>
      </c>
      <c r="E3636" s="19" t="s">
        <v>52</v>
      </c>
      <c r="F3636" s="19" t="s">
        <v>921</v>
      </c>
      <c r="G3636" s="19" t="s">
        <v>1028</v>
      </c>
      <c r="H3636" s="19" t="s">
        <v>1020</v>
      </c>
      <c r="I3636" s="19" t="s">
        <v>1575</v>
      </c>
      <c r="J3636" s="20">
        <v>19</v>
      </c>
      <c r="K3636" t="s">
        <v>636</v>
      </c>
      <c r="L3636" t="s">
        <v>656</v>
      </c>
      <c r="M3636" t="s">
        <v>657</v>
      </c>
      <c r="N3636" t="s">
        <v>658</v>
      </c>
      <c r="O3636" t="s">
        <v>718</v>
      </c>
    </row>
    <row r="3637" spans="1:15" x14ac:dyDescent="0.35">
      <c r="A3637" s="77">
        <v>0.23835616438356164</v>
      </c>
      <c r="B3637" s="19">
        <v>100261</v>
      </c>
      <c r="C3637" s="19" t="s">
        <v>5928</v>
      </c>
      <c r="D3637" s="19" t="s">
        <v>118</v>
      </c>
      <c r="E3637" s="19" t="s">
        <v>119</v>
      </c>
      <c r="F3637" s="19" t="s">
        <v>1360</v>
      </c>
      <c r="G3637" s="19" t="s">
        <v>1028</v>
      </c>
      <c r="H3637" s="19" t="s">
        <v>1020</v>
      </c>
      <c r="I3637" s="19" t="s">
        <v>1575</v>
      </c>
      <c r="J3637" s="20">
        <v>20</v>
      </c>
      <c r="K3637" t="s">
        <v>625</v>
      </c>
      <c r="L3637" t="s">
        <v>656</v>
      </c>
      <c r="M3637" t="s">
        <v>657</v>
      </c>
      <c r="N3637" t="s">
        <v>658</v>
      </c>
      <c r="O3637" t="s">
        <v>632</v>
      </c>
    </row>
    <row r="3638" spans="1:15" x14ac:dyDescent="0.35">
      <c r="A3638" s="77">
        <v>0.23835616438356164</v>
      </c>
      <c r="B3638" s="19">
        <v>100262</v>
      </c>
      <c r="C3638" s="19" t="s">
        <v>5929</v>
      </c>
      <c r="D3638" s="19" t="s">
        <v>297</v>
      </c>
      <c r="E3638" s="19" t="s">
        <v>298</v>
      </c>
      <c r="F3638" s="19" t="s">
        <v>904</v>
      </c>
      <c r="G3638" s="19" t="s">
        <v>1028</v>
      </c>
      <c r="H3638" s="19" t="s">
        <v>1020</v>
      </c>
      <c r="I3638" s="19" t="s">
        <v>1575</v>
      </c>
      <c r="J3638" s="20">
        <v>19</v>
      </c>
      <c r="K3638" t="s">
        <v>654</v>
      </c>
      <c r="L3638" t="s">
        <v>762</v>
      </c>
      <c r="M3638" t="s">
        <v>629</v>
      </c>
      <c r="N3638" t="s">
        <v>646</v>
      </c>
      <c r="O3638" t="s">
        <v>823</v>
      </c>
    </row>
    <row r="3639" spans="1:15" x14ac:dyDescent="0.35">
      <c r="A3639" s="77">
        <v>0.23561643835616439</v>
      </c>
      <c r="B3639" s="19">
        <v>100264</v>
      </c>
      <c r="C3639" s="19" t="s">
        <v>5930</v>
      </c>
      <c r="D3639" s="19" t="s">
        <v>387</v>
      </c>
      <c r="E3639" s="19" t="s">
        <v>388</v>
      </c>
      <c r="F3639" s="19" t="s">
        <v>1142</v>
      </c>
      <c r="G3639" s="19" t="s">
        <v>1019</v>
      </c>
      <c r="H3639" s="19" t="s">
        <v>1020</v>
      </c>
      <c r="I3639" s="19" t="s">
        <v>1575</v>
      </c>
      <c r="J3639" s="20">
        <v>22</v>
      </c>
      <c r="K3639" t="s">
        <v>642</v>
      </c>
      <c r="L3639" t="s">
        <v>634</v>
      </c>
      <c r="M3639" t="s">
        <v>629</v>
      </c>
      <c r="N3639" t="s">
        <v>630</v>
      </c>
      <c r="O3639" t="s">
        <v>734</v>
      </c>
    </row>
    <row r="3640" spans="1:15" x14ac:dyDescent="0.35">
      <c r="A3640" s="77">
        <v>0.23835616438356164</v>
      </c>
      <c r="B3640" s="19">
        <v>100265</v>
      </c>
      <c r="C3640" s="19" t="s">
        <v>5931</v>
      </c>
      <c r="D3640" s="19" t="s">
        <v>351</v>
      </c>
      <c r="E3640" s="19" t="s">
        <v>352</v>
      </c>
      <c r="F3640" s="19" t="s">
        <v>1507</v>
      </c>
      <c r="G3640" s="19" t="s">
        <v>1028</v>
      </c>
      <c r="H3640" s="19" t="s">
        <v>1020</v>
      </c>
      <c r="I3640" s="19" t="s">
        <v>1575</v>
      </c>
      <c r="J3640" s="20">
        <v>20</v>
      </c>
      <c r="K3640" t="s">
        <v>636</v>
      </c>
      <c r="L3640" t="s">
        <v>661</v>
      </c>
      <c r="M3640" t="s">
        <v>657</v>
      </c>
      <c r="N3640" t="s">
        <v>662</v>
      </c>
      <c r="O3640" t="s">
        <v>632</v>
      </c>
    </row>
    <row r="3641" spans="1:15" x14ac:dyDescent="0.35">
      <c r="A3641" s="77">
        <v>0.23835616438356164</v>
      </c>
      <c r="B3641" s="19">
        <v>100267</v>
      </c>
      <c r="C3641" s="19" t="s">
        <v>5932</v>
      </c>
      <c r="D3641" s="19" t="s">
        <v>280</v>
      </c>
      <c r="E3641" s="19" t="s">
        <v>281</v>
      </c>
      <c r="F3641" s="19" t="s">
        <v>1223</v>
      </c>
      <c r="G3641" s="19" t="s">
        <v>1028</v>
      </c>
      <c r="H3641" s="19" t="s">
        <v>1020</v>
      </c>
      <c r="I3641" s="19" t="s">
        <v>1575</v>
      </c>
      <c r="J3641" s="20">
        <v>18</v>
      </c>
      <c r="K3641" t="s">
        <v>631</v>
      </c>
      <c r="L3641" t="s">
        <v>691</v>
      </c>
      <c r="M3641" t="s">
        <v>657</v>
      </c>
      <c r="N3641" t="s">
        <v>658</v>
      </c>
      <c r="O3641" t="s">
        <v>632</v>
      </c>
    </row>
    <row r="3642" spans="1:15" x14ac:dyDescent="0.35">
      <c r="A3642" s="77">
        <v>0.23835616438356164</v>
      </c>
      <c r="B3642" s="19">
        <v>100269</v>
      </c>
      <c r="C3642" s="19" t="s">
        <v>5933</v>
      </c>
      <c r="D3642" s="19" t="s">
        <v>247</v>
      </c>
      <c r="E3642" s="19" t="s">
        <v>248</v>
      </c>
      <c r="F3642" s="19" t="s">
        <v>1726</v>
      </c>
      <c r="G3642" s="19" t="s">
        <v>1028</v>
      </c>
      <c r="H3642" s="19" t="s">
        <v>1020</v>
      </c>
      <c r="I3642" s="19" t="s">
        <v>1575</v>
      </c>
      <c r="J3642" s="20">
        <v>34</v>
      </c>
      <c r="K3642" t="s">
        <v>668</v>
      </c>
      <c r="L3642" t="s">
        <v>634</v>
      </c>
      <c r="M3642" t="s">
        <v>629</v>
      </c>
      <c r="N3642" t="s">
        <v>635</v>
      </c>
      <c r="O3642" t="s">
        <v>637</v>
      </c>
    </row>
    <row r="3643" spans="1:15" x14ac:dyDescent="0.35">
      <c r="A3643" s="77">
        <v>0.23561643835616439</v>
      </c>
      <c r="B3643" s="19">
        <v>100270</v>
      </c>
      <c r="C3643" s="19" t="s">
        <v>5934</v>
      </c>
      <c r="D3643" s="19" t="s">
        <v>211</v>
      </c>
      <c r="E3643" s="19" t="s">
        <v>212</v>
      </c>
      <c r="F3643" s="19" t="s">
        <v>1049</v>
      </c>
      <c r="G3643" s="19" t="s">
        <v>3508</v>
      </c>
      <c r="H3643" s="19" t="s">
        <v>1020</v>
      </c>
      <c r="I3643" s="19" t="s">
        <v>1575</v>
      </c>
      <c r="J3643" s="20">
        <v>17</v>
      </c>
      <c r="K3643" t="s">
        <v>654</v>
      </c>
      <c r="L3643" t="s">
        <v>691</v>
      </c>
      <c r="M3643" t="s">
        <v>657</v>
      </c>
      <c r="N3643" t="s">
        <v>658</v>
      </c>
      <c r="O3643" t="s">
        <v>632</v>
      </c>
    </row>
    <row r="3644" spans="1:15" x14ac:dyDescent="0.35">
      <c r="A3644" s="77">
        <v>0.23835616438356164</v>
      </c>
      <c r="B3644" s="19">
        <v>100271</v>
      </c>
      <c r="C3644" s="19" t="s">
        <v>5935</v>
      </c>
      <c r="D3644" s="19" t="s">
        <v>280</v>
      </c>
      <c r="E3644" s="19" t="s">
        <v>281</v>
      </c>
      <c r="F3644" s="19" t="s">
        <v>1223</v>
      </c>
      <c r="G3644" s="19" t="s">
        <v>3508</v>
      </c>
      <c r="H3644" s="19" t="s">
        <v>1020</v>
      </c>
      <c r="I3644" s="19" t="s">
        <v>1575</v>
      </c>
      <c r="J3644" s="20">
        <v>18</v>
      </c>
      <c r="K3644" t="s">
        <v>631</v>
      </c>
      <c r="L3644" t="s">
        <v>691</v>
      </c>
      <c r="M3644" t="s">
        <v>657</v>
      </c>
      <c r="N3644" t="s">
        <v>658</v>
      </c>
      <c r="O3644" t="s">
        <v>632</v>
      </c>
    </row>
    <row r="3645" spans="1:15" x14ac:dyDescent="0.35">
      <c r="A3645" s="77">
        <v>0.23835616438356164</v>
      </c>
      <c r="B3645" s="19">
        <v>100272</v>
      </c>
      <c r="C3645" s="19" t="s">
        <v>5936</v>
      </c>
      <c r="D3645" s="19" t="s">
        <v>280</v>
      </c>
      <c r="E3645" s="19" t="s">
        <v>281</v>
      </c>
      <c r="F3645" s="19" t="s">
        <v>1223</v>
      </c>
      <c r="G3645" s="19" t="s">
        <v>3508</v>
      </c>
      <c r="H3645" s="19" t="s">
        <v>1020</v>
      </c>
      <c r="I3645" s="19" t="s">
        <v>1575</v>
      </c>
      <c r="J3645" s="20">
        <v>17</v>
      </c>
      <c r="K3645" t="s">
        <v>631</v>
      </c>
      <c r="L3645" t="s">
        <v>691</v>
      </c>
      <c r="M3645" t="s">
        <v>657</v>
      </c>
      <c r="N3645" t="s">
        <v>658</v>
      </c>
      <c r="O3645" t="s">
        <v>632</v>
      </c>
    </row>
    <row r="3646" spans="1:15" x14ac:dyDescent="0.35">
      <c r="A3646" s="77">
        <v>0.23835616438356164</v>
      </c>
      <c r="B3646" s="19">
        <v>100273</v>
      </c>
      <c r="C3646" s="19" t="s">
        <v>5937</v>
      </c>
      <c r="D3646" s="19" t="s">
        <v>280</v>
      </c>
      <c r="E3646" s="19" t="s">
        <v>281</v>
      </c>
      <c r="F3646" s="19" t="s">
        <v>1223</v>
      </c>
      <c r="G3646" s="19" t="s">
        <v>3508</v>
      </c>
      <c r="H3646" s="19" t="s">
        <v>1020</v>
      </c>
      <c r="I3646" s="19" t="s">
        <v>1575</v>
      </c>
      <c r="J3646" s="20">
        <v>17</v>
      </c>
      <c r="K3646" t="s">
        <v>631</v>
      </c>
      <c r="L3646" t="s">
        <v>691</v>
      </c>
      <c r="M3646" t="s">
        <v>657</v>
      </c>
      <c r="N3646" t="s">
        <v>658</v>
      </c>
      <c r="O3646" t="s">
        <v>632</v>
      </c>
    </row>
    <row r="3647" spans="1:15" x14ac:dyDescent="0.35">
      <c r="A3647" s="77">
        <v>0.23561643835616439</v>
      </c>
      <c r="B3647" s="19">
        <v>100274</v>
      </c>
      <c r="C3647" s="19" t="s">
        <v>5938</v>
      </c>
      <c r="D3647" s="19" t="s">
        <v>393</v>
      </c>
      <c r="E3647" s="19" t="s">
        <v>394</v>
      </c>
      <c r="F3647" s="19" t="s">
        <v>865</v>
      </c>
      <c r="G3647" s="19" t="s">
        <v>1008</v>
      </c>
      <c r="H3647" s="19" t="s">
        <v>1001</v>
      </c>
      <c r="I3647" s="19" t="s">
        <v>1575</v>
      </c>
      <c r="J3647" s="20">
        <v>20</v>
      </c>
      <c r="K3647" t="s">
        <v>631</v>
      </c>
      <c r="L3647" t="s">
        <v>684</v>
      </c>
      <c r="M3647" t="s">
        <v>623</v>
      </c>
      <c r="N3647" t="s">
        <v>662</v>
      </c>
      <c r="O3647" t="s">
        <v>685</v>
      </c>
    </row>
    <row r="3648" spans="1:15" x14ac:dyDescent="0.35">
      <c r="A3648" s="77">
        <v>0.23835616438356164</v>
      </c>
      <c r="B3648" s="19">
        <v>100277</v>
      </c>
      <c r="C3648" s="19" t="s">
        <v>5939</v>
      </c>
      <c r="D3648" s="19" t="s">
        <v>280</v>
      </c>
      <c r="E3648" s="19" t="s">
        <v>281</v>
      </c>
      <c r="F3648" s="19" t="s">
        <v>1223</v>
      </c>
      <c r="G3648" s="19" t="s">
        <v>3508</v>
      </c>
      <c r="H3648" s="19" t="s">
        <v>1020</v>
      </c>
      <c r="I3648" s="19" t="s">
        <v>1575</v>
      </c>
      <c r="J3648" s="20">
        <v>19</v>
      </c>
      <c r="K3648" t="s">
        <v>631</v>
      </c>
      <c r="L3648" t="s">
        <v>691</v>
      </c>
      <c r="M3648" t="s">
        <v>657</v>
      </c>
      <c r="N3648" t="s">
        <v>658</v>
      </c>
      <c r="O3648" t="s">
        <v>632</v>
      </c>
    </row>
    <row r="3649" spans="1:15" x14ac:dyDescent="0.35">
      <c r="A3649" s="77">
        <v>0.23561643835616439</v>
      </c>
      <c r="B3649" s="19">
        <v>100290</v>
      </c>
      <c r="C3649" s="19" t="s">
        <v>5940</v>
      </c>
      <c r="D3649" s="19" t="s">
        <v>349</v>
      </c>
      <c r="E3649" s="19" t="s">
        <v>350</v>
      </c>
      <c r="F3649" s="19" t="s">
        <v>912</v>
      </c>
      <c r="G3649" s="19" t="s">
        <v>1057</v>
      </c>
      <c r="H3649" s="19" t="s">
        <v>1001</v>
      </c>
      <c r="I3649" s="19" t="s">
        <v>1575</v>
      </c>
      <c r="J3649" s="20">
        <v>23</v>
      </c>
      <c r="K3649" t="s">
        <v>625</v>
      </c>
      <c r="L3649" t="s">
        <v>648</v>
      </c>
      <c r="M3649" t="s">
        <v>623</v>
      </c>
      <c r="N3649" t="s">
        <v>624</v>
      </c>
      <c r="O3649" t="s">
        <v>649</v>
      </c>
    </row>
    <row r="3650" spans="1:15" x14ac:dyDescent="0.35">
      <c r="A3650" s="77">
        <v>0.23835616438356164</v>
      </c>
      <c r="B3650" s="19">
        <v>100293</v>
      </c>
      <c r="C3650" s="19" t="s">
        <v>5941</v>
      </c>
      <c r="D3650" s="19" t="s">
        <v>373</v>
      </c>
      <c r="E3650" s="19" t="s">
        <v>374</v>
      </c>
      <c r="F3650" s="19" t="s">
        <v>1033</v>
      </c>
      <c r="G3650" s="19" t="s">
        <v>3508</v>
      </c>
      <c r="H3650" s="19" t="s">
        <v>1020</v>
      </c>
      <c r="I3650" s="19" t="s">
        <v>1599</v>
      </c>
      <c r="J3650" s="20">
        <v>15</v>
      </c>
      <c r="K3650" t="s">
        <v>654</v>
      </c>
      <c r="L3650" t="s">
        <v>634</v>
      </c>
      <c r="M3650" t="s">
        <v>629</v>
      </c>
      <c r="N3650" t="s">
        <v>635</v>
      </c>
      <c r="O3650" t="s">
        <v>637</v>
      </c>
    </row>
    <row r="3651" spans="1:15" x14ac:dyDescent="0.35">
      <c r="A3651" s="77">
        <v>0.23287671232876711</v>
      </c>
      <c r="B3651" s="19">
        <v>100295</v>
      </c>
      <c r="C3651" s="19" t="s">
        <v>5942</v>
      </c>
      <c r="D3651" s="19" t="s">
        <v>215</v>
      </c>
      <c r="E3651" s="19" t="s">
        <v>216</v>
      </c>
      <c r="F3651" s="19" t="s">
        <v>1081</v>
      </c>
      <c r="G3651" s="19" t="s">
        <v>1028</v>
      </c>
      <c r="H3651" s="19" t="s">
        <v>1020</v>
      </c>
      <c r="I3651" s="19" t="s">
        <v>1575</v>
      </c>
      <c r="J3651" s="20">
        <v>18</v>
      </c>
      <c r="K3651" t="s">
        <v>654</v>
      </c>
      <c r="L3651" t="s">
        <v>640</v>
      </c>
      <c r="M3651" t="s">
        <v>623</v>
      </c>
      <c r="N3651" t="s">
        <v>624</v>
      </c>
      <c r="O3651" t="s">
        <v>789</v>
      </c>
    </row>
    <row r="3652" spans="1:15" x14ac:dyDescent="0.35">
      <c r="A3652" s="77">
        <v>0.23287671232876711</v>
      </c>
      <c r="B3652" s="19">
        <v>100296</v>
      </c>
      <c r="C3652" s="19" t="s">
        <v>5943</v>
      </c>
      <c r="D3652" s="19" t="s">
        <v>68</v>
      </c>
      <c r="E3652" s="19" t="s">
        <v>69</v>
      </c>
      <c r="F3652" s="19" t="s">
        <v>1078</v>
      </c>
      <c r="G3652" s="19" t="s">
        <v>1028</v>
      </c>
      <c r="H3652" s="19" t="s">
        <v>1020</v>
      </c>
      <c r="I3652" s="19" t="s">
        <v>1575</v>
      </c>
      <c r="J3652" s="20">
        <v>21</v>
      </c>
      <c r="K3652" t="s">
        <v>636</v>
      </c>
      <c r="L3652" t="s">
        <v>670</v>
      </c>
      <c r="M3652" t="s">
        <v>657</v>
      </c>
      <c r="N3652" t="s">
        <v>641</v>
      </c>
      <c r="O3652" t="s">
        <v>671</v>
      </c>
    </row>
    <row r="3653" spans="1:15" x14ac:dyDescent="0.35">
      <c r="A3653" s="77">
        <v>0.23287671232876711</v>
      </c>
      <c r="B3653" s="19">
        <v>100300</v>
      </c>
      <c r="C3653" s="19" t="s">
        <v>5944</v>
      </c>
      <c r="D3653" s="19" t="s">
        <v>284</v>
      </c>
      <c r="E3653" s="19" t="s">
        <v>285</v>
      </c>
      <c r="F3653" s="19" t="s">
        <v>1150</v>
      </c>
      <c r="G3653" s="19" t="s">
        <v>1028</v>
      </c>
      <c r="H3653" s="19" t="s">
        <v>1020</v>
      </c>
      <c r="I3653" s="19" t="s">
        <v>1599</v>
      </c>
      <c r="J3653" s="20">
        <v>19</v>
      </c>
      <c r="K3653" t="s">
        <v>625</v>
      </c>
      <c r="L3653" t="s">
        <v>661</v>
      </c>
      <c r="M3653" t="s">
        <v>657</v>
      </c>
      <c r="N3653" t="s">
        <v>662</v>
      </c>
      <c r="O3653" t="s">
        <v>632</v>
      </c>
    </row>
    <row r="3654" spans="1:15" x14ac:dyDescent="0.35">
      <c r="A3654" s="77">
        <v>0.23287671232876711</v>
      </c>
      <c r="B3654" s="19">
        <v>100303</v>
      </c>
      <c r="C3654" s="19" t="s">
        <v>5945</v>
      </c>
      <c r="D3654" s="19" t="s">
        <v>32</v>
      </c>
      <c r="E3654" s="19" t="s">
        <v>33</v>
      </c>
      <c r="F3654" s="19" t="s">
        <v>1154</v>
      </c>
      <c r="G3654" s="19" t="s">
        <v>1028</v>
      </c>
      <c r="H3654" s="19" t="s">
        <v>1020</v>
      </c>
      <c r="I3654" s="19" t="s">
        <v>1575</v>
      </c>
      <c r="J3654" s="20">
        <v>25</v>
      </c>
      <c r="K3654" t="s">
        <v>654</v>
      </c>
      <c r="L3654" t="s">
        <v>622</v>
      </c>
      <c r="M3654" t="s">
        <v>623</v>
      </c>
      <c r="N3654" t="s">
        <v>624</v>
      </c>
      <c r="O3654" t="s">
        <v>681</v>
      </c>
    </row>
    <row r="3655" spans="1:15" x14ac:dyDescent="0.35">
      <c r="A3655" s="77">
        <v>0.23287671232876711</v>
      </c>
      <c r="B3655" s="19">
        <v>100304</v>
      </c>
      <c r="C3655" s="19" t="s">
        <v>5946</v>
      </c>
      <c r="D3655" s="19" t="s">
        <v>218</v>
      </c>
      <c r="E3655" s="19" t="s">
        <v>219</v>
      </c>
      <c r="F3655" s="19" t="s">
        <v>1372</v>
      </c>
      <c r="G3655" s="19" t="s">
        <v>1019</v>
      </c>
      <c r="H3655" s="19" t="s">
        <v>1020</v>
      </c>
      <c r="I3655" s="19" t="s">
        <v>1599</v>
      </c>
      <c r="J3655" s="20">
        <v>20</v>
      </c>
      <c r="K3655" t="s">
        <v>625</v>
      </c>
      <c r="L3655" t="s">
        <v>661</v>
      </c>
      <c r="M3655" t="s">
        <v>657</v>
      </c>
      <c r="N3655" t="s">
        <v>662</v>
      </c>
      <c r="O3655" t="s">
        <v>632</v>
      </c>
    </row>
    <row r="3656" spans="1:15" x14ac:dyDescent="0.35">
      <c r="A3656" s="77">
        <v>0.23287671232876711</v>
      </c>
      <c r="B3656" s="19">
        <v>100308</v>
      </c>
      <c r="C3656" s="19" t="s">
        <v>5947</v>
      </c>
      <c r="D3656" s="19" t="s">
        <v>153</v>
      </c>
      <c r="E3656" s="19" t="s">
        <v>154</v>
      </c>
      <c r="F3656" s="19" t="s">
        <v>2384</v>
      </c>
      <c r="G3656" s="19" t="s">
        <v>1028</v>
      </c>
      <c r="H3656" s="19" t="s">
        <v>1020</v>
      </c>
      <c r="I3656" s="19" t="s">
        <v>1575</v>
      </c>
      <c r="J3656" s="20">
        <v>24</v>
      </c>
      <c r="K3656" t="s">
        <v>654</v>
      </c>
      <c r="L3656" t="s">
        <v>762</v>
      </c>
      <c r="M3656" t="s">
        <v>629</v>
      </c>
      <c r="N3656" t="s">
        <v>646</v>
      </c>
      <c r="O3656" t="s">
        <v>763</v>
      </c>
    </row>
    <row r="3657" spans="1:15" x14ac:dyDescent="0.35">
      <c r="A3657" s="77">
        <v>0.23287671232876711</v>
      </c>
      <c r="B3657" s="19">
        <v>100310</v>
      </c>
      <c r="C3657" s="19" t="s">
        <v>5948</v>
      </c>
      <c r="D3657" s="19" t="s">
        <v>382</v>
      </c>
      <c r="E3657" s="19" t="s">
        <v>383</v>
      </c>
      <c r="F3657" s="19" t="s">
        <v>384</v>
      </c>
      <c r="G3657" s="19" t="s">
        <v>1028</v>
      </c>
      <c r="H3657" s="19" t="s">
        <v>1020</v>
      </c>
      <c r="I3657" s="19" t="s">
        <v>1599</v>
      </c>
      <c r="J3657" s="20">
        <v>21</v>
      </c>
      <c r="K3657" t="s">
        <v>636</v>
      </c>
      <c r="L3657" t="s">
        <v>656</v>
      </c>
      <c r="M3657" t="s">
        <v>657</v>
      </c>
      <c r="N3657" t="s">
        <v>658</v>
      </c>
      <c r="O3657" t="s">
        <v>843</v>
      </c>
    </row>
    <row r="3658" spans="1:15" x14ac:dyDescent="0.35">
      <c r="A3658" s="77">
        <v>0.23287671232876711</v>
      </c>
      <c r="B3658" s="19">
        <v>100314</v>
      </c>
      <c r="C3658" s="19" t="s">
        <v>5949</v>
      </c>
      <c r="D3658" s="19" t="s">
        <v>326</v>
      </c>
      <c r="E3658" s="19" t="s">
        <v>327</v>
      </c>
      <c r="F3658" s="19" t="s">
        <v>1051</v>
      </c>
      <c r="G3658" s="19" t="s">
        <v>1028</v>
      </c>
      <c r="H3658" s="19" t="s">
        <v>1020</v>
      </c>
      <c r="I3658" s="19" t="s">
        <v>1575</v>
      </c>
      <c r="J3658" s="20">
        <v>21</v>
      </c>
      <c r="K3658" t="s">
        <v>631</v>
      </c>
      <c r="L3658" t="s">
        <v>648</v>
      </c>
      <c r="M3658" t="s">
        <v>623</v>
      </c>
      <c r="N3658" t="s">
        <v>624</v>
      </c>
      <c r="O3658" t="s">
        <v>837</v>
      </c>
    </row>
    <row r="3659" spans="1:15" x14ac:dyDescent="0.35">
      <c r="A3659" s="77">
        <v>0.22465753424657534</v>
      </c>
      <c r="B3659" s="19">
        <v>100334</v>
      </c>
      <c r="C3659" s="19" t="s">
        <v>5950</v>
      </c>
      <c r="D3659" s="19" t="s">
        <v>36</v>
      </c>
      <c r="E3659" s="19" t="s">
        <v>36</v>
      </c>
      <c r="F3659" s="19" t="s">
        <v>1403</v>
      </c>
      <c r="G3659" s="19" t="s">
        <v>1028</v>
      </c>
      <c r="H3659" s="19" t="s">
        <v>1020</v>
      </c>
      <c r="I3659" s="19" t="s">
        <v>1575</v>
      </c>
      <c r="J3659" s="20">
        <v>19</v>
      </c>
      <c r="K3659" t="s">
        <v>668</v>
      </c>
      <c r="L3659" t="s">
        <v>691</v>
      </c>
      <c r="M3659" t="s">
        <v>657</v>
      </c>
      <c r="N3659" t="s">
        <v>658</v>
      </c>
      <c r="O3659" t="s">
        <v>632</v>
      </c>
    </row>
    <row r="3660" spans="1:15" x14ac:dyDescent="0.35">
      <c r="A3660" s="77">
        <v>0.22465753424657534</v>
      </c>
      <c r="B3660" s="19">
        <v>100336</v>
      </c>
      <c r="C3660" s="19" t="s">
        <v>5951</v>
      </c>
      <c r="D3660" s="19" t="s">
        <v>181</v>
      </c>
      <c r="E3660" s="19" t="s">
        <v>182</v>
      </c>
      <c r="F3660" s="19" t="s">
        <v>1374</v>
      </c>
      <c r="G3660" s="19" t="s">
        <v>1019</v>
      </c>
      <c r="H3660" s="19" t="s">
        <v>1020</v>
      </c>
      <c r="I3660" s="19" t="s">
        <v>1575</v>
      </c>
      <c r="J3660" s="20">
        <v>19</v>
      </c>
      <c r="K3660" t="s">
        <v>625</v>
      </c>
      <c r="L3660" t="s">
        <v>678</v>
      </c>
      <c r="M3660" t="s">
        <v>623</v>
      </c>
      <c r="N3660" t="s">
        <v>624</v>
      </c>
      <c r="O3660" t="s">
        <v>679</v>
      </c>
    </row>
    <row r="3661" spans="1:15" x14ac:dyDescent="0.35">
      <c r="A3661" s="77">
        <v>0.22465753424657534</v>
      </c>
      <c r="B3661" s="19">
        <v>100337</v>
      </c>
      <c r="C3661" s="19" t="s">
        <v>5952</v>
      </c>
      <c r="D3661" s="19" t="s">
        <v>201</v>
      </c>
      <c r="E3661" s="19" t="s">
        <v>202</v>
      </c>
      <c r="F3661" s="19" t="s">
        <v>1061</v>
      </c>
      <c r="G3661" s="19" t="s">
        <v>1028</v>
      </c>
      <c r="H3661" s="19" t="s">
        <v>1020</v>
      </c>
      <c r="I3661" s="19" t="s">
        <v>1575</v>
      </c>
      <c r="J3661" s="20">
        <v>20</v>
      </c>
      <c r="K3661" t="s">
        <v>631</v>
      </c>
      <c r="L3661" t="s">
        <v>628</v>
      </c>
      <c r="M3661" t="s">
        <v>629</v>
      </c>
      <c r="N3661" t="s">
        <v>630</v>
      </c>
      <c r="O3661" t="s">
        <v>784</v>
      </c>
    </row>
    <row r="3662" spans="1:15" x14ac:dyDescent="0.35">
      <c r="A3662" s="77">
        <v>0.22465753424657534</v>
      </c>
      <c r="B3662" s="19">
        <v>100339</v>
      </c>
      <c r="C3662" s="19" t="s">
        <v>5953</v>
      </c>
      <c r="D3662" s="19" t="s">
        <v>371</v>
      </c>
      <c r="E3662" s="19" t="s">
        <v>372</v>
      </c>
      <c r="F3662" s="19" t="s">
        <v>2222</v>
      </c>
      <c r="G3662" s="19" t="s">
        <v>1028</v>
      </c>
      <c r="H3662" s="19" t="s">
        <v>1020</v>
      </c>
      <c r="I3662" s="19" t="s">
        <v>1575</v>
      </c>
      <c r="J3662" s="20">
        <v>24</v>
      </c>
      <c r="K3662" t="s">
        <v>668</v>
      </c>
      <c r="L3662" t="s">
        <v>640</v>
      </c>
      <c r="M3662" t="s">
        <v>623</v>
      </c>
      <c r="N3662" t="s">
        <v>641</v>
      </c>
      <c r="O3662" t="s">
        <v>859</v>
      </c>
    </row>
    <row r="3663" spans="1:15" x14ac:dyDescent="0.35">
      <c r="A3663" s="77">
        <v>0.22465753424657534</v>
      </c>
      <c r="B3663" s="19">
        <v>100340</v>
      </c>
      <c r="C3663" s="19" t="s">
        <v>5954</v>
      </c>
      <c r="D3663" s="19" t="s">
        <v>42</v>
      </c>
      <c r="E3663" s="19" t="s">
        <v>42</v>
      </c>
      <c r="F3663" s="19" t="s">
        <v>1262</v>
      </c>
      <c r="G3663" s="19" t="s">
        <v>1028</v>
      </c>
      <c r="H3663" s="19" t="s">
        <v>1020</v>
      </c>
      <c r="I3663" s="19" t="s">
        <v>1575</v>
      </c>
      <c r="J3663" s="20">
        <v>19</v>
      </c>
      <c r="K3663" t="s">
        <v>625</v>
      </c>
      <c r="L3663" t="s">
        <v>628</v>
      </c>
      <c r="M3663" t="s">
        <v>629</v>
      </c>
      <c r="N3663" t="s">
        <v>630</v>
      </c>
      <c r="O3663" t="s">
        <v>632</v>
      </c>
    </row>
    <row r="3664" spans="1:15" x14ac:dyDescent="0.35">
      <c r="A3664" s="77">
        <v>0.22465753424657534</v>
      </c>
      <c r="B3664" s="19">
        <v>100341</v>
      </c>
      <c r="C3664" s="19" t="s">
        <v>5955</v>
      </c>
      <c r="D3664" s="19" t="s">
        <v>42</v>
      </c>
      <c r="E3664" s="19" t="s">
        <v>42</v>
      </c>
      <c r="F3664" s="19" t="s">
        <v>1262</v>
      </c>
      <c r="G3664" s="19" t="s">
        <v>1019</v>
      </c>
      <c r="H3664" s="19" t="s">
        <v>1020</v>
      </c>
      <c r="I3664" s="19" t="s">
        <v>1575</v>
      </c>
      <c r="J3664" s="20">
        <v>24</v>
      </c>
      <c r="K3664" t="s">
        <v>625</v>
      </c>
      <c r="L3664" t="s">
        <v>628</v>
      </c>
      <c r="M3664" t="s">
        <v>629</v>
      </c>
      <c r="N3664" t="s">
        <v>630</v>
      </c>
      <c r="O3664" t="s">
        <v>632</v>
      </c>
    </row>
    <row r="3665" spans="1:15" x14ac:dyDescent="0.35">
      <c r="A3665" s="77">
        <v>0.22465753424657534</v>
      </c>
      <c r="B3665" s="19">
        <v>100342</v>
      </c>
      <c r="C3665" s="19" t="s">
        <v>5956</v>
      </c>
      <c r="D3665" s="19" t="s">
        <v>62</v>
      </c>
      <c r="E3665" s="19" t="s">
        <v>63</v>
      </c>
      <c r="F3665" s="19" t="s">
        <v>1228</v>
      </c>
      <c r="G3665" s="19" t="s">
        <v>1028</v>
      </c>
      <c r="H3665" s="19" t="s">
        <v>1020</v>
      </c>
      <c r="I3665" s="19" t="s">
        <v>1599</v>
      </c>
      <c r="J3665" s="20">
        <v>19</v>
      </c>
      <c r="K3665" t="s">
        <v>636</v>
      </c>
      <c r="L3665" t="s">
        <v>645</v>
      </c>
      <c r="M3665" t="s">
        <v>629</v>
      </c>
      <c r="N3665" t="s">
        <v>646</v>
      </c>
      <c r="O3665" t="s">
        <v>632</v>
      </c>
    </row>
    <row r="3666" spans="1:15" x14ac:dyDescent="0.35">
      <c r="A3666" s="77">
        <v>0.22465753424657534</v>
      </c>
      <c r="B3666" s="19">
        <v>100343</v>
      </c>
      <c r="C3666" s="19" t="s">
        <v>5957</v>
      </c>
      <c r="D3666" s="19" t="s">
        <v>311</v>
      </c>
      <c r="E3666" s="19" t="s">
        <v>312</v>
      </c>
      <c r="F3666" s="19" t="s">
        <v>1140</v>
      </c>
      <c r="G3666" s="19" t="s">
        <v>1028</v>
      </c>
      <c r="H3666" s="19" t="s">
        <v>1020</v>
      </c>
      <c r="I3666" s="19" t="s">
        <v>1575</v>
      </c>
      <c r="J3666" s="20">
        <v>18</v>
      </c>
      <c r="K3666" t="s">
        <v>631</v>
      </c>
      <c r="L3666" t="s">
        <v>628</v>
      </c>
      <c r="M3666" t="s">
        <v>629</v>
      </c>
      <c r="N3666" t="s">
        <v>630</v>
      </c>
      <c r="O3666" t="s">
        <v>632</v>
      </c>
    </row>
    <row r="3667" spans="1:15" x14ac:dyDescent="0.35">
      <c r="A3667" s="77">
        <v>0.22465753424657534</v>
      </c>
      <c r="B3667" s="19">
        <v>100346</v>
      </c>
      <c r="C3667" s="19" t="s">
        <v>5958</v>
      </c>
      <c r="D3667" s="19" t="s">
        <v>409</v>
      </c>
      <c r="E3667" s="19" t="s">
        <v>410</v>
      </c>
      <c r="F3667" s="19" t="s">
        <v>874</v>
      </c>
      <c r="G3667" s="19" t="s">
        <v>1028</v>
      </c>
      <c r="H3667" s="19" t="s">
        <v>1020</v>
      </c>
      <c r="I3667" s="19" t="s">
        <v>1575</v>
      </c>
      <c r="J3667" s="20">
        <v>22</v>
      </c>
      <c r="K3667" t="s">
        <v>631</v>
      </c>
      <c r="L3667" t="s">
        <v>666</v>
      </c>
      <c r="M3667" t="s">
        <v>629</v>
      </c>
      <c r="N3667" t="s">
        <v>635</v>
      </c>
      <c r="O3667" t="s">
        <v>637</v>
      </c>
    </row>
    <row r="3668" spans="1:15" x14ac:dyDescent="0.35">
      <c r="A3668" s="77">
        <v>0.22465753424657534</v>
      </c>
      <c r="B3668" s="19">
        <v>100347</v>
      </c>
      <c r="C3668" s="19" t="s">
        <v>5959</v>
      </c>
      <c r="D3668" s="19" t="s">
        <v>218</v>
      </c>
      <c r="E3668" s="19" t="s">
        <v>219</v>
      </c>
      <c r="F3668" s="19" t="s">
        <v>1372</v>
      </c>
      <c r="G3668" s="19" t="s">
        <v>1028</v>
      </c>
      <c r="H3668" s="19" t="s">
        <v>1020</v>
      </c>
      <c r="I3668" s="19" t="s">
        <v>1575</v>
      </c>
      <c r="J3668" s="20">
        <v>20</v>
      </c>
      <c r="K3668" t="s">
        <v>625</v>
      </c>
      <c r="L3668" t="s">
        <v>661</v>
      </c>
      <c r="M3668" t="s">
        <v>657</v>
      </c>
      <c r="N3668" t="s">
        <v>662</v>
      </c>
      <c r="O3668" t="s">
        <v>632</v>
      </c>
    </row>
    <row r="3669" spans="1:15" x14ac:dyDescent="0.35">
      <c r="A3669" s="77">
        <v>0.22191780821917809</v>
      </c>
      <c r="B3669" s="19">
        <v>100350</v>
      </c>
      <c r="C3669" s="19" t="s">
        <v>5960</v>
      </c>
      <c r="D3669" s="19" t="s">
        <v>286</v>
      </c>
      <c r="E3669" s="19" t="s">
        <v>287</v>
      </c>
      <c r="F3669" s="19" t="s">
        <v>1675</v>
      </c>
      <c r="G3669" s="19" t="s">
        <v>1028</v>
      </c>
      <c r="H3669" s="19" t="s">
        <v>1020</v>
      </c>
      <c r="I3669" s="19" t="s">
        <v>1575</v>
      </c>
      <c r="J3669" s="20">
        <v>24</v>
      </c>
      <c r="K3669" t="s">
        <v>668</v>
      </c>
      <c r="L3669" t="s">
        <v>640</v>
      </c>
      <c r="M3669" t="s">
        <v>623</v>
      </c>
      <c r="N3669" t="s">
        <v>641</v>
      </c>
      <c r="O3669" t="s">
        <v>754</v>
      </c>
    </row>
    <row r="3670" spans="1:15" x14ac:dyDescent="0.35">
      <c r="A3670" s="77">
        <v>0.22191780821917809</v>
      </c>
      <c r="B3670" s="19">
        <v>100353</v>
      </c>
      <c r="C3670" s="19" t="s">
        <v>5961</v>
      </c>
      <c r="D3670" s="19" t="s">
        <v>181</v>
      </c>
      <c r="E3670" s="19" t="s">
        <v>182</v>
      </c>
      <c r="F3670" s="19" t="s">
        <v>1374</v>
      </c>
      <c r="G3670" s="19" t="s">
        <v>1028</v>
      </c>
      <c r="H3670" s="19" t="s">
        <v>1020</v>
      </c>
      <c r="I3670" s="19" t="s">
        <v>1599</v>
      </c>
      <c r="J3670" s="20">
        <v>20</v>
      </c>
      <c r="K3670" t="s">
        <v>625</v>
      </c>
      <c r="L3670" t="s">
        <v>678</v>
      </c>
      <c r="M3670" t="s">
        <v>623</v>
      </c>
      <c r="N3670" t="s">
        <v>624</v>
      </c>
      <c r="O3670" t="s">
        <v>679</v>
      </c>
    </row>
    <row r="3671" spans="1:15" x14ac:dyDescent="0.35">
      <c r="A3671" s="77">
        <v>0.22191780821917809</v>
      </c>
      <c r="B3671" s="19">
        <v>100358</v>
      </c>
      <c r="C3671" s="19" t="s">
        <v>5962</v>
      </c>
      <c r="D3671" s="19" t="s">
        <v>73</v>
      </c>
      <c r="E3671" s="19" t="s">
        <v>74</v>
      </c>
      <c r="F3671" s="19" t="s">
        <v>1178</v>
      </c>
      <c r="G3671" s="19" t="s">
        <v>3508</v>
      </c>
      <c r="H3671" s="19" t="s">
        <v>1020</v>
      </c>
      <c r="I3671" s="19" t="s">
        <v>1599</v>
      </c>
      <c r="J3671" s="20">
        <v>18</v>
      </c>
      <c r="K3671" t="s">
        <v>654</v>
      </c>
      <c r="L3671" t="s">
        <v>648</v>
      </c>
      <c r="M3671" t="s">
        <v>623</v>
      </c>
      <c r="N3671" t="s">
        <v>624</v>
      </c>
      <c r="O3671" t="s">
        <v>725</v>
      </c>
    </row>
    <row r="3672" spans="1:15" x14ac:dyDescent="0.35">
      <c r="A3672" s="77">
        <v>0.22191780821917809</v>
      </c>
      <c r="B3672" s="19">
        <v>100359</v>
      </c>
      <c r="C3672" s="19" t="s">
        <v>5963</v>
      </c>
      <c r="D3672" s="19" t="s">
        <v>600</v>
      </c>
      <c r="E3672" s="19" t="e">
        <v>#N/A</v>
      </c>
      <c r="F3672" s="19" t="s">
        <v>1201</v>
      </c>
      <c r="G3672" s="19" t="s">
        <v>1028</v>
      </c>
      <c r="H3672" s="19" t="s">
        <v>1020</v>
      </c>
      <c r="I3672" s="19" t="s">
        <v>1575</v>
      </c>
      <c r="J3672" s="20">
        <v>18</v>
      </c>
      <c r="K3672" t="s">
        <v>668</v>
      </c>
      <c r="L3672" t="s">
        <v>622</v>
      </c>
      <c r="M3672" t="s">
        <v>623</v>
      </c>
      <c r="N3672" t="s">
        <v>624</v>
      </c>
      <c r="O3672" t="s">
        <v>649</v>
      </c>
    </row>
    <row r="3673" spans="1:15" x14ac:dyDescent="0.35">
      <c r="A3673" s="77">
        <v>0.22191780821917809</v>
      </c>
      <c r="B3673" s="19">
        <v>100361</v>
      </c>
      <c r="C3673" s="19" t="s">
        <v>5964</v>
      </c>
      <c r="D3673" s="19" t="s">
        <v>600</v>
      </c>
      <c r="E3673" s="19" t="e">
        <v>#N/A</v>
      </c>
      <c r="F3673" s="19" t="s">
        <v>1201</v>
      </c>
      <c r="G3673" s="19" t="s">
        <v>1028</v>
      </c>
      <c r="H3673" s="19" t="s">
        <v>1020</v>
      </c>
      <c r="I3673" s="19" t="s">
        <v>1575</v>
      </c>
      <c r="J3673" s="20">
        <v>24</v>
      </c>
      <c r="K3673" t="s">
        <v>668</v>
      </c>
      <c r="L3673" t="s">
        <v>622</v>
      </c>
      <c r="M3673" t="s">
        <v>623</v>
      </c>
      <c r="N3673" t="s">
        <v>624</v>
      </c>
      <c r="O3673" t="s">
        <v>649</v>
      </c>
    </row>
    <row r="3674" spans="1:15" x14ac:dyDescent="0.35">
      <c r="A3674" s="77">
        <v>0.22191780821917809</v>
      </c>
      <c r="B3674" s="19">
        <v>100362</v>
      </c>
      <c r="C3674" s="19" t="s">
        <v>5965</v>
      </c>
      <c r="D3674" s="19" t="s">
        <v>600</v>
      </c>
      <c r="E3674" s="19" t="e">
        <v>#N/A</v>
      </c>
      <c r="F3674" s="19" t="s">
        <v>1201</v>
      </c>
      <c r="G3674" s="19" t="s">
        <v>1008</v>
      </c>
      <c r="H3674" s="19" t="s">
        <v>1001</v>
      </c>
      <c r="I3674" s="19" t="s">
        <v>1575</v>
      </c>
      <c r="J3674" s="20">
        <v>22</v>
      </c>
      <c r="K3674" t="s">
        <v>668</v>
      </c>
      <c r="L3674" t="s">
        <v>622</v>
      </c>
      <c r="M3674" t="s">
        <v>623</v>
      </c>
      <c r="N3674" t="s">
        <v>624</v>
      </c>
      <c r="O3674" t="s">
        <v>649</v>
      </c>
    </row>
    <row r="3675" spans="1:15" x14ac:dyDescent="0.35">
      <c r="A3675" s="77">
        <v>0.22191780821917809</v>
      </c>
      <c r="B3675" s="19">
        <v>100364</v>
      </c>
      <c r="C3675" s="19" t="s">
        <v>5966</v>
      </c>
      <c r="D3675" s="19" t="s">
        <v>297</v>
      </c>
      <c r="E3675" s="19" t="s">
        <v>298</v>
      </c>
      <c r="F3675" s="19" t="s">
        <v>904</v>
      </c>
      <c r="G3675" s="19" t="s">
        <v>1008</v>
      </c>
      <c r="H3675" s="19" t="s">
        <v>1001</v>
      </c>
      <c r="I3675" s="19" t="s">
        <v>1575</v>
      </c>
      <c r="J3675" s="20">
        <v>23</v>
      </c>
      <c r="K3675" t="s">
        <v>654</v>
      </c>
      <c r="L3675" t="s">
        <v>762</v>
      </c>
      <c r="M3675" t="s">
        <v>629</v>
      </c>
      <c r="N3675" t="s">
        <v>646</v>
      </c>
      <c r="O3675" t="s">
        <v>823</v>
      </c>
    </row>
    <row r="3676" spans="1:15" x14ac:dyDescent="0.35">
      <c r="A3676" s="77">
        <v>0.22191780821917809</v>
      </c>
      <c r="B3676" s="19">
        <v>100365</v>
      </c>
      <c r="C3676" s="19" t="s">
        <v>5967</v>
      </c>
      <c r="D3676" s="19" t="s">
        <v>422</v>
      </c>
      <c r="E3676" s="19" t="s">
        <v>422</v>
      </c>
      <c r="F3676" s="19" t="s">
        <v>423</v>
      </c>
      <c r="G3676" s="19" t="s">
        <v>1008</v>
      </c>
      <c r="H3676" s="19" t="s">
        <v>1001</v>
      </c>
      <c r="I3676" s="19" t="s">
        <v>1575</v>
      </c>
      <c r="J3676" s="20">
        <v>35</v>
      </c>
      <c r="K3676" t="s">
        <v>654</v>
      </c>
      <c r="L3676" t="s">
        <v>673</v>
      </c>
      <c r="M3676" t="s">
        <v>623</v>
      </c>
      <c r="N3676" t="s">
        <v>641</v>
      </c>
      <c r="O3676" t="s">
        <v>697</v>
      </c>
    </row>
    <row r="3677" spans="1:15" x14ac:dyDescent="0.35">
      <c r="A3677" s="77">
        <v>0.22191780821917809</v>
      </c>
      <c r="B3677" s="19">
        <v>100366</v>
      </c>
      <c r="C3677" s="19" t="s">
        <v>5968</v>
      </c>
      <c r="D3677" s="19" t="s">
        <v>324</v>
      </c>
      <c r="E3677" s="19" t="s">
        <v>325</v>
      </c>
      <c r="F3677" s="19" t="s">
        <v>1284</v>
      </c>
      <c r="G3677" s="19" t="s">
        <v>1028</v>
      </c>
      <c r="H3677" s="19" t="s">
        <v>1020</v>
      </c>
      <c r="I3677" s="19" t="s">
        <v>1599</v>
      </c>
      <c r="J3677" s="20">
        <v>21</v>
      </c>
      <c r="K3677" t="s">
        <v>631</v>
      </c>
      <c r="L3677" t="s">
        <v>663</v>
      </c>
      <c r="M3677" t="s">
        <v>629</v>
      </c>
      <c r="N3677" t="s">
        <v>646</v>
      </c>
      <c r="O3677" t="s">
        <v>639</v>
      </c>
    </row>
    <row r="3678" spans="1:15" x14ac:dyDescent="0.35">
      <c r="A3678" s="77">
        <v>0.22191780821917809</v>
      </c>
      <c r="B3678" s="19">
        <v>100367</v>
      </c>
      <c r="C3678" s="19" t="s">
        <v>5969</v>
      </c>
      <c r="D3678" s="19" t="s">
        <v>385</v>
      </c>
      <c r="E3678" s="19" t="s">
        <v>386</v>
      </c>
      <c r="F3678" s="19" t="s">
        <v>1059</v>
      </c>
      <c r="G3678" s="19" t="s">
        <v>1028</v>
      </c>
      <c r="H3678" s="19" t="s">
        <v>1020</v>
      </c>
      <c r="I3678" s="19" t="s">
        <v>1575</v>
      </c>
      <c r="J3678" s="20">
        <v>19</v>
      </c>
      <c r="K3678" t="s">
        <v>631</v>
      </c>
      <c r="L3678" t="s">
        <v>663</v>
      </c>
      <c r="M3678" t="s">
        <v>629</v>
      </c>
      <c r="N3678" t="s">
        <v>646</v>
      </c>
      <c r="O3678" t="s">
        <v>810</v>
      </c>
    </row>
    <row r="3679" spans="1:15" x14ac:dyDescent="0.35">
      <c r="A3679" s="77">
        <v>0.22191780821917809</v>
      </c>
      <c r="B3679" s="19">
        <v>100370</v>
      </c>
      <c r="C3679" s="19" t="s">
        <v>5970</v>
      </c>
      <c r="D3679" s="19" t="s">
        <v>397</v>
      </c>
      <c r="E3679" s="19" t="s">
        <v>398</v>
      </c>
      <c r="F3679" s="19" t="s">
        <v>867</v>
      </c>
      <c r="G3679" s="19" t="s">
        <v>1057</v>
      </c>
      <c r="H3679" s="19" t="s">
        <v>1001</v>
      </c>
      <c r="I3679" s="19" t="s">
        <v>1575</v>
      </c>
      <c r="J3679" s="20">
        <v>22</v>
      </c>
      <c r="K3679" t="s">
        <v>625</v>
      </c>
      <c r="L3679" t="s">
        <v>634</v>
      </c>
      <c r="M3679" t="s">
        <v>629</v>
      </c>
      <c r="N3679" t="s">
        <v>635</v>
      </c>
      <c r="O3679" t="s">
        <v>637</v>
      </c>
    </row>
    <row r="3680" spans="1:15" x14ac:dyDescent="0.35">
      <c r="A3680" s="77">
        <v>0.22191780821917809</v>
      </c>
      <c r="B3680" s="19">
        <v>100371</v>
      </c>
      <c r="C3680" s="19" t="s">
        <v>5971</v>
      </c>
      <c r="D3680" s="19" t="s">
        <v>351</v>
      </c>
      <c r="E3680" s="19" t="s">
        <v>352</v>
      </c>
      <c r="F3680" s="19" t="s">
        <v>1507</v>
      </c>
      <c r="G3680" s="19" t="s">
        <v>1028</v>
      </c>
      <c r="H3680" s="19" t="s">
        <v>1020</v>
      </c>
      <c r="I3680" s="19" t="s">
        <v>1599</v>
      </c>
      <c r="J3680" s="20">
        <v>22</v>
      </c>
      <c r="K3680" t="s">
        <v>636</v>
      </c>
      <c r="L3680" t="s">
        <v>661</v>
      </c>
      <c r="M3680" t="s">
        <v>657</v>
      </c>
      <c r="N3680" t="s">
        <v>662</v>
      </c>
      <c r="O3680" t="s">
        <v>632</v>
      </c>
    </row>
    <row r="3681" spans="1:15" x14ac:dyDescent="0.35">
      <c r="A3681" s="77">
        <v>0.22191780821917809</v>
      </c>
      <c r="B3681" s="19">
        <v>100372</v>
      </c>
      <c r="C3681" s="19" t="s">
        <v>5972</v>
      </c>
      <c r="D3681" s="19" t="s">
        <v>175</v>
      </c>
      <c r="E3681" s="19" t="s">
        <v>176</v>
      </c>
      <c r="F3681" s="19" t="s">
        <v>1538</v>
      </c>
      <c r="G3681" s="19" t="s">
        <v>1008</v>
      </c>
      <c r="H3681" s="19" t="s">
        <v>1001</v>
      </c>
      <c r="I3681" s="19" t="s">
        <v>1575</v>
      </c>
      <c r="J3681" s="20">
        <v>39</v>
      </c>
      <c r="K3681" t="s">
        <v>668</v>
      </c>
      <c r="L3681" t="s">
        <v>707</v>
      </c>
      <c r="M3681" t="s">
        <v>629</v>
      </c>
      <c r="N3681" t="s">
        <v>635</v>
      </c>
      <c r="O3681" t="s">
        <v>710</v>
      </c>
    </row>
    <row r="3682" spans="1:15" x14ac:dyDescent="0.35">
      <c r="A3682" s="77">
        <v>0.22191780821917809</v>
      </c>
      <c r="B3682" s="19">
        <v>100374</v>
      </c>
      <c r="C3682" s="19" t="s">
        <v>5973</v>
      </c>
      <c r="D3682" s="19" t="s">
        <v>211</v>
      </c>
      <c r="E3682" s="19" t="s">
        <v>212</v>
      </c>
      <c r="F3682" s="19" t="s">
        <v>1049</v>
      </c>
      <c r="G3682" s="19" t="s">
        <v>1028</v>
      </c>
      <c r="H3682" s="19" t="s">
        <v>1020</v>
      </c>
      <c r="I3682" s="19" t="s">
        <v>1599</v>
      </c>
      <c r="J3682" s="20">
        <v>20</v>
      </c>
      <c r="K3682" t="s">
        <v>654</v>
      </c>
      <c r="L3682" t="s">
        <v>691</v>
      </c>
      <c r="M3682" t="s">
        <v>657</v>
      </c>
      <c r="N3682" t="s">
        <v>658</v>
      </c>
      <c r="O3682" t="s">
        <v>632</v>
      </c>
    </row>
    <row r="3683" spans="1:15" x14ac:dyDescent="0.35">
      <c r="A3683" s="77">
        <v>0.21917808219178081</v>
      </c>
      <c r="B3683" s="19">
        <v>100380</v>
      </c>
      <c r="C3683" s="19" t="s">
        <v>5974</v>
      </c>
      <c r="D3683" s="19" t="s">
        <v>68</v>
      </c>
      <c r="E3683" s="19" t="s">
        <v>69</v>
      </c>
      <c r="F3683" s="19" t="s">
        <v>1078</v>
      </c>
      <c r="G3683" s="19" t="s">
        <v>1028</v>
      </c>
      <c r="H3683" s="19" t="s">
        <v>1020</v>
      </c>
      <c r="I3683" s="19" t="s">
        <v>1575</v>
      </c>
      <c r="J3683" s="20">
        <v>21</v>
      </c>
      <c r="K3683" t="s">
        <v>636</v>
      </c>
      <c r="L3683" t="s">
        <v>670</v>
      </c>
      <c r="M3683" t="s">
        <v>657</v>
      </c>
      <c r="N3683" t="s">
        <v>641</v>
      </c>
      <c r="O3683" t="s">
        <v>671</v>
      </c>
    </row>
    <row r="3684" spans="1:15" x14ac:dyDescent="0.35">
      <c r="A3684" s="77">
        <v>0.21917808219178081</v>
      </c>
      <c r="B3684" s="19">
        <v>100381</v>
      </c>
      <c r="C3684" s="19" t="s">
        <v>5975</v>
      </c>
      <c r="D3684" s="19" t="s">
        <v>80</v>
      </c>
      <c r="E3684" s="19" t="s">
        <v>81</v>
      </c>
      <c r="F3684" s="19" t="s">
        <v>1022</v>
      </c>
      <c r="G3684" s="19" t="s">
        <v>1028</v>
      </c>
      <c r="H3684" s="19" t="s">
        <v>1020</v>
      </c>
      <c r="I3684" s="19" t="s">
        <v>1575</v>
      </c>
      <c r="J3684" s="20">
        <v>21</v>
      </c>
      <c r="K3684" t="s">
        <v>654</v>
      </c>
      <c r="L3684" t="s">
        <v>628</v>
      </c>
      <c r="M3684" t="s">
        <v>629</v>
      </c>
      <c r="N3684" t="s">
        <v>630</v>
      </c>
      <c r="O3684" t="s">
        <v>632</v>
      </c>
    </row>
    <row r="3685" spans="1:15" x14ac:dyDescent="0.35">
      <c r="A3685" s="77">
        <v>0.21917808219178081</v>
      </c>
      <c r="B3685" s="19">
        <v>100382</v>
      </c>
      <c r="C3685" s="19" t="s">
        <v>5976</v>
      </c>
      <c r="D3685" s="19" t="s">
        <v>11</v>
      </c>
      <c r="E3685" s="19" t="s">
        <v>11</v>
      </c>
      <c r="F3685" s="19" t="s">
        <v>627</v>
      </c>
      <c r="G3685" s="19" t="s">
        <v>1019</v>
      </c>
      <c r="H3685" s="19" t="s">
        <v>1020</v>
      </c>
      <c r="I3685" s="19" t="s">
        <v>1575</v>
      </c>
      <c r="J3685" s="20">
        <v>20</v>
      </c>
      <c r="K3685" t="s">
        <v>631</v>
      </c>
      <c r="L3685" t="s">
        <v>628</v>
      </c>
      <c r="M3685" t="s">
        <v>629</v>
      </c>
      <c r="N3685" t="s">
        <v>630</v>
      </c>
      <c r="O3685" t="s">
        <v>632</v>
      </c>
    </row>
    <row r="3686" spans="1:15" x14ac:dyDescent="0.35">
      <c r="A3686" s="77">
        <v>0.21917808219178081</v>
      </c>
      <c r="B3686" s="19">
        <v>100385</v>
      </c>
      <c r="C3686" s="19" t="s">
        <v>5977</v>
      </c>
      <c r="D3686" s="19" t="s">
        <v>360</v>
      </c>
      <c r="E3686" s="19" t="s">
        <v>361</v>
      </c>
      <c r="F3686" s="19" t="s">
        <v>2312</v>
      </c>
      <c r="G3686" s="19" t="s">
        <v>1028</v>
      </c>
      <c r="H3686" s="19" t="s">
        <v>1020</v>
      </c>
      <c r="I3686" s="19" t="s">
        <v>1575</v>
      </c>
      <c r="J3686" s="20">
        <v>27</v>
      </c>
      <c r="K3686" t="s">
        <v>642</v>
      </c>
      <c r="L3686" t="s">
        <v>670</v>
      </c>
      <c r="M3686" t="s">
        <v>657</v>
      </c>
      <c r="N3686" t="s">
        <v>641</v>
      </c>
      <c r="O3686" t="s">
        <v>671</v>
      </c>
    </row>
    <row r="3687" spans="1:15" x14ac:dyDescent="0.35">
      <c r="A3687" s="77">
        <v>0.21917808219178081</v>
      </c>
      <c r="B3687" s="19">
        <v>100389</v>
      </c>
      <c r="C3687" s="19" t="s">
        <v>5978</v>
      </c>
      <c r="D3687" s="19" t="s">
        <v>426</v>
      </c>
      <c r="E3687" s="19" t="s">
        <v>426</v>
      </c>
      <c r="F3687" s="19" t="s">
        <v>1220</v>
      </c>
      <c r="G3687" s="19" t="s">
        <v>1028</v>
      </c>
      <c r="H3687" s="19" t="s">
        <v>1020</v>
      </c>
      <c r="I3687" s="19" t="s">
        <v>1599</v>
      </c>
      <c r="J3687" s="20">
        <v>30</v>
      </c>
      <c r="K3687" t="s">
        <v>654</v>
      </c>
      <c r="L3687" t="s">
        <v>622</v>
      </c>
      <c r="M3687" t="s">
        <v>623</v>
      </c>
      <c r="N3687" t="s">
        <v>624</v>
      </c>
      <c r="O3687" t="s">
        <v>649</v>
      </c>
    </row>
    <row r="3688" spans="1:15" x14ac:dyDescent="0.35">
      <c r="A3688" s="77">
        <v>0.21917808219178081</v>
      </c>
      <c r="B3688" s="19">
        <v>100390</v>
      </c>
      <c r="C3688" s="19" t="s">
        <v>5979</v>
      </c>
      <c r="D3688" s="19" t="s">
        <v>426</v>
      </c>
      <c r="E3688" s="19" t="s">
        <v>426</v>
      </c>
      <c r="F3688" s="19" t="s">
        <v>1220</v>
      </c>
      <c r="G3688" s="19" t="s">
        <v>1028</v>
      </c>
      <c r="H3688" s="19" t="s">
        <v>1020</v>
      </c>
      <c r="I3688" s="19" t="s">
        <v>1575</v>
      </c>
      <c r="J3688" s="20">
        <v>23</v>
      </c>
      <c r="K3688" t="s">
        <v>654</v>
      </c>
      <c r="L3688" t="s">
        <v>622</v>
      </c>
      <c r="M3688" t="s">
        <v>623</v>
      </c>
      <c r="N3688" t="s">
        <v>624</v>
      </c>
      <c r="O3688" t="s">
        <v>649</v>
      </c>
    </row>
    <row r="3689" spans="1:15" x14ac:dyDescent="0.35">
      <c r="A3689" s="77">
        <v>0.21643835616438356</v>
      </c>
      <c r="B3689" s="19">
        <v>100396</v>
      </c>
      <c r="C3689" s="19" t="s">
        <v>5980</v>
      </c>
      <c r="D3689" s="19" t="s">
        <v>145</v>
      </c>
      <c r="E3689" s="19" t="s">
        <v>146</v>
      </c>
      <c r="F3689" s="19" t="s">
        <v>1015</v>
      </c>
      <c r="G3689" s="19" t="s">
        <v>1028</v>
      </c>
      <c r="H3689" s="19" t="s">
        <v>1020</v>
      </c>
      <c r="I3689" s="19" t="s">
        <v>1575</v>
      </c>
      <c r="J3689" s="20">
        <v>29</v>
      </c>
      <c r="K3689" t="s">
        <v>636</v>
      </c>
      <c r="L3689" t="s">
        <v>737</v>
      </c>
      <c r="M3689" t="s">
        <v>657</v>
      </c>
      <c r="N3689" t="s">
        <v>641</v>
      </c>
      <c r="O3689" t="s">
        <v>757</v>
      </c>
    </row>
    <row r="3690" spans="1:15" x14ac:dyDescent="0.35">
      <c r="A3690" s="77">
        <v>0.21643835616438356</v>
      </c>
      <c r="B3690" s="19">
        <v>100399</v>
      </c>
      <c r="C3690" s="19" t="s">
        <v>5981</v>
      </c>
      <c r="D3690" s="19" t="s">
        <v>428</v>
      </c>
      <c r="E3690" s="19" t="s">
        <v>428</v>
      </c>
      <c r="F3690" s="19" t="s">
        <v>1063</v>
      </c>
      <c r="G3690" s="19" t="s">
        <v>1008</v>
      </c>
      <c r="H3690" s="19" t="s">
        <v>1001</v>
      </c>
      <c r="I3690" s="19" t="s">
        <v>1575</v>
      </c>
      <c r="J3690" s="20">
        <v>29</v>
      </c>
      <c r="K3690" t="s">
        <v>668</v>
      </c>
      <c r="L3690" t="s">
        <v>656</v>
      </c>
      <c r="M3690" t="s">
        <v>657</v>
      </c>
      <c r="N3690" t="s">
        <v>658</v>
      </c>
      <c r="O3690" t="s">
        <v>632</v>
      </c>
    </row>
    <row r="3691" spans="1:15" x14ac:dyDescent="0.35">
      <c r="A3691" s="77">
        <v>0.21643835616438356</v>
      </c>
      <c r="B3691" s="19">
        <v>100400</v>
      </c>
      <c r="C3691" s="19" t="s">
        <v>5982</v>
      </c>
      <c r="D3691" s="19" t="s">
        <v>31</v>
      </c>
      <c r="E3691" s="19" t="s">
        <v>31</v>
      </c>
      <c r="F3691" s="19" t="s">
        <v>675</v>
      </c>
      <c r="G3691" s="19" t="s">
        <v>1028</v>
      </c>
      <c r="H3691" s="19" t="s">
        <v>1020</v>
      </c>
      <c r="I3691" s="19" t="s">
        <v>1575</v>
      </c>
      <c r="J3691" s="20">
        <v>21</v>
      </c>
      <c r="K3691" t="s">
        <v>654</v>
      </c>
      <c r="L3691" t="s">
        <v>670</v>
      </c>
      <c r="M3691" t="s">
        <v>657</v>
      </c>
      <c r="N3691" t="s">
        <v>641</v>
      </c>
      <c r="O3691" t="s">
        <v>676</v>
      </c>
    </row>
    <row r="3692" spans="1:15" x14ac:dyDescent="0.35">
      <c r="A3692" s="77">
        <v>0.13698630136986301</v>
      </c>
      <c r="B3692" s="19">
        <v>100410</v>
      </c>
      <c r="C3692" s="19" t="s">
        <v>5983</v>
      </c>
      <c r="D3692" s="19" t="s">
        <v>268</v>
      </c>
      <c r="E3692" s="19" t="s">
        <v>269</v>
      </c>
      <c r="F3692" s="19" t="s">
        <v>2161</v>
      </c>
      <c r="G3692" s="19" t="s">
        <v>1028</v>
      </c>
      <c r="H3692" s="19" t="s">
        <v>1020</v>
      </c>
      <c r="I3692" s="19" t="s">
        <v>1575</v>
      </c>
      <c r="J3692" s="20">
        <v>19</v>
      </c>
      <c r="K3692" t="s">
        <v>654</v>
      </c>
      <c r="L3692" t="s">
        <v>666</v>
      </c>
      <c r="M3692" t="s">
        <v>629</v>
      </c>
      <c r="N3692" t="s">
        <v>635</v>
      </c>
      <c r="O3692" t="s">
        <v>637</v>
      </c>
    </row>
    <row r="3693" spans="1:15" x14ac:dyDescent="0.35">
      <c r="A3693" s="77">
        <v>0.21643835616438356</v>
      </c>
      <c r="B3693" s="19">
        <v>100412</v>
      </c>
      <c r="C3693" s="19" t="s">
        <v>5984</v>
      </c>
      <c r="D3693" s="19" t="s">
        <v>53</v>
      </c>
      <c r="E3693" s="19" t="s">
        <v>54</v>
      </c>
      <c r="F3693" s="19" t="s">
        <v>1308</v>
      </c>
      <c r="G3693" s="19" t="s">
        <v>1028</v>
      </c>
      <c r="H3693" s="19" t="s">
        <v>1020</v>
      </c>
      <c r="I3693" s="19" t="s">
        <v>1575</v>
      </c>
      <c r="J3693" s="20">
        <v>20</v>
      </c>
      <c r="K3693" t="s">
        <v>668</v>
      </c>
      <c r="L3693" t="s">
        <v>691</v>
      </c>
      <c r="M3693" t="s">
        <v>657</v>
      </c>
      <c r="N3693" t="s">
        <v>658</v>
      </c>
      <c r="O3693" t="s">
        <v>632</v>
      </c>
    </row>
    <row r="3694" spans="1:15" x14ac:dyDescent="0.35">
      <c r="A3694" s="77">
        <v>0.21643835616438356</v>
      </c>
      <c r="B3694" s="19">
        <v>100414</v>
      </c>
      <c r="C3694" s="19" t="s">
        <v>5985</v>
      </c>
      <c r="D3694" s="19" t="s">
        <v>280</v>
      </c>
      <c r="E3694" s="19" t="s">
        <v>281</v>
      </c>
      <c r="F3694" s="19" t="s">
        <v>1223</v>
      </c>
      <c r="G3694" s="19" t="s">
        <v>1028</v>
      </c>
      <c r="H3694" s="19" t="s">
        <v>1020</v>
      </c>
      <c r="I3694" s="19" t="s">
        <v>1575</v>
      </c>
      <c r="J3694" s="20">
        <v>19</v>
      </c>
      <c r="K3694" t="s">
        <v>631</v>
      </c>
      <c r="L3694" t="s">
        <v>691</v>
      </c>
      <c r="M3694" t="s">
        <v>657</v>
      </c>
      <c r="N3694" t="s">
        <v>658</v>
      </c>
      <c r="O3694" t="s">
        <v>632</v>
      </c>
    </row>
    <row r="3695" spans="1:15" x14ac:dyDescent="0.35">
      <c r="A3695" s="77">
        <v>0.21643835616438356</v>
      </c>
      <c r="B3695" s="19">
        <v>100415</v>
      </c>
      <c r="C3695" s="19" t="s">
        <v>5986</v>
      </c>
      <c r="D3695" s="19" t="s">
        <v>278</v>
      </c>
      <c r="E3695" s="19" t="s">
        <v>279</v>
      </c>
      <c r="F3695" s="19" t="s">
        <v>1131</v>
      </c>
      <c r="G3695" s="19" t="s">
        <v>1028</v>
      </c>
      <c r="H3695" s="19" t="s">
        <v>1020</v>
      </c>
      <c r="I3695" s="19" t="s">
        <v>1599</v>
      </c>
      <c r="J3695" s="20">
        <v>23</v>
      </c>
      <c r="K3695" t="s">
        <v>625</v>
      </c>
      <c r="L3695" t="s">
        <v>661</v>
      </c>
      <c r="M3695" t="s">
        <v>657</v>
      </c>
      <c r="N3695" t="s">
        <v>662</v>
      </c>
      <c r="O3695" t="s">
        <v>632</v>
      </c>
    </row>
    <row r="3696" spans="1:15" x14ac:dyDescent="0.35">
      <c r="A3696" s="77">
        <v>0.21643835616438356</v>
      </c>
      <c r="B3696" s="19">
        <v>100416</v>
      </c>
      <c r="C3696" s="19" t="s">
        <v>5987</v>
      </c>
      <c r="D3696" s="19" t="s">
        <v>278</v>
      </c>
      <c r="E3696" s="19" t="s">
        <v>279</v>
      </c>
      <c r="F3696" s="19" t="s">
        <v>1131</v>
      </c>
      <c r="G3696" s="19" t="s">
        <v>1028</v>
      </c>
      <c r="H3696" s="19" t="s">
        <v>1020</v>
      </c>
      <c r="I3696" s="19" t="s">
        <v>1599</v>
      </c>
      <c r="J3696" s="20">
        <v>22</v>
      </c>
      <c r="K3696" t="s">
        <v>625</v>
      </c>
      <c r="L3696" t="s">
        <v>661</v>
      </c>
      <c r="M3696" t="s">
        <v>657</v>
      </c>
      <c r="N3696" t="s">
        <v>662</v>
      </c>
      <c r="O3696" t="s">
        <v>632</v>
      </c>
    </row>
    <row r="3697" spans="1:15" x14ac:dyDescent="0.35">
      <c r="A3697" s="77">
        <v>0.21643835616438356</v>
      </c>
      <c r="B3697" s="19">
        <v>100418</v>
      </c>
      <c r="C3697" s="19" t="s">
        <v>5988</v>
      </c>
      <c r="D3697" s="19" t="s">
        <v>163</v>
      </c>
      <c r="E3697" s="19" t="s">
        <v>164</v>
      </c>
      <c r="F3697" s="19" t="s">
        <v>1174</v>
      </c>
      <c r="G3697" s="19" t="s">
        <v>1028</v>
      </c>
      <c r="H3697" s="19" t="s">
        <v>1020</v>
      </c>
      <c r="I3697" s="19" t="s">
        <v>1575</v>
      </c>
      <c r="J3697" s="20">
        <v>20</v>
      </c>
      <c r="K3697" t="s">
        <v>654</v>
      </c>
      <c r="L3697" t="s">
        <v>634</v>
      </c>
      <c r="M3697" t="s">
        <v>629</v>
      </c>
      <c r="N3697" t="s">
        <v>635</v>
      </c>
      <c r="O3697" t="s">
        <v>637</v>
      </c>
    </row>
    <row r="3698" spans="1:15" x14ac:dyDescent="0.35">
      <c r="A3698" s="77">
        <v>0.21643835616438356</v>
      </c>
      <c r="B3698" s="19">
        <v>100419</v>
      </c>
      <c r="C3698" s="19" t="s">
        <v>5989</v>
      </c>
      <c r="D3698" s="19" t="s">
        <v>397</v>
      </c>
      <c r="E3698" s="19" t="s">
        <v>398</v>
      </c>
      <c r="F3698" s="19" t="s">
        <v>867</v>
      </c>
      <c r="G3698" s="19" t="s">
        <v>1028</v>
      </c>
      <c r="H3698" s="19" t="s">
        <v>1020</v>
      </c>
      <c r="I3698" s="19" t="s">
        <v>1599</v>
      </c>
      <c r="J3698" s="20">
        <v>19</v>
      </c>
      <c r="K3698" t="s">
        <v>625</v>
      </c>
      <c r="L3698" t="s">
        <v>634</v>
      </c>
      <c r="M3698" t="s">
        <v>629</v>
      </c>
      <c r="N3698" t="s">
        <v>635</v>
      </c>
      <c r="O3698" t="s">
        <v>637</v>
      </c>
    </row>
    <row r="3699" spans="1:15" x14ac:dyDescent="0.35">
      <c r="A3699" s="77">
        <v>0.21643835616438356</v>
      </c>
      <c r="B3699" s="19">
        <v>100420</v>
      </c>
      <c r="C3699" s="19" t="s">
        <v>5990</v>
      </c>
      <c r="D3699" s="19" t="s">
        <v>204</v>
      </c>
      <c r="E3699" s="19" t="s">
        <v>205</v>
      </c>
      <c r="F3699" s="19" t="s">
        <v>1090</v>
      </c>
      <c r="G3699" s="19" t="s">
        <v>1084</v>
      </c>
      <c r="H3699" s="19" t="s">
        <v>1001</v>
      </c>
      <c r="I3699" s="19" t="s">
        <v>1575</v>
      </c>
      <c r="J3699" s="20">
        <v>19</v>
      </c>
      <c r="K3699" t="s">
        <v>668</v>
      </c>
      <c r="L3699" t="s">
        <v>634</v>
      </c>
      <c r="M3699" t="s">
        <v>629</v>
      </c>
      <c r="N3699" t="s">
        <v>635</v>
      </c>
      <c r="O3699" t="s">
        <v>637</v>
      </c>
    </row>
    <row r="3700" spans="1:15" x14ac:dyDescent="0.35">
      <c r="A3700" s="77">
        <v>0.21095890410958903</v>
      </c>
      <c r="B3700" s="19">
        <v>100423</v>
      </c>
      <c r="C3700" s="19" t="s">
        <v>5991</v>
      </c>
      <c r="D3700" s="19" t="s">
        <v>411</v>
      </c>
      <c r="E3700" s="19" t="s">
        <v>412</v>
      </c>
      <c r="F3700" s="19" t="s">
        <v>1225</v>
      </c>
      <c r="G3700" s="19" t="s">
        <v>1019</v>
      </c>
      <c r="H3700" s="19" t="s">
        <v>1020</v>
      </c>
      <c r="I3700" s="19" t="s">
        <v>1575</v>
      </c>
      <c r="J3700" s="20">
        <v>23</v>
      </c>
      <c r="K3700" t="s">
        <v>636</v>
      </c>
      <c r="L3700" t="s">
        <v>691</v>
      </c>
      <c r="M3700" t="s">
        <v>657</v>
      </c>
      <c r="N3700" t="s">
        <v>658</v>
      </c>
      <c r="O3700" t="s">
        <v>632</v>
      </c>
    </row>
    <row r="3701" spans="1:15" x14ac:dyDescent="0.35">
      <c r="A3701" s="77">
        <v>0.21369863013698631</v>
      </c>
      <c r="B3701" s="19">
        <v>100425</v>
      </c>
      <c r="C3701" s="19" t="s">
        <v>5992</v>
      </c>
      <c r="D3701" s="19" t="s">
        <v>36</v>
      </c>
      <c r="E3701" s="19" t="s">
        <v>36</v>
      </c>
      <c r="F3701" s="19" t="s">
        <v>1403</v>
      </c>
      <c r="G3701" s="19" t="s">
        <v>1084</v>
      </c>
      <c r="H3701" s="19" t="s">
        <v>1020</v>
      </c>
      <c r="I3701" s="19" t="s">
        <v>1599</v>
      </c>
      <c r="J3701" s="20">
        <v>22</v>
      </c>
      <c r="K3701" t="s">
        <v>668</v>
      </c>
      <c r="L3701" t="s">
        <v>691</v>
      </c>
      <c r="M3701" t="s">
        <v>657</v>
      </c>
      <c r="N3701" t="s">
        <v>658</v>
      </c>
      <c r="O3701" t="s">
        <v>632</v>
      </c>
    </row>
    <row r="3702" spans="1:15" x14ac:dyDescent="0.35">
      <c r="A3702" s="77">
        <v>0.21369863013698631</v>
      </c>
      <c r="B3702" s="19">
        <v>100426</v>
      </c>
      <c r="C3702" s="19" t="s">
        <v>5993</v>
      </c>
      <c r="D3702" s="19" t="s">
        <v>339</v>
      </c>
      <c r="E3702" s="19" t="s">
        <v>340</v>
      </c>
      <c r="F3702" s="19" t="s">
        <v>1024</v>
      </c>
      <c r="G3702" s="19" t="s">
        <v>1028</v>
      </c>
      <c r="H3702" s="19" t="s">
        <v>1020</v>
      </c>
      <c r="I3702" s="19" t="s">
        <v>1575</v>
      </c>
      <c r="J3702" s="20">
        <v>23</v>
      </c>
      <c r="K3702" t="s">
        <v>631</v>
      </c>
      <c r="L3702" t="s">
        <v>651</v>
      </c>
      <c r="M3702" t="s">
        <v>629</v>
      </c>
      <c r="N3702" t="s">
        <v>630</v>
      </c>
      <c r="O3702" t="s">
        <v>705</v>
      </c>
    </row>
    <row r="3703" spans="1:15" x14ac:dyDescent="0.35">
      <c r="A3703" s="77">
        <v>0.21369863013698631</v>
      </c>
      <c r="B3703" s="19">
        <v>100429</v>
      </c>
      <c r="C3703" s="19" t="s">
        <v>5994</v>
      </c>
      <c r="D3703" s="19" t="s">
        <v>19</v>
      </c>
      <c r="E3703" s="19" t="s">
        <v>19</v>
      </c>
      <c r="F3703" s="19" t="s">
        <v>1255</v>
      </c>
      <c r="G3703" s="19" t="s">
        <v>1019</v>
      </c>
      <c r="H3703" s="19" t="s">
        <v>1020</v>
      </c>
      <c r="I3703" s="19" t="s">
        <v>1575</v>
      </c>
      <c r="J3703" s="20">
        <v>19</v>
      </c>
      <c r="K3703" t="s">
        <v>654</v>
      </c>
      <c r="L3703" t="s">
        <v>645</v>
      </c>
      <c r="M3703" t="s">
        <v>629</v>
      </c>
      <c r="N3703" t="s">
        <v>646</v>
      </c>
      <c r="O3703" t="s">
        <v>632</v>
      </c>
    </row>
    <row r="3704" spans="1:15" x14ac:dyDescent="0.35">
      <c r="A3704" s="77">
        <v>0.21369863013698631</v>
      </c>
      <c r="B3704" s="19">
        <v>100430</v>
      </c>
      <c r="C3704" s="19" t="s">
        <v>5995</v>
      </c>
      <c r="D3704" s="19" t="s">
        <v>245</v>
      </c>
      <c r="E3704" s="19" t="s">
        <v>246</v>
      </c>
      <c r="F3704" s="19" t="s">
        <v>1365</v>
      </c>
      <c r="G3704" s="19" t="s">
        <v>1028</v>
      </c>
      <c r="H3704" s="19" t="s">
        <v>1020</v>
      </c>
      <c r="I3704" s="19" t="s">
        <v>1575</v>
      </c>
      <c r="J3704" s="20">
        <v>20</v>
      </c>
      <c r="K3704" t="s">
        <v>654</v>
      </c>
      <c r="L3704" t="s">
        <v>678</v>
      </c>
      <c r="M3704" t="s">
        <v>623</v>
      </c>
      <c r="N3704" t="s">
        <v>624</v>
      </c>
      <c r="O3704" t="s">
        <v>679</v>
      </c>
    </row>
    <row r="3705" spans="1:15" x14ac:dyDescent="0.35">
      <c r="A3705" s="77">
        <v>0.21369863013698631</v>
      </c>
      <c r="B3705" s="19">
        <v>100432</v>
      </c>
      <c r="C3705" s="19" t="s">
        <v>5996</v>
      </c>
      <c r="D3705" s="19" t="s">
        <v>183</v>
      </c>
      <c r="E3705" s="19" t="s">
        <v>184</v>
      </c>
      <c r="F3705" s="19" t="s">
        <v>1532</v>
      </c>
      <c r="G3705" s="19" t="s">
        <v>3508</v>
      </c>
      <c r="H3705" s="19" t="s">
        <v>1020</v>
      </c>
      <c r="I3705" s="19" t="s">
        <v>1575</v>
      </c>
      <c r="J3705" s="20">
        <v>14</v>
      </c>
      <c r="K3705" t="s">
        <v>654</v>
      </c>
      <c r="L3705" t="s">
        <v>648</v>
      </c>
      <c r="M3705" t="s">
        <v>623</v>
      </c>
      <c r="N3705" t="s">
        <v>624</v>
      </c>
      <c r="O3705" t="s">
        <v>725</v>
      </c>
    </row>
    <row r="3706" spans="1:15" x14ac:dyDescent="0.35">
      <c r="A3706" s="77">
        <v>2.1917808219178082E-2</v>
      </c>
      <c r="B3706" s="19">
        <v>100435</v>
      </c>
      <c r="C3706" s="19" t="s">
        <v>5997</v>
      </c>
      <c r="D3706" s="19" t="s">
        <v>111</v>
      </c>
      <c r="E3706" s="19" t="s">
        <v>112</v>
      </c>
      <c r="F3706" s="19" t="s">
        <v>1083</v>
      </c>
      <c r="G3706" s="19" t="s">
        <v>1008</v>
      </c>
      <c r="H3706" s="19" t="s">
        <v>1001</v>
      </c>
      <c r="I3706" s="19" t="s">
        <v>1575</v>
      </c>
      <c r="J3706" s="20">
        <v>21</v>
      </c>
      <c r="K3706" t="s">
        <v>654</v>
      </c>
      <c r="L3706" t="s">
        <v>651</v>
      </c>
      <c r="M3706" t="s">
        <v>629</v>
      </c>
      <c r="N3706" t="s">
        <v>630</v>
      </c>
      <c r="O3706" t="s">
        <v>652</v>
      </c>
    </row>
    <row r="3707" spans="1:15" x14ac:dyDescent="0.35">
      <c r="A3707" s="77">
        <v>2.4657534246575342E-2</v>
      </c>
      <c r="B3707" s="19">
        <v>100442</v>
      </c>
      <c r="C3707" s="19" t="s">
        <v>5998</v>
      </c>
      <c r="D3707" s="19" t="s">
        <v>169</v>
      </c>
      <c r="E3707" s="19" t="s">
        <v>170</v>
      </c>
      <c r="F3707" s="19" t="s">
        <v>1274</v>
      </c>
      <c r="G3707" s="19" t="s">
        <v>1008</v>
      </c>
      <c r="H3707" s="19" t="s">
        <v>1001</v>
      </c>
      <c r="I3707" s="19" t="s">
        <v>1575</v>
      </c>
      <c r="J3707" s="20">
        <v>22</v>
      </c>
      <c r="K3707" t="s">
        <v>631</v>
      </c>
      <c r="L3707" t="s">
        <v>670</v>
      </c>
      <c r="M3707" t="s">
        <v>657</v>
      </c>
      <c r="N3707" t="s">
        <v>641</v>
      </c>
      <c r="O3707" t="s">
        <v>772</v>
      </c>
    </row>
    <row r="3708" spans="1:15" x14ac:dyDescent="0.35">
      <c r="A3708" s="77">
        <v>0.21369863013698631</v>
      </c>
      <c r="B3708" s="19">
        <v>100443</v>
      </c>
      <c r="C3708" s="19" t="s">
        <v>5999</v>
      </c>
      <c r="D3708" s="19" t="s">
        <v>243</v>
      </c>
      <c r="E3708" s="19" t="s">
        <v>244</v>
      </c>
      <c r="F3708" s="19" t="s">
        <v>1318</v>
      </c>
      <c r="G3708" s="19" t="s">
        <v>1028</v>
      </c>
      <c r="H3708" s="19" t="s">
        <v>1020</v>
      </c>
      <c r="I3708" s="19" t="s">
        <v>1575</v>
      </c>
      <c r="J3708" s="20">
        <v>19</v>
      </c>
      <c r="K3708" t="s">
        <v>631</v>
      </c>
      <c r="L3708" t="s">
        <v>707</v>
      </c>
      <c r="M3708" t="s">
        <v>629</v>
      </c>
      <c r="N3708" t="s">
        <v>635</v>
      </c>
      <c r="O3708" t="s">
        <v>710</v>
      </c>
    </row>
    <row r="3709" spans="1:15" x14ac:dyDescent="0.35">
      <c r="A3709" s="77">
        <v>0.21369863013698631</v>
      </c>
      <c r="B3709" s="19">
        <v>100450</v>
      </c>
      <c r="C3709" s="19" t="s">
        <v>6000</v>
      </c>
      <c r="D3709" s="19" t="s">
        <v>349</v>
      </c>
      <c r="E3709" s="19" t="s">
        <v>350</v>
      </c>
      <c r="F3709" s="19" t="s">
        <v>912</v>
      </c>
      <c r="G3709" s="19" t="s">
        <v>1084</v>
      </c>
      <c r="H3709" s="19" t="s">
        <v>1020</v>
      </c>
      <c r="I3709" s="19" t="s">
        <v>1599</v>
      </c>
      <c r="J3709" s="20">
        <v>23</v>
      </c>
      <c r="K3709" t="s">
        <v>625</v>
      </c>
      <c r="L3709" t="s">
        <v>648</v>
      </c>
      <c r="M3709" t="s">
        <v>623</v>
      </c>
      <c r="N3709" t="s">
        <v>624</v>
      </c>
      <c r="O3709" t="s">
        <v>649</v>
      </c>
    </row>
    <row r="3710" spans="1:15" x14ac:dyDescent="0.35">
      <c r="A3710" s="77">
        <v>0.21369863013698631</v>
      </c>
      <c r="B3710" s="19">
        <v>100452</v>
      </c>
      <c r="C3710" s="19" t="s">
        <v>6001</v>
      </c>
      <c r="D3710" s="19" t="s">
        <v>349</v>
      </c>
      <c r="E3710" s="19" t="s">
        <v>350</v>
      </c>
      <c r="F3710" s="19" t="s">
        <v>912</v>
      </c>
      <c r="G3710" s="19" t="s">
        <v>1008</v>
      </c>
      <c r="H3710" s="19" t="s">
        <v>1001</v>
      </c>
      <c r="I3710" s="19" t="s">
        <v>1575</v>
      </c>
      <c r="J3710" s="20">
        <v>18</v>
      </c>
      <c r="K3710" t="s">
        <v>625</v>
      </c>
      <c r="L3710" t="s">
        <v>648</v>
      </c>
      <c r="M3710" t="s">
        <v>623</v>
      </c>
      <c r="N3710" t="s">
        <v>624</v>
      </c>
      <c r="O3710" t="s">
        <v>649</v>
      </c>
    </row>
    <row r="3711" spans="1:15" x14ac:dyDescent="0.35">
      <c r="A3711" s="77">
        <v>0.21369863013698631</v>
      </c>
      <c r="B3711" s="19">
        <v>100455</v>
      </c>
      <c r="C3711" s="19" t="s">
        <v>6002</v>
      </c>
      <c r="D3711" s="19" t="s">
        <v>307</v>
      </c>
      <c r="E3711" s="19" t="s">
        <v>308</v>
      </c>
      <c r="F3711" s="19" t="s">
        <v>1524</v>
      </c>
      <c r="G3711" s="19" t="s">
        <v>1028</v>
      </c>
      <c r="H3711" s="19" t="s">
        <v>1020</v>
      </c>
      <c r="I3711" s="19" t="s">
        <v>1575</v>
      </c>
      <c r="J3711" s="20">
        <v>24</v>
      </c>
      <c r="K3711" t="s">
        <v>668</v>
      </c>
      <c r="L3711" t="s">
        <v>656</v>
      </c>
      <c r="M3711" t="s">
        <v>657</v>
      </c>
      <c r="N3711" t="s">
        <v>658</v>
      </c>
      <c r="O3711" t="s">
        <v>718</v>
      </c>
    </row>
    <row r="3712" spans="1:15" x14ac:dyDescent="0.35">
      <c r="A3712" s="77">
        <v>2.1917808219178082E-2</v>
      </c>
      <c r="B3712" s="19">
        <v>100458</v>
      </c>
      <c r="C3712" s="19" t="s">
        <v>6003</v>
      </c>
      <c r="D3712" s="19" t="s">
        <v>220</v>
      </c>
      <c r="E3712" s="19" t="s">
        <v>221</v>
      </c>
      <c r="F3712" s="19" t="s">
        <v>2309</v>
      </c>
      <c r="G3712" s="19" t="s">
        <v>1008</v>
      </c>
      <c r="H3712" s="19" t="s">
        <v>1001</v>
      </c>
      <c r="I3712" s="19" t="s">
        <v>1575</v>
      </c>
      <c r="J3712" s="20">
        <v>20</v>
      </c>
      <c r="K3712" t="s">
        <v>668</v>
      </c>
      <c r="L3712" t="s">
        <v>648</v>
      </c>
      <c r="M3712" t="s">
        <v>623</v>
      </c>
      <c r="N3712" t="s">
        <v>624</v>
      </c>
      <c r="O3712" t="s">
        <v>649</v>
      </c>
    </row>
    <row r="3713" spans="1:15" x14ac:dyDescent="0.35">
      <c r="A3713" s="77">
        <v>2.1917808219178082E-2</v>
      </c>
      <c r="B3713" s="19">
        <v>100459</v>
      </c>
      <c r="C3713" s="19" t="s">
        <v>6004</v>
      </c>
      <c r="D3713" s="19" t="s">
        <v>349</v>
      </c>
      <c r="E3713" s="19" t="s">
        <v>350</v>
      </c>
      <c r="F3713" s="19" t="s">
        <v>912</v>
      </c>
      <c r="G3713" s="19" t="s">
        <v>1008</v>
      </c>
      <c r="H3713" s="19" t="s">
        <v>1001</v>
      </c>
      <c r="I3713" s="19" t="s">
        <v>1575</v>
      </c>
      <c r="J3713" s="20">
        <v>32</v>
      </c>
      <c r="K3713" t="s">
        <v>625</v>
      </c>
      <c r="L3713" t="s">
        <v>648</v>
      </c>
      <c r="M3713" t="s">
        <v>623</v>
      </c>
      <c r="N3713" t="s">
        <v>624</v>
      </c>
      <c r="O3713" t="s">
        <v>649</v>
      </c>
    </row>
    <row r="3714" spans="1:15" x14ac:dyDescent="0.35">
      <c r="A3714" s="77">
        <v>0.21369863013698631</v>
      </c>
      <c r="B3714" s="19">
        <v>100461</v>
      </c>
      <c r="C3714" s="19" t="s">
        <v>6005</v>
      </c>
      <c r="D3714" s="19" t="s">
        <v>313</v>
      </c>
      <c r="E3714" s="19" t="s">
        <v>314</v>
      </c>
      <c r="F3714" s="19" t="s">
        <v>1401</v>
      </c>
      <c r="G3714" s="19" t="s">
        <v>1028</v>
      </c>
      <c r="H3714" s="19" t="s">
        <v>1020</v>
      </c>
      <c r="I3714" s="19" t="s">
        <v>1575</v>
      </c>
      <c r="J3714" s="20">
        <v>22</v>
      </c>
      <c r="K3714" t="s">
        <v>654</v>
      </c>
      <c r="L3714" t="s">
        <v>666</v>
      </c>
      <c r="M3714" t="s">
        <v>629</v>
      </c>
      <c r="N3714" t="s">
        <v>635</v>
      </c>
      <c r="O3714" t="s">
        <v>637</v>
      </c>
    </row>
    <row r="3715" spans="1:15" x14ac:dyDescent="0.35">
      <c r="A3715" s="77">
        <v>0.21369863013698631</v>
      </c>
      <c r="B3715" s="19">
        <v>100462</v>
      </c>
      <c r="C3715" s="19" t="s">
        <v>6006</v>
      </c>
      <c r="D3715" s="19" t="s">
        <v>271</v>
      </c>
      <c r="E3715" s="19" t="s">
        <v>272</v>
      </c>
      <c r="F3715" s="19" t="s">
        <v>2611</v>
      </c>
      <c r="G3715" s="19" t="s">
        <v>1028</v>
      </c>
      <c r="H3715" s="19" t="s">
        <v>1020</v>
      </c>
      <c r="I3715" s="19" t="s">
        <v>1575</v>
      </c>
      <c r="J3715" s="20">
        <v>20</v>
      </c>
      <c r="K3715" t="s">
        <v>654</v>
      </c>
      <c r="L3715" t="s">
        <v>666</v>
      </c>
      <c r="M3715" t="s">
        <v>629</v>
      </c>
      <c r="N3715" t="s">
        <v>635</v>
      </c>
      <c r="O3715" t="s">
        <v>739</v>
      </c>
    </row>
    <row r="3716" spans="1:15" x14ac:dyDescent="0.35">
      <c r="A3716" s="77">
        <v>2.1917808219178082E-2</v>
      </c>
      <c r="B3716" s="19">
        <v>100463</v>
      </c>
      <c r="C3716" s="19" t="s">
        <v>6007</v>
      </c>
      <c r="D3716" s="19" t="s">
        <v>118</v>
      </c>
      <c r="E3716" s="19" t="s">
        <v>119</v>
      </c>
      <c r="F3716" s="19" t="s">
        <v>1360</v>
      </c>
      <c r="G3716" s="19" t="s">
        <v>1008</v>
      </c>
      <c r="H3716" s="19" t="s">
        <v>1001</v>
      </c>
      <c r="I3716" s="19" t="s">
        <v>1575</v>
      </c>
      <c r="J3716" s="20">
        <v>22</v>
      </c>
      <c r="K3716" t="s">
        <v>625</v>
      </c>
      <c r="L3716" t="s">
        <v>656</v>
      </c>
      <c r="M3716" t="s">
        <v>657</v>
      </c>
      <c r="N3716" t="s">
        <v>658</v>
      </c>
      <c r="O3716" t="s">
        <v>632</v>
      </c>
    </row>
    <row r="3717" spans="1:15" x14ac:dyDescent="0.35">
      <c r="A3717" s="77">
        <v>0.20821917808219179</v>
      </c>
      <c r="B3717" s="19">
        <v>100468</v>
      </c>
      <c r="C3717" s="19" t="s">
        <v>6008</v>
      </c>
      <c r="D3717" s="19" t="s">
        <v>30</v>
      </c>
      <c r="E3717" s="19" t="s">
        <v>30</v>
      </c>
      <c r="F3717" s="19" t="s">
        <v>672</v>
      </c>
      <c r="G3717" s="19" t="s">
        <v>1028</v>
      </c>
      <c r="H3717" s="19" t="s">
        <v>1020</v>
      </c>
      <c r="I3717" s="19" t="s">
        <v>1575</v>
      </c>
      <c r="J3717" s="20">
        <v>19</v>
      </c>
      <c r="K3717" t="s">
        <v>636</v>
      </c>
      <c r="L3717" t="s">
        <v>673</v>
      </c>
      <c r="M3717" t="s">
        <v>623</v>
      </c>
      <c r="N3717" t="s">
        <v>641</v>
      </c>
      <c r="O3717" t="s">
        <v>674</v>
      </c>
    </row>
    <row r="3718" spans="1:15" x14ac:dyDescent="0.35">
      <c r="A3718" s="77">
        <v>2.1917808219178082E-2</v>
      </c>
      <c r="B3718" s="19">
        <v>100471</v>
      </c>
      <c r="C3718" s="19" t="s">
        <v>6009</v>
      </c>
      <c r="D3718" s="19" t="s">
        <v>362</v>
      </c>
      <c r="E3718" s="19" t="s">
        <v>363</v>
      </c>
      <c r="F3718" s="19" t="s">
        <v>1056</v>
      </c>
      <c r="G3718" s="19" t="s">
        <v>1008</v>
      </c>
      <c r="H3718" s="19" t="s">
        <v>1001</v>
      </c>
      <c r="I3718" s="19" t="s">
        <v>1575</v>
      </c>
      <c r="J3718" s="20">
        <v>18</v>
      </c>
      <c r="K3718" t="s">
        <v>654</v>
      </c>
      <c r="L3718" t="s">
        <v>663</v>
      </c>
      <c r="M3718" t="s">
        <v>629</v>
      </c>
      <c r="N3718" t="s">
        <v>646</v>
      </c>
      <c r="O3718" t="s">
        <v>810</v>
      </c>
    </row>
    <row r="3719" spans="1:15" x14ac:dyDescent="0.35">
      <c r="A3719" s="77">
        <v>2.1917808219178082E-2</v>
      </c>
      <c r="B3719" s="19">
        <v>100475</v>
      </c>
      <c r="C3719" s="19" t="s">
        <v>6010</v>
      </c>
      <c r="D3719" s="19" t="s">
        <v>326</v>
      </c>
      <c r="E3719" s="19" t="s">
        <v>327</v>
      </c>
      <c r="F3719" s="19" t="s">
        <v>1051</v>
      </c>
      <c r="G3719" s="19" t="s">
        <v>1008</v>
      </c>
      <c r="H3719" s="19" t="s">
        <v>1001</v>
      </c>
      <c r="I3719" s="19" t="s">
        <v>1575</v>
      </c>
      <c r="J3719" s="20">
        <v>22</v>
      </c>
      <c r="K3719" t="s">
        <v>631</v>
      </c>
      <c r="L3719" t="s">
        <v>648</v>
      </c>
      <c r="M3719" t="s">
        <v>623</v>
      </c>
      <c r="N3719" t="s">
        <v>624</v>
      </c>
      <c r="O3719" t="s">
        <v>837</v>
      </c>
    </row>
    <row r="3720" spans="1:15" x14ac:dyDescent="0.35">
      <c r="A3720" s="77">
        <v>0.20821917808219179</v>
      </c>
      <c r="B3720" s="19">
        <v>100482</v>
      </c>
      <c r="C3720" s="19" t="s">
        <v>6011</v>
      </c>
      <c r="D3720" s="19" t="s">
        <v>66</v>
      </c>
      <c r="E3720" s="19" t="s">
        <v>67</v>
      </c>
      <c r="F3720" s="19" t="s">
        <v>1708</v>
      </c>
      <c r="G3720" s="19" t="s">
        <v>1028</v>
      </c>
      <c r="H3720" s="19" t="s">
        <v>1020</v>
      </c>
      <c r="I3720" s="19" t="s">
        <v>1575</v>
      </c>
      <c r="J3720" s="20">
        <v>20</v>
      </c>
      <c r="K3720" t="s">
        <v>654</v>
      </c>
      <c r="L3720" t="s">
        <v>645</v>
      </c>
      <c r="M3720" t="s">
        <v>629</v>
      </c>
      <c r="N3720" t="s">
        <v>646</v>
      </c>
      <c r="O3720" t="s">
        <v>632</v>
      </c>
    </row>
    <row r="3721" spans="1:15" x14ac:dyDescent="0.35">
      <c r="A3721" s="77">
        <v>0.21369863013698631</v>
      </c>
      <c r="B3721" s="19">
        <v>100484</v>
      </c>
      <c r="C3721" s="19" t="s">
        <v>6012</v>
      </c>
      <c r="D3721" s="19" t="s">
        <v>195</v>
      </c>
      <c r="E3721" s="19" t="s">
        <v>196</v>
      </c>
      <c r="F3721" s="19" t="s">
        <v>908</v>
      </c>
      <c r="G3721" s="19" t="s">
        <v>1028</v>
      </c>
      <c r="H3721" s="19" t="s">
        <v>1020</v>
      </c>
      <c r="I3721" s="19" t="s">
        <v>1599</v>
      </c>
      <c r="J3721" s="20">
        <v>23</v>
      </c>
      <c r="K3721" t="s">
        <v>636</v>
      </c>
      <c r="L3721" t="s">
        <v>670</v>
      </c>
      <c r="M3721" t="s">
        <v>657</v>
      </c>
      <c r="N3721" t="s">
        <v>641</v>
      </c>
      <c r="O3721" t="s">
        <v>676</v>
      </c>
    </row>
    <row r="3722" spans="1:15" x14ac:dyDescent="0.35">
      <c r="A3722" s="77">
        <v>0.20821917808219179</v>
      </c>
      <c r="B3722" s="19">
        <v>100485</v>
      </c>
      <c r="C3722" s="19" t="s">
        <v>6013</v>
      </c>
      <c r="D3722" s="19" t="s">
        <v>30</v>
      </c>
      <c r="E3722" s="19" t="s">
        <v>30</v>
      </c>
      <c r="F3722" s="19" t="s">
        <v>672</v>
      </c>
      <c r="G3722" s="19" t="s">
        <v>1028</v>
      </c>
      <c r="H3722" s="19" t="s">
        <v>1020</v>
      </c>
      <c r="I3722" s="19" t="s">
        <v>1575</v>
      </c>
      <c r="J3722" s="20">
        <v>22</v>
      </c>
      <c r="K3722" t="s">
        <v>636</v>
      </c>
      <c r="L3722" t="s">
        <v>673</v>
      </c>
      <c r="M3722" t="s">
        <v>623</v>
      </c>
      <c r="N3722" t="s">
        <v>641</v>
      </c>
      <c r="O3722" t="s">
        <v>674</v>
      </c>
    </row>
    <row r="3723" spans="1:15" x14ac:dyDescent="0.35">
      <c r="A3723" s="77">
        <v>0.20821917808219179</v>
      </c>
      <c r="B3723" s="19">
        <v>100486</v>
      </c>
      <c r="C3723" s="19" t="s">
        <v>6014</v>
      </c>
      <c r="D3723" s="19" t="s">
        <v>252</v>
      </c>
      <c r="E3723" s="19" t="s">
        <v>253</v>
      </c>
      <c r="F3723" s="19" t="s">
        <v>914</v>
      </c>
      <c r="G3723" s="19" t="s">
        <v>1028</v>
      </c>
      <c r="H3723" s="19" t="s">
        <v>1020</v>
      </c>
      <c r="I3723" s="19" t="s">
        <v>1599</v>
      </c>
      <c r="J3723" s="20">
        <v>24</v>
      </c>
      <c r="K3723" t="s">
        <v>636</v>
      </c>
      <c r="L3723" t="s">
        <v>656</v>
      </c>
      <c r="M3723" t="s">
        <v>657</v>
      </c>
      <c r="N3723" t="s">
        <v>658</v>
      </c>
      <c r="O3723" t="s">
        <v>718</v>
      </c>
    </row>
    <row r="3724" spans="1:15" x14ac:dyDescent="0.35">
      <c r="A3724" s="77">
        <v>2.1917808219178082E-2</v>
      </c>
      <c r="B3724" s="19">
        <v>100488</v>
      </c>
      <c r="C3724" s="19" t="s">
        <v>6015</v>
      </c>
      <c r="D3724" s="19" t="s">
        <v>8</v>
      </c>
      <c r="E3724" s="19" t="s">
        <v>8</v>
      </c>
      <c r="F3724" s="19" t="s">
        <v>1176</v>
      </c>
      <c r="G3724" s="19" t="s">
        <v>1008</v>
      </c>
      <c r="H3724" s="19" t="s">
        <v>1001</v>
      </c>
      <c r="I3724" s="19" t="s">
        <v>1575</v>
      </c>
      <c r="J3724" s="20">
        <v>21</v>
      </c>
      <c r="K3724" t="s">
        <v>625</v>
      </c>
      <c r="L3724" t="s">
        <v>622</v>
      </c>
      <c r="M3724" t="s">
        <v>623</v>
      </c>
      <c r="N3724" t="s">
        <v>624</v>
      </c>
      <c r="O3724" t="s">
        <v>626</v>
      </c>
    </row>
    <row r="3725" spans="1:15" x14ac:dyDescent="0.35">
      <c r="A3725" s="77">
        <v>2.1917808219178082E-2</v>
      </c>
      <c r="B3725" s="19">
        <v>100489</v>
      </c>
      <c r="C3725" s="19" t="s">
        <v>6016</v>
      </c>
      <c r="D3725" s="19" t="s">
        <v>8</v>
      </c>
      <c r="E3725" s="19" t="s">
        <v>8</v>
      </c>
      <c r="F3725" s="19" t="s">
        <v>1176</v>
      </c>
      <c r="G3725" s="19" t="s">
        <v>1008</v>
      </c>
      <c r="H3725" s="19" t="s">
        <v>1001</v>
      </c>
      <c r="I3725" s="19" t="s">
        <v>1575</v>
      </c>
      <c r="J3725" s="20">
        <v>18</v>
      </c>
      <c r="K3725" t="s">
        <v>625</v>
      </c>
      <c r="L3725" t="s">
        <v>622</v>
      </c>
      <c r="M3725" t="s">
        <v>623</v>
      </c>
      <c r="N3725" t="s">
        <v>624</v>
      </c>
      <c r="O3725" t="s">
        <v>626</v>
      </c>
    </row>
    <row r="3726" spans="1:15" x14ac:dyDescent="0.35">
      <c r="A3726" s="77">
        <v>0.14246575342465753</v>
      </c>
      <c r="B3726" s="19">
        <v>100491</v>
      </c>
      <c r="C3726" s="19" t="s">
        <v>6017</v>
      </c>
      <c r="D3726" s="19" t="s">
        <v>8</v>
      </c>
      <c r="E3726" s="19" t="s">
        <v>8</v>
      </c>
      <c r="F3726" s="19" t="s">
        <v>1176</v>
      </c>
      <c r="G3726" s="19" t="s">
        <v>1028</v>
      </c>
      <c r="H3726" s="19" t="s">
        <v>1020</v>
      </c>
      <c r="I3726" s="19" t="s">
        <v>1575</v>
      </c>
      <c r="J3726" s="20">
        <v>27</v>
      </c>
      <c r="K3726" t="s">
        <v>625</v>
      </c>
      <c r="L3726" t="s">
        <v>622</v>
      </c>
      <c r="M3726" t="s">
        <v>623</v>
      </c>
      <c r="N3726" t="s">
        <v>624</v>
      </c>
      <c r="O3726" t="s">
        <v>626</v>
      </c>
    </row>
    <row r="3727" spans="1:15" x14ac:dyDescent="0.35">
      <c r="A3727" s="77">
        <v>0.20547945205479451</v>
      </c>
      <c r="B3727" s="19">
        <v>100504</v>
      </c>
      <c r="C3727" s="19" t="s">
        <v>6018</v>
      </c>
      <c r="D3727" s="19" t="s">
        <v>189</v>
      </c>
      <c r="E3727" s="19" t="s">
        <v>190</v>
      </c>
      <c r="F3727" s="19" t="s">
        <v>1369</v>
      </c>
      <c r="G3727" s="19" t="s">
        <v>1008</v>
      </c>
      <c r="H3727" s="19" t="s">
        <v>1001</v>
      </c>
      <c r="I3727" s="19" t="s">
        <v>1575</v>
      </c>
      <c r="J3727" s="20">
        <v>23</v>
      </c>
      <c r="K3727" t="s">
        <v>654</v>
      </c>
      <c r="L3727" t="s">
        <v>640</v>
      </c>
      <c r="M3727" t="s">
        <v>623</v>
      </c>
      <c r="N3727" t="s">
        <v>641</v>
      </c>
      <c r="O3727" t="s">
        <v>754</v>
      </c>
    </row>
    <row r="3728" spans="1:15" x14ac:dyDescent="0.35">
      <c r="A3728" s="77">
        <v>0.20547945205479451</v>
      </c>
      <c r="B3728" s="19">
        <v>100506</v>
      </c>
      <c r="C3728" s="19" t="s">
        <v>6019</v>
      </c>
      <c r="D3728" s="19" t="s">
        <v>379</v>
      </c>
      <c r="E3728" s="19" t="s">
        <v>380</v>
      </c>
      <c r="F3728" s="19" t="s">
        <v>381</v>
      </c>
      <c r="G3728" s="19" t="s">
        <v>1008</v>
      </c>
      <c r="H3728" s="19" t="s">
        <v>1001</v>
      </c>
      <c r="I3728" s="19" t="s">
        <v>1575</v>
      </c>
      <c r="J3728" s="20">
        <v>20</v>
      </c>
      <c r="K3728" t="s">
        <v>636</v>
      </c>
      <c r="L3728" t="s">
        <v>628</v>
      </c>
      <c r="M3728" t="s">
        <v>629</v>
      </c>
      <c r="N3728" t="s">
        <v>630</v>
      </c>
      <c r="O3728" t="s">
        <v>632</v>
      </c>
    </row>
    <row r="3729" spans="1:15" x14ac:dyDescent="0.35">
      <c r="A3729" s="77">
        <v>0.20547945205479451</v>
      </c>
      <c r="B3729" s="19">
        <v>100507</v>
      </c>
      <c r="C3729" s="19" t="s">
        <v>6020</v>
      </c>
      <c r="D3729" s="19" t="s">
        <v>282</v>
      </c>
      <c r="E3729" s="19" t="s">
        <v>283</v>
      </c>
      <c r="F3729" s="19" t="s">
        <v>1417</v>
      </c>
      <c r="G3729" s="19" t="s">
        <v>1057</v>
      </c>
      <c r="H3729" s="19" t="s">
        <v>1001</v>
      </c>
      <c r="I3729" s="19" t="s">
        <v>1575</v>
      </c>
      <c r="J3729" s="20">
        <v>22</v>
      </c>
      <c r="K3729" t="s">
        <v>668</v>
      </c>
      <c r="L3729" t="s">
        <v>645</v>
      </c>
      <c r="M3729" t="s">
        <v>629</v>
      </c>
      <c r="N3729" t="s">
        <v>646</v>
      </c>
      <c r="O3729" t="s">
        <v>632</v>
      </c>
    </row>
    <row r="3730" spans="1:15" x14ac:dyDescent="0.35">
      <c r="A3730" s="77">
        <v>1.9178082191780823E-2</v>
      </c>
      <c r="B3730" s="19">
        <v>100516</v>
      </c>
      <c r="C3730" s="19" t="s">
        <v>6021</v>
      </c>
      <c r="D3730" s="19" t="s">
        <v>68</v>
      </c>
      <c r="E3730" s="19" t="s">
        <v>69</v>
      </c>
      <c r="F3730" s="19" t="s">
        <v>1078</v>
      </c>
      <c r="G3730" s="19" t="s">
        <v>1008</v>
      </c>
      <c r="H3730" s="19" t="s">
        <v>1001</v>
      </c>
      <c r="I3730" s="19" t="s">
        <v>1575</v>
      </c>
      <c r="J3730" s="20">
        <v>19</v>
      </c>
      <c r="K3730" t="s">
        <v>636</v>
      </c>
      <c r="L3730" t="s">
        <v>670</v>
      </c>
      <c r="M3730" t="s">
        <v>657</v>
      </c>
      <c r="N3730" t="s">
        <v>641</v>
      </c>
      <c r="O3730" t="s">
        <v>671</v>
      </c>
    </row>
    <row r="3731" spans="1:15" x14ac:dyDescent="0.35">
      <c r="A3731" s="77">
        <v>1.9178082191780823E-2</v>
      </c>
      <c r="B3731" s="19">
        <v>100517</v>
      </c>
      <c r="C3731" s="19" t="s">
        <v>6022</v>
      </c>
      <c r="D3731" s="19" t="s">
        <v>68</v>
      </c>
      <c r="E3731" s="19" t="s">
        <v>69</v>
      </c>
      <c r="F3731" s="19" t="s">
        <v>1078</v>
      </c>
      <c r="G3731" s="19" t="s">
        <v>1008</v>
      </c>
      <c r="H3731" s="19" t="s">
        <v>1001</v>
      </c>
      <c r="I3731" s="19" t="s">
        <v>1575</v>
      </c>
      <c r="J3731" s="20">
        <v>19</v>
      </c>
      <c r="K3731" t="s">
        <v>636</v>
      </c>
      <c r="L3731" t="s">
        <v>670</v>
      </c>
      <c r="M3731" t="s">
        <v>657</v>
      </c>
      <c r="N3731" t="s">
        <v>641</v>
      </c>
      <c r="O3731" t="s">
        <v>671</v>
      </c>
    </row>
    <row r="3732" spans="1:15" x14ac:dyDescent="0.35">
      <c r="A3732" s="77">
        <v>0.20547945205479451</v>
      </c>
      <c r="B3732" s="19">
        <v>100520</v>
      </c>
      <c r="C3732" s="19" t="s">
        <v>6023</v>
      </c>
      <c r="D3732" s="19" t="s">
        <v>16</v>
      </c>
      <c r="E3732" s="19" t="s">
        <v>16</v>
      </c>
      <c r="F3732" s="19" t="s">
        <v>1211</v>
      </c>
      <c r="G3732" s="19" t="s">
        <v>1028</v>
      </c>
      <c r="H3732" s="19" t="s">
        <v>1020</v>
      </c>
      <c r="I3732" s="19" t="s">
        <v>1599</v>
      </c>
      <c r="J3732" s="20">
        <v>25</v>
      </c>
      <c r="K3732" t="s">
        <v>631</v>
      </c>
      <c r="L3732" t="s">
        <v>645</v>
      </c>
      <c r="M3732" t="s">
        <v>629</v>
      </c>
      <c r="N3732" t="s">
        <v>646</v>
      </c>
      <c r="O3732" t="s">
        <v>632</v>
      </c>
    </row>
    <row r="3733" spans="1:15" x14ac:dyDescent="0.35">
      <c r="A3733" s="77">
        <v>2.1917808219178082E-2</v>
      </c>
      <c r="B3733" s="19">
        <v>100521</v>
      </c>
      <c r="C3733" s="19" t="s">
        <v>6024</v>
      </c>
      <c r="D3733" s="19" t="s">
        <v>62</v>
      </c>
      <c r="E3733" s="19" t="s">
        <v>63</v>
      </c>
      <c r="F3733" s="19" t="s">
        <v>1228</v>
      </c>
      <c r="G3733" s="19" t="s">
        <v>1008</v>
      </c>
      <c r="H3733" s="19" t="s">
        <v>1001</v>
      </c>
      <c r="I3733" s="19" t="s">
        <v>1575</v>
      </c>
      <c r="J3733" s="20">
        <v>18</v>
      </c>
      <c r="K3733" t="s">
        <v>636</v>
      </c>
      <c r="L3733" t="s">
        <v>645</v>
      </c>
      <c r="M3733" t="s">
        <v>629</v>
      </c>
      <c r="N3733" t="s">
        <v>646</v>
      </c>
      <c r="O3733" t="s">
        <v>632</v>
      </c>
    </row>
    <row r="3734" spans="1:15" x14ac:dyDescent="0.35">
      <c r="A3734" s="77">
        <v>0.14520547945205478</v>
      </c>
      <c r="B3734" s="19">
        <v>100523</v>
      </c>
      <c r="C3734" s="19" t="s">
        <v>6025</v>
      </c>
      <c r="D3734" s="19" t="s">
        <v>311</v>
      </c>
      <c r="E3734" s="19" t="s">
        <v>312</v>
      </c>
      <c r="F3734" s="19" t="s">
        <v>1140</v>
      </c>
      <c r="G3734" s="19" t="s">
        <v>1028</v>
      </c>
      <c r="H3734" s="19" t="s">
        <v>1020</v>
      </c>
      <c r="I3734" s="19" t="s">
        <v>1575</v>
      </c>
      <c r="J3734" s="20">
        <v>20</v>
      </c>
      <c r="K3734" t="s">
        <v>631</v>
      </c>
      <c r="L3734" t="s">
        <v>628</v>
      </c>
      <c r="M3734" t="s">
        <v>629</v>
      </c>
      <c r="N3734" t="s">
        <v>630</v>
      </c>
      <c r="O3734" t="s">
        <v>632</v>
      </c>
    </row>
    <row r="3735" spans="1:15" x14ac:dyDescent="0.35">
      <c r="A3735" s="77">
        <v>0.21369863013698631</v>
      </c>
      <c r="B3735" s="19">
        <v>100526</v>
      </c>
      <c r="C3735" s="19" t="s">
        <v>6026</v>
      </c>
      <c r="D3735" s="19" t="s">
        <v>163</v>
      </c>
      <c r="E3735" s="19" t="s">
        <v>164</v>
      </c>
      <c r="F3735" s="19" t="s">
        <v>1174</v>
      </c>
      <c r="G3735" s="19" t="s">
        <v>1028</v>
      </c>
      <c r="H3735" s="19" t="s">
        <v>1020</v>
      </c>
      <c r="I3735" s="19" t="s">
        <v>1575</v>
      </c>
      <c r="J3735" s="20">
        <v>23</v>
      </c>
      <c r="K3735" t="s">
        <v>654</v>
      </c>
      <c r="L3735" t="s">
        <v>634</v>
      </c>
      <c r="M3735" t="s">
        <v>629</v>
      </c>
      <c r="N3735" t="s">
        <v>635</v>
      </c>
      <c r="O3735" t="s">
        <v>637</v>
      </c>
    </row>
    <row r="3736" spans="1:15" x14ac:dyDescent="0.35">
      <c r="A3736" s="77">
        <v>0.21369863013698631</v>
      </c>
      <c r="B3736" s="19">
        <v>100527</v>
      </c>
      <c r="C3736" s="19" t="s">
        <v>6027</v>
      </c>
      <c r="D3736" s="19" t="s">
        <v>163</v>
      </c>
      <c r="E3736" s="19" t="s">
        <v>164</v>
      </c>
      <c r="F3736" s="19" t="s">
        <v>1174</v>
      </c>
      <c r="G3736" s="19" t="s">
        <v>1008</v>
      </c>
      <c r="H3736" s="19" t="s">
        <v>1001</v>
      </c>
      <c r="I3736" s="19" t="s">
        <v>1575</v>
      </c>
      <c r="J3736" s="20">
        <v>32</v>
      </c>
      <c r="K3736" t="s">
        <v>654</v>
      </c>
      <c r="L3736" t="s">
        <v>634</v>
      </c>
      <c r="M3736" t="s">
        <v>629</v>
      </c>
      <c r="N3736" t="s">
        <v>635</v>
      </c>
      <c r="O3736" t="s">
        <v>637</v>
      </c>
    </row>
    <row r="3737" spans="1:15" x14ac:dyDescent="0.35">
      <c r="A3737" s="77">
        <v>2.1917808219178082E-2</v>
      </c>
      <c r="B3737" s="19">
        <v>100529</v>
      </c>
      <c r="C3737" s="19" t="s">
        <v>6028</v>
      </c>
      <c r="D3737" s="19" t="s">
        <v>415</v>
      </c>
      <c r="E3737" s="19" t="s">
        <v>416</v>
      </c>
      <c r="F3737" s="19" t="s">
        <v>1199</v>
      </c>
      <c r="G3737" s="19" t="s">
        <v>1008</v>
      </c>
      <c r="H3737" s="19" t="s">
        <v>1001</v>
      </c>
      <c r="I3737" s="19" t="s">
        <v>1599</v>
      </c>
      <c r="J3737" s="20">
        <v>17</v>
      </c>
      <c r="K3737" t="s">
        <v>668</v>
      </c>
      <c r="L3737" t="s">
        <v>666</v>
      </c>
      <c r="M3737" t="s">
        <v>629</v>
      </c>
      <c r="N3737" t="s">
        <v>635</v>
      </c>
      <c r="O3737" t="s">
        <v>637</v>
      </c>
    </row>
    <row r="3738" spans="1:15" x14ac:dyDescent="0.35">
      <c r="A3738" s="77">
        <v>2.4657534246575342E-2</v>
      </c>
      <c r="B3738" s="19">
        <v>100530</v>
      </c>
      <c r="C3738" s="19" t="s">
        <v>6029</v>
      </c>
      <c r="D3738" s="19" t="s">
        <v>206</v>
      </c>
      <c r="E3738" s="19" t="s">
        <v>207</v>
      </c>
      <c r="F3738" s="19" t="s">
        <v>2447</v>
      </c>
      <c r="G3738" s="19" t="s">
        <v>1008</v>
      </c>
      <c r="H3738" s="19" t="s">
        <v>1001</v>
      </c>
      <c r="I3738" s="19" t="s">
        <v>1575</v>
      </c>
      <c r="J3738" s="20">
        <v>36</v>
      </c>
      <c r="K3738" t="s">
        <v>668</v>
      </c>
      <c r="L3738" t="s">
        <v>666</v>
      </c>
      <c r="M3738" t="s">
        <v>629</v>
      </c>
      <c r="N3738" t="s">
        <v>630</v>
      </c>
      <c r="O3738" t="s">
        <v>652</v>
      </c>
    </row>
    <row r="3739" spans="1:15" x14ac:dyDescent="0.35">
      <c r="A3739" s="77">
        <v>2.1917808219178082E-2</v>
      </c>
      <c r="B3739" s="19">
        <v>100546</v>
      </c>
      <c r="C3739" s="19" t="s">
        <v>6030</v>
      </c>
      <c r="D3739" s="19" t="s">
        <v>20</v>
      </c>
      <c r="E3739" s="19" t="s">
        <v>20</v>
      </c>
      <c r="F3739" s="19" t="s">
        <v>1133</v>
      </c>
      <c r="G3739" s="19" t="s">
        <v>1008</v>
      </c>
      <c r="H3739" s="19" t="s">
        <v>1001</v>
      </c>
      <c r="I3739" s="19" t="s">
        <v>1575</v>
      </c>
      <c r="J3739" s="20">
        <v>18</v>
      </c>
      <c r="K3739" t="s">
        <v>654</v>
      </c>
      <c r="L3739" t="s">
        <v>634</v>
      </c>
      <c r="M3739" t="s">
        <v>629</v>
      </c>
      <c r="N3739" t="s">
        <v>635</v>
      </c>
      <c r="O3739" t="s">
        <v>637</v>
      </c>
    </row>
    <row r="3740" spans="1:15" x14ac:dyDescent="0.35">
      <c r="A3740" s="77">
        <v>2.1917808219178082E-2</v>
      </c>
      <c r="B3740" s="19">
        <v>100550</v>
      </c>
      <c r="C3740" s="19" t="s">
        <v>6031</v>
      </c>
      <c r="D3740" s="19" t="s">
        <v>333</v>
      </c>
      <c r="E3740" s="19" t="s">
        <v>334</v>
      </c>
      <c r="F3740" s="19" t="s">
        <v>1333</v>
      </c>
      <c r="G3740" s="19" t="s">
        <v>1008</v>
      </c>
      <c r="H3740" s="19" t="s">
        <v>1001</v>
      </c>
      <c r="I3740" s="19" t="s">
        <v>1575</v>
      </c>
      <c r="J3740" s="20">
        <v>18</v>
      </c>
      <c r="K3740" t="s">
        <v>636</v>
      </c>
      <c r="L3740" t="s">
        <v>666</v>
      </c>
      <c r="M3740" t="s">
        <v>629</v>
      </c>
      <c r="N3740" t="s">
        <v>630</v>
      </c>
      <c r="O3740" t="s">
        <v>652</v>
      </c>
    </row>
    <row r="3741" spans="1:15" x14ac:dyDescent="0.35">
      <c r="A3741" s="77">
        <v>2.1917808219178082E-2</v>
      </c>
      <c r="B3741" s="19">
        <v>100553</v>
      </c>
      <c r="C3741" s="19" t="s">
        <v>6032</v>
      </c>
      <c r="D3741" s="19" t="s">
        <v>293</v>
      </c>
      <c r="E3741" s="19" t="s">
        <v>294</v>
      </c>
      <c r="F3741" s="19" t="s">
        <v>1794</v>
      </c>
      <c r="G3741" s="19" t="s">
        <v>1008</v>
      </c>
      <c r="H3741" s="19" t="s">
        <v>1001</v>
      </c>
      <c r="I3741" s="19" t="s">
        <v>1575</v>
      </c>
      <c r="J3741" s="20">
        <v>23</v>
      </c>
      <c r="K3741" t="s">
        <v>654</v>
      </c>
      <c r="L3741" t="s">
        <v>634</v>
      </c>
      <c r="M3741" t="s">
        <v>629</v>
      </c>
      <c r="N3741" t="s">
        <v>635</v>
      </c>
      <c r="O3741" t="s">
        <v>637</v>
      </c>
    </row>
    <row r="3742" spans="1:15" x14ac:dyDescent="0.35">
      <c r="A3742" s="77">
        <v>2.1917808219178082E-2</v>
      </c>
      <c r="B3742" s="19">
        <v>100554</v>
      </c>
      <c r="C3742" s="19" t="s">
        <v>6033</v>
      </c>
      <c r="D3742" s="19" t="s">
        <v>293</v>
      </c>
      <c r="E3742" s="19" t="s">
        <v>294</v>
      </c>
      <c r="F3742" s="19" t="s">
        <v>1794</v>
      </c>
      <c r="G3742" s="19" t="s">
        <v>1008</v>
      </c>
      <c r="H3742" s="19" t="s">
        <v>1001</v>
      </c>
      <c r="I3742" s="19" t="s">
        <v>1575</v>
      </c>
      <c r="J3742" s="20">
        <v>18</v>
      </c>
      <c r="K3742" t="s">
        <v>654</v>
      </c>
      <c r="L3742" t="s">
        <v>634</v>
      </c>
      <c r="M3742" t="s">
        <v>629</v>
      </c>
      <c r="N3742" t="s">
        <v>635</v>
      </c>
      <c r="O3742" t="s">
        <v>637</v>
      </c>
    </row>
    <row r="3743" spans="1:15" x14ac:dyDescent="0.35">
      <c r="A3743" s="77">
        <v>1.9178082191780823E-2</v>
      </c>
      <c r="B3743" s="19">
        <v>100556</v>
      </c>
      <c r="C3743" s="19" t="s">
        <v>6034</v>
      </c>
      <c r="D3743" s="19" t="s">
        <v>43</v>
      </c>
      <c r="E3743" s="19" t="s">
        <v>44</v>
      </c>
      <c r="F3743" s="19" t="s">
        <v>2355</v>
      </c>
      <c r="G3743" s="19" t="s">
        <v>1008</v>
      </c>
      <c r="H3743" s="19" t="s">
        <v>1001</v>
      </c>
      <c r="I3743" s="19" t="s">
        <v>1575</v>
      </c>
      <c r="J3743" s="20">
        <v>24</v>
      </c>
      <c r="K3743" t="s">
        <v>654</v>
      </c>
      <c r="L3743" t="s">
        <v>634</v>
      </c>
      <c r="M3743" t="s">
        <v>629</v>
      </c>
      <c r="N3743" t="s">
        <v>635</v>
      </c>
      <c r="O3743" t="s">
        <v>637</v>
      </c>
    </row>
    <row r="3744" spans="1:15" x14ac:dyDescent="0.35">
      <c r="A3744" s="77">
        <v>0.20547945205479451</v>
      </c>
      <c r="B3744" s="19">
        <v>100559</v>
      </c>
      <c r="C3744" s="19" t="s">
        <v>6035</v>
      </c>
      <c r="D3744" s="19" t="s">
        <v>237</v>
      </c>
      <c r="E3744" s="19" t="s">
        <v>238</v>
      </c>
      <c r="F3744" s="19" t="s">
        <v>1070</v>
      </c>
      <c r="G3744" s="19" t="s">
        <v>1019</v>
      </c>
      <c r="H3744" s="19" t="s">
        <v>1020</v>
      </c>
      <c r="I3744" s="19" t="s">
        <v>1575</v>
      </c>
      <c r="J3744" s="20">
        <v>18</v>
      </c>
      <c r="K3744" t="s">
        <v>631</v>
      </c>
      <c r="L3744" t="s">
        <v>661</v>
      </c>
      <c r="M3744" t="s">
        <v>657</v>
      </c>
      <c r="N3744" t="s">
        <v>662</v>
      </c>
      <c r="O3744" t="s">
        <v>632</v>
      </c>
    </row>
    <row r="3745" spans="1:15" x14ac:dyDescent="0.35">
      <c r="A3745" s="77">
        <v>0.20547945205479451</v>
      </c>
      <c r="B3745" s="19">
        <v>100564</v>
      </c>
      <c r="C3745" s="19" t="s">
        <v>6036</v>
      </c>
      <c r="D3745" s="19" t="s">
        <v>211</v>
      </c>
      <c r="E3745" s="19" t="s">
        <v>212</v>
      </c>
      <c r="F3745" s="19" t="s">
        <v>1049</v>
      </c>
      <c r="G3745" s="19" t="s">
        <v>3508</v>
      </c>
      <c r="H3745" s="19" t="s">
        <v>1020</v>
      </c>
      <c r="I3745" s="19" t="s">
        <v>1575</v>
      </c>
      <c r="J3745" s="20">
        <v>15</v>
      </c>
      <c r="K3745" t="s">
        <v>654</v>
      </c>
      <c r="L3745" t="s">
        <v>691</v>
      </c>
      <c r="M3745" t="s">
        <v>657</v>
      </c>
      <c r="N3745" t="s">
        <v>658</v>
      </c>
      <c r="O3745" t="s">
        <v>632</v>
      </c>
    </row>
    <row r="3746" spans="1:15" x14ac:dyDescent="0.35">
      <c r="A3746" s="77">
        <v>0.20547945205479451</v>
      </c>
      <c r="B3746" s="19">
        <v>100565</v>
      </c>
      <c r="C3746" s="19" t="s">
        <v>6037</v>
      </c>
      <c r="D3746" s="19" t="s">
        <v>51</v>
      </c>
      <c r="E3746" s="19" t="s">
        <v>52</v>
      </c>
      <c r="F3746" s="19" t="s">
        <v>921</v>
      </c>
      <c r="G3746" s="19" t="s">
        <v>1028</v>
      </c>
      <c r="H3746" s="19" t="s">
        <v>1020</v>
      </c>
      <c r="I3746" s="19" t="s">
        <v>1599</v>
      </c>
      <c r="J3746" s="20">
        <v>25</v>
      </c>
      <c r="K3746" t="s">
        <v>636</v>
      </c>
      <c r="L3746" t="s">
        <v>656</v>
      </c>
      <c r="M3746" t="s">
        <v>657</v>
      </c>
      <c r="N3746" t="s">
        <v>658</v>
      </c>
      <c r="O3746" t="s">
        <v>718</v>
      </c>
    </row>
    <row r="3747" spans="1:15" x14ac:dyDescent="0.35">
      <c r="A3747" s="77">
        <v>0.20547945205479451</v>
      </c>
      <c r="B3747" s="19">
        <v>100573</v>
      </c>
      <c r="C3747" s="19" t="s">
        <v>6038</v>
      </c>
      <c r="D3747" s="19" t="s">
        <v>355</v>
      </c>
      <c r="E3747" s="19" t="s">
        <v>356</v>
      </c>
      <c r="F3747" s="19" t="s">
        <v>1100</v>
      </c>
      <c r="G3747" s="19" t="s">
        <v>1028</v>
      </c>
      <c r="H3747" s="19" t="s">
        <v>1020</v>
      </c>
      <c r="I3747" s="19" t="s">
        <v>1599</v>
      </c>
      <c r="J3747" s="20">
        <v>23</v>
      </c>
      <c r="K3747" t="s">
        <v>625</v>
      </c>
      <c r="L3747" t="s">
        <v>622</v>
      </c>
      <c r="M3747" t="s">
        <v>623</v>
      </c>
      <c r="N3747" t="s">
        <v>624</v>
      </c>
      <c r="O3747" t="s">
        <v>649</v>
      </c>
    </row>
    <row r="3748" spans="1:15" x14ac:dyDescent="0.35">
      <c r="A3748" s="77">
        <v>0.20547945205479451</v>
      </c>
      <c r="B3748" s="19">
        <v>100574</v>
      </c>
      <c r="C3748" s="19" t="s">
        <v>6039</v>
      </c>
      <c r="D3748" s="19" t="s">
        <v>173</v>
      </c>
      <c r="E3748" s="19" t="s">
        <v>174</v>
      </c>
      <c r="F3748" s="19" t="s">
        <v>901</v>
      </c>
      <c r="G3748" s="19" t="s">
        <v>1028</v>
      </c>
      <c r="H3748" s="19" t="s">
        <v>1020</v>
      </c>
      <c r="I3748" s="19" t="s">
        <v>1575</v>
      </c>
      <c r="J3748" s="20">
        <v>30</v>
      </c>
      <c r="K3748" t="s">
        <v>668</v>
      </c>
      <c r="L3748" t="s">
        <v>656</v>
      </c>
      <c r="M3748" t="s">
        <v>657</v>
      </c>
      <c r="N3748" t="s">
        <v>658</v>
      </c>
      <c r="O3748" t="s">
        <v>632</v>
      </c>
    </row>
    <row r="3749" spans="1:15" x14ac:dyDescent="0.35">
      <c r="A3749" s="77">
        <v>0.20821917808219179</v>
      </c>
      <c r="B3749" s="19">
        <v>100577</v>
      </c>
      <c r="C3749" s="19" t="s">
        <v>6040</v>
      </c>
      <c r="D3749" s="19" t="s">
        <v>282</v>
      </c>
      <c r="E3749" s="19" t="s">
        <v>283</v>
      </c>
      <c r="F3749" s="19" t="s">
        <v>1417</v>
      </c>
      <c r="G3749" s="19" t="s">
        <v>1028</v>
      </c>
      <c r="H3749" s="19" t="s">
        <v>1020</v>
      </c>
      <c r="I3749" s="19" t="s">
        <v>1575</v>
      </c>
      <c r="J3749" s="20">
        <v>23</v>
      </c>
      <c r="K3749" t="s">
        <v>668</v>
      </c>
      <c r="L3749" t="s">
        <v>645</v>
      </c>
      <c r="M3749" t="s">
        <v>629</v>
      </c>
      <c r="N3749" t="s">
        <v>646</v>
      </c>
      <c r="O3749" t="s">
        <v>632</v>
      </c>
    </row>
    <row r="3750" spans="1:15" x14ac:dyDescent="0.35">
      <c r="A3750" s="77">
        <v>2.1917808219178082E-2</v>
      </c>
      <c r="B3750" s="19">
        <v>100578</v>
      </c>
      <c r="C3750" s="19" t="s">
        <v>6041</v>
      </c>
      <c r="D3750" s="19" t="s">
        <v>66</v>
      </c>
      <c r="E3750" s="19" t="s">
        <v>67</v>
      </c>
      <c r="F3750" s="19" t="s">
        <v>1708</v>
      </c>
      <c r="G3750" s="19" t="s">
        <v>1008</v>
      </c>
      <c r="H3750" s="19" t="s">
        <v>1001</v>
      </c>
      <c r="I3750" s="19" t="s">
        <v>1599</v>
      </c>
      <c r="J3750" s="20">
        <v>23</v>
      </c>
      <c r="K3750" t="s">
        <v>654</v>
      </c>
      <c r="L3750" t="s">
        <v>645</v>
      </c>
      <c r="M3750" t="s">
        <v>629</v>
      </c>
      <c r="N3750" t="s">
        <v>646</v>
      </c>
      <c r="O3750" t="s">
        <v>632</v>
      </c>
    </row>
    <row r="3751" spans="1:15" x14ac:dyDescent="0.35">
      <c r="A3751" s="77">
        <v>0.20273972602739726</v>
      </c>
      <c r="B3751" s="19">
        <v>100581</v>
      </c>
      <c r="C3751" s="19" t="s">
        <v>6042</v>
      </c>
      <c r="D3751" s="19" t="s">
        <v>341</v>
      </c>
      <c r="E3751" s="19" t="s">
        <v>342</v>
      </c>
      <c r="F3751" s="19" t="s">
        <v>1264</v>
      </c>
      <c r="G3751" s="19" t="s">
        <v>1008</v>
      </c>
      <c r="H3751" s="19" t="s">
        <v>1001</v>
      </c>
      <c r="I3751" s="19" t="s">
        <v>1575</v>
      </c>
      <c r="J3751" s="20">
        <v>19</v>
      </c>
      <c r="K3751" t="s">
        <v>636</v>
      </c>
      <c r="L3751" t="s">
        <v>678</v>
      </c>
      <c r="M3751" t="s">
        <v>623</v>
      </c>
      <c r="N3751" t="s">
        <v>624</v>
      </c>
      <c r="O3751" t="s">
        <v>679</v>
      </c>
    </row>
    <row r="3752" spans="1:15" x14ac:dyDescent="0.35">
      <c r="A3752" s="77">
        <v>0.20273972602739726</v>
      </c>
      <c r="B3752" s="19">
        <v>100582</v>
      </c>
      <c r="C3752" s="19" t="s">
        <v>6043</v>
      </c>
      <c r="D3752" s="19" t="s">
        <v>19</v>
      </c>
      <c r="E3752" s="19" t="s">
        <v>19</v>
      </c>
      <c r="F3752" s="19" t="s">
        <v>1255</v>
      </c>
      <c r="G3752" s="19" t="s">
        <v>1028</v>
      </c>
      <c r="H3752" s="19" t="s">
        <v>1020</v>
      </c>
      <c r="I3752" s="19" t="s">
        <v>1575</v>
      </c>
      <c r="J3752" s="20">
        <v>23</v>
      </c>
      <c r="K3752" t="s">
        <v>654</v>
      </c>
      <c r="L3752" t="s">
        <v>645</v>
      </c>
      <c r="M3752" t="s">
        <v>629</v>
      </c>
      <c r="N3752" t="s">
        <v>646</v>
      </c>
      <c r="O3752" t="s">
        <v>632</v>
      </c>
    </row>
    <row r="3753" spans="1:15" x14ac:dyDescent="0.35">
      <c r="A3753" s="77">
        <v>0.20273972602739726</v>
      </c>
      <c r="B3753" s="19">
        <v>100584</v>
      </c>
      <c r="C3753" s="19" t="s">
        <v>6044</v>
      </c>
      <c r="D3753" s="19" t="s">
        <v>95</v>
      </c>
      <c r="E3753" s="19" t="s">
        <v>96</v>
      </c>
      <c r="F3753" s="19" t="s">
        <v>1188</v>
      </c>
      <c r="G3753" s="19" t="s">
        <v>1028</v>
      </c>
      <c r="H3753" s="19" t="s">
        <v>1020</v>
      </c>
      <c r="I3753" s="19" t="s">
        <v>1575</v>
      </c>
      <c r="J3753" s="20">
        <v>18</v>
      </c>
      <c r="K3753" t="s">
        <v>636</v>
      </c>
      <c r="L3753" t="s">
        <v>737</v>
      </c>
      <c r="M3753" t="s">
        <v>657</v>
      </c>
      <c r="N3753" t="s">
        <v>641</v>
      </c>
      <c r="O3753" t="s">
        <v>738</v>
      </c>
    </row>
    <row r="3754" spans="1:15" x14ac:dyDescent="0.35">
      <c r="A3754" s="77">
        <v>0.20273972602739726</v>
      </c>
      <c r="B3754" s="19">
        <v>100585</v>
      </c>
      <c r="C3754" s="19" t="s">
        <v>6045</v>
      </c>
      <c r="D3754" s="19" t="s">
        <v>245</v>
      </c>
      <c r="E3754" s="19" t="s">
        <v>246</v>
      </c>
      <c r="F3754" s="19" t="s">
        <v>1365</v>
      </c>
      <c r="G3754" s="19" t="s">
        <v>3508</v>
      </c>
      <c r="H3754" s="19" t="s">
        <v>1020</v>
      </c>
      <c r="I3754" s="19" t="s">
        <v>1575</v>
      </c>
      <c r="J3754" s="20">
        <v>18</v>
      </c>
      <c r="K3754" t="s">
        <v>654</v>
      </c>
      <c r="L3754" t="s">
        <v>678</v>
      </c>
      <c r="M3754" t="s">
        <v>623</v>
      </c>
      <c r="N3754" t="s">
        <v>624</v>
      </c>
      <c r="O3754" t="s">
        <v>679</v>
      </c>
    </row>
    <row r="3755" spans="1:15" x14ac:dyDescent="0.35">
      <c r="A3755" s="77">
        <v>0.20273972602739726</v>
      </c>
      <c r="B3755" s="19">
        <v>100587</v>
      </c>
      <c r="C3755" s="19" t="s">
        <v>6046</v>
      </c>
      <c r="D3755" s="19" t="s">
        <v>208</v>
      </c>
      <c r="E3755" s="19" t="s">
        <v>209</v>
      </c>
      <c r="F3755" s="19" t="s">
        <v>1444</v>
      </c>
      <c r="G3755" s="19" t="s">
        <v>1028</v>
      </c>
      <c r="H3755" s="19" t="s">
        <v>1020</v>
      </c>
      <c r="I3755" s="19" t="s">
        <v>1575</v>
      </c>
      <c r="J3755" s="20">
        <v>21</v>
      </c>
      <c r="K3755" t="s">
        <v>636</v>
      </c>
      <c r="L3755" t="s">
        <v>640</v>
      </c>
      <c r="M3755" t="s">
        <v>623</v>
      </c>
      <c r="N3755" t="s">
        <v>624</v>
      </c>
      <c r="O3755" t="s">
        <v>787</v>
      </c>
    </row>
    <row r="3756" spans="1:15" x14ac:dyDescent="0.35">
      <c r="A3756" s="77">
        <v>5.4794520547945202E-2</v>
      </c>
      <c r="B3756" s="19">
        <v>100588</v>
      </c>
      <c r="C3756" s="19" t="s">
        <v>6047</v>
      </c>
      <c r="D3756" s="19" t="s">
        <v>115</v>
      </c>
      <c r="E3756" s="19" t="s">
        <v>116</v>
      </c>
      <c r="F3756" s="19" t="s">
        <v>1383</v>
      </c>
      <c r="G3756" s="19" t="s">
        <v>1028</v>
      </c>
      <c r="H3756" s="19" t="s">
        <v>1020</v>
      </c>
      <c r="I3756" s="19" t="s">
        <v>1575</v>
      </c>
      <c r="J3756" s="20">
        <v>22</v>
      </c>
      <c r="K3756" t="s">
        <v>631</v>
      </c>
      <c r="L3756" t="s">
        <v>670</v>
      </c>
      <c r="M3756" t="s">
        <v>657</v>
      </c>
      <c r="N3756" t="s">
        <v>641</v>
      </c>
      <c r="O3756" t="s">
        <v>671</v>
      </c>
    </row>
    <row r="3757" spans="1:15" x14ac:dyDescent="0.35">
      <c r="A3757" s="77">
        <v>1.9178082191780823E-2</v>
      </c>
      <c r="B3757" s="19">
        <v>100597</v>
      </c>
      <c r="C3757" s="19" t="s">
        <v>6048</v>
      </c>
      <c r="D3757" s="19" t="s">
        <v>130</v>
      </c>
      <c r="E3757" s="19" t="s">
        <v>131</v>
      </c>
      <c r="F3757" s="19" t="s">
        <v>1693</v>
      </c>
      <c r="G3757" s="19" t="s">
        <v>1008</v>
      </c>
      <c r="H3757" s="19" t="s">
        <v>1001</v>
      </c>
      <c r="I3757" s="19" t="s">
        <v>1575</v>
      </c>
      <c r="J3757" s="20">
        <v>24</v>
      </c>
      <c r="K3757" t="s">
        <v>654</v>
      </c>
      <c r="L3757" t="s">
        <v>670</v>
      </c>
      <c r="M3757" t="s">
        <v>657</v>
      </c>
      <c r="N3757" t="s">
        <v>641</v>
      </c>
      <c r="O3757" t="s">
        <v>752</v>
      </c>
    </row>
    <row r="3758" spans="1:15" x14ac:dyDescent="0.35">
      <c r="A3758" s="77">
        <v>1.9178082191780823E-2</v>
      </c>
      <c r="B3758" s="19">
        <v>100600</v>
      </c>
      <c r="C3758" s="19" t="s">
        <v>6049</v>
      </c>
      <c r="D3758" s="19" t="s">
        <v>367</v>
      </c>
      <c r="E3758" s="19" t="s">
        <v>368</v>
      </c>
      <c r="F3758" s="19" t="s">
        <v>1604</v>
      </c>
      <c r="G3758" s="19" t="s">
        <v>1008</v>
      </c>
      <c r="H3758" s="19" t="s">
        <v>1001</v>
      </c>
      <c r="I3758" s="19" t="s">
        <v>1575</v>
      </c>
      <c r="J3758" s="20">
        <v>23</v>
      </c>
      <c r="K3758" t="s">
        <v>636</v>
      </c>
      <c r="L3758" t="s">
        <v>737</v>
      </c>
      <c r="M3758" t="s">
        <v>657</v>
      </c>
      <c r="N3758" t="s">
        <v>641</v>
      </c>
      <c r="O3758" t="s">
        <v>738</v>
      </c>
    </row>
    <row r="3759" spans="1:15" x14ac:dyDescent="0.35">
      <c r="A3759" s="77">
        <v>0.20273972602739726</v>
      </c>
      <c r="B3759" s="19">
        <v>100602</v>
      </c>
      <c r="C3759" s="19" t="s">
        <v>6050</v>
      </c>
      <c r="D3759" s="19" t="s">
        <v>87</v>
      </c>
      <c r="E3759" s="19" t="s">
        <v>88</v>
      </c>
      <c r="F3759" s="19" t="s">
        <v>1324</v>
      </c>
      <c r="G3759" s="19" t="s">
        <v>1028</v>
      </c>
      <c r="H3759" s="19" t="s">
        <v>1020</v>
      </c>
      <c r="I3759" s="19" t="s">
        <v>1599</v>
      </c>
      <c r="J3759" s="20">
        <v>23</v>
      </c>
      <c r="K3759" t="s">
        <v>642</v>
      </c>
      <c r="L3759" t="s">
        <v>661</v>
      </c>
      <c r="M3759" t="s">
        <v>657</v>
      </c>
      <c r="N3759" t="s">
        <v>662</v>
      </c>
      <c r="O3759" t="s">
        <v>632</v>
      </c>
    </row>
    <row r="3760" spans="1:15" x14ac:dyDescent="0.35">
      <c r="A3760" s="77">
        <v>0.20273972602739726</v>
      </c>
      <c r="B3760" s="19">
        <v>100603</v>
      </c>
      <c r="C3760" s="19" t="s">
        <v>6051</v>
      </c>
      <c r="D3760" s="19" t="s">
        <v>382</v>
      </c>
      <c r="E3760" s="19" t="s">
        <v>383</v>
      </c>
      <c r="F3760" s="19" t="s">
        <v>384</v>
      </c>
      <c r="G3760" s="19" t="s">
        <v>1028</v>
      </c>
      <c r="H3760" s="19" t="s">
        <v>1020</v>
      </c>
      <c r="I3760" s="19" t="s">
        <v>1599</v>
      </c>
      <c r="J3760" s="20">
        <v>25</v>
      </c>
      <c r="K3760" t="s">
        <v>636</v>
      </c>
      <c r="L3760" t="s">
        <v>656</v>
      </c>
      <c r="M3760" t="s">
        <v>657</v>
      </c>
      <c r="N3760" t="s">
        <v>658</v>
      </c>
      <c r="O3760" t="s">
        <v>843</v>
      </c>
    </row>
    <row r="3761" spans="1:15" x14ac:dyDescent="0.35">
      <c r="A3761" s="77">
        <v>0.2</v>
      </c>
      <c r="B3761" s="19">
        <v>100606</v>
      </c>
      <c r="C3761" s="19" t="s">
        <v>6052</v>
      </c>
      <c r="D3761" s="19" t="s">
        <v>195</v>
      </c>
      <c r="E3761" s="19" t="s">
        <v>196</v>
      </c>
      <c r="F3761" s="19" t="s">
        <v>908</v>
      </c>
      <c r="G3761" s="19" t="s">
        <v>1028</v>
      </c>
      <c r="H3761" s="19" t="s">
        <v>1020</v>
      </c>
      <c r="I3761" s="19" t="s">
        <v>1599</v>
      </c>
      <c r="J3761" s="20">
        <v>26</v>
      </c>
      <c r="K3761" t="s">
        <v>636</v>
      </c>
      <c r="L3761" t="s">
        <v>670</v>
      </c>
      <c r="M3761" t="s">
        <v>657</v>
      </c>
      <c r="N3761" t="s">
        <v>641</v>
      </c>
      <c r="O3761" t="s">
        <v>676</v>
      </c>
    </row>
    <row r="3762" spans="1:15" x14ac:dyDescent="0.35">
      <c r="A3762" s="77">
        <v>0.2</v>
      </c>
      <c r="B3762" s="19">
        <v>100611</v>
      </c>
      <c r="C3762" s="19" t="s">
        <v>6053</v>
      </c>
      <c r="D3762" s="19" t="s">
        <v>375</v>
      </c>
      <c r="E3762" s="19" t="s">
        <v>376</v>
      </c>
      <c r="F3762" s="19" t="s">
        <v>1270</v>
      </c>
      <c r="G3762" s="19" t="s">
        <v>1057</v>
      </c>
      <c r="H3762" s="19" t="s">
        <v>1001</v>
      </c>
      <c r="I3762" s="19" t="s">
        <v>1575</v>
      </c>
      <c r="J3762" s="20">
        <v>19</v>
      </c>
      <c r="K3762" t="s">
        <v>636</v>
      </c>
      <c r="L3762" t="s">
        <v>678</v>
      </c>
      <c r="M3762" t="s">
        <v>623</v>
      </c>
      <c r="N3762" t="s">
        <v>624</v>
      </c>
      <c r="O3762" t="s">
        <v>679</v>
      </c>
    </row>
    <row r="3763" spans="1:15" x14ac:dyDescent="0.35">
      <c r="A3763" s="77">
        <v>0.2</v>
      </c>
      <c r="B3763" s="19">
        <v>100614</v>
      </c>
      <c r="C3763" s="19" t="s">
        <v>6054</v>
      </c>
      <c r="D3763" s="19" t="s">
        <v>371</v>
      </c>
      <c r="E3763" s="19" t="s">
        <v>372</v>
      </c>
      <c r="F3763" s="19" t="s">
        <v>2222</v>
      </c>
      <c r="G3763" s="19" t="s">
        <v>1008</v>
      </c>
      <c r="H3763" s="19" t="s">
        <v>1001</v>
      </c>
      <c r="I3763" s="19" t="s">
        <v>1575</v>
      </c>
      <c r="J3763" s="20">
        <v>32</v>
      </c>
      <c r="K3763" t="s">
        <v>668</v>
      </c>
      <c r="L3763" t="s">
        <v>640</v>
      </c>
      <c r="M3763" t="s">
        <v>623</v>
      </c>
      <c r="N3763" t="s">
        <v>641</v>
      </c>
      <c r="O3763" t="s">
        <v>859</v>
      </c>
    </row>
    <row r="3764" spans="1:15" x14ac:dyDescent="0.35">
      <c r="A3764" s="77">
        <v>0.2</v>
      </c>
      <c r="B3764" s="19">
        <v>100617</v>
      </c>
      <c r="C3764" s="19" t="s">
        <v>6055</v>
      </c>
      <c r="D3764" s="19" t="s">
        <v>271</v>
      </c>
      <c r="E3764" s="19" t="s">
        <v>272</v>
      </c>
      <c r="F3764" s="19" t="s">
        <v>2611</v>
      </c>
      <c r="G3764" s="19" t="s">
        <v>1008</v>
      </c>
      <c r="H3764" s="19" t="s">
        <v>1001</v>
      </c>
      <c r="I3764" s="19" t="s">
        <v>1575</v>
      </c>
      <c r="J3764" s="20">
        <v>26</v>
      </c>
      <c r="K3764" t="s">
        <v>654</v>
      </c>
      <c r="L3764" t="s">
        <v>666</v>
      </c>
      <c r="M3764" t="s">
        <v>629</v>
      </c>
      <c r="N3764" t="s">
        <v>635</v>
      </c>
      <c r="O3764" t="s">
        <v>739</v>
      </c>
    </row>
    <row r="3765" spans="1:15" x14ac:dyDescent="0.35">
      <c r="A3765" s="77">
        <v>0.20547945205479451</v>
      </c>
      <c r="B3765" s="19">
        <v>100622</v>
      </c>
      <c r="C3765" s="19" t="s">
        <v>6056</v>
      </c>
      <c r="D3765" s="19" t="s">
        <v>13</v>
      </c>
      <c r="E3765" s="19" t="s">
        <v>13</v>
      </c>
      <c r="F3765" s="19" t="s">
        <v>1467</v>
      </c>
      <c r="G3765" s="19" t="s">
        <v>1019</v>
      </c>
      <c r="H3765" s="19" t="s">
        <v>1020</v>
      </c>
      <c r="I3765" s="19" t="s">
        <v>1575</v>
      </c>
      <c r="J3765" s="20">
        <v>20</v>
      </c>
      <c r="K3765" t="s">
        <v>631</v>
      </c>
      <c r="L3765" t="s">
        <v>628</v>
      </c>
      <c r="M3765" t="s">
        <v>629</v>
      </c>
      <c r="N3765" t="s">
        <v>630</v>
      </c>
      <c r="O3765" t="s">
        <v>639</v>
      </c>
    </row>
    <row r="3766" spans="1:15" x14ac:dyDescent="0.35">
      <c r="A3766" s="77">
        <v>0.23835616438356164</v>
      </c>
      <c r="B3766" s="19">
        <v>100623</v>
      </c>
      <c r="C3766" s="19" t="s">
        <v>6057</v>
      </c>
      <c r="D3766" s="19" t="s">
        <v>302</v>
      </c>
      <c r="E3766" s="19" t="s">
        <v>303</v>
      </c>
      <c r="F3766" s="19" t="s">
        <v>1053</v>
      </c>
      <c r="G3766" s="19" t="s">
        <v>1028</v>
      </c>
      <c r="H3766" s="19" t="s">
        <v>1020</v>
      </c>
      <c r="I3766" s="19" t="s">
        <v>1575</v>
      </c>
      <c r="J3766" s="20">
        <v>25</v>
      </c>
      <c r="K3766" t="s">
        <v>668</v>
      </c>
      <c r="L3766" t="s">
        <v>737</v>
      </c>
      <c r="M3766" t="s">
        <v>657</v>
      </c>
      <c r="N3766" t="s">
        <v>641</v>
      </c>
      <c r="O3766" t="s">
        <v>738</v>
      </c>
    </row>
    <row r="3767" spans="1:15" x14ac:dyDescent="0.35">
      <c r="A3767" s="77">
        <v>0.18904109589041096</v>
      </c>
      <c r="B3767" s="19">
        <v>100628</v>
      </c>
      <c r="C3767" s="19" t="s">
        <v>6058</v>
      </c>
      <c r="D3767" s="19" t="s">
        <v>28</v>
      </c>
      <c r="E3767" s="19" t="s">
        <v>28</v>
      </c>
      <c r="F3767" s="19" t="s">
        <v>916</v>
      </c>
      <c r="G3767" s="19" t="s">
        <v>1000</v>
      </c>
      <c r="H3767" s="19" t="s">
        <v>1001</v>
      </c>
      <c r="I3767" s="19" t="s">
        <v>1599</v>
      </c>
      <c r="J3767" s="20">
        <v>42</v>
      </c>
      <c r="K3767" t="s">
        <v>654</v>
      </c>
      <c r="L3767" t="s">
        <v>670</v>
      </c>
      <c r="M3767" t="s">
        <v>657</v>
      </c>
      <c r="N3767" t="s">
        <v>641</v>
      </c>
      <c r="O3767" t="s">
        <v>671</v>
      </c>
    </row>
    <row r="3768" spans="1:15" x14ac:dyDescent="0.35">
      <c r="A3768" s="77">
        <v>0.18630136986301371</v>
      </c>
      <c r="B3768" s="19">
        <v>100630</v>
      </c>
      <c r="C3768" s="19" t="s">
        <v>6059</v>
      </c>
      <c r="D3768" s="19" t="s">
        <v>341</v>
      </c>
      <c r="E3768" s="19" t="s">
        <v>342</v>
      </c>
      <c r="F3768" s="19" t="s">
        <v>1264</v>
      </c>
      <c r="G3768" s="19" t="s">
        <v>1057</v>
      </c>
      <c r="H3768" s="19" t="s">
        <v>1001</v>
      </c>
      <c r="I3768" s="19" t="s">
        <v>1575</v>
      </c>
      <c r="J3768" s="20">
        <v>22</v>
      </c>
      <c r="K3768" t="s">
        <v>636</v>
      </c>
      <c r="L3768" t="s">
        <v>678</v>
      </c>
      <c r="M3768" t="s">
        <v>623</v>
      </c>
      <c r="N3768" t="s">
        <v>624</v>
      </c>
      <c r="O3768" t="s">
        <v>679</v>
      </c>
    </row>
    <row r="3769" spans="1:15" x14ac:dyDescent="0.35">
      <c r="A3769" s="77">
        <v>0.18356164383561643</v>
      </c>
      <c r="B3769" s="19">
        <v>100631</v>
      </c>
      <c r="C3769" s="19" t="s">
        <v>6060</v>
      </c>
      <c r="D3769" s="19" t="s">
        <v>126</v>
      </c>
      <c r="E3769" s="19" t="s">
        <v>127</v>
      </c>
      <c r="F3769" s="19" t="s">
        <v>1152</v>
      </c>
      <c r="G3769" s="19" t="s">
        <v>1028</v>
      </c>
      <c r="H3769" s="19" t="s">
        <v>1020</v>
      </c>
      <c r="I3769" s="19" t="s">
        <v>1575</v>
      </c>
      <c r="J3769" s="20">
        <v>24</v>
      </c>
      <c r="K3769" t="s">
        <v>654</v>
      </c>
      <c r="L3769" t="s">
        <v>628</v>
      </c>
      <c r="M3769" t="s">
        <v>629</v>
      </c>
      <c r="N3769" t="s">
        <v>630</v>
      </c>
      <c r="O3769" t="s">
        <v>632</v>
      </c>
    </row>
    <row r="3770" spans="1:15" x14ac:dyDescent="0.35">
      <c r="A3770" s="77">
        <v>0.18356164383561643</v>
      </c>
      <c r="B3770" s="19">
        <v>100635</v>
      </c>
      <c r="C3770" s="19" t="s">
        <v>6061</v>
      </c>
      <c r="D3770" s="19" t="s">
        <v>118</v>
      </c>
      <c r="E3770" s="19" t="s">
        <v>119</v>
      </c>
      <c r="F3770" s="19" t="s">
        <v>1360</v>
      </c>
      <c r="G3770" s="19" t="s">
        <v>1019</v>
      </c>
      <c r="H3770" s="19" t="s">
        <v>1020</v>
      </c>
      <c r="I3770" s="19" t="s">
        <v>1575</v>
      </c>
      <c r="J3770" s="20">
        <v>20</v>
      </c>
      <c r="K3770" t="s">
        <v>625</v>
      </c>
      <c r="L3770" t="s">
        <v>656</v>
      </c>
      <c r="M3770" t="s">
        <v>657</v>
      </c>
      <c r="N3770" t="s">
        <v>658</v>
      </c>
      <c r="O3770" t="s">
        <v>632</v>
      </c>
    </row>
    <row r="3771" spans="1:15" x14ac:dyDescent="0.35">
      <c r="A3771" s="77">
        <v>0.17808219178082191</v>
      </c>
      <c r="B3771" s="19">
        <v>100641</v>
      </c>
      <c r="C3771" s="19" t="s">
        <v>6062</v>
      </c>
      <c r="D3771" s="19" t="s">
        <v>208</v>
      </c>
      <c r="E3771" s="19" t="s">
        <v>209</v>
      </c>
      <c r="F3771" s="19" t="s">
        <v>1444</v>
      </c>
      <c r="G3771" s="19" t="s">
        <v>1008</v>
      </c>
      <c r="H3771" s="19" t="s">
        <v>1001</v>
      </c>
      <c r="I3771" s="19" t="s">
        <v>1575</v>
      </c>
      <c r="J3771" s="20">
        <v>25</v>
      </c>
      <c r="K3771" t="s">
        <v>636</v>
      </c>
      <c r="L3771" t="s">
        <v>640</v>
      </c>
      <c r="M3771" t="s">
        <v>623</v>
      </c>
      <c r="N3771" t="s">
        <v>624</v>
      </c>
      <c r="O3771" t="s">
        <v>787</v>
      </c>
    </row>
    <row r="3772" spans="1:15" x14ac:dyDescent="0.35">
      <c r="A3772" s="77">
        <v>0.17808219178082191</v>
      </c>
      <c r="B3772" s="19">
        <v>100643</v>
      </c>
      <c r="C3772" s="19" t="s">
        <v>6063</v>
      </c>
      <c r="D3772" s="19" t="s">
        <v>262</v>
      </c>
      <c r="E3772" s="19" t="s">
        <v>263</v>
      </c>
      <c r="F3772" s="19" t="s">
        <v>2336</v>
      </c>
      <c r="G3772" s="19" t="s">
        <v>1019</v>
      </c>
      <c r="H3772" s="19" t="s">
        <v>1020</v>
      </c>
      <c r="I3772" s="19" t="s">
        <v>1575</v>
      </c>
      <c r="J3772" s="20">
        <v>20</v>
      </c>
      <c r="K3772" t="s">
        <v>668</v>
      </c>
      <c r="L3772" t="s">
        <v>663</v>
      </c>
      <c r="M3772" t="s">
        <v>629</v>
      </c>
      <c r="N3772" t="s">
        <v>646</v>
      </c>
      <c r="O3772" t="s">
        <v>810</v>
      </c>
    </row>
    <row r="3773" spans="1:15" x14ac:dyDescent="0.35">
      <c r="A3773" s="77">
        <v>0.17808219178082191</v>
      </c>
      <c r="B3773" s="19">
        <v>100644</v>
      </c>
      <c r="C3773" s="19" t="s">
        <v>6064</v>
      </c>
      <c r="D3773" s="19" t="s">
        <v>355</v>
      </c>
      <c r="E3773" s="19" t="s">
        <v>356</v>
      </c>
      <c r="F3773" s="19" t="s">
        <v>1100</v>
      </c>
      <c r="G3773" s="19" t="s">
        <v>1028</v>
      </c>
      <c r="H3773" s="19" t="s">
        <v>1020</v>
      </c>
      <c r="I3773" s="19" t="s">
        <v>1575</v>
      </c>
      <c r="J3773" s="20">
        <v>24</v>
      </c>
      <c r="K3773" t="s">
        <v>625</v>
      </c>
      <c r="L3773" t="s">
        <v>622</v>
      </c>
      <c r="M3773" t="s">
        <v>623</v>
      </c>
      <c r="N3773" t="s">
        <v>624</v>
      </c>
      <c r="O3773" t="s">
        <v>649</v>
      </c>
    </row>
    <row r="3774" spans="1:15" x14ac:dyDescent="0.35">
      <c r="A3774" s="77">
        <v>0.17808219178082191</v>
      </c>
      <c r="B3774" s="19">
        <v>100645</v>
      </c>
      <c r="C3774" s="19" t="s">
        <v>6065</v>
      </c>
      <c r="D3774" s="19" t="s">
        <v>93</v>
      </c>
      <c r="E3774" s="19" t="s">
        <v>94</v>
      </c>
      <c r="F3774" s="19" t="s">
        <v>919</v>
      </c>
      <c r="G3774" s="19" t="s">
        <v>1028</v>
      </c>
      <c r="H3774" s="19" t="s">
        <v>1020</v>
      </c>
      <c r="I3774" s="19" t="s">
        <v>1575</v>
      </c>
      <c r="J3774" s="20">
        <v>21</v>
      </c>
      <c r="K3774" t="s">
        <v>654</v>
      </c>
      <c r="L3774" t="s">
        <v>691</v>
      </c>
      <c r="M3774" t="s">
        <v>657</v>
      </c>
      <c r="N3774" t="s">
        <v>658</v>
      </c>
      <c r="O3774" t="s">
        <v>632</v>
      </c>
    </row>
    <row r="3775" spans="1:15" x14ac:dyDescent="0.35">
      <c r="A3775" s="77">
        <v>0.17808219178082191</v>
      </c>
      <c r="B3775" s="19">
        <v>100646</v>
      </c>
      <c r="C3775" s="19" t="s">
        <v>6066</v>
      </c>
      <c r="D3775" s="19" t="s">
        <v>349</v>
      </c>
      <c r="E3775" s="19" t="s">
        <v>350</v>
      </c>
      <c r="F3775" s="19" t="s">
        <v>912</v>
      </c>
      <c r="G3775" s="19" t="s">
        <v>1028</v>
      </c>
      <c r="H3775" s="19" t="s">
        <v>1020</v>
      </c>
      <c r="I3775" s="19" t="s">
        <v>1575</v>
      </c>
      <c r="J3775" s="20">
        <v>22</v>
      </c>
      <c r="K3775" t="s">
        <v>625</v>
      </c>
      <c r="L3775" t="s">
        <v>648</v>
      </c>
      <c r="M3775" t="s">
        <v>623</v>
      </c>
      <c r="N3775" t="s">
        <v>624</v>
      </c>
      <c r="O3775" t="s">
        <v>649</v>
      </c>
    </row>
    <row r="3776" spans="1:15" x14ac:dyDescent="0.35">
      <c r="A3776" s="77">
        <v>0.17534246575342466</v>
      </c>
      <c r="B3776" s="19">
        <v>100647</v>
      </c>
      <c r="C3776" s="19" t="s">
        <v>6067</v>
      </c>
      <c r="D3776" s="19" t="s">
        <v>215</v>
      </c>
      <c r="E3776" s="19" t="s">
        <v>216</v>
      </c>
      <c r="F3776" s="19" t="s">
        <v>1081</v>
      </c>
      <c r="G3776" s="19" t="s">
        <v>1028</v>
      </c>
      <c r="H3776" s="19" t="s">
        <v>1020</v>
      </c>
      <c r="I3776" s="19" t="s">
        <v>1575</v>
      </c>
      <c r="J3776" s="20">
        <v>19</v>
      </c>
      <c r="K3776" t="s">
        <v>654</v>
      </c>
      <c r="L3776" t="s">
        <v>640</v>
      </c>
      <c r="M3776" t="s">
        <v>623</v>
      </c>
      <c r="N3776" t="s">
        <v>624</v>
      </c>
      <c r="O3776" t="s">
        <v>789</v>
      </c>
    </row>
    <row r="3777" spans="1:15" x14ac:dyDescent="0.35">
      <c r="A3777" s="77">
        <v>0.17808219178082191</v>
      </c>
      <c r="B3777" s="19">
        <v>100649</v>
      </c>
      <c r="C3777" s="19" t="s">
        <v>6068</v>
      </c>
      <c r="D3777" s="19" t="s">
        <v>247</v>
      </c>
      <c r="E3777" s="19" t="s">
        <v>248</v>
      </c>
      <c r="F3777" s="19" t="s">
        <v>1726</v>
      </c>
      <c r="G3777" s="19" t="s">
        <v>1028</v>
      </c>
      <c r="H3777" s="19" t="s">
        <v>1020</v>
      </c>
      <c r="I3777" s="19" t="s">
        <v>1575</v>
      </c>
      <c r="J3777" s="20">
        <v>20</v>
      </c>
      <c r="K3777" t="s">
        <v>668</v>
      </c>
      <c r="L3777" t="s">
        <v>634</v>
      </c>
      <c r="M3777" t="s">
        <v>629</v>
      </c>
      <c r="N3777" t="s">
        <v>635</v>
      </c>
      <c r="O3777" t="s">
        <v>637</v>
      </c>
    </row>
    <row r="3778" spans="1:15" x14ac:dyDescent="0.35">
      <c r="A3778" s="77">
        <v>0.17808219178082191</v>
      </c>
      <c r="B3778" s="19">
        <v>100650</v>
      </c>
      <c r="C3778" s="19" t="s">
        <v>6069</v>
      </c>
      <c r="D3778" s="19" t="s">
        <v>247</v>
      </c>
      <c r="E3778" s="19" t="s">
        <v>248</v>
      </c>
      <c r="F3778" s="19" t="s">
        <v>1726</v>
      </c>
      <c r="G3778" s="19" t="s">
        <v>1028</v>
      </c>
      <c r="H3778" s="19" t="s">
        <v>1020</v>
      </c>
      <c r="I3778" s="19" t="s">
        <v>1575</v>
      </c>
      <c r="J3778" s="20">
        <v>36</v>
      </c>
      <c r="K3778" t="s">
        <v>668</v>
      </c>
      <c r="L3778" t="s">
        <v>634</v>
      </c>
      <c r="M3778" t="s">
        <v>629</v>
      </c>
      <c r="N3778" t="s">
        <v>635</v>
      </c>
      <c r="O3778" t="s">
        <v>637</v>
      </c>
    </row>
    <row r="3779" spans="1:15" x14ac:dyDescent="0.35">
      <c r="A3779" s="77">
        <v>0.17808219178082191</v>
      </c>
      <c r="B3779" s="19">
        <v>100651</v>
      </c>
      <c r="C3779" s="19" t="s">
        <v>6070</v>
      </c>
      <c r="D3779" s="19" t="s">
        <v>82</v>
      </c>
      <c r="E3779" s="19" t="s">
        <v>83</v>
      </c>
      <c r="F3779" s="19" t="s">
        <v>1103</v>
      </c>
      <c r="G3779" s="19" t="s">
        <v>1028</v>
      </c>
      <c r="H3779" s="19" t="s">
        <v>1020</v>
      </c>
      <c r="I3779" s="19" t="s">
        <v>1599</v>
      </c>
      <c r="J3779" s="20">
        <v>18</v>
      </c>
      <c r="K3779" t="s">
        <v>642</v>
      </c>
      <c r="L3779" t="s">
        <v>661</v>
      </c>
      <c r="M3779" t="s">
        <v>657</v>
      </c>
      <c r="N3779" t="s">
        <v>662</v>
      </c>
      <c r="O3779" t="s">
        <v>632</v>
      </c>
    </row>
    <row r="3780" spans="1:15" x14ac:dyDescent="0.35">
      <c r="A3780" s="77">
        <v>0.17808219178082191</v>
      </c>
      <c r="B3780" s="19">
        <v>100653</v>
      </c>
      <c r="C3780" s="19" t="s">
        <v>6071</v>
      </c>
      <c r="D3780" s="19" t="s">
        <v>278</v>
      </c>
      <c r="E3780" s="19" t="s">
        <v>279</v>
      </c>
      <c r="F3780" s="19" t="s">
        <v>1131</v>
      </c>
      <c r="G3780" s="19" t="s">
        <v>1019</v>
      </c>
      <c r="H3780" s="19" t="s">
        <v>1020</v>
      </c>
      <c r="I3780" s="19" t="s">
        <v>1599</v>
      </c>
      <c r="J3780" s="20">
        <v>20</v>
      </c>
      <c r="K3780" t="s">
        <v>625</v>
      </c>
      <c r="L3780" t="s">
        <v>661</v>
      </c>
      <c r="M3780" t="s">
        <v>657</v>
      </c>
      <c r="N3780" t="s">
        <v>662</v>
      </c>
      <c r="O3780" t="s">
        <v>632</v>
      </c>
    </row>
    <row r="3781" spans="1:15" x14ac:dyDescent="0.35">
      <c r="A3781" s="77">
        <v>0.17808219178082191</v>
      </c>
      <c r="B3781" s="19">
        <v>100654</v>
      </c>
      <c r="C3781" s="19" t="s">
        <v>6072</v>
      </c>
      <c r="D3781" s="19" t="s">
        <v>211</v>
      </c>
      <c r="E3781" s="19" t="s">
        <v>212</v>
      </c>
      <c r="F3781" s="19" t="s">
        <v>1049</v>
      </c>
      <c r="G3781" s="19" t="s">
        <v>1028</v>
      </c>
      <c r="H3781" s="19" t="s">
        <v>1020</v>
      </c>
      <c r="I3781" s="19" t="s">
        <v>1575</v>
      </c>
      <c r="J3781" s="20">
        <v>23</v>
      </c>
      <c r="K3781" t="s">
        <v>654</v>
      </c>
      <c r="L3781" t="s">
        <v>691</v>
      </c>
      <c r="M3781" t="s">
        <v>657</v>
      </c>
      <c r="N3781" t="s">
        <v>658</v>
      </c>
      <c r="O3781" t="s">
        <v>632</v>
      </c>
    </row>
    <row r="3782" spans="1:15" x14ac:dyDescent="0.35">
      <c r="A3782" s="77">
        <v>0.16438356164383561</v>
      </c>
      <c r="B3782" s="19">
        <v>100656</v>
      </c>
      <c r="C3782" s="19" t="s">
        <v>6073</v>
      </c>
      <c r="D3782" s="19" t="s">
        <v>401</v>
      </c>
      <c r="E3782" s="19" t="s">
        <v>402</v>
      </c>
      <c r="F3782" s="19" t="s">
        <v>1314</v>
      </c>
      <c r="G3782" s="19" t="s">
        <v>1028</v>
      </c>
      <c r="H3782" s="19" t="s">
        <v>1020</v>
      </c>
      <c r="I3782" s="19" t="s">
        <v>1575</v>
      </c>
      <c r="J3782" s="20">
        <v>18</v>
      </c>
      <c r="K3782" t="s">
        <v>668</v>
      </c>
      <c r="L3782" t="s">
        <v>691</v>
      </c>
      <c r="M3782" t="s">
        <v>657</v>
      </c>
      <c r="N3782" t="s">
        <v>658</v>
      </c>
      <c r="O3782" t="s">
        <v>632</v>
      </c>
    </row>
    <row r="3783" spans="1:15" x14ac:dyDescent="0.35">
      <c r="A3783" s="77">
        <v>0.16438356164383561</v>
      </c>
      <c r="B3783" s="19">
        <v>100657</v>
      </c>
      <c r="C3783" s="19" t="s">
        <v>6074</v>
      </c>
      <c r="D3783" s="19" t="s">
        <v>401</v>
      </c>
      <c r="E3783" s="19" t="s">
        <v>402</v>
      </c>
      <c r="F3783" s="19" t="s">
        <v>1314</v>
      </c>
      <c r="G3783" s="19" t="s">
        <v>1028</v>
      </c>
      <c r="H3783" s="19" t="s">
        <v>1020</v>
      </c>
      <c r="I3783" s="19" t="s">
        <v>1575</v>
      </c>
      <c r="J3783" s="20">
        <v>18</v>
      </c>
      <c r="K3783" t="s">
        <v>668</v>
      </c>
      <c r="L3783" t="s">
        <v>691</v>
      </c>
      <c r="M3783" t="s">
        <v>657</v>
      </c>
      <c r="N3783" t="s">
        <v>658</v>
      </c>
      <c r="O3783" t="s">
        <v>632</v>
      </c>
    </row>
    <row r="3784" spans="1:15" x14ac:dyDescent="0.35">
      <c r="A3784" s="77">
        <v>0.16438356164383561</v>
      </c>
      <c r="B3784" s="19">
        <v>100660</v>
      </c>
      <c r="C3784" s="19" t="s">
        <v>6075</v>
      </c>
      <c r="D3784" s="19" t="s">
        <v>318</v>
      </c>
      <c r="E3784" s="19" t="s">
        <v>319</v>
      </c>
      <c r="F3784" s="19" t="s">
        <v>1266</v>
      </c>
      <c r="G3784" s="19" t="s">
        <v>1028</v>
      </c>
      <c r="H3784" s="19" t="s">
        <v>1020</v>
      </c>
      <c r="I3784" s="19" t="s">
        <v>1575</v>
      </c>
      <c r="J3784" s="20">
        <v>20</v>
      </c>
      <c r="K3784" t="s">
        <v>625</v>
      </c>
      <c r="L3784" t="s">
        <v>678</v>
      </c>
      <c r="M3784" t="s">
        <v>623</v>
      </c>
      <c r="N3784" t="s">
        <v>624</v>
      </c>
      <c r="O3784" t="s">
        <v>679</v>
      </c>
    </row>
    <row r="3785" spans="1:15" x14ac:dyDescent="0.35">
      <c r="A3785" s="77">
        <v>0.16438356164383561</v>
      </c>
      <c r="B3785" s="19">
        <v>100661</v>
      </c>
      <c r="C3785" s="19" t="s">
        <v>6076</v>
      </c>
      <c r="D3785" s="19" t="s">
        <v>181</v>
      </c>
      <c r="E3785" s="19" t="s">
        <v>182</v>
      </c>
      <c r="F3785" s="19" t="s">
        <v>1374</v>
      </c>
      <c r="G3785" s="19" t="s">
        <v>1028</v>
      </c>
      <c r="H3785" s="19" t="s">
        <v>1020</v>
      </c>
      <c r="I3785" s="19" t="s">
        <v>1575</v>
      </c>
      <c r="J3785" s="20">
        <v>23</v>
      </c>
      <c r="K3785" t="s">
        <v>625</v>
      </c>
      <c r="L3785" t="s">
        <v>678</v>
      </c>
      <c r="M3785" t="s">
        <v>623</v>
      </c>
      <c r="N3785" t="s">
        <v>624</v>
      </c>
      <c r="O3785" t="s">
        <v>679</v>
      </c>
    </row>
    <row r="3786" spans="1:15" x14ac:dyDescent="0.35">
      <c r="A3786" s="77">
        <v>0.16438356164383561</v>
      </c>
      <c r="B3786" s="19">
        <v>100662</v>
      </c>
      <c r="C3786" s="19" t="s">
        <v>6077</v>
      </c>
      <c r="D3786" s="19" t="s">
        <v>42</v>
      </c>
      <c r="E3786" s="19" t="s">
        <v>42</v>
      </c>
      <c r="F3786" s="19" t="s">
        <v>1262</v>
      </c>
      <c r="G3786" s="19" t="s">
        <v>1028</v>
      </c>
      <c r="H3786" s="19" t="s">
        <v>1020</v>
      </c>
      <c r="I3786" s="19" t="s">
        <v>1575</v>
      </c>
      <c r="J3786" s="20">
        <v>22</v>
      </c>
      <c r="K3786" t="s">
        <v>625</v>
      </c>
      <c r="L3786" t="s">
        <v>628</v>
      </c>
      <c r="M3786" t="s">
        <v>629</v>
      </c>
      <c r="N3786" t="s">
        <v>630</v>
      </c>
      <c r="O3786" t="s">
        <v>632</v>
      </c>
    </row>
    <row r="3787" spans="1:15" x14ac:dyDescent="0.35">
      <c r="A3787" s="77">
        <v>0.16438356164383561</v>
      </c>
      <c r="B3787" s="19">
        <v>100664</v>
      </c>
      <c r="C3787" s="19" t="s">
        <v>6078</v>
      </c>
      <c r="D3787" s="19" t="s">
        <v>430</v>
      </c>
      <c r="E3787" s="19" t="e">
        <v>#N/A</v>
      </c>
      <c r="F3787" s="19" t="s">
        <v>1105</v>
      </c>
      <c r="G3787" s="19" t="s">
        <v>1008</v>
      </c>
      <c r="H3787" s="19" t="s">
        <v>1001</v>
      </c>
      <c r="I3787" s="19" t="s">
        <v>1599</v>
      </c>
      <c r="J3787" s="20">
        <v>21</v>
      </c>
      <c r="K3787" t="s">
        <v>654</v>
      </c>
      <c r="L3787" t="s">
        <v>645</v>
      </c>
      <c r="M3787" t="s">
        <v>629</v>
      </c>
      <c r="N3787" t="s">
        <v>646</v>
      </c>
      <c r="O3787" t="s">
        <v>632</v>
      </c>
    </row>
    <row r="3788" spans="1:15" x14ac:dyDescent="0.35">
      <c r="A3788" s="77">
        <v>0.16438356164383561</v>
      </c>
      <c r="B3788" s="19">
        <v>100665</v>
      </c>
      <c r="C3788" s="19" t="s">
        <v>6079</v>
      </c>
      <c r="D3788" s="19" t="s">
        <v>19</v>
      </c>
      <c r="E3788" s="19" t="s">
        <v>19</v>
      </c>
      <c r="F3788" s="19" t="s">
        <v>1255</v>
      </c>
      <c r="G3788" s="19" t="s">
        <v>1057</v>
      </c>
      <c r="H3788" s="19" t="s">
        <v>1001</v>
      </c>
      <c r="I3788" s="19" t="s">
        <v>1575</v>
      </c>
      <c r="J3788" s="20">
        <v>19</v>
      </c>
      <c r="K3788" t="s">
        <v>654</v>
      </c>
      <c r="L3788" t="s">
        <v>645</v>
      </c>
      <c r="M3788" t="s">
        <v>629</v>
      </c>
      <c r="N3788" t="s">
        <v>646</v>
      </c>
      <c r="O3788" t="s">
        <v>632</v>
      </c>
    </row>
    <row r="3789" spans="1:15" x14ac:dyDescent="0.35">
      <c r="A3789" s="77">
        <v>0.16438356164383561</v>
      </c>
      <c r="B3789" s="19">
        <v>100666</v>
      </c>
      <c r="C3789" s="19" t="s">
        <v>6080</v>
      </c>
      <c r="D3789" s="19" t="s">
        <v>140</v>
      </c>
      <c r="E3789" s="19" t="s">
        <v>141</v>
      </c>
      <c r="F3789" s="19" t="s">
        <v>1138</v>
      </c>
      <c r="G3789" s="19" t="s">
        <v>1028</v>
      </c>
      <c r="H3789" s="19" t="s">
        <v>1020</v>
      </c>
      <c r="I3789" s="19" t="s">
        <v>1599</v>
      </c>
      <c r="J3789" s="20">
        <v>23</v>
      </c>
      <c r="K3789" t="s">
        <v>636</v>
      </c>
      <c r="L3789" t="s">
        <v>640</v>
      </c>
      <c r="M3789" t="s">
        <v>623</v>
      </c>
      <c r="N3789" t="s">
        <v>641</v>
      </c>
      <c r="O3789" t="s">
        <v>754</v>
      </c>
    </row>
    <row r="3790" spans="1:15" x14ac:dyDescent="0.35">
      <c r="A3790" s="77">
        <v>0.16438356164383561</v>
      </c>
      <c r="B3790" s="19">
        <v>100667</v>
      </c>
      <c r="C3790" s="19" t="s">
        <v>6081</v>
      </c>
      <c r="D3790" s="19" t="s">
        <v>264</v>
      </c>
      <c r="E3790" s="19" t="s">
        <v>265</v>
      </c>
      <c r="F3790" s="19" t="s">
        <v>2526</v>
      </c>
      <c r="G3790" s="19" t="s">
        <v>1028</v>
      </c>
      <c r="H3790" s="19" t="s">
        <v>1020</v>
      </c>
      <c r="I3790" s="19" t="s">
        <v>1575</v>
      </c>
      <c r="J3790" s="20">
        <v>25</v>
      </c>
      <c r="K3790" t="s">
        <v>654</v>
      </c>
      <c r="L3790" t="s">
        <v>678</v>
      </c>
      <c r="M3790" t="s">
        <v>623</v>
      </c>
      <c r="N3790" t="s">
        <v>624</v>
      </c>
      <c r="O3790" t="s">
        <v>689</v>
      </c>
    </row>
    <row r="3791" spans="1:15" x14ac:dyDescent="0.35">
      <c r="A3791" s="77">
        <v>0.16438356164383561</v>
      </c>
      <c r="B3791" s="19">
        <v>100669</v>
      </c>
      <c r="C3791" s="19" t="s">
        <v>6082</v>
      </c>
      <c r="D3791" s="19" t="s">
        <v>245</v>
      </c>
      <c r="E3791" s="19" t="s">
        <v>246</v>
      </c>
      <c r="F3791" s="19" t="s">
        <v>1365</v>
      </c>
      <c r="G3791" s="19" t="s">
        <v>1028</v>
      </c>
      <c r="H3791" s="19" t="s">
        <v>1020</v>
      </c>
      <c r="I3791" s="19" t="s">
        <v>1575</v>
      </c>
      <c r="J3791" s="20">
        <v>20</v>
      </c>
      <c r="K3791" t="s">
        <v>654</v>
      </c>
      <c r="L3791" t="s">
        <v>678</v>
      </c>
      <c r="M3791" t="s">
        <v>623</v>
      </c>
      <c r="N3791" t="s">
        <v>624</v>
      </c>
      <c r="O3791" t="s">
        <v>679</v>
      </c>
    </row>
    <row r="3792" spans="1:15" x14ac:dyDescent="0.35">
      <c r="A3792" s="77">
        <v>0.16438356164383561</v>
      </c>
      <c r="B3792" s="19">
        <v>100671</v>
      </c>
      <c r="C3792" s="19" t="s">
        <v>6083</v>
      </c>
      <c r="D3792" s="19" t="s">
        <v>230</v>
      </c>
      <c r="E3792" s="19" t="s">
        <v>231</v>
      </c>
      <c r="F3792" s="19" t="s">
        <v>2112</v>
      </c>
      <c r="G3792" s="19" t="s">
        <v>1028</v>
      </c>
      <c r="H3792" s="19" t="s">
        <v>1020</v>
      </c>
      <c r="I3792" s="19" t="s">
        <v>1575</v>
      </c>
      <c r="J3792" s="20">
        <v>24</v>
      </c>
      <c r="K3792" t="s">
        <v>668</v>
      </c>
      <c r="L3792" t="s">
        <v>684</v>
      </c>
      <c r="M3792" t="s">
        <v>623</v>
      </c>
      <c r="N3792" t="s">
        <v>662</v>
      </c>
      <c r="O3792" t="s">
        <v>795</v>
      </c>
    </row>
    <row r="3793" spans="1:15" x14ac:dyDescent="0.35">
      <c r="A3793" s="77">
        <v>0.16438356164383561</v>
      </c>
      <c r="B3793" s="19">
        <v>100673</v>
      </c>
      <c r="C3793" s="19" t="s">
        <v>6084</v>
      </c>
      <c r="D3793" s="19" t="s">
        <v>199</v>
      </c>
      <c r="E3793" s="19" t="s">
        <v>200</v>
      </c>
      <c r="F3793" s="19" t="s">
        <v>1496</v>
      </c>
      <c r="G3793" s="19" t="s">
        <v>1008</v>
      </c>
      <c r="H3793" s="19" t="s">
        <v>1001</v>
      </c>
      <c r="I3793" s="19" t="s">
        <v>1575</v>
      </c>
      <c r="J3793" s="20">
        <v>27</v>
      </c>
      <c r="K3793" t="s">
        <v>654</v>
      </c>
      <c r="L3793" t="s">
        <v>737</v>
      </c>
      <c r="M3793" t="s">
        <v>657</v>
      </c>
      <c r="N3793" t="s">
        <v>641</v>
      </c>
      <c r="O3793" t="s">
        <v>738</v>
      </c>
    </row>
    <row r="3794" spans="1:15" x14ac:dyDescent="0.35">
      <c r="A3794" s="77">
        <v>0.16438356164383561</v>
      </c>
      <c r="B3794" s="19">
        <v>100678</v>
      </c>
      <c r="C3794" s="19" t="s">
        <v>6085</v>
      </c>
      <c r="D3794" s="19" t="s">
        <v>235</v>
      </c>
      <c r="E3794" s="19" t="s">
        <v>236</v>
      </c>
      <c r="F3794" s="19" t="s">
        <v>1457</v>
      </c>
      <c r="G3794" s="19" t="s">
        <v>1057</v>
      </c>
      <c r="H3794" s="19" t="s">
        <v>1001</v>
      </c>
      <c r="I3794" s="19" t="s">
        <v>1575</v>
      </c>
      <c r="J3794" s="20">
        <v>20</v>
      </c>
      <c r="K3794" t="s">
        <v>654</v>
      </c>
      <c r="L3794" t="s">
        <v>707</v>
      </c>
      <c r="M3794" t="s">
        <v>629</v>
      </c>
      <c r="N3794" t="s">
        <v>635</v>
      </c>
      <c r="O3794" t="s">
        <v>710</v>
      </c>
    </row>
    <row r="3795" spans="1:15" x14ac:dyDescent="0.35">
      <c r="A3795" s="77">
        <v>0.16438356164383561</v>
      </c>
      <c r="B3795" s="19">
        <v>100679</v>
      </c>
      <c r="C3795" s="19" t="s">
        <v>6086</v>
      </c>
      <c r="D3795" s="19" t="s">
        <v>124</v>
      </c>
      <c r="E3795" s="19" t="s">
        <v>125</v>
      </c>
      <c r="F3795" s="19" t="s">
        <v>1398</v>
      </c>
      <c r="G3795" s="19" t="s">
        <v>1028</v>
      </c>
      <c r="H3795" s="19" t="s">
        <v>1020</v>
      </c>
      <c r="I3795" s="19" t="s">
        <v>1575</v>
      </c>
      <c r="J3795" s="20">
        <v>23</v>
      </c>
      <c r="K3795" t="s">
        <v>654</v>
      </c>
      <c r="L3795" t="s">
        <v>661</v>
      </c>
      <c r="M3795" t="s">
        <v>657</v>
      </c>
      <c r="N3795" t="s">
        <v>662</v>
      </c>
      <c r="O3795" t="s">
        <v>632</v>
      </c>
    </row>
    <row r="3796" spans="1:15" x14ac:dyDescent="0.35">
      <c r="A3796" s="77">
        <v>0.16438356164383561</v>
      </c>
      <c r="B3796" s="19">
        <v>100680</v>
      </c>
      <c r="C3796" s="19" t="s">
        <v>6087</v>
      </c>
      <c r="D3796" s="19" t="s">
        <v>147</v>
      </c>
      <c r="E3796" s="19" t="s">
        <v>148</v>
      </c>
      <c r="F3796" s="19" t="s">
        <v>1396</v>
      </c>
      <c r="G3796" s="19" t="s">
        <v>1084</v>
      </c>
      <c r="H3796" s="19" t="s">
        <v>1020</v>
      </c>
      <c r="I3796" s="19" t="s">
        <v>1575</v>
      </c>
      <c r="J3796" s="20">
        <v>47</v>
      </c>
      <c r="K3796" t="s">
        <v>636</v>
      </c>
      <c r="L3796" t="s">
        <v>661</v>
      </c>
      <c r="M3796" t="s">
        <v>657</v>
      </c>
      <c r="N3796" t="s">
        <v>662</v>
      </c>
      <c r="O3796" t="s">
        <v>632</v>
      </c>
    </row>
    <row r="3797" spans="1:15" x14ac:dyDescent="0.35">
      <c r="A3797" s="77">
        <v>0.16438356164383561</v>
      </c>
      <c r="B3797" s="19">
        <v>100681</v>
      </c>
      <c r="C3797" s="19" t="s">
        <v>6088</v>
      </c>
      <c r="D3797" s="19" t="s">
        <v>82</v>
      </c>
      <c r="E3797" s="19" t="s">
        <v>83</v>
      </c>
      <c r="F3797" s="19" t="s">
        <v>1103</v>
      </c>
      <c r="G3797" s="19" t="s">
        <v>1019</v>
      </c>
      <c r="H3797" s="19" t="s">
        <v>1020</v>
      </c>
      <c r="I3797" s="19" t="s">
        <v>1575</v>
      </c>
      <c r="J3797" s="20">
        <v>19</v>
      </c>
      <c r="K3797" t="s">
        <v>642</v>
      </c>
      <c r="L3797" t="s">
        <v>661</v>
      </c>
      <c r="M3797" t="s">
        <v>657</v>
      </c>
      <c r="N3797" t="s">
        <v>662</v>
      </c>
      <c r="O3797" t="s">
        <v>632</v>
      </c>
    </row>
    <row r="3798" spans="1:15" x14ac:dyDescent="0.35">
      <c r="A3798" s="77">
        <v>0.16438356164383561</v>
      </c>
      <c r="B3798" s="19">
        <v>100682</v>
      </c>
      <c r="C3798" s="19" t="s">
        <v>6089</v>
      </c>
      <c r="D3798" s="19" t="s">
        <v>250</v>
      </c>
      <c r="E3798" s="19" t="s">
        <v>251</v>
      </c>
      <c r="F3798" s="19" t="s">
        <v>1126</v>
      </c>
      <c r="G3798" s="19" t="s">
        <v>1019</v>
      </c>
      <c r="H3798" s="19" t="s">
        <v>1020</v>
      </c>
      <c r="I3798" s="19" t="s">
        <v>1575</v>
      </c>
      <c r="J3798" s="20">
        <v>24</v>
      </c>
      <c r="K3798" t="s">
        <v>668</v>
      </c>
      <c r="L3798" t="s">
        <v>634</v>
      </c>
      <c r="M3798" t="s">
        <v>629</v>
      </c>
      <c r="N3798" t="s">
        <v>635</v>
      </c>
      <c r="O3798" t="s">
        <v>637</v>
      </c>
    </row>
    <row r="3799" spans="1:15" x14ac:dyDescent="0.35">
      <c r="A3799" s="77">
        <v>0.16438356164383561</v>
      </c>
      <c r="B3799" s="19">
        <v>100683</v>
      </c>
      <c r="C3799" s="19" t="s">
        <v>6090</v>
      </c>
      <c r="D3799" s="19" t="s">
        <v>333</v>
      </c>
      <c r="E3799" s="19" t="s">
        <v>334</v>
      </c>
      <c r="F3799" s="19" t="s">
        <v>1333</v>
      </c>
      <c r="G3799" s="19" t="s">
        <v>1028</v>
      </c>
      <c r="H3799" s="19" t="s">
        <v>1020</v>
      </c>
      <c r="I3799" s="19" t="s">
        <v>1575</v>
      </c>
      <c r="J3799" s="20">
        <v>44</v>
      </c>
      <c r="K3799" t="s">
        <v>636</v>
      </c>
      <c r="L3799" t="s">
        <v>666</v>
      </c>
      <c r="M3799" t="s">
        <v>629</v>
      </c>
      <c r="N3799" t="s">
        <v>630</v>
      </c>
      <c r="O3799" t="s">
        <v>652</v>
      </c>
    </row>
    <row r="3800" spans="1:15" x14ac:dyDescent="0.35">
      <c r="A3800" s="77">
        <v>0.16438356164383561</v>
      </c>
      <c r="B3800" s="19">
        <v>100685</v>
      </c>
      <c r="C3800" s="19" t="s">
        <v>6091</v>
      </c>
      <c r="D3800" s="19" t="s">
        <v>237</v>
      </c>
      <c r="E3800" s="19" t="s">
        <v>238</v>
      </c>
      <c r="F3800" s="19" t="s">
        <v>1070</v>
      </c>
      <c r="G3800" s="19" t="s">
        <v>1008</v>
      </c>
      <c r="H3800" s="19" t="s">
        <v>1001</v>
      </c>
      <c r="I3800" s="19" t="s">
        <v>1575</v>
      </c>
      <c r="J3800" s="20">
        <v>22</v>
      </c>
      <c r="K3800" t="s">
        <v>631</v>
      </c>
      <c r="L3800" t="s">
        <v>661</v>
      </c>
      <c r="M3800" t="s">
        <v>657</v>
      </c>
      <c r="N3800" t="s">
        <v>662</v>
      </c>
      <c r="O3800" t="s">
        <v>632</v>
      </c>
    </row>
    <row r="3801" spans="1:15" x14ac:dyDescent="0.35">
      <c r="A3801" s="77">
        <v>0.16438356164383561</v>
      </c>
      <c r="B3801" s="19">
        <v>100686</v>
      </c>
      <c r="C3801" s="19" t="s">
        <v>6092</v>
      </c>
      <c r="D3801" s="19" t="s">
        <v>369</v>
      </c>
      <c r="E3801" s="19" t="s">
        <v>370</v>
      </c>
      <c r="F3801" s="19" t="s">
        <v>856</v>
      </c>
      <c r="G3801" s="19" t="s">
        <v>1028</v>
      </c>
      <c r="H3801" s="19" t="s">
        <v>1020</v>
      </c>
      <c r="I3801" s="19" t="s">
        <v>1575</v>
      </c>
      <c r="J3801" s="20">
        <v>32</v>
      </c>
      <c r="K3801" t="s">
        <v>654</v>
      </c>
      <c r="L3801" t="s">
        <v>684</v>
      </c>
      <c r="M3801" t="s">
        <v>623</v>
      </c>
      <c r="N3801" t="s">
        <v>662</v>
      </c>
      <c r="O3801" t="s">
        <v>857</v>
      </c>
    </row>
    <row r="3802" spans="1:15" x14ac:dyDescent="0.35">
      <c r="A3802" s="77">
        <v>0.16438356164383561</v>
      </c>
      <c r="B3802" s="19">
        <v>100689</v>
      </c>
      <c r="C3802" s="19" t="s">
        <v>6093</v>
      </c>
      <c r="D3802" s="19" t="s">
        <v>37</v>
      </c>
      <c r="E3802" s="19" t="s">
        <v>37</v>
      </c>
      <c r="F3802" s="19" t="s">
        <v>1480</v>
      </c>
      <c r="G3802" s="19" t="s">
        <v>1084</v>
      </c>
      <c r="H3802" s="19" t="s">
        <v>1001</v>
      </c>
      <c r="I3802" s="19" t="s">
        <v>1599</v>
      </c>
      <c r="J3802" s="20">
        <v>26</v>
      </c>
      <c r="K3802" t="s">
        <v>654</v>
      </c>
      <c r="L3802" t="s">
        <v>648</v>
      </c>
      <c r="M3802" t="s">
        <v>623</v>
      </c>
      <c r="N3802" t="s">
        <v>624</v>
      </c>
      <c r="O3802" t="s">
        <v>649</v>
      </c>
    </row>
    <row r="3803" spans="1:15" x14ac:dyDescent="0.35">
      <c r="A3803" s="77">
        <v>0.16438356164383561</v>
      </c>
      <c r="B3803" s="19">
        <v>100691</v>
      </c>
      <c r="C3803" s="19" t="s">
        <v>6094</v>
      </c>
      <c r="D3803" s="19" t="s">
        <v>165</v>
      </c>
      <c r="E3803" s="19" t="s">
        <v>166</v>
      </c>
      <c r="F3803" s="19" t="s">
        <v>1238</v>
      </c>
      <c r="G3803" s="19" t="s">
        <v>1008</v>
      </c>
      <c r="H3803" s="19" t="s">
        <v>1001</v>
      </c>
      <c r="I3803" s="19" t="s">
        <v>1575</v>
      </c>
      <c r="J3803" s="20">
        <v>29</v>
      </c>
      <c r="K3803" t="s">
        <v>636</v>
      </c>
      <c r="L3803" t="s">
        <v>648</v>
      </c>
      <c r="M3803" t="s">
        <v>623</v>
      </c>
      <c r="N3803" t="s">
        <v>624</v>
      </c>
      <c r="O3803" t="s">
        <v>649</v>
      </c>
    </row>
    <row r="3804" spans="1:15" x14ac:dyDescent="0.35">
      <c r="A3804" s="77">
        <v>0.16438356164383561</v>
      </c>
      <c r="B3804" s="19">
        <v>100692</v>
      </c>
      <c r="C3804" s="19" t="s">
        <v>6095</v>
      </c>
      <c r="D3804" s="19" t="s">
        <v>349</v>
      </c>
      <c r="E3804" s="19" t="s">
        <v>350</v>
      </c>
      <c r="F3804" s="19" t="s">
        <v>912</v>
      </c>
      <c r="G3804" s="19" t="s">
        <v>1028</v>
      </c>
      <c r="H3804" s="19" t="s">
        <v>1020</v>
      </c>
      <c r="I3804" s="19" t="s">
        <v>1575</v>
      </c>
      <c r="J3804" s="20">
        <v>20</v>
      </c>
      <c r="K3804" t="s">
        <v>625</v>
      </c>
      <c r="L3804" t="s">
        <v>648</v>
      </c>
      <c r="M3804" t="s">
        <v>623</v>
      </c>
      <c r="N3804" t="s">
        <v>624</v>
      </c>
      <c r="O3804" t="s">
        <v>649</v>
      </c>
    </row>
    <row r="3805" spans="1:15" x14ac:dyDescent="0.35">
      <c r="A3805" s="77">
        <v>0.16438356164383561</v>
      </c>
      <c r="B3805" s="19">
        <v>100693</v>
      </c>
      <c r="C3805" s="19" t="s">
        <v>6096</v>
      </c>
      <c r="D3805" s="19" t="s">
        <v>382</v>
      </c>
      <c r="E3805" s="19" t="s">
        <v>383</v>
      </c>
      <c r="F3805" s="19" t="s">
        <v>384</v>
      </c>
      <c r="G3805" s="19" t="s">
        <v>1028</v>
      </c>
      <c r="H3805" s="19" t="s">
        <v>1020</v>
      </c>
      <c r="I3805" s="19" t="s">
        <v>1575</v>
      </c>
      <c r="J3805" s="20">
        <v>32</v>
      </c>
      <c r="K3805" t="s">
        <v>636</v>
      </c>
      <c r="L3805" t="s">
        <v>656</v>
      </c>
      <c r="M3805" t="s">
        <v>657</v>
      </c>
      <c r="N3805" t="s">
        <v>658</v>
      </c>
      <c r="O3805" t="s">
        <v>843</v>
      </c>
    </row>
    <row r="3806" spans="1:15" x14ac:dyDescent="0.35">
      <c r="A3806" s="77">
        <v>0.16438356164383561</v>
      </c>
      <c r="B3806" s="19">
        <v>100694</v>
      </c>
      <c r="C3806" s="19" t="s">
        <v>6097</v>
      </c>
      <c r="D3806" s="19" t="s">
        <v>428</v>
      </c>
      <c r="E3806" s="19" t="s">
        <v>428</v>
      </c>
      <c r="F3806" s="19" t="s">
        <v>1063</v>
      </c>
      <c r="G3806" s="19" t="s">
        <v>1028</v>
      </c>
      <c r="H3806" s="19" t="s">
        <v>1020</v>
      </c>
      <c r="I3806" s="19" t="s">
        <v>1575</v>
      </c>
      <c r="J3806" s="20">
        <v>28</v>
      </c>
      <c r="K3806" t="s">
        <v>668</v>
      </c>
      <c r="L3806" t="s">
        <v>656</v>
      </c>
      <c r="M3806" t="s">
        <v>657</v>
      </c>
      <c r="N3806" t="s">
        <v>658</v>
      </c>
      <c r="O3806" t="s">
        <v>632</v>
      </c>
    </row>
    <row r="3807" spans="1:15" x14ac:dyDescent="0.35">
      <c r="A3807" s="77">
        <v>0.16438356164383561</v>
      </c>
      <c r="B3807" s="19">
        <v>100695</v>
      </c>
      <c r="C3807" s="19" t="s">
        <v>6098</v>
      </c>
      <c r="D3807" s="19" t="s">
        <v>273</v>
      </c>
      <c r="E3807" s="19" t="s">
        <v>274</v>
      </c>
      <c r="F3807" s="19" t="s">
        <v>1093</v>
      </c>
      <c r="G3807" s="19" t="s">
        <v>1057</v>
      </c>
      <c r="H3807" s="19" t="s">
        <v>1001</v>
      </c>
      <c r="I3807" s="19" t="s">
        <v>1575</v>
      </c>
      <c r="J3807" s="20">
        <v>23</v>
      </c>
      <c r="K3807" t="s">
        <v>636</v>
      </c>
      <c r="L3807" t="s">
        <v>663</v>
      </c>
      <c r="M3807" t="s">
        <v>629</v>
      </c>
      <c r="N3807" t="s">
        <v>646</v>
      </c>
      <c r="O3807" t="s">
        <v>639</v>
      </c>
    </row>
    <row r="3808" spans="1:15" x14ac:dyDescent="0.35">
      <c r="A3808" s="77">
        <v>0.16438356164383561</v>
      </c>
      <c r="B3808" s="19">
        <v>100697</v>
      </c>
      <c r="C3808" s="19" t="s">
        <v>6099</v>
      </c>
      <c r="D3808" s="19" t="s">
        <v>183</v>
      </c>
      <c r="E3808" s="19" t="s">
        <v>184</v>
      </c>
      <c r="F3808" s="19" t="s">
        <v>1532</v>
      </c>
      <c r="G3808" s="19" t="s">
        <v>1028</v>
      </c>
      <c r="H3808" s="19" t="s">
        <v>1020</v>
      </c>
      <c r="I3808" s="19" t="s">
        <v>1575</v>
      </c>
      <c r="J3808" s="20">
        <v>21</v>
      </c>
      <c r="K3808" t="s">
        <v>654</v>
      </c>
      <c r="L3808" t="s">
        <v>648</v>
      </c>
      <c r="M3808" t="s">
        <v>623</v>
      </c>
      <c r="N3808" t="s">
        <v>624</v>
      </c>
      <c r="O3808" t="s">
        <v>725</v>
      </c>
    </row>
    <row r="3809" spans="1:15" x14ac:dyDescent="0.35">
      <c r="A3809" s="77">
        <v>0.16438356164383561</v>
      </c>
      <c r="B3809" s="19">
        <v>100699</v>
      </c>
      <c r="C3809" s="19" t="s">
        <v>6100</v>
      </c>
      <c r="D3809" s="19" t="s">
        <v>428</v>
      </c>
      <c r="E3809" s="19" t="s">
        <v>428</v>
      </c>
      <c r="F3809" s="19" t="s">
        <v>1063</v>
      </c>
      <c r="G3809" s="19" t="s">
        <v>1028</v>
      </c>
      <c r="H3809" s="19" t="s">
        <v>1020</v>
      </c>
      <c r="I3809" s="19" t="s">
        <v>1599</v>
      </c>
      <c r="J3809" s="20">
        <v>19</v>
      </c>
      <c r="K3809" t="s">
        <v>668</v>
      </c>
      <c r="L3809" t="s">
        <v>656</v>
      </c>
      <c r="M3809" t="s">
        <v>657</v>
      </c>
      <c r="N3809" t="s">
        <v>658</v>
      </c>
      <c r="O3809" t="s">
        <v>632</v>
      </c>
    </row>
    <row r="3810" spans="1:15" x14ac:dyDescent="0.35">
      <c r="A3810" s="77">
        <v>0.16164383561643836</v>
      </c>
      <c r="B3810" s="19">
        <v>100707</v>
      </c>
      <c r="C3810" s="19" t="s">
        <v>6101</v>
      </c>
      <c r="D3810" s="19" t="s">
        <v>426</v>
      </c>
      <c r="E3810" s="19" t="s">
        <v>426</v>
      </c>
      <c r="F3810" s="19" t="s">
        <v>1220</v>
      </c>
      <c r="G3810" s="19" t="s">
        <v>1019</v>
      </c>
      <c r="H3810" s="19" t="s">
        <v>1020</v>
      </c>
      <c r="I3810" s="19" t="s">
        <v>1575</v>
      </c>
      <c r="J3810" s="20">
        <v>21</v>
      </c>
      <c r="K3810" t="s">
        <v>654</v>
      </c>
      <c r="L3810" t="s">
        <v>622</v>
      </c>
      <c r="M3810" t="s">
        <v>623</v>
      </c>
      <c r="N3810" t="s">
        <v>624</v>
      </c>
      <c r="O3810" t="s">
        <v>649</v>
      </c>
    </row>
    <row r="3811" spans="1:15" x14ac:dyDescent="0.35">
      <c r="A3811" s="77">
        <v>0.16164383561643836</v>
      </c>
      <c r="B3811" s="19">
        <v>100708</v>
      </c>
      <c r="C3811" s="19" t="s">
        <v>6102</v>
      </c>
      <c r="D3811" s="19" t="s">
        <v>324</v>
      </c>
      <c r="E3811" s="19" t="s">
        <v>325</v>
      </c>
      <c r="F3811" s="19" t="s">
        <v>1284</v>
      </c>
      <c r="G3811" s="19" t="s">
        <v>1008</v>
      </c>
      <c r="H3811" s="19" t="s">
        <v>1001</v>
      </c>
      <c r="I3811" s="19" t="s">
        <v>1575</v>
      </c>
      <c r="J3811" s="20">
        <v>24</v>
      </c>
      <c r="K3811" t="s">
        <v>631</v>
      </c>
      <c r="L3811" t="s">
        <v>663</v>
      </c>
      <c r="M3811" t="s">
        <v>629</v>
      </c>
      <c r="N3811" t="s">
        <v>646</v>
      </c>
      <c r="O3811" t="s">
        <v>639</v>
      </c>
    </row>
    <row r="3812" spans="1:15" x14ac:dyDescent="0.35">
      <c r="A3812" s="77">
        <v>0.16164383561643836</v>
      </c>
      <c r="B3812" s="19">
        <v>100710</v>
      </c>
      <c r="C3812" s="19" t="s">
        <v>6103</v>
      </c>
      <c r="D3812" s="19" t="s">
        <v>161</v>
      </c>
      <c r="E3812" s="19" t="s">
        <v>162</v>
      </c>
      <c r="F3812" s="19" t="s">
        <v>1027</v>
      </c>
      <c r="G3812" s="19" t="s">
        <v>1028</v>
      </c>
      <c r="H3812" s="19" t="s">
        <v>1020</v>
      </c>
      <c r="I3812" s="19" t="s">
        <v>1575</v>
      </c>
      <c r="J3812" s="20">
        <v>21</v>
      </c>
      <c r="K3812" t="s">
        <v>654</v>
      </c>
      <c r="L3812" t="s">
        <v>622</v>
      </c>
      <c r="M3812" t="s">
        <v>623</v>
      </c>
      <c r="N3812" t="s">
        <v>624</v>
      </c>
      <c r="O3812" t="s">
        <v>649</v>
      </c>
    </row>
    <row r="3813" spans="1:15" x14ac:dyDescent="0.35">
      <c r="A3813" s="77">
        <v>0.16438356164383561</v>
      </c>
      <c r="B3813" s="19">
        <v>100711</v>
      </c>
      <c r="C3813" s="19" t="s">
        <v>6104</v>
      </c>
      <c r="D3813" s="19" t="s">
        <v>35</v>
      </c>
      <c r="E3813" s="19" t="s">
        <v>35</v>
      </c>
      <c r="F3813" s="19" t="s">
        <v>1657</v>
      </c>
      <c r="G3813" s="19" t="s">
        <v>1008</v>
      </c>
      <c r="H3813" s="19" t="s">
        <v>1001</v>
      </c>
      <c r="I3813" s="19" t="s">
        <v>1575</v>
      </c>
      <c r="J3813" s="20">
        <v>21</v>
      </c>
      <c r="K3813" t="s">
        <v>654</v>
      </c>
      <c r="L3813" t="s">
        <v>684</v>
      </c>
      <c r="M3813" t="s">
        <v>623</v>
      </c>
      <c r="N3813" t="s">
        <v>662</v>
      </c>
      <c r="O3813" t="s">
        <v>685</v>
      </c>
    </row>
    <row r="3814" spans="1:15" x14ac:dyDescent="0.35">
      <c r="A3814" s="77">
        <v>0.16164383561643836</v>
      </c>
      <c r="B3814" s="19">
        <v>100712</v>
      </c>
      <c r="C3814" s="19" t="s">
        <v>6105</v>
      </c>
      <c r="D3814" s="19" t="s">
        <v>360</v>
      </c>
      <c r="E3814" s="19" t="s">
        <v>361</v>
      </c>
      <c r="F3814" s="19" t="s">
        <v>2312</v>
      </c>
      <c r="G3814" s="19" t="s">
        <v>1028</v>
      </c>
      <c r="H3814" s="19" t="s">
        <v>1020</v>
      </c>
      <c r="I3814" s="19" t="s">
        <v>1575</v>
      </c>
      <c r="J3814" s="20">
        <v>39</v>
      </c>
      <c r="K3814" t="s">
        <v>642</v>
      </c>
      <c r="L3814" t="s">
        <v>670</v>
      </c>
      <c r="M3814" t="s">
        <v>657</v>
      </c>
      <c r="N3814" t="s">
        <v>641</v>
      </c>
      <c r="O3814" t="s">
        <v>671</v>
      </c>
    </row>
    <row r="3815" spans="1:15" x14ac:dyDescent="0.35">
      <c r="A3815" s="77">
        <v>0.16164383561643836</v>
      </c>
      <c r="B3815" s="19">
        <v>100713</v>
      </c>
      <c r="C3815" s="19" t="s">
        <v>6106</v>
      </c>
      <c r="D3815" s="19" t="s">
        <v>360</v>
      </c>
      <c r="E3815" s="19" t="s">
        <v>361</v>
      </c>
      <c r="F3815" s="19" t="s">
        <v>2312</v>
      </c>
      <c r="G3815" s="19" t="s">
        <v>1028</v>
      </c>
      <c r="H3815" s="19" t="s">
        <v>1020</v>
      </c>
      <c r="I3815" s="19" t="s">
        <v>1575</v>
      </c>
      <c r="J3815" s="20">
        <v>34</v>
      </c>
      <c r="K3815" t="s">
        <v>642</v>
      </c>
      <c r="L3815" t="s">
        <v>670</v>
      </c>
      <c r="M3815" t="s">
        <v>657</v>
      </c>
      <c r="N3815" t="s">
        <v>641</v>
      </c>
      <c r="O3815" t="s">
        <v>671</v>
      </c>
    </row>
    <row r="3816" spans="1:15" x14ac:dyDescent="0.35">
      <c r="A3816" s="77">
        <v>0.16164383561643836</v>
      </c>
      <c r="B3816" s="19">
        <v>100715</v>
      </c>
      <c r="C3816" s="19" t="s">
        <v>6107</v>
      </c>
      <c r="D3816" s="19" t="s">
        <v>375</v>
      </c>
      <c r="E3816" s="19" t="s">
        <v>376</v>
      </c>
      <c r="F3816" s="19" t="s">
        <v>1270</v>
      </c>
      <c r="G3816" s="19" t="s">
        <v>1028</v>
      </c>
      <c r="H3816" s="19" t="s">
        <v>1020</v>
      </c>
      <c r="I3816" s="19" t="s">
        <v>1575</v>
      </c>
      <c r="J3816" s="20">
        <v>28</v>
      </c>
      <c r="K3816" t="s">
        <v>636</v>
      </c>
      <c r="L3816" t="s">
        <v>678</v>
      </c>
      <c r="M3816" t="s">
        <v>623</v>
      </c>
      <c r="N3816" t="s">
        <v>624</v>
      </c>
      <c r="O3816" t="s">
        <v>679</v>
      </c>
    </row>
    <row r="3817" spans="1:15" x14ac:dyDescent="0.35">
      <c r="A3817" s="77">
        <v>0.16164383561643836</v>
      </c>
      <c r="B3817" s="19">
        <v>100718</v>
      </c>
      <c r="C3817" s="19" t="s">
        <v>6108</v>
      </c>
      <c r="D3817" s="19" t="s">
        <v>18</v>
      </c>
      <c r="E3817" s="19" t="s">
        <v>18</v>
      </c>
      <c r="F3817" s="19" t="s">
        <v>650</v>
      </c>
      <c r="G3817" s="19" t="s">
        <v>1028</v>
      </c>
      <c r="H3817" s="19" t="s">
        <v>1020</v>
      </c>
      <c r="I3817" s="19" t="s">
        <v>1575</v>
      </c>
      <c r="J3817" s="20">
        <v>24</v>
      </c>
      <c r="K3817" t="s">
        <v>636</v>
      </c>
      <c r="L3817" t="s">
        <v>651</v>
      </c>
      <c r="M3817" t="s">
        <v>629</v>
      </c>
      <c r="N3817" t="s">
        <v>630</v>
      </c>
      <c r="O3817" t="s">
        <v>652</v>
      </c>
    </row>
    <row r="3818" spans="1:15" x14ac:dyDescent="0.35">
      <c r="A3818" s="77">
        <v>0.16164383561643836</v>
      </c>
      <c r="B3818" s="19">
        <v>100721</v>
      </c>
      <c r="C3818" s="19" t="s">
        <v>6109</v>
      </c>
      <c r="D3818" s="19" t="s">
        <v>111</v>
      </c>
      <c r="E3818" s="19" t="s">
        <v>112</v>
      </c>
      <c r="F3818" s="19" t="s">
        <v>1083</v>
      </c>
      <c r="G3818" s="19" t="s">
        <v>1084</v>
      </c>
      <c r="H3818" s="19" t="s">
        <v>1001</v>
      </c>
      <c r="I3818" s="19" t="s">
        <v>1575</v>
      </c>
      <c r="J3818" s="20">
        <v>19</v>
      </c>
      <c r="K3818" t="s">
        <v>654</v>
      </c>
      <c r="L3818" t="s">
        <v>651</v>
      </c>
      <c r="M3818" t="s">
        <v>629</v>
      </c>
      <c r="N3818" t="s">
        <v>630</v>
      </c>
      <c r="O3818" t="s">
        <v>652</v>
      </c>
    </row>
    <row r="3819" spans="1:15" x14ac:dyDescent="0.35">
      <c r="A3819" s="77">
        <v>0.16164383561643836</v>
      </c>
      <c r="B3819" s="19">
        <v>100724</v>
      </c>
      <c r="C3819" s="19" t="s">
        <v>6110</v>
      </c>
      <c r="D3819" s="19" t="s">
        <v>137</v>
      </c>
      <c r="E3819" s="19" t="s">
        <v>138</v>
      </c>
      <c r="F3819" s="19" t="s">
        <v>1115</v>
      </c>
      <c r="G3819" s="19" t="s">
        <v>1084</v>
      </c>
      <c r="H3819" s="19" t="s">
        <v>1001</v>
      </c>
      <c r="I3819" s="19" t="s">
        <v>1575</v>
      </c>
      <c r="J3819" s="20">
        <v>27</v>
      </c>
      <c r="K3819" t="s">
        <v>636</v>
      </c>
      <c r="L3819" t="s">
        <v>684</v>
      </c>
      <c r="M3819" t="s">
        <v>623</v>
      </c>
      <c r="N3819" t="s">
        <v>662</v>
      </c>
      <c r="O3819" t="s">
        <v>685</v>
      </c>
    </row>
    <row r="3820" spans="1:15" x14ac:dyDescent="0.35">
      <c r="A3820" s="77">
        <v>0.16164383561643836</v>
      </c>
      <c r="B3820" s="19">
        <v>100725</v>
      </c>
      <c r="C3820" s="19" t="s">
        <v>6111</v>
      </c>
      <c r="D3820" s="19" t="s">
        <v>113</v>
      </c>
      <c r="E3820" s="19" t="s">
        <v>114</v>
      </c>
      <c r="F3820" s="19" t="s">
        <v>1871</v>
      </c>
      <c r="G3820" s="19" t="s">
        <v>1028</v>
      </c>
      <c r="H3820" s="19" t="s">
        <v>1020</v>
      </c>
      <c r="I3820" s="19" t="s">
        <v>1575</v>
      </c>
      <c r="J3820" s="20">
        <v>21</v>
      </c>
      <c r="K3820" t="s">
        <v>654</v>
      </c>
      <c r="L3820" t="s">
        <v>661</v>
      </c>
      <c r="M3820" t="s">
        <v>657</v>
      </c>
      <c r="N3820" t="s">
        <v>662</v>
      </c>
      <c r="O3820" t="s">
        <v>632</v>
      </c>
    </row>
    <row r="3821" spans="1:15" x14ac:dyDescent="0.35">
      <c r="A3821" s="77">
        <v>0.16164383561643836</v>
      </c>
      <c r="B3821" s="19">
        <v>100729</v>
      </c>
      <c r="C3821" s="19" t="s">
        <v>6112</v>
      </c>
      <c r="D3821" s="19" t="s">
        <v>284</v>
      </c>
      <c r="E3821" s="19" t="s">
        <v>285</v>
      </c>
      <c r="F3821" s="19" t="s">
        <v>1150</v>
      </c>
      <c r="G3821" s="19" t="s">
        <v>1028</v>
      </c>
      <c r="H3821" s="19" t="s">
        <v>1020</v>
      </c>
      <c r="I3821" s="19" t="s">
        <v>1575</v>
      </c>
      <c r="J3821" s="20">
        <v>19</v>
      </c>
      <c r="K3821" t="s">
        <v>625</v>
      </c>
      <c r="L3821" t="s">
        <v>661</v>
      </c>
      <c r="M3821" t="s">
        <v>657</v>
      </c>
      <c r="N3821" t="s">
        <v>662</v>
      </c>
      <c r="O3821" t="s">
        <v>632</v>
      </c>
    </row>
    <row r="3822" spans="1:15" x14ac:dyDescent="0.35">
      <c r="A3822" s="77">
        <v>0.16164383561643836</v>
      </c>
      <c r="B3822" s="19">
        <v>100730</v>
      </c>
      <c r="C3822" s="19" t="s">
        <v>6113</v>
      </c>
      <c r="D3822" s="19" t="s">
        <v>218</v>
      </c>
      <c r="E3822" s="19" t="s">
        <v>219</v>
      </c>
      <c r="F3822" s="19" t="s">
        <v>1372</v>
      </c>
      <c r="G3822" s="19" t="s">
        <v>1019</v>
      </c>
      <c r="H3822" s="19" t="s">
        <v>1020</v>
      </c>
      <c r="I3822" s="19" t="s">
        <v>1575</v>
      </c>
      <c r="J3822" s="20">
        <v>19</v>
      </c>
      <c r="K3822" t="s">
        <v>625</v>
      </c>
      <c r="L3822" t="s">
        <v>661</v>
      </c>
      <c r="M3822" t="s">
        <v>657</v>
      </c>
      <c r="N3822" t="s">
        <v>662</v>
      </c>
      <c r="O3822" t="s">
        <v>632</v>
      </c>
    </row>
    <row r="3823" spans="1:15" x14ac:dyDescent="0.35">
      <c r="A3823" s="77">
        <v>0.16164383561643836</v>
      </c>
      <c r="B3823" s="19">
        <v>100731</v>
      </c>
      <c r="C3823" s="19" t="s">
        <v>6114</v>
      </c>
      <c r="D3823" s="19" t="s">
        <v>218</v>
      </c>
      <c r="E3823" s="19" t="s">
        <v>219</v>
      </c>
      <c r="F3823" s="19" t="s">
        <v>1372</v>
      </c>
      <c r="G3823" s="19" t="s">
        <v>1028</v>
      </c>
      <c r="H3823" s="19" t="s">
        <v>1020</v>
      </c>
      <c r="I3823" s="19" t="s">
        <v>1575</v>
      </c>
      <c r="J3823" s="20">
        <v>18</v>
      </c>
      <c r="K3823" t="s">
        <v>625</v>
      </c>
      <c r="L3823" t="s">
        <v>661</v>
      </c>
      <c r="M3823" t="s">
        <v>657</v>
      </c>
      <c r="N3823" t="s">
        <v>662</v>
      </c>
      <c r="O3823" t="s">
        <v>632</v>
      </c>
    </row>
    <row r="3824" spans="1:15" x14ac:dyDescent="0.35">
      <c r="A3824" s="77">
        <v>0.16164383561643836</v>
      </c>
      <c r="B3824" s="19">
        <v>100732</v>
      </c>
      <c r="C3824" s="19" t="s">
        <v>6115</v>
      </c>
      <c r="D3824" s="19" t="s">
        <v>218</v>
      </c>
      <c r="E3824" s="19" t="s">
        <v>219</v>
      </c>
      <c r="F3824" s="19" t="s">
        <v>1372</v>
      </c>
      <c r="G3824" s="19" t="s">
        <v>1028</v>
      </c>
      <c r="H3824" s="19" t="s">
        <v>1020</v>
      </c>
      <c r="I3824" s="19" t="s">
        <v>1599</v>
      </c>
      <c r="J3824" s="20">
        <v>21</v>
      </c>
      <c r="K3824" t="s">
        <v>625</v>
      </c>
      <c r="L3824" t="s">
        <v>661</v>
      </c>
      <c r="M3824" t="s">
        <v>657</v>
      </c>
      <c r="N3824" t="s">
        <v>662</v>
      </c>
      <c r="O3824" t="s">
        <v>632</v>
      </c>
    </row>
    <row r="3825" spans="1:15" x14ac:dyDescent="0.35">
      <c r="A3825" s="77">
        <v>0.15890410958904111</v>
      </c>
      <c r="B3825" s="19">
        <v>100735</v>
      </c>
      <c r="C3825" s="19" t="s">
        <v>6116</v>
      </c>
      <c r="D3825" s="19" t="s">
        <v>425</v>
      </c>
      <c r="E3825" s="19" t="s">
        <v>425</v>
      </c>
      <c r="F3825" s="19" t="s">
        <v>1330</v>
      </c>
      <c r="G3825" s="19" t="s">
        <v>1028</v>
      </c>
      <c r="H3825" s="19" t="s">
        <v>1020</v>
      </c>
      <c r="I3825" s="19" t="s">
        <v>1575</v>
      </c>
      <c r="J3825" s="20">
        <v>25</v>
      </c>
      <c r="K3825" t="s">
        <v>654</v>
      </c>
      <c r="L3825" t="s">
        <v>678</v>
      </c>
      <c r="M3825" t="s">
        <v>623</v>
      </c>
      <c r="N3825" t="s">
        <v>624</v>
      </c>
      <c r="O3825" t="s">
        <v>689</v>
      </c>
    </row>
    <row r="3826" spans="1:15" x14ac:dyDescent="0.35">
      <c r="A3826" s="77">
        <v>0.15616438356164383</v>
      </c>
      <c r="B3826" s="19">
        <v>100737</v>
      </c>
      <c r="C3826" s="19" t="s">
        <v>6117</v>
      </c>
      <c r="D3826" s="19" t="s">
        <v>140</v>
      </c>
      <c r="E3826" s="19" t="s">
        <v>141</v>
      </c>
      <c r="F3826" s="19" t="s">
        <v>1138</v>
      </c>
      <c r="G3826" s="19" t="s">
        <v>1008</v>
      </c>
      <c r="H3826" s="19" t="s">
        <v>1001</v>
      </c>
      <c r="I3826" s="19" t="s">
        <v>1575</v>
      </c>
      <c r="J3826" s="20">
        <v>18</v>
      </c>
      <c r="K3826" t="s">
        <v>636</v>
      </c>
      <c r="L3826" t="s">
        <v>640</v>
      </c>
      <c r="M3826" t="s">
        <v>623</v>
      </c>
      <c r="N3826" t="s">
        <v>641</v>
      </c>
      <c r="O3826" t="s">
        <v>754</v>
      </c>
    </row>
    <row r="3827" spans="1:15" x14ac:dyDescent="0.35">
      <c r="A3827" s="77">
        <v>0.15068493150684931</v>
      </c>
      <c r="B3827" s="19">
        <v>100740</v>
      </c>
      <c r="C3827" s="19" t="s">
        <v>6118</v>
      </c>
      <c r="D3827" s="19" t="s">
        <v>167</v>
      </c>
      <c r="E3827" s="19" t="s">
        <v>168</v>
      </c>
      <c r="F3827" s="19" t="s">
        <v>2009</v>
      </c>
      <c r="G3827" s="19" t="s">
        <v>1008</v>
      </c>
      <c r="H3827" s="19" t="s">
        <v>1001</v>
      </c>
      <c r="I3827" s="19" t="s">
        <v>1575</v>
      </c>
      <c r="J3827" s="20">
        <v>18</v>
      </c>
      <c r="K3827" t="s">
        <v>636</v>
      </c>
      <c r="L3827" t="s">
        <v>640</v>
      </c>
      <c r="M3827" t="s">
        <v>623</v>
      </c>
      <c r="N3827" t="s">
        <v>641</v>
      </c>
      <c r="O3827" t="s">
        <v>754</v>
      </c>
    </row>
    <row r="3828" spans="1:15" x14ac:dyDescent="0.35">
      <c r="A3828" s="77">
        <v>0.15616438356164383</v>
      </c>
      <c r="B3828" s="19">
        <v>100742</v>
      </c>
      <c r="C3828" s="19" t="s">
        <v>6119</v>
      </c>
      <c r="D3828" s="19" t="s">
        <v>282</v>
      </c>
      <c r="E3828" s="19" t="s">
        <v>283</v>
      </c>
      <c r="F3828" s="19" t="s">
        <v>1417</v>
      </c>
      <c r="G3828" s="19" t="s">
        <v>1028</v>
      </c>
      <c r="H3828" s="19" t="s">
        <v>1020</v>
      </c>
      <c r="I3828" s="19" t="s">
        <v>1575</v>
      </c>
      <c r="J3828" s="20">
        <v>24</v>
      </c>
      <c r="K3828" t="s">
        <v>668</v>
      </c>
      <c r="L3828" t="s">
        <v>645</v>
      </c>
      <c r="M3828" t="s">
        <v>629</v>
      </c>
      <c r="N3828" t="s">
        <v>646</v>
      </c>
      <c r="O3828" t="s">
        <v>632</v>
      </c>
    </row>
    <row r="3829" spans="1:15" x14ac:dyDescent="0.35">
      <c r="A3829" s="77">
        <v>0.15616438356164383</v>
      </c>
      <c r="B3829" s="19">
        <v>100743</v>
      </c>
      <c r="C3829" s="19" t="s">
        <v>6120</v>
      </c>
      <c r="D3829" s="19" t="s">
        <v>13</v>
      </c>
      <c r="E3829" s="19" t="s">
        <v>13</v>
      </c>
      <c r="F3829" s="19" t="s">
        <v>1467</v>
      </c>
      <c r="G3829" s="19" t="s">
        <v>1008</v>
      </c>
      <c r="H3829" s="19" t="s">
        <v>1001</v>
      </c>
      <c r="I3829" s="19" t="s">
        <v>1575</v>
      </c>
      <c r="J3829" s="20">
        <v>20</v>
      </c>
      <c r="K3829" t="s">
        <v>631</v>
      </c>
      <c r="L3829" t="s">
        <v>628</v>
      </c>
      <c r="M3829" t="s">
        <v>629</v>
      </c>
      <c r="N3829" t="s">
        <v>630</v>
      </c>
      <c r="O3829" t="s">
        <v>639</v>
      </c>
    </row>
    <row r="3830" spans="1:15" x14ac:dyDescent="0.35">
      <c r="A3830" s="77">
        <v>0.15616438356164383</v>
      </c>
      <c r="B3830" s="19">
        <v>100746</v>
      </c>
      <c r="C3830" s="19" t="s">
        <v>6121</v>
      </c>
      <c r="D3830" s="19" t="s">
        <v>349</v>
      </c>
      <c r="E3830" s="19" t="s">
        <v>350</v>
      </c>
      <c r="F3830" s="19" t="s">
        <v>912</v>
      </c>
      <c r="G3830" s="19" t="s">
        <v>1028</v>
      </c>
      <c r="H3830" s="19" t="s">
        <v>1020</v>
      </c>
      <c r="I3830" s="19" t="s">
        <v>1575</v>
      </c>
      <c r="J3830" s="20">
        <v>20</v>
      </c>
      <c r="K3830" t="s">
        <v>625</v>
      </c>
      <c r="L3830" t="s">
        <v>648</v>
      </c>
      <c r="M3830" t="s">
        <v>623</v>
      </c>
      <c r="N3830" t="s">
        <v>624</v>
      </c>
      <c r="O3830" t="s">
        <v>649</v>
      </c>
    </row>
    <row r="3831" spans="1:15" x14ac:dyDescent="0.35">
      <c r="A3831" s="77">
        <v>0.15616438356164383</v>
      </c>
      <c r="B3831" s="19">
        <v>100747</v>
      </c>
      <c r="C3831" s="19" t="s">
        <v>6122</v>
      </c>
      <c r="D3831" s="19" t="s">
        <v>349</v>
      </c>
      <c r="E3831" s="19" t="s">
        <v>350</v>
      </c>
      <c r="F3831" s="19" t="s">
        <v>912</v>
      </c>
      <c r="G3831" s="19" t="s">
        <v>1028</v>
      </c>
      <c r="H3831" s="19" t="s">
        <v>1020</v>
      </c>
      <c r="I3831" s="19" t="s">
        <v>1575</v>
      </c>
      <c r="J3831" s="20">
        <v>26</v>
      </c>
      <c r="K3831" t="s">
        <v>625</v>
      </c>
      <c r="L3831" t="s">
        <v>648</v>
      </c>
      <c r="M3831" t="s">
        <v>623</v>
      </c>
      <c r="N3831" t="s">
        <v>624</v>
      </c>
      <c r="O3831" t="s">
        <v>649</v>
      </c>
    </row>
    <row r="3832" spans="1:15" x14ac:dyDescent="0.35">
      <c r="A3832" s="77">
        <v>0.15616438356164383</v>
      </c>
      <c r="B3832" s="19">
        <v>100749</v>
      </c>
      <c r="C3832" s="19" t="s">
        <v>6123</v>
      </c>
      <c r="D3832" s="19" t="s">
        <v>330</v>
      </c>
      <c r="E3832" s="19" t="s">
        <v>331</v>
      </c>
      <c r="F3832" s="19" t="s">
        <v>332</v>
      </c>
      <c r="G3832" s="19" t="s">
        <v>1028</v>
      </c>
      <c r="H3832" s="19" t="s">
        <v>1020</v>
      </c>
      <c r="I3832" s="19" t="s">
        <v>1575</v>
      </c>
      <c r="J3832" s="20">
        <v>19</v>
      </c>
      <c r="K3832" t="s">
        <v>636</v>
      </c>
      <c r="L3832" t="s">
        <v>762</v>
      </c>
      <c r="M3832" t="s">
        <v>629</v>
      </c>
      <c r="N3832" t="s">
        <v>646</v>
      </c>
      <c r="O3832" t="s">
        <v>839</v>
      </c>
    </row>
    <row r="3833" spans="1:15" x14ac:dyDescent="0.35">
      <c r="A3833" s="77">
        <v>0.14794520547945206</v>
      </c>
      <c r="B3833" s="19">
        <v>100750</v>
      </c>
      <c r="C3833" s="19" t="s">
        <v>6124</v>
      </c>
      <c r="D3833" s="19" t="s">
        <v>151</v>
      </c>
      <c r="E3833" s="19" t="s">
        <v>152</v>
      </c>
      <c r="F3833" s="19" t="s">
        <v>1557</v>
      </c>
      <c r="G3833" s="19" t="s">
        <v>1028</v>
      </c>
      <c r="H3833" s="19" t="s">
        <v>1020</v>
      </c>
      <c r="I3833" s="19" t="s">
        <v>1575</v>
      </c>
      <c r="J3833" s="20">
        <v>18</v>
      </c>
      <c r="K3833" t="s">
        <v>654</v>
      </c>
      <c r="L3833" t="s">
        <v>691</v>
      </c>
      <c r="M3833" t="s">
        <v>657</v>
      </c>
      <c r="N3833" t="s">
        <v>658</v>
      </c>
      <c r="O3833" t="s">
        <v>632</v>
      </c>
    </row>
    <row r="3834" spans="1:15" x14ac:dyDescent="0.35">
      <c r="A3834" s="77">
        <v>0.14794520547945206</v>
      </c>
      <c r="B3834" s="19">
        <v>100751</v>
      </c>
      <c r="C3834" s="19" t="s">
        <v>6125</v>
      </c>
      <c r="D3834" s="19" t="s">
        <v>411</v>
      </c>
      <c r="E3834" s="19" t="s">
        <v>412</v>
      </c>
      <c r="F3834" s="19" t="s">
        <v>1225</v>
      </c>
      <c r="G3834" s="19" t="s">
        <v>1028</v>
      </c>
      <c r="H3834" s="19" t="s">
        <v>1020</v>
      </c>
      <c r="I3834" s="19" t="s">
        <v>1575</v>
      </c>
      <c r="J3834" s="20">
        <v>20</v>
      </c>
      <c r="K3834" t="s">
        <v>636</v>
      </c>
      <c r="L3834" t="s">
        <v>691</v>
      </c>
      <c r="M3834" t="s">
        <v>657</v>
      </c>
      <c r="N3834" t="s">
        <v>658</v>
      </c>
      <c r="O3834" t="s">
        <v>632</v>
      </c>
    </row>
    <row r="3835" spans="1:15" x14ac:dyDescent="0.35">
      <c r="A3835" s="77">
        <v>0.15068493150684931</v>
      </c>
      <c r="B3835" s="19">
        <v>100752</v>
      </c>
      <c r="C3835" s="19" t="s">
        <v>6126</v>
      </c>
      <c r="D3835" s="19" t="s">
        <v>211</v>
      </c>
      <c r="E3835" s="19" t="s">
        <v>212</v>
      </c>
      <c r="F3835" s="19" t="s">
        <v>1049</v>
      </c>
      <c r="G3835" s="19" t="s">
        <v>3508</v>
      </c>
      <c r="H3835" s="19" t="s">
        <v>1020</v>
      </c>
      <c r="I3835" s="19" t="s">
        <v>1575</v>
      </c>
      <c r="J3835" s="20">
        <v>17</v>
      </c>
      <c r="K3835" t="s">
        <v>654</v>
      </c>
      <c r="L3835" t="s">
        <v>691</v>
      </c>
      <c r="M3835" t="s">
        <v>657</v>
      </c>
      <c r="N3835" t="s">
        <v>658</v>
      </c>
      <c r="O3835" t="s">
        <v>632</v>
      </c>
    </row>
    <row r="3836" spans="1:15" x14ac:dyDescent="0.35">
      <c r="A3836" s="77">
        <v>0.14246575342465753</v>
      </c>
      <c r="B3836" s="19">
        <v>100753</v>
      </c>
      <c r="C3836" s="19" t="s">
        <v>6127</v>
      </c>
      <c r="D3836" s="19" t="s">
        <v>211</v>
      </c>
      <c r="E3836" s="19" t="s">
        <v>212</v>
      </c>
      <c r="F3836" s="19" t="s">
        <v>1049</v>
      </c>
      <c r="G3836" s="19" t="s">
        <v>3508</v>
      </c>
      <c r="H3836" s="19" t="s">
        <v>1020</v>
      </c>
      <c r="I3836" s="19" t="s">
        <v>1575</v>
      </c>
      <c r="J3836" s="20">
        <v>17</v>
      </c>
      <c r="K3836" t="s">
        <v>654</v>
      </c>
      <c r="L3836" t="s">
        <v>691</v>
      </c>
      <c r="M3836" t="s">
        <v>657</v>
      </c>
      <c r="N3836" t="s">
        <v>658</v>
      </c>
      <c r="O3836" t="s">
        <v>632</v>
      </c>
    </row>
    <row r="3837" spans="1:15" x14ac:dyDescent="0.35">
      <c r="A3837" s="77">
        <v>0.14794520547945206</v>
      </c>
      <c r="B3837" s="19">
        <v>100757</v>
      </c>
      <c r="C3837" s="19" t="s">
        <v>6128</v>
      </c>
      <c r="D3837" s="19" t="s">
        <v>195</v>
      </c>
      <c r="E3837" s="19" t="s">
        <v>196</v>
      </c>
      <c r="F3837" s="19" t="s">
        <v>908</v>
      </c>
      <c r="G3837" s="19" t="s">
        <v>1028</v>
      </c>
      <c r="H3837" s="19" t="s">
        <v>1020</v>
      </c>
      <c r="I3837" s="19" t="s">
        <v>1575</v>
      </c>
      <c r="J3837" s="20">
        <v>27</v>
      </c>
      <c r="K3837" t="s">
        <v>636</v>
      </c>
      <c r="L3837" t="s">
        <v>670</v>
      </c>
      <c r="M3837" t="s">
        <v>657</v>
      </c>
      <c r="N3837" t="s">
        <v>641</v>
      </c>
      <c r="O3837" t="s">
        <v>676</v>
      </c>
    </row>
    <row r="3838" spans="1:15" x14ac:dyDescent="0.35">
      <c r="A3838" s="77">
        <v>0.14794520547945206</v>
      </c>
      <c r="B3838" s="19">
        <v>100758</v>
      </c>
      <c r="C3838" s="19" t="s">
        <v>6129</v>
      </c>
      <c r="D3838" s="19" t="s">
        <v>30</v>
      </c>
      <c r="E3838" s="19" t="s">
        <v>30</v>
      </c>
      <c r="F3838" s="19" t="s">
        <v>672</v>
      </c>
      <c r="G3838" s="19" t="s">
        <v>1028</v>
      </c>
      <c r="H3838" s="19" t="s">
        <v>1020</v>
      </c>
      <c r="I3838" s="19" t="s">
        <v>1599</v>
      </c>
      <c r="J3838" s="20">
        <v>25</v>
      </c>
      <c r="K3838" t="s">
        <v>636</v>
      </c>
      <c r="L3838" t="s">
        <v>673</v>
      </c>
      <c r="M3838" t="s">
        <v>623</v>
      </c>
      <c r="N3838" t="s">
        <v>641</v>
      </c>
      <c r="O3838" t="s">
        <v>674</v>
      </c>
    </row>
    <row r="3839" spans="1:15" x14ac:dyDescent="0.35">
      <c r="A3839" s="77">
        <v>0.14794520547945206</v>
      </c>
      <c r="B3839" s="19">
        <v>100759</v>
      </c>
      <c r="C3839" s="19" t="s">
        <v>6130</v>
      </c>
      <c r="D3839" s="19" t="s">
        <v>30</v>
      </c>
      <c r="E3839" s="19" t="s">
        <v>30</v>
      </c>
      <c r="F3839" s="19" t="s">
        <v>672</v>
      </c>
      <c r="G3839" s="19" t="s">
        <v>1019</v>
      </c>
      <c r="H3839" s="19" t="s">
        <v>1020</v>
      </c>
      <c r="I3839" s="19" t="s">
        <v>1575</v>
      </c>
      <c r="J3839" s="20">
        <v>21</v>
      </c>
      <c r="K3839" t="s">
        <v>636</v>
      </c>
      <c r="L3839" t="s">
        <v>673</v>
      </c>
      <c r="M3839" t="s">
        <v>623</v>
      </c>
      <c r="N3839" t="s">
        <v>641</v>
      </c>
      <c r="O3839" t="s">
        <v>674</v>
      </c>
    </row>
    <row r="3840" spans="1:15" x14ac:dyDescent="0.35">
      <c r="A3840" s="77">
        <v>0.14794520547945206</v>
      </c>
      <c r="B3840" s="19">
        <v>100760</v>
      </c>
      <c r="C3840" s="19" t="s">
        <v>6131</v>
      </c>
      <c r="D3840" s="19" t="s">
        <v>73</v>
      </c>
      <c r="E3840" s="19" t="s">
        <v>74</v>
      </c>
      <c r="F3840" s="19" t="s">
        <v>1178</v>
      </c>
      <c r="G3840" s="19" t="s">
        <v>3508</v>
      </c>
      <c r="H3840" s="19" t="s">
        <v>1020</v>
      </c>
      <c r="I3840" s="19" t="s">
        <v>1575</v>
      </c>
      <c r="J3840" s="20">
        <v>15</v>
      </c>
      <c r="K3840" t="s">
        <v>654</v>
      </c>
      <c r="L3840" t="s">
        <v>648</v>
      </c>
      <c r="M3840" t="s">
        <v>623</v>
      </c>
      <c r="N3840" t="s">
        <v>624</v>
      </c>
      <c r="O3840" t="s">
        <v>725</v>
      </c>
    </row>
    <row r="3841" spans="1:15" x14ac:dyDescent="0.35">
      <c r="A3841" s="77">
        <v>0.14794520547945206</v>
      </c>
      <c r="B3841" s="19">
        <v>100761</v>
      </c>
      <c r="C3841" s="19" t="s">
        <v>6132</v>
      </c>
      <c r="D3841" s="19" t="s">
        <v>34</v>
      </c>
      <c r="E3841" s="19" t="s">
        <v>34</v>
      </c>
      <c r="F3841" s="19" t="s">
        <v>1066</v>
      </c>
      <c r="G3841" s="19" t="s">
        <v>1019</v>
      </c>
      <c r="H3841" s="19" t="s">
        <v>1020</v>
      </c>
      <c r="I3841" s="19" t="s">
        <v>1575</v>
      </c>
      <c r="J3841" s="20">
        <v>20</v>
      </c>
      <c r="K3841" t="s">
        <v>654</v>
      </c>
      <c r="L3841" t="s">
        <v>656</v>
      </c>
      <c r="M3841" t="s">
        <v>657</v>
      </c>
      <c r="N3841" t="s">
        <v>658</v>
      </c>
      <c r="O3841" t="s">
        <v>632</v>
      </c>
    </row>
    <row r="3842" spans="1:15" x14ac:dyDescent="0.35">
      <c r="A3842" s="77">
        <v>0.14794520547945206</v>
      </c>
      <c r="B3842" s="19">
        <v>100762</v>
      </c>
      <c r="C3842" s="19" t="s">
        <v>6133</v>
      </c>
      <c r="D3842" s="19" t="s">
        <v>313</v>
      </c>
      <c r="E3842" s="19" t="s">
        <v>314</v>
      </c>
      <c r="F3842" s="19" t="s">
        <v>1401</v>
      </c>
      <c r="G3842" s="19" t="s">
        <v>1028</v>
      </c>
      <c r="H3842" s="19" t="s">
        <v>1020</v>
      </c>
      <c r="I3842" s="19" t="s">
        <v>1599</v>
      </c>
      <c r="J3842" s="20">
        <v>20</v>
      </c>
      <c r="K3842" t="s">
        <v>654</v>
      </c>
      <c r="L3842" t="s">
        <v>666</v>
      </c>
      <c r="M3842" t="s">
        <v>629</v>
      </c>
      <c r="N3842" t="s">
        <v>635</v>
      </c>
      <c r="O3842" t="s">
        <v>637</v>
      </c>
    </row>
    <row r="3843" spans="1:15" x14ac:dyDescent="0.35">
      <c r="A3843" s="77">
        <v>0.14794520547945206</v>
      </c>
      <c r="B3843" s="19">
        <v>100763</v>
      </c>
      <c r="C3843" s="19" t="s">
        <v>6134</v>
      </c>
      <c r="D3843" s="19" t="s">
        <v>89</v>
      </c>
      <c r="E3843" s="19" t="s">
        <v>90</v>
      </c>
      <c r="F3843" s="19" t="s">
        <v>1217</v>
      </c>
      <c r="G3843" s="19" t="s">
        <v>1028</v>
      </c>
      <c r="H3843" s="19" t="s">
        <v>1020</v>
      </c>
      <c r="I3843" s="19" t="s">
        <v>1575</v>
      </c>
      <c r="J3843" s="20">
        <v>25</v>
      </c>
      <c r="K3843" t="s">
        <v>636</v>
      </c>
      <c r="L3843" t="s">
        <v>666</v>
      </c>
      <c r="M3843" t="s">
        <v>629</v>
      </c>
      <c r="N3843" t="s">
        <v>635</v>
      </c>
      <c r="O3843" t="s">
        <v>637</v>
      </c>
    </row>
    <row r="3844" spans="1:15" x14ac:dyDescent="0.35">
      <c r="A3844" s="77">
        <v>0.14794520547945206</v>
      </c>
      <c r="B3844" s="19">
        <v>100764</v>
      </c>
      <c r="C3844" s="19" t="s">
        <v>6135</v>
      </c>
      <c r="D3844" s="19" t="s">
        <v>218</v>
      </c>
      <c r="E3844" s="19" t="s">
        <v>219</v>
      </c>
      <c r="F3844" s="19" t="s">
        <v>1372</v>
      </c>
      <c r="G3844" s="19" t="s">
        <v>1028</v>
      </c>
      <c r="H3844" s="19" t="s">
        <v>1020</v>
      </c>
      <c r="I3844" s="19" t="s">
        <v>1599</v>
      </c>
      <c r="J3844" s="20">
        <v>20</v>
      </c>
      <c r="K3844" t="s">
        <v>625</v>
      </c>
      <c r="L3844" t="s">
        <v>661</v>
      </c>
      <c r="M3844" t="s">
        <v>657</v>
      </c>
      <c r="N3844" t="s">
        <v>662</v>
      </c>
      <c r="O3844" t="s">
        <v>632</v>
      </c>
    </row>
    <row r="3845" spans="1:15" x14ac:dyDescent="0.35">
      <c r="A3845" s="77">
        <v>0.14794520547945206</v>
      </c>
      <c r="B3845" s="19">
        <v>100765</v>
      </c>
      <c r="C3845" s="19" t="s">
        <v>6136</v>
      </c>
      <c r="D3845" s="19" t="s">
        <v>171</v>
      </c>
      <c r="E3845" s="19" t="s">
        <v>172</v>
      </c>
      <c r="F3845" s="19" t="s">
        <v>2239</v>
      </c>
      <c r="G3845" s="19" t="s">
        <v>1028</v>
      </c>
      <c r="H3845" s="19" t="s">
        <v>1020</v>
      </c>
      <c r="I3845" s="19" t="s">
        <v>1575</v>
      </c>
      <c r="J3845" s="20">
        <v>19</v>
      </c>
      <c r="K3845" t="s">
        <v>654</v>
      </c>
      <c r="L3845" t="s">
        <v>661</v>
      </c>
      <c r="M3845" t="s">
        <v>657</v>
      </c>
      <c r="N3845" t="s">
        <v>662</v>
      </c>
      <c r="O3845" t="s">
        <v>632</v>
      </c>
    </row>
    <row r="3846" spans="1:15" x14ac:dyDescent="0.35">
      <c r="A3846" s="77">
        <v>0.14794520547945206</v>
      </c>
      <c r="B3846" s="19">
        <v>100767</v>
      </c>
      <c r="C3846" s="19" t="s">
        <v>6137</v>
      </c>
      <c r="D3846" s="19" t="s">
        <v>171</v>
      </c>
      <c r="E3846" s="19" t="s">
        <v>172</v>
      </c>
      <c r="F3846" s="19" t="s">
        <v>2239</v>
      </c>
      <c r="G3846" s="19" t="s">
        <v>1028</v>
      </c>
      <c r="H3846" s="19" t="s">
        <v>1020</v>
      </c>
      <c r="I3846" s="19" t="s">
        <v>1575</v>
      </c>
      <c r="J3846" s="20">
        <v>20</v>
      </c>
      <c r="K3846" t="s">
        <v>654</v>
      </c>
      <c r="L3846" t="s">
        <v>661</v>
      </c>
      <c r="M3846" t="s">
        <v>657</v>
      </c>
      <c r="N3846" t="s">
        <v>662</v>
      </c>
      <c r="O3846" t="s">
        <v>632</v>
      </c>
    </row>
    <row r="3847" spans="1:15" x14ac:dyDescent="0.35">
      <c r="A3847" s="77">
        <v>0.14794520547945206</v>
      </c>
      <c r="B3847" s="19">
        <v>100768</v>
      </c>
      <c r="C3847" s="19" t="s">
        <v>6138</v>
      </c>
      <c r="D3847" s="19" t="s">
        <v>171</v>
      </c>
      <c r="E3847" s="19" t="s">
        <v>172</v>
      </c>
      <c r="F3847" s="19" t="s">
        <v>2239</v>
      </c>
      <c r="G3847" s="19" t="s">
        <v>1028</v>
      </c>
      <c r="H3847" s="19" t="s">
        <v>1020</v>
      </c>
      <c r="I3847" s="19" t="s">
        <v>1575</v>
      </c>
      <c r="J3847" s="20">
        <v>21</v>
      </c>
      <c r="K3847" t="s">
        <v>654</v>
      </c>
      <c r="L3847" t="s">
        <v>661</v>
      </c>
      <c r="M3847" t="s">
        <v>657</v>
      </c>
      <c r="N3847" t="s">
        <v>662</v>
      </c>
      <c r="O3847" t="s">
        <v>632</v>
      </c>
    </row>
    <row r="3848" spans="1:15" x14ac:dyDescent="0.35">
      <c r="A3848" s="77">
        <v>0.14794520547945206</v>
      </c>
      <c r="B3848" s="19">
        <v>100769</v>
      </c>
      <c r="C3848" s="19" t="s">
        <v>6139</v>
      </c>
      <c r="D3848" s="19" t="s">
        <v>211</v>
      </c>
      <c r="E3848" s="19" t="s">
        <v>212</v>
      </c>
      <c r="F3848" s="19" t="s">
        <v>1049</v>
      </c>
      <c r="G3848" s="19" t="s">
        <v>3508</v>
      </c>
      <c r="H3848" s="19" t="s">
        <v>1020</v>
      </c>
      <c r="I3848" s="19" t="s">
        <v>1575</v>
      </c>
      <c r="J3848" s="20">
        <v>17</v>
      </c>
      <c r="K3848" t="s">
        <v>654</v>
      </c>
      <c r="L3848" t="s">
        <v>691</v>
      </c>
      <c r="M3848" t="s">
        <v>657</v>
      </c>
      <c r="N3848" t="s">
        <v>658</v>
      </c>
      <c r="O3848" t="s">
        <v>632</v>
      </c>
    </row>
    <row r="3849" spans="1:15" x14ac:dyDescent="0.35">
      <c r="A3849" s="77">
        <v>0.14794520547945206</v>
      </c>
      <c r="B3849" s="19">
        <v>100770</v>
      </c>
      <c r="C3849" s="19" t="s">
        <v>6140</v>
      </c>
      <c r="D3849" s="19" t="s">
        <v>379</v>
      </c>
      <c r="E3849" s="19" t="s">
        <v>380</v>
      </c>
      <c r="F3849" s="19" t="s">
        <v>381</v>
      </c>
      <c r="G3849" s="19" t="s">
        <v>1019</v>
      </c>
      <c r="H3849" s="19" t="s">
        <v>1020</v>
      </c>
      <c r="I3849" s="19" t="s">
        <v>1575</v>
      </c>
      <c r="J3849" s="20">
        <v>19</v>
      </c>
      <c r="K3849" t="s">
        <v>636</v>
      </c>
      <c r="L3849" t="s">
        <v>628</v>
      </c>
      <c r="M3849" t="s">
        <v>629</v>
      </c>
      <c r="N3849" t="s">
        <v>630</v>
      </c>
      <c r="O3849" t="s">
        <v>632</v>
      </c>
    </row>
    <row r="3850" spans="1:15" x14ac:dyDescent="0.35">
      <c r="A3850" s="77">
        <v>0.14794520547945206</v>
      </c>
      <c r="B3850" s="19">
        <v>100771</v>
      </c>
      <c r="C3850" s="19" t="s">
        <v>6141</v>
      </c>
      <c r="D3850" s="19" t="s">
        <v>353</v>
      </c>
      <c r="E3850" s="19" t="s">
        <v>354</v>
      </c>
      <c r="F3850" s="19" t="s">
        <v>850</v>
      </c>
      <c r="G3850" s="19" t="s">
        <v>1028</v>
      </c>
      <c r="H3850" s="19" t="s">
        <v>1020</v>
      </c>
      <c r="I3850" s="19" t="s">
        <v>1575</v>
      </c>
      <c r="J3850" s="20">
        <v>20</v>
      </c>
      <c r="K3850" t="s">
        <v>654</v>
      </c>
      <c r="L3850" t="s">
        <v>640</v>
      </c>
      <c r="M3850" t="s">
        <v>623</v>
      </c>
      <c r="N3850" t="s">
        <v>624</v>
      </c>
      <c r="O3850" t="s">
        <v>789</v>
      </c>
    </row>
    <row r="3851" spans="1:15" x14ac:dyDescent="0.35">
      <c r="A3851" s="77">
        <v>0.14520547945205478</v>
      </c>
      <c r="B3851" s="19">
        <v>100773</v>
      </c>
      <c r="C3851" s="19" t="s">
        <v>6142</v>
      </c>
      <c r="D3851" s="19" t="s">
        <v>419</v>
      </c>
      <c r="E3851" s="19" t="s">
        <v>419</v>
      </c>
      <c r="F3851" s="19" t="s">
        <v>695</v>
      </c>
      <c r="G3851" s="19" t="s">
        <v>1028</v>
      </c>
      <c r="H3851" s="19" t="s">
        <v>1020</v>
      </c>
      <c r="I3851" s="19" t="s">
        <v>1575</v>
      </c>
      <c r="J3851" s="20">
        <v>20</v>
      </c>
      <c r="K3851" t="s">
        <v>654</v>
      </c>
      <c r="L3851" t="s">
        <v>628</v>
      </c>
      <c r="M3851" t="s">
        <v>629</v>
      </c>
      <c r="N3851" t="s">
        <v>630</v>
      </c>
      <c r="O3851" t="s">
        <v>632</v>
      </c>
    </row>
    <row r="3852" spans="1:15" x14ac:dyDescent="0.35">
      <c r="A3852" s="77">
        <v>0.14520547945205478</v>
      </c>
      <c r="B3852" s="19">
        <v>100774</v>
      </c>
      <c r="C3852" s="19" t="s">
        <v>6143</v>
      </c>
      <c r="D3852" s="19" t="s">
        <v>13</v>
      </c>
      <c r="E3852" s="19" t="s">
        <v>13</v>
      </c>
      <c r="F3852" s="19" t="s">
        <v>1467</v>
      </c>
      <c r="G3852" s="19" t="s">
        <v>1008</v>
      </c>
      <c r="H3852" s="19" t="s">
        <v>1001</v>
      </c>
      <c r="I3852" s="19" t="s">
        <v>1575</v>
      </c>
      <c r="J3852" s="20">
        <v>33</v>
      </c>
      <c r="K3852" t="s">
        <v>631</v>
      </c>
      <c r="L3852" t="s">
        <v>628</v>
      </c>
      <c r="M3852" t="s">
        <v>629</v>
      </c>
      <c r="N3852" t="s">
        <v>630</v>
      </c>
      <c r="O3852" t="s">
        <v>639</v>
      </c>
    </row>
    <row r="3853" spans="1:15" x14ac:dyDescent="0.35">
      <c r="A3853" s="77">
        <v>0.14520547945205478</v>
      </c>
      <c r="B3853" s="19">
        <v>100777</v>
      </c>
      <c r="C3853" s="19" t="s">
        <v>6144</v>
      </c>
      <c r="D3853" s="19" t="s">
        <v>16</v>
      </c>
      <c r="E3853" s="19" t="s">
        <v>16</v>
      </c>
      <c r="F3853" s="19" t="s">
        <v>1211</v>
      </c>
      <c r="G3853" s="19" t="s">
        <v>1057</v>
      </c>
      <c r="H3853" s="19" t="s">
        <v>1001</v>
      </c>
      <c r="I3853" s="19" t="s">
        <v>1575</v>
      </c>
      <c r="J3853" s="20">
        <v>18</v>
      </c>
      <c r="K3853" t="s">
        <v>631</v>
      </c>
      <c r="L3853" t="s">
        <v>645</v>
      </c>
      <c r="M3853" t="s">
        <v>629</v>
      </c>
      <c r="N3853" t="s">
        <v>646</v>
      </c>
      <c r="O3853" t="s">
        <v>632</v>
      </c>
    </row>
    <row r="3854" spans="1:15" x14ac:dyDescent="0.35">
      <c r="A3854" s="77">
        <v>0.14520547945205478</v>
      </c>
      <c r="B3854" s="19">
        <v>100778</v>
      </c>
      <c r="C3854" s="19" t="s">
        <v>6145</v>
      </c>
      <c r="D3854" s="19" t="s">
        <v>430</v>
      </c>
      <c r="E3854" s="19" t="e">
        <v>#N/A</v>
      </c>
      <c r="F3854" s="19" t="s">
        <v>1105</v>
      </c>
      <c r="G3854" s="19" t="s">
        <v>1057</v>
      </c>
      <c r="H3854" s="19" t="s">
        <v>1001</v>
      </c>
      <c r="I3854" s="19" t="s">
        <v>1575</v>
      </c>
      <c r="J3854" s="20">
        <v>20</v>
      </c>
      <c r="K3854" t="s">
        <v>654</v>
      </c>
      <c r="L3854" t="s">
        <v>645</v>
      </c>
      <c r="M3854" t="s">
        <v>629</v>
      </c>
      <c r="N3854" t="s">
        <v>646</v>
      </c>
      <c r="O3854" t="s">
        <v>632</v>
      </c>
    </row>
    <row r="3855" spans="1:15" x14ac:dyDescent="0.35">
      <c r="A3855" s="77">
        <v>0.14520547945205478</v>
      </c>
      <c r="B3855" s="19">
        <v>100782</v>
      </c>
      <c r="C3855" s="19" t="s">
        <v>6146</v>
      </c>
      <c r="D3855" s="19" t="s">
        <v>149</v>
      </c>
      <c r="E3855" s="19" t="s">
        <v>150</v>
      </c>
      <c r="F3855" s="19" t="s">
        <v>1548</v>
      </c>
      <c r="G3855" s="19" t="s">
        <v>1028</v>
      </c>
      <c r="H3855" s="19" t="s">
        <v>1020</v>
      </c>
      <c r="I3855" s="19" t="s">
        <v>1575</v>
      </c>
      <c r="J3855" s="20">
        <v>20</v>
      </c>
      <c r="K3855" t="s">
        <v>654</v>
      </c>
      <c r="L3855" t="s">
        <v>648</v>
      </c>
      <c r="M3855" t="s">
        <v>623</v>
      </c>
      <c r="N3855" t="s">
        <v>624</v>
      </c>
      <c r="O3855" t="s">
        <v>725</v>
      </c>
    </row>
    <row r="3856" spans="1:15" x14ac:dyDescent="0.35">
      <c r="A3856" s="77">
        <v>0.14520547945205478</v>
      </c>
      <c r="B3856" s="19">
        <v>100783</v>
      </c>
      <c r="C3856" s="19" t="s">
        <v>6147</v>
      </c>
      <c r="D3856" s="19" t="s">
        <v>297</v>
      </c>
      <c r="E3856" s="19" t="s">
        <v>298</v>
      </c>
      <c r="F3856" s="19" t="s">
        <v>904</v>
      </c>
      <c r="G3856" s="19" t="s">
        <v>1084</v>
      </c>
      <c r="H3856" s="19" t="s">
        <v>1001</v>
      </c>
      <c r="I3856" s="19" t="s">
        <v>1599</v>
      </c>
      <c r="J3856" s="20">
        <v>21</v>
      </c>
      <c r="K3856" t="s">
        <v>654</v>
      </c>
      <c r="L3856" t="s">
        <v>762</v>
      </c>
      <c r="M3856" t="s">
        <v>629</v>
      </c>
      <c r="N3856" t="s">
        <v>646</v>
      </c>
      <c r="O3856" t="s">
        <v>823</v>
      </c>
    </row>
    <row r="3857" spans="1:15" x14ac:dyDescent="0.35">
      <c r="A3857" s="77">
        <v>0.14520547945205478</v>
      </c>
      <c r="B3857" s="19">
        <v>100784</v>
      </c>
      <c r="C3857" s="19" t="s">
        <v>6148</v>
      </c>
      <c r="D3857" s="19" t="s">
        <v>365</v>
      </c>
      <c r="E3857" s="19" t="s">
        <v>366</v>
      </c>
      <c r="F3857" s="19" t="s">
        <v>1117</v>
      </c>
      <c r="G3857" s="19" t="s">
        <v>1028</v>
      </c>
      <c r="H3857" s="19" t="s">
        <v>1020</v>
      </c>
      <c r="I3857" s="19" t="s">
        <v>1575</v>
      </c>
      <c r="J3857" s="20">
        <v>25</v>
      </c>
      <c r="K3857" t="s">
        <v>668</v>
      </c>
      <c r="L3857" t="s">
        <v>691</v>
      </c>
      <c r="M3857" t="s">
        <v>657</v>
      </c>
      <c r="N3857" t="s">
        <v>658</v>
      </c>
      <c r="O3857" t="s">
        <v>632</v>
      </c>
    </row>
    <row r="3858" spans="1:15" x14ac:dyDescent="0.35">
      <c r="A3858" s="77">
        <v>0.14520547945205478</v>
      </c>
      <c r="B3858" s="19">
        <v>100785</v>
      </c>
      <c r="C3858" s="19" t="s">
        <v>6149</v>
      </c>
      <c r="D3858" s="19" t="s">
        <v>297</v>
      </c>
      <c r="E3858" s="19" t="s">
        <v>298</v>
      </c>
      <c r="F3858" s="19" t="s">
        <v>904</v>
      </c>
      <c r="G3858" s="19" t="s">
        <v>1084</v>
      </c>
      <c r="H3858" s="19" t="s">
        <v>1001</v>
      </c>
      <c r="I3858" s="19" t="s">
        <v>1575</v>
      </c>
      <c r="J3858" s="20">
        <v>31</v>
      </c>
      <c r="K3858" t="s">
        <v>654</v>
      </c>
      <c r="L3858" t="s">
        <v>762</v>
      </c>
      <c r="M3858" t="s">
        <v>629</v>
      </c>
      <c r="N3858" t="s">
        <v>646</v>
      </c>
      <c r="O3858" t="s">
        <v>823</v>
      </c>
    </row>
    <row r="3859" spans="1:15" x14ac:dyDescent="0.35">
      <c r="A3859" s="77">
        <v>0.14520547945205478</v>
      </c>
      <c r="B3859" s="19">
        <v>100786</v>
      </c>
      <c r="C3859" s="19" t="s">
        <v>6150</v>
      </c>
      <c r="D3859" s="19" t="s">
        <v>349</v>
      </c>
      <c r="E3859" s="19" t="s">
        <v>350</v>
      </c>
      <c r="F3859" s="19" t="s">
        <v>912</v>
      </c>
      <c r="G3859" s="19" t="s">
        <v>1019</v>
      </c>
      <c r="H3859" s="19" t="s">
        <v>1020</v>
      </c>
      <c r="I3859" s="19" t="s">
        <v>1575</v>
      </c>
      <c r="J3859" s="20">
        <v>20</v>
      </c>
      <c r="K3859" t="s">
        <v>625</v>
      </c>
      <c r="L3859" t="s">
        <v>648</v>
      </c>
      <c r="M3859" t="s">
        <v>623</v>
      </c>
      <c r="N3859" t="s">
        <v>624</v>
      </c>
      <c r="O3859" t="s">
        <v>649</v>
      </c>
    </row>
    <row r="3860" spans="1:15" x14ac:dyDescent="0.35">
      <c r="A3860" s="77">
        <v>0.14520547945205478</v>
      </c>
      <c r="B3860" s="19">
        <v>100787</v>
      </c>
      <c r="C3860" s="19" t="s">
        <v>6151</v>
      </c>
      <c r="D3860" s="19" t="s">
        <v>173</v>
      </c>
      <c r="E3860" s="19" t="s">
        <v>174</v>
      </c>
      <c r="F3860" s="19" t="s">
        <v>901</v>
      </c>
      <c r="G3860" s="19" t="s">
        <v>1028</v>
      </c>
      <c r="H3860" s="19" t="s">
        <v>1020</v>
      </c>
      <c r="I3860" s="19" t="s">
        <v>1575</v>
      </c>
      <c r="J3860" s="20">
        <v>21</v>
      </c>
      <c r="K3860" t="s">
        <v>668</v>
      </c>
      <c r="L3860" t="s">
        <v>656</v>
      </c>
      <c r="M3860" t="s">
        <v>657</v>
      </c>
      <c r="N3860" t="s">
        <v>658</v>
      </c>
      <c r="O3860" t="s">
        <v>632</v>
      </c>
    </row>
    <row r="3861" spans="1:15" x14ac:dyDescent="0.35">
      <c r="A3861" s="77">
        <v>0.14520547945205478</v>
      </c>
      <c r="B3861" s="19">
        <v>100788</v>
      </c>
      <c r="C3861" s="19" t="s">
        <v>6152</v>
      </c>
      <c r="D3861" s="19" t="s">
        <v>409</v>
      </c>
      <c r="E3861" s="19" t="s">
        <v>410</v>
      </c>
      <c r="F3861" s="19" t="s">
        <v>874</v>
      </c>
      <c r="G3861" s="19" t="s">
        <v>1057</v>
      </c>
      <c r="H3861" s="19" t="s">
        <v>1001</v>
      </c>
      <c r="I3861" s="19" t="s">
        <v>1575</v>
      </c>
      <c r="J3861" s="20">
        <v>18</v>
      </c>
      <c r="K3861" t="s">
        <v>631</v>
      </c>
      <c r="L3861" t="s">
        <v>666</v>
      </c>
      <c r="M3861" t="s">
        <v>629</v>
      </c>
      <c r="N3861" t="s">
        <v>635</v>
      </c>
      <c r="O3861" t="s">
        <v>637</v>
      </c>
    </row>
    <row r="3862" spans="1:15" x14ac:dyDescent="0.35">
      <c r="A3862" s="77">
        <v>0.14520547945205478</v>
      </c>
      <c r="B3862" s="19">
        <v>100793</v>
      </c>
      <c r="C3862" s="19" t="s">
        <v>6153</v>
      </c>
      <c r="D3862" s="19" t="s">
        <v>387</v>
      </c>
      <c r="E3862" s="19" t="s">
        <v>388</v>
      </c>
      <c r="F3862" s="19" t="s">
        <v>1142</v>
      </c>
      <c r="G3862" s="19" t="s">
        <v>1028</v>
      </c>
      <c r="H3862" s="19" t="s">
        <v>1020</v>
      </c>
      <c r="I3862" s="19" t="s">
        <v>1575</v>
      </c>
      <c r="J3862" s="20">
        <v>24</v>
      </c>
      <c r="K3862" t="s">
        <v>642</v>
      </c>
      <c r="L3862" t="s">
        <v>634</v>
      </c>
      <c r="M3862" t="s">
        <v>629</v>
      </c>
      <c r="N3862" t="s">
        <v>630</v>
      </c>
      <c r="O3862" t="s">
        <v>734</v>
      </c>
    </row>
    <row r="3863" spans="1:15" x14ac:dyDescent="0.35">
      <c r="A3863" s="77">
        <v>0.14520547945205478</v>
      </c>
      <c r="B3863" s="19">
        <v>100796</v>
      </c>
      <c r="C3863" s="19" t="s">
        <v>6154</v>
      </c>
      <c r="D3863" s="19" t="s">
        <v>124</v>
      </c>
      <c r="E3863" s="19" t="s">
        <v>125</v>
      </c>
      <c r="F3863" s="19" t="s">
        <v>1398</v>
      </c>
      <c r="G3863" s="19" t="s">
        <v>1019</v>
      </c>
      <c r="H3863" s="19" t="s">
        <v>1020</v>
      </c>
      <c r="I3863" s="19" t="s">
        <v>1575</v>
      </c>
      <c r="J3863" s="20">
        <v>20</v>
      </c>
      <c r="K3863" t="s">
        <v>654</v>
      </c>
      <c r="L3863" t="s">
        <v>661</v>
      </c>
      <c r="M3863" t="s">
        <v>657</v>
      </c>
      <c r="N3863" t="s">
        <v>662</v>
      </c>
      <c r="O3863" t="s">
        <v>632</v>
      </c>
    </row>
    <row r="3864" spans="1:15" x14ac:dyDescent="0.35">
      <c r="A3864" s="77">
        <v>0.14246575342465753</v>
      </c>
      <c r="B3864" s="19">
        <v>100800</v>
      </c>
      <c r="C3864" s="19" t="s">
        <v>6155</v>
      </c>
      <c r="D3864" s="19" t="s">
        <v>411</v>
      </c>
      <c r="E3864" s="19" t="s">
        <v>412</v>
      </c>
      <c r="F3864" s="19" t="s">
        <v>1225</v>
      </c>
      <c r="G3864" s="19" t="s">
        <v>1028</v>
      </c>
      <c r="H3864" s="19" t="s">
        <v>1020</v>
      </c>
      <c r="I3864" s="19" t="s">
        <v>1575</v>
      </c>
      <c r="J3864" s="20">
        <v>18</v>
      </c>
      <c r="K3864" t="s">
        <v>636</v>
      </c>
      <c r="L3864" t="s">
        <v>691</v>
      </c>
      <c r="M3864" t="s">
        <v>657</v>
      </c>
      <c r="N3864" t="s">
        <v>658</v>
      </c>
      <c r="O3864" t="s">
        <v>632</v>
      </c>
    </row>
    <row r="3865" spans="1:15" x14ac:dyDescent="0.35">
      <c r="A3865" s="77">
        <v>0.14246575342465753</v>
      </c>
      <c r="B3865" s="19">
        <v>100801</v>
      </c>
      <c r="C3865" s="19" t="s">
        <v>6156</v>
      </c>
      <c r="D3865" s="19" t="s">
        <v>38</v>
      </c>
      <c r="E3865" s="19" t="s">
        <v>38</v>
      </c>
      <c r="F3865" s="19" t="s">
        <v>711</v>
      </c>
      <c r="G3865" s="19" t="s">
        <v>1019</v>
      </c>
      <c r="H3865" s="19" t="s">
        <v>1020</v>
      </c>
      <c r="I3865" s="19" t="s">
        <v>1575</v>
      </c>
      <c r="J3865" s="20">
        <v>20</v>
      </c>
      <c r="K3865" t="s">
        <v>668</v>
      </c>
      <c r="L3865" t="s">
        <v>691</v>
      </c>
      <c r="M3865" t="s">
        <v>657</v>
      </c>
      <c r="N3865" t="s">
        <v>658</v>
      </c>
      <c r="O3865" t="s">
        <v>632</v>
      </c>
    </row>
    <row r="3866" spans="1:15" x14ac:dyDescent="0.35">
      <c r="A3866" s="77">
        <v>0.14246575342465753</v>
      </c>
      <c r="B3866" s="19">
        <v>100807</v>
      </c>
      <c r="C3866" s="19" t="s">
        <v>6157</v>
      </c>
      <c r="D3866" s="19" t="s">
        <v>30</v>
      </c>
      <c r="E3866" s="19" t="s">
        <v>30</v>
      </c>
      <c r="F3866" s="19" t="s">
        <v>672</v>
      </c>
      <c r="G3866" s="19" t="s">
        <v>1008</v>
      </c>
      <c r="H3866" s="19" t="s">
        <v>1001</v>
      </c>
      <c r="I3866" s="19" t="s">
        <v>1575</v>
      </c>
      <c r="J3866" s="20">
        <v>26</v>
      </c>
      <c r="K3866" t="s">
        <v>636</v>
      </c>
      <c r="L3866" t="s">
        <v>673</v>
      </c>
      <c r="M3866" t="s">
        <v>623</v>
      </c>
      <c r="N3866" t="s">
        <v>641</v>
      </c>
      <c r="O3866" t="s">
        <v>674</v>
      </c>
    </row>
    <row r="3867" spans="1:15" x14ac:dyDescent="0.35">
      <c r="A3867" s="77">
        <v>0.14246575342465753</v>
      </c>
      <c r="B3867" s="19">
        <v>100808</v>
      </c>
      <c r="C3867" s="19" t="s">
        <v>6158</v>
      </c>
      <c r="D3867" s="19" t="s">
        <v>243</v>
      </c>
      <c r="E3867" s="19" t="s">
        <v>244</v>
      </c>
      <c r="F3867" s="19" t="s">
        <v>1318</v>
      </c>
      <c r="G3867" s="19" t="s">
        <v>1084</v>
      </c>
      <c r="H3867" s="19" t="s">
        <v>1001</v>
      </c>
      <c r="I3867" s="19" t="s">
        <v>1599</v>
      </c>
      <c r="J3867" s="20">
        <v>28</v>
      </c>
      <c r="K3867" t="s">
        <v>631</v>
      </c>
      <c r="L3867" t="s">
        <v>707</v>
      </c>
      <c r="M3867" t="s">
        <v>629</v>
      </c>
      <c r="N3867" t="s">
        <v>635</v>
      </c>
      <c r="O3867" t="s">
        <v>710</v>
      </c>
    </row>
    <row r="3868" spans="1:15" x14ac:dyDescent="0.35">
      <c r="A3868" s="77">
        <v>0.14246575342465753</v>
      </c>
      <c r="B3868" s="19">
        <v>100811</v>
      </c>
      <c r="C3868" s="19" t="s">
        <v>6159</v>
      </c>
      <c r="D3868" s="19" t="s">
        <v>318</v>
      </c>
      <c r="E3868" s="19" t="s">
        <v>319</v>
      </c>
      <c r="F3868" s="19" t="s">
        <v>1266</v>
      </c>
      <c r="G3868" s="19" t="s">
        <v>1008</v>
      </c>
      <c r="H3868" s="19" t="s">
        <v>1001</v>
      </c>
      <c r="I3868" s="19" t="s">
        <v>1575</v>
      </c>
      <c r="J3868" s="20">
        <v>18</v>
      </c>
      <c r="K3868" t="s">
        <v>625</v>
      </c>
      <c r="L3868" t="s">
        <v>678</v>
      </c>
      <c r="M3868" t="s">
        <v>623</v>
      </c>
      <c r="N3868" t="s">
        <v>624</v>
      </c>
      <c r="O3868" t="s">
        <v>679</v>
      </c>
    </row>
    <row r="3869" spans="1:15" x14ac:dyDescent="0.35">
      <c r="A3869" s="77">
        <v>0.14246575342465753</v>
      </c>
      <c r="B3869" s="19">
        <v>100815</v>
      </c>
      <c r="C3869" s="19" t="s">
        <v>6160</v>
      </c>
      <c r="D3869" s="19" t="s">
        <v>73</v>
      </c>
      <c r="E3869" s="19" t="s">
        <v>74</v>
      </c>
      <c r="F3869" s="19" t="s">
        <v>1178</v>
      </c>
      <c r="G3869" s="19" t="s">
        <v>3508</v>
      </c>
      <c r="H3869" s="19" t="s">
        <v>1020</v>
      </c>
      <c r="I3869" s="19" t="s">
        <v>1575</v>
      </c>
      <c r="J3869" s="20">
        <v>15</v>
      </c>
      <c r="K3869" t="s">
        <v>654</v>
      </c>
      <c r="L3869" t="s">
        <v>648</v>
      </c>
      <c r="M3869" t="s">
        <v>623</v>
      </c>
      <c r="N3869" t="s">
        <v>624</v>
      </c>
      <c r="O3869" t="s">
        <v>725</v>
      </c>
    </row>
    <row r="3870" spans="1:15" x14ac:dyDescent="0.35">
      <c r="A3870" s="77">
        <v>0.14246575342465753</v>
      </c>
      <c r="B3870" s="19">
        <v>100816</v>
      </c>
      <c r="C3870" s="19" t="s">
        <v>6161</v>
      </c>
      <c r="D3870" s="19" t="s">
        <v>73</v>
      </c>
      <c r="E3870" s="19" t="s">
        <v>74</v>
      </c>
      <c r="F3870" s="19" t="s">
        <v>1178</v>
      </c>
      <c r="G3870" s="19" t="s">
        <v>3508</v>
      </c>
      <c r="H3870" s="19" t="s">
        <v>1020</v>
      </c>
      <c r="I3870" s="19" t="s">
        <v>1575</v>
      </c>
      <c r="J3870" s="20">
        <v>15</v>
      </c>
      <c r="K3870" t="s">
        <v>654</v>
      </c>
      <c r="L3870" t="s">
        <v>648</v>
      </c>
      <c r="M3870" t="s">
        <v>623</v>
      </c>
      <c r="N3870" t="s">
        <v>624</v>
      </c>
      <c r="O3870" t="s">
        <v>725</v>
      </c>
    </row>
    <row r="3871" spans="1:15" x14ac:dyDescent="0.35">
      <c r="A3871" s="77">
        <v>0.13972602739726028</v>
      </c>
      <c r="B3871" s="19">
        <v>100819</v>
      </c>
      <c r="C3871" s="19" t="s">
        <v>6162</v>
      </c>
      <c r="D3871" s="19" t="s">
        <v>295</v>
      </c>
      <c r="E3871" s="19" t="s">
        <v>296</v>
      </c>
      <c r="F3871" s="19" t="s">
        <v>1095</v>
      </c>
      <c r="G3871" s="19" t="s">
        <v>1028</v>
      </c>
      <c r="H3871" s="19" t="s">
        <v>1020</v>
      </c>
      <c r="I3871" s="19" t="s">
        <v>1575</v>
      </c>
      <c r="J3871" s="20">
        <v>21</v>
      </c>
      <c r="K3871" t="s">
        <v>654</v>
      </c>
      <c r="L3871" t="s">
        <v>651</v>
      </c>
      <c r="M3871" t="s">
        <v>629</v>
      </c>
      <c r="N3871" t="s">
        <v>630</v>
      </c>
      <c r="O3871" t="s">
        <v>705</v>
      </c>
    </row>
    <row r="3872" spans="1:15" x14ac:dyDescent="0.35">
      <c r="A3872" s="77">
        <v>0.13972602739726028</v>
      </c>
      <c r="B3872" s="19">
        <v>100820</v>
      </c>
      <c r="C3872" s="19" t="s">
        <v>6163</v>
      </c>
      <c r="D3872" s="19" t="s">
        <v>18</v>
      </c>
      <c r="E3872" s="19" t="s">
        <v>18</v>
      </c>
      <c r="F3872" s="19" t="s">
        <v>650</v>
      </c>
      <c r="G3872" s="19" t="s">
        <v>1028</v>
      </c>
      <c r="H3872" s="19" t="s">
        <v>1020</v>
      </c>
      <c r="I3872" s="19" t="s">
        <v>1575</v>
      </c>
      <c r="J3872" s="20">
        <v>18</v>
      </c>
      <c r="K3872" t="s">
        <v>636</v>
      </c>
      <c r="L3872" t="s">
        <v>651</v>
      </c>
      <c r="M3872" t="s">
        <v>629</v>
      </c>
      <c r="N3872" t="s">
        <v>630</v>
      </c>
      <c r="O3872" t="s">
        <v>652</v>
      </c>
    </row>
    <row r="3873" spans="1:15" x14ac:dyDescent="0.35">
      <c r="A3873" s="77">
        <v>0.13972602739726028</v>
      </c>
      <c r="B3873" s="19">
        <v>100822</v>
      </c>
      <c r="C3873" s="19" t="s">
        <v>6164</v>
      </c>
      <c r="D3873" s="19" t="s">
        <v>280</v>
      </c>
      <c r="E3873" s="19" t="s">
        <v>281</v>
      </c>
      <c r="F3873" s="19" t="s">
        <v>1223</v>
      </c>
      <c r="G3873" s="19" t="s">
        <v>1028</v>
      </c>
      <c r="H3873" s="19" t="s">
        <v>1020</v>
      </c>
      <c r="I3873" s="19" t="s">
        <v>1575</v>
      </c>
      <c r="J3873" s="20">
        <v>20</v>
      </c>
      <c r="K3873" t="s">
        <v>631</v>
      </c>
      <c r="L3873" t="s">
        <v>691</v>
      </c>
      <c r="M3873" t="s">
        <v>657</v>
      </c>
      <c r="N3873" t="s">
        <v>658</v>
      </c>
      <c r="O3873" t="s">
        <v>632</v>
      </c>
    </row>
    <row r="3874" spans="1:15" x14ac:dyDescent="0.35">
      <c r="A3874" s="77">
        <v>0.13972602739726028</v>
      </c>
      <c r="B3874" s="19">
        <v>100825</v>
      </c>
      <c r="C3874" s="19" t="s">
        <v>6165</v>
      </c>
      <c r="D3874" s="19" t="s">
        <v>419</v>
      </c>
      <c r="E3874" s="19" t="s">
        <v>419</v>
      </c>
      <c r="F3874" s="19" t="s">
        <v>695</v>
      </c>
      <c r="G3874" s="19" t="s">
        <v>1028</v>
      </c>
      <c r="H3874" s="19" t="s">
        <v>1020</v>
      </c>
      <c r="I3874" s="19" t="s">
        <v>1575</v>
      </c>
      <c r="J3874" s="20">
        <v>19</v>
      </c>
      <c r="K3874" t="s">
        <v>654</v>
      </c>
      <c r="L3874" t="s">
        <v>628</v>
      </c>
      <c r="M3874" t="s">
        <v>629</v>
      </c>
      <c r="N3874" t="s">
        <v>630</v>
      </c>
      <c r="O3874" t="s">
        <v>632</v>
      </c>
    </row>
    <row r="3875" spans="1:15" x14ac:dyDescent="0.35">
      <c r="A3875" s="77">
        <v>0.13972602739726028</v>
      </c>
      <c r="B3875" s="19">
        <v>100827</v>
      </c>
      <c r="C3875" s="19" t="s">
        <v>6166</v>
      </c>
      <c r="D3875" s="19" t="s">
        <v>181</v>
      </c>
      <c r="E3875" s="19" t="s">
        <v>182</v>
      </c>
      <c r="F3875" s="19" t="s">
        <v>1374</v>
      </c>
      <c r="G3875" s="19" t="s">
        <v>1019</v>
      </c>
      <c r="H3875" s="19" t="s">
        <v>1020</v>
      </c>
      <c r="I3875" s="19" t="s">
        <v>1575</v>
      </c>
      <c r="J3875" s="20">
        <v>21</v>
      </c>
      <c r="K3875" t="s">
        <v>625</v>
      </c>
      <c r="L3875" t="s">
        <v>678</v>
      </c>
      <c r="M3875" t="s">
        <v>623</v>
      </c>
      <c r="N3875" t="s">
        <v>624</v>
      </c>
      <c r="O3875" t="s">
        <v>679</v>
      </c>
    </row>
    <row r="3876" spans="1:15" x14ac:dyDescent="0.35">
      <c r="A3876" s="77">
        <v>0.13972602739726028</v>
      </c>
      <c r="B3876" s="19">
        <v>100828</v>
      </c>
      <c r="C3876" s="19" t="s">
        <v>6167</v>
      </c>
      <c r="D3876" s="19" t="s">
        <v>23</v>
      </c>
      <c r="E3876" s="19" t="s">
        <v>23</v>
      </c>
      <c r="F3876" s="19" t="s">
        <v>660</v>
      </c>
      <c r="G3876" s="19" t="s">
        <v>1028</v>
      </c>
      <c r="H3876" s="19" t="s">
        <v>1020</v>
      </c>
      <c r="I3876" s="19" t="s">
        <v>1575</v>
      </c>
      <c r="J3876" s="20">
        <v>27</v>
      </c>
      <c r="K3876" t="s">
        <v>631</v>
      </c>
      <c r="L3876" t="s">
        <v>661</v>
      </c>
      <c r="M3876" t="s">
        <v>657</v>
      </c>
      <c r="N3876" t="s">
        <v>662</v>
      </c>
      <c r="O3876" t="s">
        <v>632</v>
      </c>
    </row>
    <row r="3877" spans="1:15" x14ac:dyDescent="0.35">
      <c r="A3877" s="77">
        <v>0.13972602739726028</v>
      </c>
      <c r="B3877" s="19">
        <v>100830</v>
      </c>
      <c r="C3877" s="19" t="s">
        <v>6168</v>
      </c>
      <c r="D3877" s="19" t="s">
        <v>335</v>
      </c>
      <c r="E3877" s="19" t="s">
        <v>336</v>
      </c>
      <c r="F3877" s="19" t="s">
        <v>841</v>
      </c>
      <c r="G3877" s="19" t="s">
        <v>1028</v>
      </c>
      <c r="H3877" s="19" t="s">
        <v>1020</v>
      </c>
      <c r="I3877" s="19" t="s">
        <v>1575</v>
      </c>
      <c r="J3877" s="20">
        <v>22</v>
      </c>
      <c r="K3877" t="s">
        <v>636</v>
      </c>
      <c r="L3877" t="s">
        <v>622</v>
      </c>
      <c r="M3877" t="s">
        <v>623</v>
      </c>
      <c r="N3877" t="s">
        <v>624</v>
      </c>
      <c r="O3877" t="s">
        <v>649</v>
      </c>
    </row>
    <row r="3878" spans="1:15" x14ac:dyDescent="0.35">
      <c r="A3878" s="77">
        <v>0.13972602739726028</v>
      </c>
      <c r="B3878" s="19">
        <v>100831</v>
      </c>
      <c r="C3878" s="19" t="s">
        <v>6169</v>
      </c>
      <c r="D3878" s="19" t="s">
        <v>330</v>
      </c>
      <c r="E3878" s="19" t="s">
        <v>331</v>
      </c>
      <c r="F3878" s="19" t="s">
        <v>332</v>
      </c>
      <c r="G3878" s="19" t="s">
        <v>1028</v>
      </c>
      <c r="H3878" s="19" t="s">
        <v>1020</v>
      </c>
      <c r="I3878" s="19" t="s">
        <v>1575</v>
      </c>
      <c r="J3878" s="20">
        <v>22</v>
      </c>
      <c r="K3878" t="s">
        <v>636</v>
      </c>
      <c r="L3878" t="s">
        <v>762</v>
      </c>
      <c r="M3878" t="s">
        <v>629</v>
      </c>
      <c r="N3878" t="s">
        <v>646</v>
      </c>
      <c r="O3878" t="s">
        <v>839</v>
      </c>
    </row>
    <row r="3879" spans="1:15" x14ac:dyDescent="0.35">
      <c r="A3879" s="77">
        <v>0.13698630136986301</v>
      </c>
      <c r="B3879" s="19">
        <v>100834</v>
      </c>
      <c r="C3879" s="19" t="s">
        <v>6170</v>
      </c>
      <c r="D3879" s="19" t="s">
        <v>175</v>
      </c>
      <c r="E3879" s="19" t="s">
        <v>176</v>
      </c>
      <c r="F3879" s="19" t="s">
        <v>1538</v>
      </c>
      <c r="G3879" s="19" t="s">
        <v>1028</v>
      </c>
      <c r="H3879" s="19" t="s">
        <v>1020</v>
      </c>
      <c r="I3879" s="19" t="s">
        <v>1575</v>
      </c>
      <c r="J3879" s="20">
        <v>24</v>
      </c>
      <c r="K3879" t="s">
        <v>668</v>
      </c>
      <c r="L3879" t="s">
        <v>707</v>
      </c>
      <c r="M3879" t="s">
        <v>629</v>
      </c>
      <c r="N3879" t="s">
        <v>635</v>
      </c>
      <c r="O3879" t="s">
        <v>710</v>
      </c>
    </row>
    <row r="3880" spans="1:15" x14ac:dyDescent="0.35">
      <c r="A3880" s="77">
        <v>0.13698630136986301</v>
      </c>
      <c r="B3880" s="19">
        <v>100835</v>
      </c>
      <c r="C3880" s="19" t="s">
        <v>6171</v>
      </c>
      <c r="D3880" s="19" t="s">
        <v>422</v>
      </c>
      <c r="E3880" s="19" t="s">
        <v>422</v>
      </c>
      <c r="F3880" s="19" t="s">
        <v>423</v>
      </c>
      <c r="G3880" s="19" t="s">
        <v>1008</v>
      </c>
      <c r="H3880" s="19" t="s">
        <v>1001</v>
      </c>
      <c r="I3880" s="19" t="s">
        <v>1599</v>
      </c>
      <c r="J3880" s="20">
        <v>26</v>
      </c>
      <c r="K3880" t="s">
        <v>654</v>
      </c>
      <c r="L3880" t="s">
        <v>673</v>
      </c>
      <c r="M3880" t="s">
        <v>623</v>
      </c>
      <c r="N3880" t="s">
        <v>641</v>
      </c>
      <c r="O3880" t="s">
        <v>697</v>
      </c>
    </row>
    <row r="3881" spans="1:15" x14ac:dyDescent="0.35">
      <c r="A3881" s="77">
        <v>0.13698630136986301</v>
      </c>
      <c r="B3881" s="19">
        <v>100836</v>
      </c>
      <c r="C3881" s="19" t="s">
        <v>6172</v>
      </c>
      <c r="D3881" s="19" t="s">
        <v>422</v>
      </c>
      <c r="E3881" s="19" t="s">
        <v>422</v>
      </c>
      <c r="F3881" s="19" t="s">
        <v>423</v>
      </c>
      <c r="G3881" s="19" t="s">
        <v>1057</v>
      </c>
      <c r="H3881" s="19" t="s">
        <v>1001</v>
      </c>
      <c r="I3881" s="19" t="s">
        <v>1575</v>
      </c>
      <c r="J3881" s="20">
        <v>31</v>
      </c>
      <c r="K3881" t="s">
        <v>654</v>
      </c>
      <c r="L3881" t="s">
        <v>673</v>
      </c>
      <c r="M3881" t="s">
        <v>623</v>
      </c>
      <c r="N3881" t="s">
        <v>641</v>
      </c>
      <c r="O3881" t="s">
        <v>697</v>
      </c>
    </row>
    <row r="3882" spans="1:15" x14ac:dyDescent="0.35">
      <c r="A3882" s="77">
        <v>0.13698630136986301</v>
      </c>
      <c r="B3882" s="19">
        <v>100838</v>
      </c>
      <c r="C3882" s="19" t="s">
        <v>6173</v>
      </c>
      <c r="D3882" s="19" t="s">
        <v>280</v>
      </c>
      <c r="E3882" s="19" t="s">
        <v>281</v>
      </c>
      <c r="F3882" s="19" t="s">
        <v>1223</v>
      </c>
      <c r="G3882" s="19" t="s">
        <v>1028</v>
      </c>
      <c r="H3882" s="19" t="s">
        <v>1020</v>
      </c>
      <c r="I3882" s="19" t="s">
        <v>1575</v>
      </c>
      <c r="J3882" s="20">
        <v>21</v>
      </c>
      <c r="K3882" t="s">
        <v>631</v>
      </c>
      <c r="L3882" t="s">
        <v>691</v>
      </c>
      <c r="M3882" t="s">
        <v>657</v>
      </c>
      <c r="N3882" t="s">
        <v>658</v>
      </c>
      <c r="O3882" t="s">
        <v>632</v>
      </c>
    </row>
    <row r="3883" spans="1:15" x14ac:dyDescent="0.35">
      <c r="A3883" s="77">
        <v>0.13698630136986301</v>
      </c>
      <c r="B3883" s="19">
        <v>100839</v>
      </c>
      <c r="C3883" s="19" t="s">
        <v>6174</v>
      </c>
      <c r="D3883" s="19" t="s">
        <v>379</v>
      </c>
      <c r="E3883" s="19" t="s">
        <v>380</v>
      </c>
      <c r="F3883" s="19" t="s">
        <v>381</v>
      </c>
      <c r="G3883" s="19" t="s">
        <v>1019</v>
      </c>
      <c r="H3883" s="19" t="s">
        <v>1020</v>
      </c>
      <c r="I3883" s="19" t="s">
        <v>1575</v>
      </c>
      <c r="J3883" s="20">
        <v>19</v>
      </c>
      <c r="K3883" t="s">
        <v>636</v>
      </c>
      <c r="L3883" t="s">
        <v>628</v>
      </c>
      <c r="M3883" t="s">
        <v>629</v>
      </c>
      <c r="N3883" t="s">
        <v>630</v>
      </c>
      <c r="O3883" t="s">
        <v>632</v>
      </c>
    </row>
    <row r="3884" spans="1:15" x14ac:dyDescent="0.35">
      <c r="A3884" s="77">
        <v>0.13698630136986301</v>
      </c>
      <c r="B3884" s="19">
        <v>100842</v>
      </c>
      <c r="C3884" s="19" t="s">
        <v>6175</v>
      </c>
      <c r="D3884" s="19" t="s">
        <v>201</v>
      </c>
      <c r="E3884" s="19" t="s">
        <v>202</v>
      </c>
      <c r="F3884" s="19" t="s">
        <v>1061</v>
      </c>
      <c r="G3884" s="19" t="s">
        <v>1028</v>
      </c>
      <c r="H3884" s="19" t="s">
        <v>1020</v>
      </c>
      <c r="I3884" s="19" t="s">
        <v>1575</v>
      </c>
      <c r="J3884" s="20">
        <v>20</v>
      </c>
      <c r="K3884" t="s">
        <v>631</v>
      </c>
      <c r="L3884" t="s">
        <v>628</v>
      </c>
      <c r="M3884" t="s">
        <v>629</v>
      </c>
      <c r="N3884" t="s">
        <v>630</v>
      </c>
      <c r="O3884" t="s">
        <v>784</v>
      </c>
    </row>
    <row r="3885" spans="1:15" x14ac:dyDescent="0.35">
      <c r="A3885" s="77">
        <v>0.13698630136986301</v>
      </c>
      <c r="B3885" s="19">
        <v>100843</v>
      </c>
      <c r="C3885" s="19" t="s">
        <v>6176</v>
      </c>
      <c r="D3885" s="19" t="s">
        <v>173</v>
      </c>
      <c r="E3885" s="19" t="s">
        <v>174</v>
      </c>
      <c r="F3885" s="19" t="s">
        <v>901</v>
      </c>
      <c r="G3885" s="19" t="s">
        <v>1028</v>
      </c>
      <c r="H3885" s="19" t="s">
        <v>1020</v>
      </c>
      <c r="I3885" s="19" t="s">
        <v>1575</v>
      </c>
      <c r="J3885" s="20">
        <v>18</v>
      </c>
      <c r="K3885" t="s">
        <v>668</v>
      </c>
      <c r="L3885" t="s">
        <v>656</v>
      </c>
      <c r="M3885" t="s">
        <v>657</v>
      </c>
      <c r="N3885" t="s">
        <v>658</v>
      </c>
      <c r="O3885" t="s">
        <v>632</v>
      </c>
    </row>
    <row r="3886" spans="1:15" x14ac:dyDescent="0.35">
      <c r="A3886" s="77">
        <v>0.13698630136986301</v>
      </c>
      <c r="B3886" s="19">
        <v>100844</v>
      </c>
      <c r="C3886" s="19" t="s">
        <v>6177</v>
      </c>
      <c r="D3886" s="19" t="s">
        <v>17</v>
      </c>
      <c r="E3886" s="19" t="s">
        <v>17</v>
      </c>
      <c r="F3886" s="19" t="s">
        <v>906</v>
      </c>
      <c r="G3886" s="19" t="s">
        <v>1028</v>
      </c>
      <c r="H3886" s="19" t="s">
        <v>1020</v>
      </c>
      <c r="I3886" s="19" t="s">
        <v>1575</v>
      </c>
      <c r="J3886" s="20">
        <v>21</v>
      </c>
      <c r="K3886" t="s">
        <v>636</v>
      </c>
      <c r="L3886" t="s">
        <v>648</v>
      </c>
      <c r="M3886" t="s">
        <v>623</v>
      </c>
      <c r="N3886" t="s">
        <v>624</v>
      </c>
      <c r="O3886" t="s">
        <v>649</v>
      </c>
    </row>
    <row r="3887" spans="1:15" x14ac:dyDescent="0.35">
      <c r="A3887" s="77">
        <v>0.13698630136986301</v>
      </c>
      <c r="B3887" s="19">
        <v>100845</v>
      </c>
      <c r="C3887" s="19" t="s">
        <v>6178</v>
      </c>
      <c r="D3887" s="19" t="s">
        <v>330</v>
      </c>
      <c r="E3887" s="19" t="s">
        <v>331</v>
      </c>
      <c r="F3887" s="19" t="s">
        <v>332</v>
      </c>
      <c r="G3887" s="19" t="s">
        <v>1028</v>
      </c>
      <c r="H3887" s="19" t="s">
        <v>1020</v>
      </c>
      <c r="I3887" s="19" t="s">
        <v>1575</v>
      </c>
      <c r="J3887" s="20">
        <v>21</v>
      </c>
      <c r="K3887" t="s">
        <v>636</v>
      </c>
      <c r="L3887" t="s">
        <v>762</v>
      </c>
      <c r="M3887" t="s">
        <v>629</v>
      </c>
      <c r="N3887" t="s">
        <v>646</v>
      </c>
      <c r="O3887" t="s">
        <v>839</v>
      </c>
    </row>
    <row r="3888" spans="1:15" x14ac:dyDescent="0.35">
      <c r="A3888" s="77">
        <v>0.13698630136986301</v>
      </c>
      <c r="B3888" s="19">
        <v>100846</v>
      </c>
      <c r="C3888" s="19" t="s">
        <v>6179</v>
      </c>
      <c r="D3888" s="19" t="s">
        <v>24</v>
      </c>
      <c r="E3888" s="19" t="s">
        <v>24</v>
      </c>
      <c r="F3888" s="19" t="s">
        <v>2097</v>
      </c>
      <c r="G3888" s="19" t="s">
        <v>1028</v>
      </c>
      <c r="H3888" s="19" t="s">
        <v>1020</v>
      </c>
      <c r="I3888" s="19" t="s">
        <v>1575</v>
      </c>
      <c r="J3888" s="20">
        <v>23</v>
      </c>
      <c r="K3888" t="s">
        <v>664</v>
      </c>
      <c r="L3888" t="s">
        <v>663</v>
      </c>
      <c r="M3888" t="s">
        <v>629</v>
      </c>
      <c r="N3888" t="s">
        <v>646</v>
      </c>
      <c r="O3888" t="s">
        <v>639</v>
      </c>
    </row>
    <row r="3889" spans="1:15" x14ac:dyDescent="0.35">
      <c r="A3889" s="77">
        <v>0.13698630136986301</v>
      </c>
      <c r="B3889" s="19">
        <v>100847</v>
      </c>
      <c r="C3889" s="19" t="s">
        <v>6180</v>
      </c>
      <c r="D3889" s="19" t="s">
        <v>365</v>
      </c>
      <c r="E3889" s="19" t="s">
        <v>366</v>
      </c>
      <c r="F3889" s="19" t="s">
        <v>1117</v>
      </c>
      <c r="G3889" s="19" t="s">
        <v>1028</v>
      </c>
      <c r="H3889" s="19" t="s">
        <v>1020</v>
      </c>
      <c r="I3889" s="19" t="s">
        <v>1599</v>
      </c>
      <c r="J3889" s="20">
        <v>19</v>
      </c>
      <c r="K3889" t="s">
        <v>668</v>
      </c>
      <c r="L3889" t="s">
        <v>691</v>
      </c>
      <c r="M3889" t="s">
        <v>657</v>
      </c>
      <c r="N3889" t="s">
        <v>658</v>
      </c>
      <c r="O3889" t="s">
        <v>632</v>
      </c>
    </row>
    <row r="3890" spans="1:15" x14ac:dyDescent="0.35">
      <c r="A3890" s="77">
        <v>0.13698630136986301</v>
      </c>
      <c r="B3890" s="19">
        <v>100851</v>
      </c>
      <c r="C3890" s="19" t="s">
        <v>6181</v>
      </c>
      <c r="D3890" s="19" t="s">
        <v>181</v>
      </c>
      <c r="E3890" s="19" t="s">
        <v>182</v>
      </c>
      <c r="F3890" s="19" t="s">
        <v>1374</v>
      </c>
      <c r="G3890" s="19" t="s">
        <v>1028</v>
      </c>
      <c r="H3890" s="19" t="s">
        <v>1020</v>
      </c>
      <c r="I3890" s="19" t="s">
        <v>1575</v>
      </c>
      <c r="J3890" s="20">
        <v>19</v>
      </c>
      <c r="K3890" t="s">
        <v>625</v>
      </c>
      <c r="L3890" t="s">
        <v>678</v>
      </c>
      <c r="M3890" t="s">
        <v>623</v>
      </c>
      <c r="N3890" t="s">
        <v>624</v>
      </c>
      <c r="O3890" t="s">
        <v>679</v>
      </c>
    </row>
    <row r="3891" spans="1:15" x14ac:dyDescent="0.35">
      <c r="A3891" s="77">
        <v>0.13698630136986301</v>
      </c>
      <c r="B3891" s="19">
        <v>100855</v>
      </c>
      <c r="C3891" s="19" t="s">
        <v>6182</v>
      </c>
      <c r="D3891" s="19" t="s">
        <v>377</v>
      </c>
      <c r="E3891" s="19" t="s">
        <v>378</v>
      </c>
      <c r="F3891" s="19" t="s">
        <v>862</v>
      </c>
      <c r="G3891" s="19" t="s">
        <v>1028</v>
      </c>
      <c r="H3891" s="19" t="s">
        <v>1020</v>
      </c>
      <c r="I3891" s="19" t="s">
        <v>1575</v>
      </c>
      <c r="J3891" s="20">
        <v>21</v>
      </c>
      <c r="K3891" t="s">
        <v>631</v>
      </c>
      <c r="L3891" t="s">
        <v>661</v>
      </c>
      <c r="M3891" t="s">
        <v>657</v>
      </c>
      <c r="N3891" t="s">
        <v>662</v>
      </c>
      <c r="O3891" t="s">
        <v>632</v>
      </c>
    </row>
    <row r="3892" spans="1:15" x14ac:dyDescent="0.35">
      <c r="A3892" s="77">
        <v>0.12876712328767123</v>
      </c>
      <c r="B3892" s="19">
        <v>100856</v>
      </c>
      <c r="C3892" s="19" t="s">
        <v>6183</v>
      </c>
      <c r="D3892" s="19" t="s">
        <v>95</v>
      </c>
      <c r="E3892" s="19" t="s">
        <v>96</v>
      </c>
      <c r="F3892" s="19" t="s">
        <v>1188</v>
      </c>
      <c r="G3892" s="19" t="s">
        <v>1028</v>
      </c>
      <c r="H3892" s="19" t="s">
        <v>1020</v>
      </c>
      <c r="I3892" s="19" t="s">
        <v>1599</v>
      </c>
      <c r="J3892" s="20">
        <v>26</v>
      </c>
      <c r="K3892" t="s">
        <v>636</v>
      </c>
      <c r="L3892" t="s">
        <v>737</v>
      </c>
      <c r="M3892" t="s">
        <v>657</v>
      </c>
      <c r="N3892" t="s">
        <v>641</v>
      </c>
      <c r="O3892" t="s">
        <v>738</v>
      </c>
    </row>
    <row r="3893" spans="1:15" x14ac:dyDescent="0.35">
      <c r="A3893" s="77">
        <v>0.12876712328767123</v>
      </c>
      <c r="B3893" s="19">
        <v>100857</v>
      </c>
      <c r="C3893" s="19" t="s">
        <v>6184</v>
      </c>
      <c r="D3893" s="19" t="s">
        <v>241</v>
      </c>
      <c r="E3893" s="19" t="s">
        <v>242</v>
      </c>
      <c r="F3893" s="19" t="s">
        <v>1030</v>
      </c>
      <c r="G3893" s="19" t="s">
        <v>1008</v>
      </c>
      <c r="H3893" s="19" t="s">
        <v>1001</v>
      </c>
      <c r="I3893" s="19" t="s">
        <v>1575</v>
      </c>
      <c r="J3893" s="20">
        <v>29</v>
      </c>
      <c r="K3893" t="s">
        <v>668</v>
      </c>
      <c r="L3893" t="s">
        <v>622</v>
      </c>
      <c r="M3893" t="s">
        <v>623</v>
      </c>
      <c r="N3893" t="s">
        <v>624</v>
      </c>
      <c r="O3893" t="s">
        <v>800</v>
      </c>
    </row>
    <row r="3894" spans="1:15" x14ac:dyDescent="0.35">
      <c r="A3894" s="77">
        <v>0.12876712328767123</v>
      </c>
      <c r="B3894" s="19">
        <v>100858</v>
      </c>
      <c r="C3894" s="19" t="s">
        <v>6185</v>
      </c>
      <c r="D3894" s="19" t="s">
        <v>403</v>
      </c>
      <c r="E3894" s="19" t="s">
        <v>404</v>
      </c>
      <c r="F3894" s="19" t="s">
        <v>870</v>
      </c>
      <c r="G3894" s="19" t="s">
        <v>1028</v>
      </c>
      <c r="H3894" s="19" t="s">
        <v>1020</v>
      </c>
      <c r="I3894" s="19" t="s">
        <v>1575</v>
      </c>
      <c r="J3894" s="20">
        <v>21</v>
      </c>
      <c r="K3894" t="s">
        <v>631</v>
      </c>
      <c r="L3894" t="s">
        <v>691</v>
      </c>
      <c r="M3894" t="s">
        <v>657</v>
      </c>
      <c r="N3894" t="s">
        <v>658</v>
      </c>
      <c r="O3894" t="s">
        <v>632</v>
      </c>
    </row>
    <row r="3895" spans="1:15" x14ac:dyDescent="0.35">
      <c r="A3895" s="77">
        <v>0.12876712328767123</v>
      </c>
      <c r="B3895" s="19">
        <v>100859</v>
      </c>
      <c r="C3895" s="19" t="s">
        <v>6186</v>
      </c>
      <c r="D3895" s="19" t="s">
        <v>411</v>
      </c>
      <c r="E3895" s="19" t="s">
        <v>412</v>
      </c>
      <c r="F3895" s="19" t="s">
        <v>1225</v>
      </c>
      <c r="G3895" s="19" t="s">
        <v>1028</v>
      </c>
      <c r="H3895" s="19" t="s">
        <v>1020</v>
      </c>
      <c r="I3895" s="19" t="s">
        <v>1575</v>
      </c>
      <c r="J3895" s="20">
        <v>18</v>
      </c>
      <c r="K3895" t="s">
        <v>636</v>
      </c>
      <c r="L3895" t="s">
        <v>691</v>
      </c>
      <c r="M3895" t="s">
        <v>657</v>
      </c>
      <c r="N3895" t="s">
        <v>658</v>
      </c>
      <c r="O3895" t="s">
        <v>632</v>
      </c>
    </row>
    <row r="3896" spans="1:15" x14ac:dyDescent="0.35">
      <c r="A3896" s="77">
        <v>0.12876712328767123</v>
      </c>
      <c r="B3896" s="19">
        <v>100860</v>
      </c>
      <c r="C3896" s="19" t="s">
        <v>6187</v>
      </c>
      <c r="D3896" s="19" t="s">
        <v>411</v>
      </c>
      <c r="E3896" s="19" t="s">
        <v>412</v>
      </c>
      <c r="F3896" s="19" t="s">
        <v>1225</v>
      </c>
      <c r="G3896" s="19" t="s">
        <v>1008</v>
      </c>
      <c r="H3896" s="19" t="s">
        <v>1001</v>
      </c>
      <c r="I3896" s="19" t="s">
        <v>1575</v>
      </c>
      <c r="J3896" s="20">
        <v>21</v>
      </c>
      <c r="K3896" t="s">
        <v>636</v>
      </c>
      <c r="L3896" t="s">
        <v>691</v>
      </c>
      <c r="M3896" t="s">
        <v>657</v>
      </c>
      <c r="N3896" t="s">
        <v>658</v>
      </c>
      <c r="O3896" t="s">
        <v>632</v>
      </c>
    </row>
    <row r="3897" spans="1:15" x14ac:dyDescent="0.35">
      <c r="A3897" s="77">
        <v>0.12876712328767123</v>
      </c>
      <c r="B3897" s="19">
        <v>100861</v>
      </c>
      <c r="C3897" s="19" t="s">
        <v>6188</v>
      </c>
      <c r="D3897" s="19" t="s">
        <v>365</v>
      </c>
      <c r="E3897" s="19" t="s">
        <v>366</v>
      </c>
      <c r="F3897" s="19" t="s">
        <v>1117</v>
      </c>
      <c r="G3897" s="19" t="s">
        <v>1028</v>
      </c>
      <c r="H3897" s="19" t="s">
        <v>1020</v>
      </c>
      <c r="I3897" s="19" t="s">
        <v>1599</v>
      </c>
      <c r="J3897" s="20">
        <v>22</v>
      </c>
      <c r="K3897" t="s">
        <v>668</v>
      </c>
      <c r="L3897" t="s">
        <v>691</v>
      </c>
      <c r="M3897" t="s">
        <v>657</v>
      </c>
      <c r="N3897" t="s">
        <v>658</v>
      </c>
      <c r="O3897" t="s">
        <v>632</v>
      </c>
    </row>
    <row r="3898" spans="1:15" x14ac:dyDescent="0.35">
      <c r="A3898" s="77">
        <v>0.12876712328767123</v>
      </c>
      <c r="B3898" s="19">
        <v>100862</v>
      </c>
      <c r="C3898" s="19" t="s">
        <v>6189</v>
      </c>
      <c r="D3898" s="19" t="s">
        <v>365</v>
      </c>
      <c r="E3898" s="19" t="s">
        <v>366</v>
      </c>
      <c r="F3898" s="19" t="s">
        <v>1117</v>
      </c>
      <c r="G3898" s="19" t="s">
        <v>1028</v>
      </c>
      <c r="H3898" s="19" t="s">
        <v>1020</v>
      </c>
      <c r="I3898" s="19" t="s">
        <v>1599</v>
      </c>
      <c r="J3898" s="20">
        <v>22</v>
      </c>
      <c r="K3898" t="s">
        <v>668</v>
      </c>
      <c r="L3898" t="s">
        <v>691</v>
      </c>
      <c r="M3898" t="s">
        <v>657</v>
      </c>
      <c r="N3898" t="s">
        <v>658</v>
      </c>
      <c r="O3898" t="s">
        <v>632</v>
      </c>
    </row>
    <row r="3899" spans="1:15" x14ac:dyDescent="0.35">
      <c r="A3899" s="77">
        <v>0.12876712328767123</v>
      </c>
      <c r="B3899" s="19">
        <v>100866</v>
      </c>
      <c r="C3899" s="19" t="s">
        <v>6190</v>
      </c>
      <c r="D3899" s="19" t="s">
        <v>126</v>
      </c>
      <c r="E3899" s="19" t="s">
        <v>127</v>
      </c>
      <c r="F3899" s="19" t="s">
        <v>1152</v>
      </c>
      <c r="G3899" s="19" t="s">
        <v>1008</v>
      </c>
      <c r="H3899" s="19" t="s">
        <v>1001</v>
      </c>
      <c r="I3899" s="19" t="s">
        <v>1575</v>
      </c>
      <c r="J3899" s="20">
        <v>19</v>
      </c>
      <c r="K3899" t="s">
        <v>654</v>
      </c>
      <c r="L3899" t="s">
        <v>628</v>
      </c>
      <c r="M3899" t="s">
        <v>629</v>
      </c>
      <c r="N3899" t="s">
        <v>630</v>
      </c>
      <c r="O3899" t="s">
        <v>632</v>
      </c>
    </row>
    <row r="3900" spans="1:15" x14ac:dyDescent="0.35">
      <c r="A3900" s="77">
        <v>0.12876712328767123</v>
      </c>
      <c r="B3900" s="19">
        <v>100868</v>
      </c>
      <c r="C3900" s="19" t="s">
        <v>6191</v>
      </c>
      <c r="D3900" s="19" t="s">
        <v>189</v>
      </c>
      <c r="E3900" s="19" t="s">
        <v>190</v>
      </c>
      <c r="F3900" s="19" t="s">
        <v>1369</v>
      </c>
      <c r="G3900" s="19" t="s">
        <v>1028</v>
      </c>
      <c r="H3900" s="19" t="s">
        <v>1020</v>
      </c>
      <c r="I3900" s="19" t="s">
        <v>1575</v>
      </c>
      <c r="J3900" s="20">
        <v>24</v>
      </c>
      <c r="K3900" t="s">
        <v>654</v>
      </c>
      <c r="L3900" t="s">
        <v>640</v>
      </c>
      <c r="M3900" t="s">
        <v>623</v>
      </c>
      <c r="N3900" t="s">
        <v>641</v>
      </c>
      <c r="O3900" t="s">
        <v>754</v>
      </c>
    </row>
    <row r="3901" spans="1:15" x14ac:dyDescent="0.35">
      <c r="A3901" s="77">
        <v>0.12876712328767123</v>
      </c>
      <c r="B3901" s="19">
        <v>100872</v>
      </c>
      <c r="C3901" s="19" t="s">
        <v>6192</v>
      </c>
      <c r="D3901" s="19" t="s">
        <v>171</v>
      </c>
      <c r="E3901" s="19" t="s">
        <v>172</v>
      </c>
      <c r="F3901" s="19" t="s">
        <v>2239</v>
      </c>
      <c r="G3901" s="19" t="s">
        <v>1028</v>
      </c>
      <c r="H3901" s="19" t="s">
        <v>1020</v>
      </c>
      <c r="I3901" s="19" t="s">
        <v>1599</v>
      </c>
      <c r="J3901" s="20">
        <v>20</v>
      </c>
      <c r="K3901" t="s">
        <v>654</v>
      </c>
      <c r="L3901" t="s">
        <v>661</v>
      </c>
      <c r="M3901" t="s">
        <v>657</v>
      </c>
      <c r="N3901" t="s">
        <v>662</v>
      </c>
      <c r="O3901" t="s">
        <v>632</v>
      </c>
    </row>
    <row r="3902" spans="1:15" x14ac:dyDescent="0.35">
      <c r="A3902" s="77">
        <v>0.12602739726027398</v>
      </c>
      <c r="B3902" s="19">
        <v>100879</v>
      </c>
      <c r="C3902" s="19" t="s">
        <v>6193</v>
      </c>
      <c r="D3902" s="19" t="s">
        <v>375</v>
      </c>
      <c r="E3902" s="19" t="s">
        <v>376</v>
      </c>
      <c r="F3902" s="19" t="s">
        <v>1270</v>
      </c>
      <c r="G3902" s="19" t="s">
        <v>1028</v>
      </c>
      <c r="H3902" s="19" t="s">
        <v>1020</v>
      </c>
      <c r="I3902" s="19" t="s">
        <v>1575</v>
      </c>
      <c r="J3902" s="20">
        <v>20</v>
      </c>
      <c r="K3902" t="s">
        <v>636</v>
      </c>
      <c r="L3902" t="s">
        <v>678</v>
      </c>
      <c r="M3902" t="s">
        <v>623</v>
      </c>
      <c r="N3902" t="s">
        <v>624</v>
      </c>
      <c r="O3902" t="s">
        <v>679</v>
      </c>
    </row>
    <row r="3903" spans="1:15" x14ac:dyDescent="0.35">
      <c r="A3903" s="77">
        <v>0.12602739726027398</v>
      </c>
      <c r="B3903" s="19">
        <v>100880</v>
      </c>
      <c r="C3903" s="19" t="s">
        <v>6194</v>
      </c>
      <c r="D3903" s="19" t="s">
        <v>353</v>
      </c>
      <c r="E3903" s="19" t="s">
        <v>354</v>
      </c>
      <c r="F3903" s="19" t="s">
        <v>850</v>
      </c>
      <c r="G3903" s="19" t="s">
        <v>1028</v>
      </c>
      <c r="H3903" s="19" t="s">
        <v>1020</v>
      </c>
      <c r="I3903" s="19" t="s">
        <v>1575</v>
      </c>
      <c r="J3903" s="20">
        <v>20</v>
      </c>
      <c r="K3903" t="s">
        <v>654</v>
      </c>
      <c r="L3903" t="s">
        <v>640</v>
      </c>
      <c r="M3903" t="s">
        <v>623</v>
      </c>
      <c r="N3903" t="s">
        <v>624</v>
      </c>
      <c r="O3903" t="s">
        <v>789</v>
      </c>
    </row>
    <row r="3904" spans="1:15" x14ac:dyDescent="0.35">
      <c r="A3904" s="77">
        <v>0.12602739726027398</v>
      </c>
      <c r="B3904" s="19">
        <v>100881</v>
      </c>
      <c r="C3904" s="19" t="s">
        <v>6195</v>
      </c>
      <c r="D3904" s="19" t="s">
        <v>353</v>
      </c>
      <c r="E3904" s="19" t="s">
        <v>354</v>
      </c>
      <c r="F3904" s="19" t="s">
        <v>850</v>
      </c>
      <c r="G3904" s="19" t="s">
        <v>1028</v>
      </c>
      <c r="H3904" s="19" t="s">
        <v>1020</v>
      </c>
      <c r="I3904" s="19" t="s">
        <v>1575</v>
      </c>
      <c r="J3904" s="20">
        <v>19</v>
      </c>
      <c r="K3904" t="s">
        <v>654</v>
      </c>
      <c r="L3904" t="s">
        <v>640</v>
      </c>
      <c r="M3904" t="s">
        <v>623</v>
      </c>
      <c r="N3904" t="s">
        <v>624</v>
      </c>
      <c r="O3904" t="s">
        <v>789</v>
      </c>
    </row>
    <row r="3905" spans="1:15" x14ac:dyDescent="0.35">
      <c r="A3905" s="77">
        <v>0.12602739726027398</v>
      </c>
      <c r="B3905" s="19">
        <v>100884</v>
      </c>
      <c r="C3905" s="19" t="s">
        <v>6196</v>
      </c>
      <c r="D3905" s="19" t="s">
        <v>371</v>
      </c>
      <c r="E3905" s="19" t="s">
        <v>372</v>
      </c>
      <c r="F3905" s="19" t="s">
        <v>2222</v>
      </c>
      <c r="G3905" s="19" t="s">
        <v>1028</v>
      </c>
      <c r="H3905" s="19" t="s">
        <v>1020</v>
      </c>
      <c r="I3905" s="19" t="s">
        <v>1599</v>
      </c>
      <c r="J3905" s="20">
        <v>24</v>
      </c>
      <c r="K3905" t="s">
        <v>668</v>
      </c>
      <c r="L3905" t="s">
        <v>640</v>
      </c>
      <c r="M3905" t="s">
        <v>623</v>
      </c>
      <c r="N3905" t="s">
        <v>641</v>
      </c>
      <c r="O3905" t="s">
        <v>859</v>
      </c>
    </row>
    <row r="3906" spans="1:15" x14ac:dyDescent="0.35">
      <c r="A3906" s="77">
        <v>0.12602739726027398</v>
      </c>
      <c r="B3906" s="19">
        <v>100886</v>
      </c>
      <c r="C3906" s="19" t="s">
        <v>6197</v>
      </c>
      <c r="D3906" s="19" t="s">
        <v>100</v>
      </c>
      <c r="E3906" s="19" t="s">
        <v>101</v>
      </c>
      <c r="F3906" s="19" t="s">
        <v>2786</v>
      </c>
      <c r="G3906" s="19" t="s">
        <v>1028</v>
      </c>
      <c r="H3906" s="19" t="s">
        <v>1020</v>
      </c>
      <c r="I3906" s="19" t="s">
        <v>1575</v>
      </c>
      <c r="J3906" s="20">
        <v>27</v>
      </c>
      <c r="K3906" t="s">
        <v>654</v>
      </c>
      <c r="L3906" t="s">
        <v>651</v>
      </c>
      <c r="M3906" t="s">
        <v>629</v>
      </c>
      <c r="N3906" t="s">
        <v>630</v>
      </c>
      <c r="O3906" t="s">
        <v>705</v>
      </c>
    </row>
    <row r="3907" spans="1:15" x14ac:dyDescent="0.35">
      <c r="A3907" s="77">
        <v>0.12602739726027398</v>
      </c>
      <c r="B3907" s="19">
        <v>100887</v>
      </c>
      <c r="C3907" s="19" t="s">
        <v>6198</v>
      </c>
      <c r="D3907" s="19" t="s">
        <v>30</v>
      </c>
      <c r="E3907" s="19" t="s">
        <v>30</v>
      </c>
      <c r="F3907" s="19" t="s">
        <v>672</v>
      </c>
      <c r="G3907" s="19" t="s">
        <v>1028</v>
      </c>
      <c r="H3907" s="19" t="s">
        <v>1020</v>
      </c>
      <c r="I3907" s="19" t="s">
        <v>1575</v>
      </c>
      <c r="J3907" s="20">
        <v>23</v>
      </c>
      <c r="K3907" t="s">
        <v>636</v>
      </c>
      <c r="L3907" t="s">
        <v>673</v>
      </c>
      <c r="M3907" t="s">
        <v>623</v>
      </c>
      <c r="N3907" t="s">
        <v>641</v>
      </c>
      <c r="O3907" t="s">
        <v>674</v>
      </c>
    </row>
    <row r="3908" spans="1:15" x14ac:dyDescent="0.35">
      <c r="A3908" s="77">
        <v>0.12602739726027398</v>
      </c>
      <c r="B3908" s="19">
        <v>100888</v>
      </c>
      <c r="C3908" s="19" t="s">
        <v>6199</v>
      </c>
      <c r="D3908" s="19" t="s">
        <v>326</v>
      </c>
      <c r="E3908" s="19" t="s">
        <v>327</v>
      </c>
      <c r="F3908" s="19" t="s">
        <v>1051</v>
      </c>
      <c r="G3908" s="19" t="s">
        <v>1008</v>
      </c>
      <c r="H3908" s="19" t="s">
        <v>1001</v>
      </c>
      <c r="I3908" s="19" t="s">
        <v>1575</v>
      </c>
      <c r="J3908" s="20">
        <v>26</v>
      </c>
      <c r="K3908" t="s">
        <v>631</v>
      </c>
      <c r="L3908" t="s">
        <v>648</v>
      </c>
      <c r="M3908" t="s">
        <v>623</v>
      </c>
      <c r="N3908" t="s">
        <v>624</v>
      </c>
      <c r="O3908" t="s">
        <v>837</v>
      </c>
    </row>
    <row r="3909" spans="1:15" x14ac:dyDescent="0.35">
      <c r="A3909" s="77">
        <v>0.12602739726027398</v>
      </c>
      <c r="B3909" s="19">
        <v>100890</v>
      </c>
      <c r="C3909" s="19" t="s">
        <v>6200</v>
      </c>
      <c r="D3909" s="19" t="s">
        <v>335</v>
      </c>
      <c r="E3909" s="19" t="s">
        <v>336</v>
      </c>
      <c r="F3909" s="19" t="s">
        <v>841</v>
      </c>
      <c r="G3909" s="19" t="s">
        <v>1028</v>
      </c>
      <c r="H3909" s="19" t="s">
        <v>1020</v>
      </c>
      <c r="I3909" s="19" t="s">
        <v>1575</v>
      </c>
      <c r="J3909" s="20">
        <v>21</v>
      </c>
      <c r="K3909" t="s">
        <v>636</v>
      </c>
      <c r="L3909" t="s">
        <v>622</v>
      </c>
      <c r="M3909" t="s">
        <v>623</v>
      </c>
      <c r="N3909" t="s">
        <v>624</v>
      </c>
      <c r="O3909" t="s">
        <v>649</v>
      </c>
    </row>
    <row r="3910" spans="1:15" x14ac:dyDescent="0.35">
      <c r="A3910" s="77">
        <v>0.12602739726027398</v>
      </c>
      <c r="B3910" s="19">
        <v>100891</v>
      </c>
      <c r="C3910" s="19" t="s">
        <v>6201</v>
      </c>
      <c r="D3910" s="19" t="s">
        <v>21</v>
      </c>
      <c r="E3910" s="19" t="s">
        <v>21</v>
      </c>
      <c r="F3910" s="19" t="s">
        <v>22</v>
      </c>
      <c r="G3910" s="19" t="s">
        <v>1019</v>
      </c>
      <c r="H3910" s="19" t="s">
        <v>1020</v>
      </c>
      <c r="I3910" s="19" t="s">
        <v>1575</v>
      </c>
      <c r="J3910" s="20">
        <v>28</v>
      </c>
      <c r="K3910" t="s">
        <v>654</v>
      </c>
      <c r="L3910" t="s">
        <v>656</v>
      </c>
      <c r="M3910" t="s">
        <v>657</v>
      </c>
      <c r="N3910" t="s">
        <v>658</v>
      </c>
      <c r="O3910" t="s">
        <v>659</v>
      </c>
    </row>
    <row r="3911" spans="1:15" x14ac:dyDescent="0.35">
      <c r="A3911" s="77">
        <v>0.12602739726027398</v>
      </c>
      <c r="B3911" s="19">
        <v>100892</v>
      </c>
      <c r="C3911" s="19" t="s">
        <v>6202</v>
      </c>
      <c r="D3911" s="19" t="s">
        <v>21</v>
      </c>
      <c r="E3911" s="19" t="s">
        <v>21</v>
      </c>
      <c r="F3911" s="19" t="s">
        <v>22</v>
      </c>
      <c r="G3911" s="19" t="s">
        <v>1028</v>
      </c>
      <c r="H3911" s="19" t="s">
        <v>1020</v>
      </c>
      <c r="I3911" s="19" t="s">
        <v>1599</v>
      </c>
      <c r="J3911" s="20">
        <v>27</v>
      </c>
      <c r="K3911" t="s">
        <v>654</v>
      </c>
      <c r="L3911" t="s">
        <v>656</v>
      </c>
      <c r="M3911" t="s">
        <v>657</v>
      </c>
      <c r="N3911" t="s">
        <v>658</v>
      </c>
      <c r="O3911" t="s">
        <v>659</v>
      </c>
    </row>
    <row r="3912" spans="1:15" x14ac:dyDescent="0.35">
      <c r="A3912" s="77">
        <v>0.12602739726027398</v>
      </c>
      <c r="B3912" s="19">
        <v>100894</v>
      </c>
      <c r="C3912" s="19" t="s">
        <v>6203</v>
      </c>
      <c r="D3912" s="19" t="s">
        <v>600</v>
      </c>
      <c r="E3912" s="19" t="e">
        <v>#N/A</v>
      </c>
      <c r="F3912" s="19" t="s">
        <v>1201</v>
      </c>
      <c r="G3912" s="19" t="s">
        <v>1028</v>
      </c>
      <c r="H3912" s="19" t="s">
        <v>1020</v>
      </c>
      <c r="I3912" s="19" t="s">
        <v>1575</v>
      </c>
      <c r="J3912" s="20">
        <v>20</v>
      </c>
      <c r="K3912" t="s">
        <v>668</v>
      </c>
      <c r="L3912" t="s">
        <v>622</v>
      </c>
      <c r="M3912" t="s">
        <v>623</v>
      </c>
      <c r="N3912" t="s">
        <v>624</v>
      </c>
      <c r="O3912" t="s">
        <v>649</v>
      </c>
    </row>
    <row r="3913" spans="1:15" x14ac:dyDescent="0.35">
      <c r="A3913" s="77">
        <v>0.12602739726027398</v>
      </c>
      <c r="B3913" s="19">
        <v>100895</v>
      </c>
      <c r="C3913" s="19" t="s">
        <v>6204</v>
      </c>
      <c r="D3913" s="19" t="s">
        <v>313</v>
      </c>
      <c r="E3913" s="19" t="s">
        <v>314</v>
      </c>
      <c r="F3913" s="19" t="s">
        <v>1401</v>
      </c>
      <c r="G3913" s="19" t="s">
        <v>1028</v>
      </c>
      <c r="H3913" s="19" t="s">
        <v>1020</v>
      </c>
      <c r="I3913" s="19" t="s">
        <v>1575</v>
      </c>
      <c r="J3913" s="20">
        <v>19</v>
      </c>
      <c r="K3913" t="s">
        <v>654</v>
      </c>
      <c r="L3913" t="s">
        <v>666</v>
      </c>
      <c r="M3913" t="s">
        <v>629</v>
      </c>
      <c r="N3913" t="s">
        <v>635</v>
      </c>
      <c r="O3913" t="s">
        <v>637</v>
      </c>
    </row>
    <row r="3914" spans="1:15" x14ac:dyDescent="0.35">
      <c r="A3914" s="77">
        <v>0.12602739726027398</v>
      </c>
      <c r="B3914" s="19">
        <v>100897</v>
      </c>
      <c r="C3914" s="19" t="s">
        <v>6205</v>
      </c>
      <c r="D3914" s="19" t="s">
        <v>191</v>
      </c>
      <c r="E3914" s="19" t="s">
        <v>192</v>
      </c>
      <c r="F3914" s="19" t="s">
        <v>1626</v>
      </c>
      <c r="G3914" s="19" t="s">
        <v>1084</v>
      </c>
      <c r="H3914" s="19" t="s">
        <v>1001</v>
      </c>
      <c r="I3914" s="19" t="s">
        <v>1599</v>
      </c>
      <c r="J3914" s="20">
        <v>30</v>
      </c>
      <c r="K3914" t="s">
        <v>654</v>
      </c>
      <c r="L3914" t="s">
        <v>673</v>
      </c>
      <c r="M3914" t="s">
        <v>623</v>
      </c>
      <c r="N3914" t="s">
        <v>641</v>
      </c>
      <c r="O3914" t="s">
        <v>779</v>
      </c>
    </row>
    <row r="3915" spans="1:15" x14ac:dyDescent="0.35">
      <c r="A3915" s="77">
        <v>0.12328767123287671</v>
      </c>
      <c r="B3915" s="19">
        <v>100898</v>
      </c>
      <c r="C3915" s="19" t="s">
        <v>6206</v>
      </c>
      <c r="D3915" s="19" t="s">
        <v>326</v>
      </c>
      <c r="E3915" s="19" t="s">
        <v>327</v>
      </c>
      <c r="F3915" s="19" t="s">
        <v>1051</v>
      </c>
      <c r="G3915" s="19" t="s">
        <v>1028</v>
      </c>
      <c r="H3915" s="19" t="s">
        <v>1020</v>
      </c>
      <c r="I3915" s="19" t="s">
        <v>1575</v>
      </c>
      <c r="J3915" s="20">
        <v>23</v>
      </c>
      <c r="K3915" t="s">
        <v>631</v>
      </c>
      <c r="L3915" t="s">
        <v>648</v>
      </c>
      <c r="M3915" t="s">
        <v>623</v>
      </c>
      <c r="N3915" t="s">
        <v>624</v>
      </c>
      <c r="O3915" t="s">
        <v>837</v>
      </c>
    </row>
    <row r="3916" spans="1:15" x14ac:dyDescent="0.35">
      <c r="A3916" s="77">
        <v>0.12328767123287671</v>
      </c>
      <c r="B3916" s="19">
        <v>100899</v>
      </c>
      <c r="C3916" s="19" t="s">
        <v>6207</v>
      </c>
      <c r="D3916" s="19" t="s">
        <v>273</v>
      </c>
      <c r="E3916" s="19" t="s">
        <v>274</v>
      </c>
      <c r="F3916" s="19" t="s">
        <v>1093</v>
      </c>
      <c r="G3916" s="19" t="s">
        <v>1028</v>
      </c>
      <c r="H3916" s="19" t="s">
        <v>1020</v>
      </c>
      <c r="I3916" s="19" t="s">
        <v>1575</v>
      </c>
      <c r="J3916" s="20">
        <v>21</v>
      </c>
      <c r="K3916" t="s">
        <v>636</v>
      </c>
      <c r="L3916" t="s">
        <v>663</v>
      </c>
      <c r="M3916" t="s">
        <v>629</v>
      </c>
      <c r="N3916" t="s">
        <v>646</v>
      </c>
      <c r="O3916" t="s">
        <v>639</v>
      </c>
    </row>
    <row r="3917" spans="1:15" x14ac:dyDescent="0.35">
      <c r="A3917" s="77">
        <v>0.12328767123287671</v>
      </c>
      <c r="B3917" s="19">
        <v>100901</v>
      </c>
      <c r="C3917" s="19" t="s">
        <v>2885</v>
      </c>
      <c r="D3917" s="19" t="s">
        <v>193</v>
      </c>
      <c r="E3917" s="19" t="s">
        <v>194</v>
      </c>
      <c r="F3917" s="19" t="s">
        <v>2422</v>
      </c>
      <c r="G3917" s="19" t="s">
        <v>1028</v>
      </c>
      <c r="H3917" s="19" t="s">
        <v>1020</v>
      </c>
      <c r="I3917" s="19" t="s">
        <v>1575</v>
      </c>
      <c r="J3917" s="20">
        <v>26</v>
      </c>
      <c r="K3917" t="s">
        <v>654</v>
      </c>
      <c r="L3917" t="s">
        <v>670</v>
      </c>
      <c r="M3917" t="s">
        <v>657</v>
      </c>
      <c r="N3917" t="s">
        <v>641</v>
      </c>
      <c r="O3917" t="s">
        <v>676</v>
      </c>
    </row>
    <row r="3918" spans="1:15" x14ac:dyDescent="0.35">
      <c r="A3918" s="77">
        <v>0.12328767123287671</v>
      </c>
      <c r="B3918" s="19">
        <v>100902</v>
      </c>
      <c r="C3918" s="19" t="s">
        <v>6208</v>
      </c>
      <c r="D3918" s="19" t="s">
        <v>326</v>
      </c>
      <c r="E3918" s="19" t="s">
        <v>327</v>
      </c>
      <c r="F3918" s="19" t="s">
        <v>1051</v>
      </c>
      <c r="G3918" s="19" t="s">
        <v>1084</v>
      </c>
      <c r="H3918" s="19" t="s">
        <v>1020</v>
      </c>
      <c r="I3918" s="19" t="s">
        <v>1599</v>
      </c>
      <c r="J3918" s="20">
        <v>23</v>
      </c>
      <c r="K3918" t="s">
        <v>631</v>
      </c>
      <c r="L3918" t="s">
        <v>648</v>
      </c>
      <c r="M3918" t="s">
        <v>623</v>
      </c>
      <c r="N3918" t="s">
        <v>624</v>
      </c>
      <c r="O3918" t="s">
        <v>837</v>
      </c>
    </row>
    <row r="3919" spans="1:15" x14ac:dyDescent="0.35">
      <c r="A3919" s="77">
        <v>0.12328767123287671</v>
      </c>
      <c r="B3919" s="19">
        <v>100903</v>
      </c>
      <c r="C3919" s="19" t="s">
        <v>6209</v>
      </c>
      <c r="D3919" s="19" t="s">
        <v>337</v>
      </c>
      <c r="E3919" s="19" t="s">
        <v>338</v>
      </c>
      <c r="F3919" s="19" t="s">
        <v>2642</v>
      </c>
      <c r="G3919" s="19" t="s">
        <v>1028</v>
      </c>
      <c r="H3919" s="19" t="s">
        <v>1020</v>
      </c>
      <c r="I3919" s="19" t="s">
        <v>1575</v>
      </c>
      <c r="J3919" s="20">
        <v>23</v>
      </c>
      <c r="K3919" t="s">
        <v>668</v>
      </c>
      <c r="L3919" t="s">
        <v>656</v>
      </c>
      <c r="M3919" t="s">
        <v>657</v>
      </c>
      <c r="N3919" t="s">
        <v>658</v>
      </c>
      <c r="O3919" t="s">
        <v>843</v>
      </c>
    </row>
    <row r="3920" spans="1:15" x14ac:dyDescent="0.35">
      <c r="A3920" s="77">
        <v>0.12328767123287671</v>
      </c>
      <c r="B3920" s="19">
        <v>100905</v>
      </c>
      <c r="C3920" s="19" t="s">
        <v>6210</v>
      </c>
      <c r="D3920" s="19" t="s">
        <v>385</v>
      </c>
      <c r="E3920" s="19" t="s">
        <v>386</v>
      </c>
      <c r="F3920" s="19" t="s">
        <v>1059</v>
      </c>
      <c r="G3920" s="19" t="s">
        <v>1008</v>
      </c>
      <c r="H3920" s="19" t="s">
        <v>1001</v>
      </c>
      <c r="I3920" s="19" t="s">
        <v>1575</v>
      </c>
      <c r="J3920" s="20">
        <v>32</v>
      </c>
      <c r="K3920" t="s">
        <v>631</v>
      </c>
      <c r="L3920" t="s">
        <v>663</v>
      </c>
      <c r="M3920" t="s">
        <v>629</v>
      </c>
      <c r="N3920" t="s">
        <v>646</v>
      </c>
      <c r="O3920" t="s">
        <v>810</v>
      </c>
    </row>
    <row r="3921" spans="1:15" x14ac:dyDescent="0.35">
      <c r="A3921" s="77">
        <v>0.12328767123287671</v>
      </c>
      <c r="B3921" s="19">
        <v>100906</v>
      </c>
      <c r="C3921" s="19" t="s">
        <v>6211</v>
      </c>
      <c r="D3921" s="19" t="s">
        <v>385</v>
      </c>
      <c r="E3921" s="19" t="s">
        <v>386</v>
      </c>
      <c r="F3921" s="19" t="s">
        <v>1059</v>
      </c>
      <c r="G3921" s="19" t="s">
        <v>1028</v>
      </c>
      <c r="H3921" s="19" t="s">
        <v>1020</v>
      </c>
      <c r="I3921" s="19" t="s">
        <v>1575</v>
      </c>
      <c r="J3921" s="20">
        <v>20</v>
      </c>
      <c r="K3921" t="s">
        <v>631</v>
      </c>
      <c r="L3921" t="s">
        <v>663</v>
      </c>
      <c r="M3921" t="s">
        <v>629</v>
      </c>
      <c r="N3921" t="s">
        <v>646</v>
      </c>
      <c r="O3921" t="s">
        <v>810</v>
      </c>
    </row>
    <row r="3922" spans="1:15" x14ac:dyDescent="0.35">
      <c r="A3922" s="77">
        <v>0.12328767123287671</v>
      </c>
      <c r="B3922" s="19">
        <v>100907</v>
      </c>
      <c r="C3922" s="19" t="s">
        <v>6212</v>
      </c>
      <c r="D3922" s="19" t="s">
        <v>355</v>
      </c>
      <c r="E3922" s="19" t="s">
        <v>356</v>
      </c>
      <c r="F3922" s="19" t="s">
        <v>1100</v>
      </c>
      <c r="G3922" s="19" t="s">
        <v>1046</v>
      </c>
      <c r="H3922" s="19" t="s">
        <v>1001</v>
      </c>
      <c r="I3922" s="19" t="s">
        <v>1575</v>
      </c>
      <c r="J3922" s="20">
        <v>25</v>
      </c>
      <c r="K3922" t="s">
        <v>625</v>
      </c>
      <c r="L3922" t="s">
        <v>622</v>
      </c>
      <c r="M3922" t="s">
        <v>623</v>
      </c>
      <c r="N3922" t="s">
        <v>624</v>
      </c>
      <c r="O3922" t="s">
        <v>649</v>
      </c>
    </row>
    <row r="3923" spans="1:15" x14ac:dyDescent="0.35">
      <c r="A3923" s="77">
        <v>0.12328767123287671</v>
      </c>
      <c r="B3923" s="19">
        <v>100908</v>
      </c>
      <c r="C3923" s="19" t="s">
        <v>6213</v>
      </c>
      <c r="D3923" s="19" t="s">
        <v>341</v>
      </c>
      <c r="E3923" s="19" t="s">
        <v>342</v>
      </c>
      <c r="F3923" s="19" t="s">
        <v>1264</v>
      </c>
      <c r="G3923" s="19" t="s">
        <v>1008</v>
      </c>
      <c r="H3923" s="19" t="s">
        <v>1001</v>
      </c>
      <c r="I3923" s="19" t="s">
        <v>1575</v>
      </c>
      <c r="J3923" s="20">
        <v>29</v>
      </c>
      <c r="K3923" t="s">
        <v>636</v>
      </c>
      <c r="L3923" t="s">
        <v>678</v>
      </c>
      <c r="M3923" t="s">
        <v>623</v>
      </c>
      <c r="N3923" t="s">
        <v>624</v>
      </c>
      <c r="O3923" t="s">
        <v>679</v>
      </c>
    </row>
    <row r="3924" spans="1:15" x14ac:dyDescent="0.35">
      <c r="A3924" s="77">
        <v>0.12328767123287671</v>
      </c>
      <c r="B3924" s="19">
        <v>100909</v>
      </c>
      <c r="C3924" s="19" t="s">
        <v>6214</v>
      </c>
      <c r="D3924" s="19" t="s">
        <v>140</v>
      </c>
      <c r="E3924" s="19" t="s">
        <v>141</v>
      </c>
      <c r="F3924" s="19" t="s">
        <v>1138</v>
      </c>
      <c r="G3924" s="19" t="s">
        <v>1008</v>
      </c>
      <c r="H3924" s="19" t="s">
        <v>1001</v>
      </c>
      <c r="I3924" s="19" t="s">
        <v>1575</v>
      </c>
      <c r="J3924" s="20">
        <v>35</v>
      </c>
      <c r="K3924" t="s">
        <v>636</v>
      </c>
      <c r="L3924" t="s">
        <v>640</v>
      </c>
      <c r="M3924" t="s">
        <v>623</v>
      </c>
      <c r="N3924" t="s">
        <v>641</v>
      </c>
      <c r="O3924" t="s">
        <v>754</v>
      </c>
    </row>
    <row r="3925" spans="1:15" x14ac:dyDescent="0.35">
      <c r="A3925" s="77">
        <v>0.12328767123287671</v>
      </c>
      <c r="B3925" s="19">
        <v>100910</v>
      </c>
      <c r="C3925" s="19" t="s">
        <v>6215</v>
      </c>
      <c r="D3925" s="19" t="s">
        <v>375</v>
      </c>
      <c r="E3925" s="19" t="s">
        <v>376</v>
      </c>
      <c r="F3925" s="19" t="s">
        <v>1270</v>
      </c>
      <c r="G3925" s="19" t="s">
        <v>1028</v>
      </c>
      <c r="H3925" s="19" t="s">
        <v>1020</v>
      </c>
      <c r="I3925" s="19" t="s">
        <v>1575</v>
      </c>
      <c r="J3925" s="20">
        <v>24</v>
      </c>
      <c r="K3925" t="s">
        <v>636</v>
      </c>
      <c r="L3925" t="s">
        <v>678</v>
      </c>
      <c r="M3925" t="s">
        <v>623</v>
      </c>
      <c r="N3925" t="s">
        <v>624</v>
      </c>
      <c r="O3925" t="s">
        <v>679</v>
      </c>
    </row>
    <row r="3926" spans="1:15" x14ac:dyDescent="0.35">
      <c r="A3926" s="77">
        <v>0.12328767123287671</v>
      </c>
      <c r="B3926" s="19">
        <v>100911</v>
      </c>
      <c r="C3926" s="19" t="s">
        <v>6216</v>
      </c>
      <c r="D3926" s="19" t="s">
        <v>256</v>
      </c>
      <c r="E3926" s="19" t="s">
        <v>257</v>
      </c>
      <c r="F3926" s="19" t="s">
        <v>1005</v>
      </c>
      <c r="G3926" s="19" t="s">
        <v>1028</v>
      </c>
      <c r="H3926" s="19" t="s">
        <v>1020</v>
      </c>
      <c r="I3926" s="19" t="s">
        <v>1575</v>
      </c>
      <c r="J3926" s="20">
        <v>23</v>
      </c>
      <c r="K3926" t="s">
        <v>668</v>
      </c>
      <c r="L3926" t="s">
        <v>651</v>
      </c>
      <c r="M3926" t="s">
        <v>629</v>
      </c>
      <c r="N3926" t="s">
        <v>630</v>
      </c>
      <c r="O3926" t="s">
        <v>705</v>
      </c>
    </row>
    <row r="3927" spans="1:15" x14ac:dyDescent="0.35">
      <c r="A3927" s="77">
        <v>0.12328767123287671</v>
      </c>
      <c r="B3927" s="19">
        <v>100913</v>
      </c>
      <c r="C3927" s="19" t="s">
        <v>6217</v>
      </c>
      <c r="D3927" s="19" t="s">
        <v>318</v>
      </c>
      <c r="E3927" s="19" t="s">
        <v>319</v>
      </c>
      <c r="F3927" s="19" t="s">
        <v>1266</v>
      </c>
      <c r="G3927" s="19" t="s">
        <v>1008</v>
      </c>
      <c r="H3927" s="19" t="s">
        <v>1001</v>
      </c>
      <c r="I3927" s="19" t="s">
        <v>1575</v>
      </c>
      <c r="J3927" s="20">
        <v>29</v>
      </c>
      <c r="K3927" t="s">
        <v>625</v>
      </c>
      <c r="L3927" t="s">
        <v>678</v>
      </c>
      <c r="M3927" t="s">
        <v>623</v>
      </c>
      <c r="N3927" t="s">
        <v>624</v>
      </c>
      <c r="O3927" t="s">
        <v>679</v>
      </c>
    </row>
    <row r="3928" spans="1:15" x14ac:dyDescent="0.35">
      <c r="A3928" s="77">
        <v>0.12328767123287671</v>
      </c>
      <c r="B3928" s="19">
        <v>100914</v>
      </c>
      <c r="C3928" s="19" t="s">
        <v>6218</v>
      </c>
      <c r="D3928" s="19" t="s">
        <v>199</v>
      </c>
      <c r="E3928" s="19" t="s">
        <v>200</v>
      </c>
      <c r="F3928" s="19" t="s">
        <v>1496</v>
      </c>
      <c r="G3928" s="19" t="s">
        <v>1008</v>
      </c>
      <c r="H3928" s="19" t="s">
        <v>1001</v>
      </c>
      <c r="I3928" s="19" t="s">
        <v>1575</v>
      </c>
      <c r="J3928" s="20">
        <v>30</v>
      </c>
      <c r="K3928" t="s">
        <v>654</v>
      </c>
      <c r="L3928" t="s">
        <v>737</v>
      </c>
      <c r="M3928" t="s">
        <v>657</v>
      </c>
      <c r="N3928" t="s">
        <v>641</v>
      </c>
      <c r="O3928" t="s">
        <v>738</v>
      </c>
    </row>
    <row r="3929" spans="1:15" x14ac:dyDescent="0.35">
      <c r="A3929" s="77">
        <v>0.12054794520547946</v>
      </c>
      <c r="B3929" s="19">
        <v>100916</v>
      </c>
      <c r="C3929" s="19" t="s">
        <v>6219</v>
      </c>
      <c r="D3929" s="19" t="s">
        <v>186</v>
      </c>
      <c r="E3929" s="19" t="s">
        <v>187</v>
      </c>
      <c r="F3929" s="19" t="s">
        <v>1164</v>
      </c>
      <c r="G3929" s="19" t="s">
        <v>1028</v>
      </c>
      <c r="H3929" s="19" t="s">
        <v>1020</v>
      </c>
      <c r="I3929" s="19" t="s">
        <v>1599</v>
      </c>
      <c r="J3929" s="20">
        <v>20</v>
      </c>
      <c r="K3929" t="s">
        <v>642</v>
      </c>
      <c r="L3929" t="s">
        <v>648</v>
      </c>
      <c r="M3929" t="s">
        <v>623</v>
      </c>
      <c r="N3929" t="s">
        <v>624</v>
      </c>
      <c r="O3929" t="s">
        <v>649</v>
      </c>
    </row>
    <row r="3930" spans="1:15" x14ac:dyDescent="0.35">
      <c r="A3930" s="77">
        <v>0.12054794520547946</v>
      </c>
      <c r="B3930" s="19">
        <v>100919</v>
      </c>
      <c r="C3930" s="19" t="s">
        <v>6220</v>
      </c>
      <c r="D3930" s="19" t="s">
        <v>324</v>
      </c>
      <c r="E3930" s="19" t="s">
        <v>325</v>
      </c>
      <c r="F3930" s="19" t="s">
        <v>1284</v>
      </c>
      <c r="G3930" s="19" t="s">
        <v>1028</v>
      </c>
      <c r="H3930" s="19" t="s">
        <v>1020</v>
      </c>
      <c r="I3930" s="19" t="s">
        <v>1575</v>
      </c>
      <c r="J3930" s="20">
        <v>19</v>
      </c>
      <c r="K3930" t="s">
        <v>631</v>
      </c>
      <c r="L3930" t="s">
        <v>663</v>
      </c>
      <c r="M3930" t="s">
        <v>629</v>
      </c>
      <c r="N3930" t="s">
        <v>646</v>
      </c>
      <c r="O3930" t="s">
        <v>639</v>
      </c>
    </row>
    <row r="3931" spans="1:15" x14ac:dyDescent="0.35">
      <c r="A3931" s="77">
        <v>0.12054794520547946</v>
      </c>
      <c r="B3931" s="19">
        <v>100923</v>
      </c>
      <c r="C3931" s="19" t="s">
        <v>6221</v>
      </c>
      <c r="D3931" s="19" t="s">
        <v>115</v>
      </c>
      <c r="E3931" s="19" t="s">
        <v>116</v>
      </c>
      <c r="F3931" s="19" t="s">
        <v>1383</v>
      </c>
      <c r="G3931" s="19" t="s">
        <v>3508</v>
      </c>
      <c r="H3931" s="19" t="s">
        <v>1020</v>
      </c>
      <c r="I3931" s="19" t="s">
        <v>1575</v>
      </c>
      <c r="J3931" s="20">
        <v>15</v>
      </c>
      <c r="K3931" t="s">
        <v>631</v>
      </c>
      <c r="L3931" t="s">
        <v>670</v>
      </c>
      <c r="M3931" t="s">
        <v>657</v>
      </c>
      <c r="N3931" t="s">
        <v>641</v>
      </c>
      <c r="O3931" t="s">
        <v>671</v>
      </c>
    </row>
    <row r="3932" spans="1:15" x14ac:dyDescent="0.35">
      <c r="A3932" s="77">
        <v>0.12054794520547946</v>
      </c>
      <c r="B3932" s="19">
        <v>100931</v>
      </c>
      <c r="C3932" s="19" t="s">
        <v>6222</v>
      </c>
      <c r="D3932" s="19" t="s">
        <v>128</v>
      </c>
      <c r="E3932" s="19" t="s">
        <v>129</v>
      </c>
      <c r="F3932" s="19" t="s">
        <v>1075</v>
      </c>
      <c r="G3932" s="19" t="s">
        <v>1028</v>
      </c>
      <c r="H3932" s="19" t="s">
        <v>1020</v>
      </c>
      <c r="I3932" s="19" t="s">
        <v>1599</v>
      </c>
      <c r="J3932" s="20">
        <v>18</v>
      </c>
      <c r="K3932" t="s">
        <v>636</v>
      </c>
      <c r="L3932" t="s">
        <v>678</v>
      </c>
      <c r="M3932" t="s">
        <v>623</v>
      </c>
      <c r="N3932" t="s">
        <v>624</v>
      </c>
      <c r="O3932" t="s">
        <v>679</v>
      </c>
    </row>
    <row r="3933" spans="1:15" x14ac:dyDescent="0.35">
      <c r="A3933" s="77">
        <v>0.12054794520547946</v>
      </c>
      <c r="B3933" s="19">
        <v>100933</v>
      </c>
      <c r="C3933" s="19" t="s">
        <v>6223</v>
      </c>
      <c r="D3933" s="19" t="s">
        <v>220</v>
      </c>
      <c r="E3933" s="19" t="s">
        <v>221</v>
      </c>
      <c r="F3933" s="19" t="s">
        <v>2309</v>
      </c>
      <c r="G3933" s="19" t="s">
        <v>1028</v>
      </c>
      <c r="H3933" s="19" t="s">
        <v>1020</v>
      </c>
      <c r="I3933" s="19" t="s">
        <v>1575</v>
      </c>
      <c r="J3933" s="20">
        <v>33</v>
      </c>
      <c r="K3933" t="s">
        <v>668</v>
      </c>
      <c r="L3933" t="s">
        <v>648</v>
      </c>
      <c r="M3933" t="s">
        <v>623</v>
      </c>
      <c r="N3933" t="s">
        <v>624</v>
      </c>
      <c r="O3933" t="s">
        <v>649</v>
      </c>
    </row>
    <row r="3934" spans="1:15" x14ac:dyDescent="0.35">
      <c r="A3934" s="77">
        <v>0.12054794520547946</v>
      </c>
      <c r="B3934" s="19">
        <v>100934</v>
      </c>
      <c r="C3934" s="19" t="s">
        <v>6224</v>
      </c>
      <c r="D3934" s="19" t="s">
        <v>367</v>
      </c>
      <c r="E3934" s="19" t="s">
        <v>368</v>
      </c>
      <c r="F3934" s="19" t="s">
        <v>1604</v>
      </c>
      <c r="G3934" s="19" t="s">
        <v>1008</v>
      </c>
      <c r="H3934" s="19" t="s">
        <v>1001</v>
      </c>
      <c r="I3934" s="19" t="s">
        <v>1575</v>
      </c>
      <c r="J3934" s="20">
        <v>19</v>
      </c>
      <c r="K3934" t="s">
        <v>636</v>
      </c>
      <c r="L3934" t="s">
        <v>737</v>
      </c>
      <c r="M3934" t="s">
        <v>657</v>
      </c>
      <c r="N3934" t="s">
        <v>641</v>
      </c>
      <c r="O3934" t="s">
        <v>738</v>
      </c>
    </row>
    <row r="3935" spans="1:15" x14ac:dyDescent="0.35">
      <c r="A3935" s="77">
        <v>0.12054794520547946</v>
      </c>
      <c r="B3935" s="19">
        <v>100936</v>
      </c>
      <c r="C3935" s="19" t="s">
        <v>6225</v>
      </c>
      <c r="D3935" s="19" t="s">
        <v>118</v>
      </c>
      <c r="E3935" s="19" t="s">
        <v>119</v>
      </c>
      <c r="F3935" s="19" t="s">
        <v>1360</v>
      </c>
      <c r="G3935" s="19" t="s">
        <v>1019</v>
      </c>
      <c r="H3935" s="19" t="s">
        <v>1020</v>
      </c>
      <c r="I3935" s="19" t="s">
        <v>1575</v>
      </c>
      <c r="J3935" s="20">
        <v>21</v>
      </c>
      <c r="K3935" t="s">
        <v>625</v>
      </c>
      <c r="L3935" t="s">
        <v>656</v>
      </c>
      <c r="M3935" t="s">
        <v>657</v>
      </c>
      <c r="N3935" t="s">
        <v>658</v>
      </c>
      <c r="O3935" t="s">
        <v>632</v>
      </c>
    </row>
    <row r="3936" spans="1:15" x14ac:dyDescent="0.35">
      <c r="A3936" s="77">
        <v>0.12054794520547946</v>
      </c>
      <c r="B3936" s="19">
        <v>100937</v>
      </c>
      <c r="C3936" s="19" t="s">
        <v>6226</v>
      </c>
      <c r="D3936" s="19" t="s">
        <v>220</v>
      </c>
      <c r="E3936" s="19" t="s">
        <v>221</v>
      </c>
      <c r="F3936" s="19" t="s">
        <v>2309</v>
      </c>
      <c r="G3936" s="19" t="s">
        <v>1028</v>
      </c>
      <c r="H3936" s="19" t="s">
        <v>1020</v>
      </c>
      <c r="I3936" s="19" t="s">
        <v>1575</v>
      </c>
      <c r="J3936" s="20">
        <v>22</v>
      </c>
      <c r="K3936" t="s">
        <v>668</v>
      </c>
      <c r="L3936" t="s">
        <v>648</v>
      </c>
      <c r="M3936" t="s">
        <v>623</v>
      </c>
      <c r="N3936" t="s">
        <v>624</v>
      </c>
      <c r="O3936" t="s">
        <v>649</v>
      </c>
    </row>
    <row r="3937" spans="1:15" x14ac:dyDescent="0.35">
      <c r="A3937" s="77">
        <v>0.12054794520547946</v>
      </c>
      <c r="B3937" s="19">
        <v>100938</v>
      </c>
      <c r="C3937" s="19" t="s">
        <v>6227</v>
      </c>
      <c r="D3937" s="19" t="s">
        <v>341</v>
      </c>
      <c r="E3937" s="19" t="s">
        <v>342</v>
      </c>
      <c r="F3937" s="19" t="s">
        <v>1264</v>
      </c>
      <c r="G3937" s="19" t="s">
        <v>1028</v>
      </c>
      <c r="H3937" s="19" t="s">
        <v>1020</v>
      </c>
      <c r="I3937" s="19" t="s">
        <v>1575</v>
      </c>
      <c r="J3937" s="20">
        <v>22</v>
      </c>
      <c r="K3937" t="s">
        <v>636</v>
      </c>
      <c r="L3937" t="s">
        <v>678</v>
      </c>
      <c r="M3937" t="s">
        <v>623</v>
      </c>
      <c r="N3937" t="s">
        <v>624</v>
      </c>
      <c r="O3937" t="s">
        <v>679</v>
      </c>
    </row>
    <row r="3938" spans="1:15" x14ac:dyDescent="0.35">
      <c r="A3938" s="77">
        <v>0.12054794520547946</v>
      </c>
      <c r="B3938" s="19">
        <v>100941</v>
      </c>
      <c r="C3938" s="19" t="s">
        <v>6228</v>
      </c>
      <c r="D3938" s="19" t="s">
        <v>151</v>
      </c>
      <c r="E3938" s="19" t="s">
        <v>152</v>
      </c>
      <c r="F3938" s="19" t="s">
        <v>1557</v>
      </c>
      <c r="G3938" s="19" t="s">
        <v>1028</v>
      </c>
      <c r="H3938" s="19" t="s">
        <v>1020</v>
      </c>
      <c r="I3938" s="19" t="s">
        <v>1575</v>
      </c>
      <c r="J3938" s="20">
        <v>24</v>
      </c>
      <c r="K3938" t="s">
        <v>654</v>
      </c>
      <c r="L3938" t="s">
        <v>691</v>
      </c>
      <c r="M3938" t="s">
        <v>657</v>
      </c>
      <c r="N3938" t="s">
        <v>658</v>
      </c>
      <c r="O3938" t="s">
        <v>632</v>
      </c>
    </row>
    <row r="3939" spans="1:15" x14ac:dyDescent="0.35">
      <c r="A3939" s="77">
        <v>0.12054794520547946</v>
      </c>
      <c r="B3939" s="19">
        <v>100942</v>
      </c>
      <c r="C3939" s="19" t="s">
        <v>6229</v>
      </c>
      <c r="D3939" s="19" t="s">
        <v>411</v>
      </c>
      <c r="E3939" s="19" t="s">
        <v>412</v>
      </c>
      <c r="F3939" s="19" t="s">
        <v>1225</v>
      </c>
      <c r="G3939" s="19" t="s">
        <v>1028</v>
      </c>
      <c r="H3939" s="19" t="s">
        <v>1020</v>
      </c>
      <c r="I3939" s="19" t="s">
        <v>1599</v>
      </c>
      <c r="J3939" s="20">
        <v>22</v>
      </c>
      <c r="K3939" t="s">
        <v>636</v>
      </c>
      <c r="L3939" t="s">
        <v>691</v>
      </c>
      <c r="M3939" t="s">
        <v>657</v>
      </c>
      <c r="N3939" t="s">
        <v>658</v>
      </c>
      <c r="O3939" t="s">
        <v>632</v>
      </c>
    </row>
    <row r="3940" spans="1:15" x14ac:dyDescent="0.35">
      <c r="A3940" s="77">
        <v>0.12054794520547946</v>
      </c>
      <c r="B3940" s="19">
        <v>100943</v>
      </c>
      <c r="C3940" s="19" t="s">
        <v>6230</v>
      </c>
      <c r="D3940" s="19" t="s">
        <v>411</v>
      </c>
      <c r="E3940" s="19" t="s">
        <v>412</v>
      </c>
      <c r="F3940" s="19" t="s">
        <v>1225</v>
      </c>
      <c r="G3940" s="19" t="s">
        <v>1057</v>
      </c>
      <c r="H3940" s="19" t="s">
        <v>1001</v>
      </c>
      <c r="I3940" s="19" t="s">
        <v>1599</v>
      </c>
      <c r="J3940" s="20">
        <v>21</v>
      </c>
      <c r="K3940" t="s">
        <v>636</v>
      </c>
      <c r="L3940" t="s">
        <v>691</v>
      </c>
      <c r="M3940" t="s">
        <v>657</v>
      </c>
      <c r="N3940" t="s">
        <v>658</v>
      </c>
      <c r="O3940" t="s">
        <v>632</v>
      </c>
    </row>
    <row r="3941" spans="1:15" x14ac:dyDescent="0.35">
      <c r="A3941" s="77">
        <v>0.12328767123287671</v>
      </c>
      <c r="B3941" s="19">
        <v>100945</v>
      </c>
      <c r="C3941" s="19" t="s">
        <v>6231</v>
      </c>
      <c r="D3941" s="19" t="s">
        <v>91</v>
      </c>
      <c r="E3941" s="19" t="s">
        <v>92</v>
      </c>
      <c r="F3941" s="19" t="s">
        <v>1113</v>
      </c>
      <c r="G3941" s="19" t="s">
        <v>1028</v>
      </c>
      <c r="H3941" s="19" t="s">
        <v>1020</v>
      </c>
      <c r="I3941" s="19" t="s">
        <v>1575</v>
      </c>
      <c r="J3941" s="20">
        <v>21</v>
      </c>
      <c r="K3941" t="s">
        <v>636</v>
      </c>
      <c r="L3941" t="s">
        <v>634</v>
      </c>
      <c r="M3941" t="s">
        <v>629</v>
      </c>
      <c r="N3941" t="s">
        <v>630</v>
      </c>
      <c r="O3941" t="s">
        <v>734</v>
      </c>
    </row>
    <row r="3942" spans="1:15" x14ac:dyDescent="0.35">
      <c r="A3942" s="77">
        <v>0.12328767123287671</v>
      </c>
      <c r="B3942" s="19">
        <v>100946</v>
      </c>
      <c r="C3942" s="19" t="s">
        <v>6232</v>
      </c>
      <c r="D3942" s="19" t="s">
        <v>247</v>
      </c>
      <c r="E3942" s="19" t="s">
        <v>248</v>
      </c>
      <c r="F3942" s="19" t="s">
        <v>1726</v>
      </c>
      <c r="G3942" s="19" t="s">
        <v>1028</v>
      </c>
      <c r="H3942" s="19" t="s">
        <v>1020</v>
      </c>
      <c r="I3942" s="19" t="s">
        <v>1575</v>
      </c>
      <c r="J3942" s="20">
        <v>26</v>
      </c>
      <c r="K3942" t="s">
        <v>668</v>
      </c>
      <c r="L3942" t="s">
        <v>634</v>
      </c>
      <c r="M3942" t="s">
        <v>629</v>
      </c>
      <c r="N3942" t="s">
        <v>635</v>
      </c>
      <c r="O3942" t="s">
        <v>637</v>
      </c>
    </row>
    <row r="3943" spans="1:15" x14ac:dyDescent="0.35">
      <c r="A3943" s="77">
        <v>0.12328767123287671</v>
      </c>
      <c r="B3943" s="19">
        <v>100947</v>
      </c>
      <c r="C3943" s="19" t="s">
        <v>6233</v>
      </c>
      <c r="D3943" s="19" t="s">
        <v>43</v>
      </c>
      <c r="E3943" s="19" t="s">
        <v>44</v>
      </c>
      <c r="F3943" s="19" t="s">
        <v>2355</v>
      </c>
      <c r="G3943" s="19" t="s">
        <v>1028</v>
      </c>
      <c r="H3943" s="19" t="s">
        <v>1020</v>
      </c>
      <c r="I3943" s="19" t="s">
        <v>1575</v>
      </c>
      <c r="J3943" s="20">
        <v>20</v>
      </c>
      <c r="K3943" t="s">
        <v>654</v>
      </c>
      <c r="L3943" t="s">
        <v>634</v>
      </c>
      <c r="M3943" t="s">
        <v>629</v>
      </c>
      <c r="N3943" t="s">
        <v>635</v>
      </c>
      <c r="O3943" t="s">
        <v>637</v>
      </c>
    </row>
    <row r="3944" spans="1:15" x14ac:dyDescent="0.35">
      <c r="A3944" s="77">
        <v>0.12328767123287671</v>
      </c>
      <c r="B3944" s="19">
        <v>100949</v>
      </c>
      <c r="C3944" s="19" t="s">
        <v>6234</v>
      </c>
      <c r="D3944" s="19" t="s">
        <v>397</v>
      </c>
      <c r="E3944" s="19" t="s">
        <v>398</v>
      </c>
      <c r="F3944" s="19" t="s">
        <v>867</v>
      </c>
      <c r="G3944" s="19" t="s">
        <v>3508</v>
      </c>
      <c r="H3944" s="19" t="s">
        <v>1020</v>
      </c>
      <c r="I3944" s="19" t="s">
        <v>1599</v>
      </c>
      <c r="J3944" s="20">
        <v>17</v>
      </c>
      <c r="K3944" t="s">
        <v>625</v>
      </c>
      <c r="L3944" t="s">
        <v>634</v>
      </c>
      <c r="M3944" t="s">
        <v>629</v>
      </c>
      <c r="N3944" t="s">
        <v>635</v>
      </c>
      <c r="O3944" t="s">
        <v>637</v>
      </c>
    </row>
    <row r="3945" spans="1:15" x14ac:dyDescent="0.35">
      <c r="A3945" s="77">
        <v>0.12054794520547946</v>
      </c>
      <c r="B3945" s="19">
        <v>100952</v>
      </c>
      <c r="C3945" s="19" t="s">
        <v>6235</v>
      </c>
      <c r="D3945" s="19" t="s">
        <v>26</v>
      </c>
      <c r="E3945" s="19" t="s">
        <v>26</v>
      </c>
      <c r="F3945" s="19" t="s">
        <v>1124</v>
      </c>
      <c r="G3945" s="19" t="s">
        <v>1057</v>
      </c>
      <c r="H3945" s="19" t="s">
        <v>1001</v>
      </c>
      <c r="I3945" s="19" t="s">
        <v>1575</v>
      </c>
      <c r="J3945" s="20">
        <v>26</v>
      </c>
      <c r="K3945" t="s">
        <v>636</v>
      </c>
      <c r="L3945" t="s">
        <v>666</v>
      </c>
      <c r="M3945" t="s">
        <v>629</v>
      </c>
      <c r="N3945" t="s">
        <v>635</v>
      </c>
      <c r="O3945" t="s">
        <v>637</v>
      </c>
    </row>
    <row r="3946" spans="1:15" x14ac:dyDescent="0.35">
      <c r="A3946" s="77">
        <v>0.11780821917808219</v>
      </c>
      <c r="B3946" s="19">
        <v>100954</v>
      </c>
      <c r="C3946" s="19" t="s">
        <v>2720</v>
      </c>
      <c r="D3946" s="19" t="s">
        <v>262</v>
      </c>
      <c r="E3946" s="19" t="s">
        <v>263</v>
      </c>
      <c r="F3946" s="19" t="s">
        <v>2336</v>
      </c>
      <c r="G3946" s="19" t="s">
        <v>1028</v>
      </c>
      <c r="H3946" s="19" t="s">
        <v>1020</v>
      </c>
      <c r="I3946" s="19" t="s">
        <v>1575</v>
      </c>
      <c r="J3946" s="20">
        <v>19</v>
      </c>
      <c r="K3946" t="s">
        <v>668</v>
      </c>
      <c r="L3946" t="s">
        <v>663</v>
      </c>
      <c r="M3946" t="s">
        <v>629</v>
      </c>
      <c r="N3946" t="s">
        <v>646</v>
      </c>
      <c r="O3946" t="s">
        <v>810</v>
      </c>
    </row>
    <row r="3947" spans="1:15" x14ac:dyDescent="0.35">
      <c r="A3947" s="77">
        <v>0.11780821917808219</v>
      </c>
      <c r="B3947" s="19">
        <v>100956</v>
      </c>
      <c r="C3947" s="19" t="s">
        <v>6236</v>
      </c>
      <c r="D3947" s="19" t="s">
        <v>201</v>
      </c>
      <c r="E3947" s="19" t="s">
        <v>202</v>
      </c>
      <c r="F3947" s="19" t="s">
        <v>1061</v>
      </c>
      <c r="G3947" s="19" t="s">
        <v>1028</v>
      </c>
      <c r="H3947" s="19" t="s">
        <v>1020</v>
      </c>
      <c r="I3947" s="19" t="s">
        <v>1575</v>
      </c>
      <c r="J3947" s="20">
        <v>24</v>
      </c>
      <c r="K3947" t="s">
        <v>631</v>
      </c>
      <c r="L3947" t="s">
        <v>628</v>
      </c>
      <c r="M3947" t="s">
        <v>629</v>
      </c>
      <c r="N3947" t="s">
        <v>630</v>
      </c>
      <c r="O3947" t="s">
        <v>784</v>
      </c>
    </row>
    <row r="3948" spans="1:15" x14ac:dyDescent="0.35">
      <c r="A3948" s="77">
        <v>0.11780821917808219</v>
      </c>
      <c r="B3948" s="19">
        <v>100958</v>
      </c>
      <c r="C3948" s="19" t="s">
        <v>6237</v>
      </c>
      <c r="D3948" s="19" t="s">
        <v>211</v>
      </c>
      <c r="E3948" s="19" t="s">
        <v>212</v>
      </c>
      <c r="F3948" s="19" t="s">
        <v>1049</v>
      </c>
      <c r="G3948" s="19" t="s">
        <v>1028</v>
      </c>
      <c r="H3948" s="19" t="s">
        <v>1020</v>
      </c>
      <c r="I3948" s="19" t="s">
        <v>1575</v>
      </c>
      <c r="J3948" s="20">
        <v>22</v>
      </c>
      <c r="K3948" t="s">
        <v>654</v>
      </c>
      <c r="L3948" t="s">
        <v>691</v>
      </c>
      <c r="M3948" t="s">
        <v>657</v>
      </c>
      <c r="N3948" t="s">
        <v>658</v>
      </c>
      <c r="O3948" t="s">
        <v>632</v>
      </c>
    </row>
    <row r="3949" spans="1:15" x14ac:dyDescent="0.35">
      <c r="A3949" s="77">
        <v>0.11780821917808219</v>
      </c>
      <c r="B3949" s="19">
        <v>100959</v>
      </c>
      <c r="C3949" s="19" t="s">
        <v>6238</v>
      </c>
      <c r="D3949" s="19" t="s">
        <v>280</v>
      </c>
      <c r="E3949" s="19" t="s">
        <v>281</v>
      </c>
      <c r="F3949" s="19" t="s">
        <v>1223</v>
      </c>
      <c r="G3949" s="19" t="s">
        <v>1028</v>
      </c>
      <c r="H3949" s="19" t="s">
        <v>1020</v>
      </c>
      <c r="I3949" s="19" t="s">
        <v>1575</v>
      </c>
      <c r="J3949" s="20">
        <v>19</v>
      </c>
      <c r="K3949" t="s">
        <v>631</v>
      </c>
      <c r="L3949" t="s">
        <v>691</v>
      </c>
      <c r="M3949" t="s">
        <v>657</v>
      </c>
      <c r="N3949" t="s">
        <v>658</v>
      </c>
      <c r="O3949" t="s">
        <v>632</v>
      </c>
    </row>
    <row r="3950" spans="1:15" x14ac:dyDescent="0.35">
      <c r="A3950" s="77">
        <v>0.11780821917808219</v>
      </c>
      <c r="B3950" s="19">
        <v>100960</v>
      </c>
      <c r="C3950" s="19" t="s">
        <v>6239</v>
      </c>
      <c r="D3950" s="19" t="s">
        <v>211</v>
      </c>
      <c r="E3950" s="19" t="s">
        <v>212</v>
      </c>
      <c r="F3950" s="19" t="s">
        <v>1049</v>
      </c>
      <c r="G3950" s="19" t="s">
        <v>1028</v>
      </c>
      <c r="H3950" s="19" t="s">
        <v>1020</v>
      </c>
      <c r="I3950" s="19" t="s">
        <v>1575</v>
      </c>
      <c r="J3950" s="20">
        <v>23</v>
      </c>
      <c r="K3950" t="s">
        <v>654</v>
      </c>
      <c r="L3950" t="s">
        <v>691</v>
      </c>
      <c r="M3950" t="s">
        <v>657</v>
      </c>
      <c r="N3950" t="s">
        <v>658</v>
      </c>
      <c r="O3950" t="s">
        <v>632</v>
      </c>
    </row>
    <row r="3951" spans="1:15" x14ac:dyDescent="0.35">
      <c r="A3951" s="77">
        <v>0.11780821917808219</v>
      </c>
      <c r="B3951" s="19">
        <v>100961</v>
      </c>
      <c r="C3951" s="19" t="s">
        <v>6240</v>
      </c>
      <c r="D3951" s="19" t="s">
        <v>211</v>
      </c>
      <c r="E3951" s="19" t="s">
        <v>212</v>
      </c>
      <c r="F3951" s="19" t="s">
        <v>1049</v>
      </c>
      <c r="G3951" s="19" t="s">
        <v>1028</v>
      </c>
      <c r="H3951" s="19" t="s">
        <v>1020</v>
      </c>
      <c r="I3951" s="19" t="s">
        <v>1599</v>
      </c>
      <c r="J3951" s="20">
        <v>18</v>
      </c>
      <c r="K3951" t="s">
        <v>654</v>
      </c>
      <c r="L3951" t="s">
        <v>691</v>
      </c>
      <c r="M3951" t="s">
        <v>657</v>
      </c>
      <c r="N3951" t="s">
        <v>658</v>
      </c>
      <c r="O3951" t="s">
        <v>632</v>
      </c>
    </row>
    <row r="3952" spans="1:15" x14ac:dyDescent="0.35">
      <c r="A3952" s="77">
        <v>0.11780821917808219</v>
      </c>
      <c r="B3952" s="19">
        <v>100962</v>
      </c>
      <c r="C3952" s="19" t="s">
        <v>6241</v>
      </c>
      <c r="D3952" s="19" t="s">
        <v>211</v>
      </c>
      <c r="E3952" s="19" t="s">
        <v>212</v>
      </c>
      <c r="F3952" s="19" t="s">
        <v>1049</v>
      </c>
      <c r="G3952" s="19" t="s">
        <v>1028</v>
      </c>
      <c r="H3952" s="19" t="s">
        <v>1020</v>
      </c>
      <c r="I3952" s="19" t="s">
        <v>1575</v>
      </c>
      <c r="J3952" s="20">
        <v>18</v>
      </c>
      <c r="K3952" t="s">
        <v>654</v>
      </c>
      <c r="L3952" t="s">
        <v>691</v>
      </c>
      <c r="M3952" t="s">
        <v>657</v>
      </c>
      <c r="N3952" t="s">
        <v>658</v>
      </c>
      <c r="O3952" t="s">
        <v>632</v>
      </c>
    </row>
    <row r="3953" spans="1:15" x14ac:dyDescent="0.35">
      <c r="A3953" s="77">
        <v>0.11780821917808219</v>
      </c>
      <c r="B3953" s="19">
        <v>100964</v>
      </c>
      <c r="C3953" s="19" t="s">
        <v>6242</v>
      </c>
      <c r="D3953" s="19" t="s">
        <v>211</v>
      </c>
      <c r="E3953" s="19" t="s">
        <v>212</v>
      </c>
      <c r="F3953" s="19" t="s">
        <v>1049</v>
      </c>
      <c r="G3953" s="19" t="s">
        <v>1028</v>
      </c>
      <c r="H3953" s="19" t="s">
        <v>1020</v>
      </c>
      <c r="I3953" s="19" t="s">
        <v>1575</v>
      </c>
      <c r="J3953" s="20">
        <v>21</v>
      </c>
      <c r="K3953" t="s">
        <v>654</v>
      </c>
      <c r="L3953" t="s">
        <v>691</v>
      </c>
      <c r="M3953" t="s">
        <v>657</v>
      </c>
      <c r="N3953" t="s">
        <v>658</v>
      </c>
      <c r="O3953" t="s">
        <v>632</v>
      </c>
    </row>
    <row r="3954" spans="1:15" x14ac:dyDescent="0.35">
      <c r="A3954" s="77">
        <v>0.11780821917808219</v>
      </c>
      <c r="B3954" s="19">
        <v>100965</v>
      </c>
      <c r="C3954" s="19" t="s">
        <v>6243</v>
      </c>
      <c r="D3954" s="19" t="s">
        <v>211</v>
      </c>
      <c r="E3954" s="19" t="s">
        <v>212</v>
      </c>
      <c r="F3954" s="19" t="s">
        <v>1049</v>
      </c>
      <c r="G3954" s="19" t="s">
        <v>1028</v>
      </c>
      <c r="H3954" s="19" t="s">
        <v>1020</v>
      </c>
      <c r="I3954" s="19" t="s">
        <v>1575</v>
      </c>
      <c r="J3954" s="20">
        <v>19</v>
      </c>
      <c r="K3954" t="s">
        <v>654</v>
      </c>
      <c r="L3954" t="s">
        <v>691</v>
      </c>
      <c r="M3954" t="s">
        <v>657</v>
      </c>
      <c r="N3954" t="s">
        <v>658</v>
      </c>
      <c r="O3954" t="s">
        <v>632</v>
      </c>
    </row>
    <row r="3955" spans="1:15" x14ac:dyDescent="0.35">
      <c r="A3955" s="77">
        <v>0.11780821917808219</v>
      </c>
      <c r="B3955" s="19">
        <v>100966</v>
      </c>
      <c r="C3955" s="19" t="s">
        <v>6244</v>
      </c>
      <c r="D3955" s="19" t="s">
        <v>113</v>
      </c>
      <c r="E3955" s="19" t="s">
        <v>114</v>
      </c>
      <c r="F3955" s="19" t="s">
        <v>1871</v>
      </c>
      <c r="G3955" s="19" t="s">
        <v>1028</v>
      </c>
      <c r="H3955" s="19" t="s">
        <v>1020</v>
      </c>
      <c r="I3955" s="19" t="s">
        <v>1575</v>
      </c>
      <c r="J3955" s="20">
        <v>22</v>
      </c>
      <c r="K3955" t="s">
        <v>654</v>
      </c>
      <c r="L3955" t="s">
        <v>661</v>
      </c>
      <c r="M3955" t="s">
        <v>657</v>
      </c>
      <c r="N3955" t="s">
        <v>662</v>
      </c>
      <c r="O3955" t="s">
        <v>632</v>
      </c>
    </row>
    <row r="3956" spans="1:15" x14ac:dyDescent="0.35">
      <c r="A3956" s="77">
        <v>0.11780821917808219</v>
      </c>
      <c r="B3956" s="19">
        <v>100968</v>
      </c>
      <c r="C3956" s="19" t="s">
        <v>6245</v>
      </c>
      <c r="D3956" s="19" t="s">
        <v>377</v>
      </c>
      <c r="E3956" s="19" t="s">
        <v>378</v>
      </c>
      <c r="F3956" s="19" t="s">
        <v>862</v>
      </c>
      <c r="G3956" s="19" t="s">
        <v>1019</v>
      </c>
      <c r="H3956" s="19" t="s">
        <v>1020</v>
      </c>
      <c r="I3956" s="19" t="s">
        <v>1575</v>
      </c>
      <c r="J3956" s="20">
        <v>19</v>
      </c>
      <c r="K3956" t="s">
        <v>631</v>
      </c>
      <c r="L3956" t="s">
        <v>661</v>
      </c>
      <c r="M3956" t="s">
        <v>657</v>
      </c>
      <c r="N3956" t="s">
        <v>662</v>
      </c>
      <c r="O3956" t="s">
        <v>632</v>
      </c>
    </row>
    <row r="3957" spans="1:15" x14ac:dyDescent="0.35">
      <c r="A3957" s="77">
        <v>0.11780821917808219</v>
      </c>
      <c r="B3957" s="19">
        <v>100970</v>
      </c>
      <c r="C3957" s="19" t="s">
        <v>6246</v>
      </c>
      <c r="D3957" s="19" t="s">
        <v>208</v>
      </c>
      <c r="E3957" s="19" t="s">
        <v>209</v>
      </c>
      <c r="F3957" s="19" t="s">
        <v>1444</v>
      </c>
      <c r="G3957" s="19" t="s">
        <v>1008</v>
      </c>
      <c r="H3957" s="19" t="s">
        <v>1001</v>
      </c>
      <c r="I3957" s="19" t="s">
        <v>1575</v>
      </c>
      <c r="J3957" s="20">
        <v>23</v>
      </c>
      <c r="K3957" t="s">
        <v>636</v>
      </c>
      <c r="L3957" t="s">
        <v>640</v>
      </c>
      <c r="M3957" t="s">
        <v>623</v>
      </c>
      <c r="N3957" t="s">
        <v>624</v>
      </c>
      <c r="O3957" t="s">
        <v>787</v>
      </c>
    </row>
    <row r="3958" spans="1:15" x14ac:dyDescent="0.35">
      <c r="A3958" s="77">
        <v>0.11780821917808219</v>
      </c>
      <c r="B3958" s="19">
        <v>100972</v>
      </c>
      <c r="C3958" s="19" t="s">
        <v>6247</v>
      </c>
      <c r="D3958" s="19" t="s">
        <v>189</v>
      </c>
      <c r="E3958" s="19" t="s">
        <v>190</v>
      </c>
      <c r="F3958" s="19" t="s">
        <v>1369</v>
      </c>
      <c r="G3958" s="19" t="s">
        <v>1008</v>
      </c>
      <c r="H3958" s="19" t="s">
        <v>1001</v>
      </c>
      <c r="I3958" s="19" t="s">
        <v>1575</v>
      </c>
      <c r="J3958" s="20">
        <v>22</v>
      </c>
      <c r="K3958" t="s">
        <v>654</v>
      </c>
      <c r="L3958" t="s">
        <v>640</v>
      </c>
      <c r="M3958" t="s">
        <v>623</v>
      </c>
      <c r="N3958" t="s">
        <v>641</v>
      </c>
      <c r="O3958" t="s">
        <v>754</v>
      </c>
    </row>
    <row r="3959" spans="1:15" x14ac:dyDescent="0.35">
      <c r="A3959" s="77">
        <v>0.11780821917808219</v>
      </c>
      <c r="B3959" s="19">
        <v>100973</v>
      </c>
      <c r="C3959" s="19" t="s">
        <v>6248</v>
      </c>
      <c r="D3959" s="19" t="s">
        <v>302</v>
      </c>
      <c r="E3959" s="19" t="s">
        <v>303</v>
      </c>
      <c r="F3959" s="19" t="s">
        <v>1053</v>
      </c>
      <c r="G3959" s="19" t="s">
        <v>1028</v>
      </c>
      <c r="H3959" s="19" t="s">
        <v>1020</v>
      </c>
      <c r="I3959" s="19" t="s">
        <v>1575</v>
      </c>
      <c r="J3959" s="20">
        <v>23</v>
      </c>
      <c r="K3959" t="s">
        <v>668</v>
      </c>
      <c r="L3959" t="s">
        <v>737</v>
      </c>
      <c r="M3959" t="s">
        <v>657</v>
      </c>
      <c r="N3959" t="s">
        <v>641</v>
      </c>
      <c r="O3959" t="s">
        <v>738</v>
      </c>
    </row>
    <row r="3960" spans="1:15" x14ac:dyDescent="0.35">
      <c r="A3960" s="77">
        <v>0.11780821917808219</v>
      </c>
      <c r="B3960" s="19">
        <v>100974</v>
      </c>
      <c r="C3960" s="19" t="s">
        <v>6249</v>
      </c>
      <c r="D3960" s="19" t="s">
        <v>13</v>
      </c>
      <c r="E3960" s="19" t="s">
        <v>13</v>
      </c>
      <c r="F3960" s="19" t="s">
        <v>1467</v>
      </c>
      <c r="G3960" s="19" t="s">
        <v>1057</v>
      </c>
      <c r="H3960" s="19" t="s">
        <v>1001</v>
      </c>
      <c r="I3960" s="19" t="s">
        <v>1575</v>
      </c>
      <c r="J3960" s="20">
        <v>28</v>
      </c>
      <c r="K3960" t="s">
        <v>631</v>
      </c>
      <c r="L3960" t="s">
        <v>628</v>
      </c>
      <c r="M3960" t="s">
        <v>629</v>
      </c>
      <c r="N3960" t="s">
        <v>630</v>
      </c>
      <c r="O3960" t="s">
        <v>639</v>
      </c>
    </row>
    <row r="3961" spans="1:15" x14ac:dyDescent="0.35">
      <c r="A3961" s="77">
        <v>0.1095890410958904</v>
      </c>
      <c r="B3961" s="19">
        <v>100980</v>
      </c>
      <c r="C3961" s="19" t="s">
        <v>6250</v>
      </c>
      <c r="D3961" s="19" t="s">
        <v>347</v>
      </c>
      <c r="E3961" s="19" t="s">
        <v>348</v>
      </c>
      <c r="F3961" s="19" t="s">
        <v>910</v>
      </c>
      <c r="G3961" s="19" t="s">
        <v>1028</v>
      </c>
      <c r="H3961" s="19" t="s">
        <v>1020</v>
      </c>
      <c r="I3961" s="19" t="s">
        <v>1575</v>
      </c>
      <c r="J3961" s="20">
        <v>21</v>
      </c>
      <c r="K3961" t="s">
        <v>654</v>
      </c>
      <c r="L3961" t="s">
        <v>707</v>
      </c>
      <c r="M3961" t="s">
        <v>629</v>
      </c>
      <c r="N3961" t="s">
        <v>635</v>
      </c>
      <c r="O3961" t="s">
        <v>710</v>
      </c>
    </row>
    <row r="3962" spans="1:15" x14ac:dyDescent="0.35">
      <c r="A3962" s="77">
        <v>0.1095890410958904</v>
      </c>
      <c r="B3962" s="19">
        <v>100982</v>
      </c>
      <c r="C3962" s="19" t="s">
        <v>6251</v>
      </c>
      <c r="D3962" s="19" t="s">
        <v>204</v>
      </c>
      <c r="E3962" s="19" t="s">
        <v>205</v>
      </c>
      <c r="F3962" s="19" t="s">
        <v>1090</v>
      </c>
      <c r="G3962" s="19" t="s">
        <v>1019</v>
      </c>
      <c r="H3962" s="19" t="s">
        <v>1020</v>
      </c>
      <c r="I3962" s="19" t="s">
        <v>1575</v>
      </c>
      <c r="J3962" s="20">
        <v>23</v>
      </c>
      <c r="K3962" t="s">
        <v>668</v>
      </c>
      <c r="L3962" t="s">
        <v>634</v>
      </c>
      <c r="M3962" t="s">
        <v>629</v>
      </c>
      <c r="N3962" t="s">
        <v>635</v>
      </c>
      <c r="O3962" t="s">
        <v>637</v>
      </c>
    </row>
    <row r="3963" spans="1:15" x14ac:dyDescent="0.35">
      <c r="A3963" s="77">
        <v>0.1095890410958904</v>
      </c>
      <c r="B3963" s="19">
        <v>100983</v>
      </c>
      <c r="C3963" s="19" t="s">
        <v>6252</v>
      </c>
      <c r="D3963" s="19" t="s">
        <v>293</v>
      </c>
      <c r="E3963" s="19" t="s">
        <v>294</v>
      </c>
      <c r="F3963" s="19" t="s">
        <v>1794</v>
      </c>
      <c r="G3963" s="19" t="s">
        <v>1028</v>
      </c>
      <c r="H3963" s="19" t="s">
        <v>1020</v>
      </c>
      <c r="I3963" s="19" t="s">
        <v>1575</v>
      </c>
      <c r="J3963" s="20">
        <v>38</v>
      </c>
      <c r="K3963" t="s">
        <v>654</v>
      </c>
      <c r="L3963" t="s">
        <v>634</v>
      </c>
      <c r="M3963" t="s">
        <v>629</v>
      </c>
      <c r="N3963" t="s">
        <v>635</v>
      </c>
      <c r="O3963" t="s">
        <v>637</v>
      </c>
    </row>
    <row r="3964" spans="1:15" x14ac:dyDescent="0.35">
      <c r="A3964" s="77">
        <v>0.1095890410958904</v>
      </c>
      <c r="B3964" s="19">
        <v>100984</v>
      </c>
      <c r="C3964" s="19" t="s">
        <v>6253</v>
      </c>
      <c r="D3964" s="19" t="s">
        <v>409</v>
      </c>
      <c r="E3964" s="19" t="s">
        <v>410</v>
      </c>
      <c r="F3964" s="19" t="s">
        <v>874</v>
      </c>
      <c r="G3964" s="19" t="s">
        <v>1028</v>
      </c>
      <c r="H3964" s="19" t="s">
        <v>1020</v>
      </c>
      <c r="I3964" s="19" t="s">
        <v>1575</v>
      </c>
      <c r="J3964" s="20">
        <v>23</v>
      </c>
      <c r="K3964" t="s">
        <v>631</v>
      </c>
      <c r="L3964" t="s">
        <v>666</v>
      </c>
      <c r="M3964" t="s">
        <v>629</v>
      </c>
      <c r="N3964" t="s">
        <v>635</v>
      </c>
      <c r="O3964" t="s">
        <v>637</v>
      </c>
    </row>
    <row r="3965" spans="1:15" x14ac:dyDescent="0.35">
      <c r="A3965" s="77">
        <v>0.1095890410958904</v>
      </c>
      <c r="B3965" s="19">
        <v>100985</v>
      </c>
      <c r="C3965" s="19" t="s">
        <v>6254</v>
      </c>
      <c r="D3965" s="19" t="s">
        <v>284</v>
      </c>
      <c r="E3965" s="19" t="s">
        <v>285</v>
      </c>
      <c r="F3965" s="19" t="s">
        <v>1150</v>
      </c>
      <c r="G3965" s="19" t="s">
        <v>1028</v>
      </c>
      <c r="H3965" s="19" t="s">
        <v>1020</v>
      </c>
      <c r="I3965" s="19" t="s">
        <v>1575</v>
      </c>
      <c r="J3965" s="20">
        <v>20</v>
      </c>
      <c r="K3965" t="s">
        <v>625</v>
      </c>
      <c r="L3965" t="s">
        <v>661</v>
      </c>
      <c r="M3965" t="s">
        <v>657</v>
      </c>
      <c r="N3965" t="s">
        <v>662</v>
      </c>
      <c r="O3965" t="s">
        <v>632</v>
      </c>
    </row>
    <row r="3966" spans="1:15" x14ac:dyDescent="0.35">
      <c r="A3966" s="77">
        <v>0.1095890410958904</v>
      </c>
      <c r="B3966" s="19">
        <v>100987</v>
      </c>
      <c r="C3966" s="19" t="s">
        <v>6255</v>
      </c>
      <c r="D3966" s="19" t="s">
        <v>429</v>
      </c>
      <c r="E3966" s="19" t="s">
        <v>429</v>
      </c>
      <c r="F3966" s="19" t="s">
        <v>1240</v>
      </c>
      <c r="G3966" s="19" t="s">
        <v>1008</v>
      </c>
      <c r="H3966" s="19" t="s">
        <v>1001</v>
      </c>
      <c r="I3966" s="19" t="s">
        <v>1575</v>
      </c>
      <c r="J3966" s="20">
        <v>22</v>
      </c>
      <c r="K3966" t="s">
        <v>654</v>
      </c>
      <c r="L3966" t="s">
        <v>678</v>
      </c>
      <c r="M3966" t="s">
        <v>623</v>
      </c>
      <c r="N3966" t="s">
        <v>624</v>
      </c>
      <c r="O3966" t="s">
        <v>679</v>
      </c>
    </row>
    <row r="3967" spans="1:15" x14ac:dyDescent="0.35">
      <c r="A3967" s="77">
        <v>0.1095890410958904</v>
      </c>
      <c r="B3967" s="19">
        <v>100989</v>
      </c>
      <c r="C3967" s="19" t="s">
        <v>6256</v>
      </c>
      <c r="D3967" s="19" t="s">
        <v>318</v>
      </c>
      <c r="E3967" s="19" t="s">
        <v>319</v>
      </c>
      <c r="F3967" s="19" t="s">
        <v>1266</v>
      </c>
      <c r="G3967" s="19" t="s">
        <v>1019</v>
      </c>
      <c r="H3967" s="19" t="s">
        <v>1020</v>
      </c>
      <c r="I3967" s="19" t="s">
        <v>1575</v>
      </c>
      <c r="J3967" s="20">
        <v>18</v>
      </c>
      <c r="K3967" t="s">
        <v>625</v>
      </c>
      <c r="L3967" t="s">
        <v>678</v>
      </c>
      <c r="M3967" t="s">
        <v>623</v>
      </c>
      <c r="N3967" t="s">
        <v>624</v>
      </c>
      <c r="O3967" t="s">
        <v>679</v>
      </c>
    </row>
    <row r="3968" spans="1:15" x14ac:dyDescent="0.35">
      <c r="A3968" s="77">
        <v>0.1095890410958904</v>
      </c>
      <c r="B3968" s="19">
        <v>100991</v>
      </c>
      <c r="C3968" s="19" t="s">
        <v>6257</v>
      </c>
      <c r="D3968" s="19" t="s">
        <v>318</v>
      </c>
      <c r="E3968" s="19" t="s">
        <v>319</v>
      </c>
      <c r="F3968" s="19" t="s">
        <v>1266</v>
      </c>
      <c r="G3968" s="19" t="s">
        <v>1028</v>
      </c>
      <c r="H3968" s="19" t="s">
        <v>1020</v>
      </c>
      <c r="I3968" s="19" t="s">
        <v>1575</v>
      </c>
      <c r="J3968" s="20">
        <v>19</v>
      </c>
      <c r="K3968" t="s">
        <v>625</v>
      </c>
      <c r="L3968" t="s">
        <v>678</v>
      </c>
      <c r="M3968" t="s">
        <v>623</v>
      </c>
      <c r="N3968" t="s">
        <v>624</v>
      </c>
      <c r="O3968" t="s">
        <v>679</v>
      </c>
    </row>
    <row r="3969" spans="1:15" x14ac:dyDescent="0.35">
      <c r="A3969" s="77">
        <v>0.1095890410958904</v>
      </c>
      <c r="B3969" s="19">
        <v>100994</v>
      </c>
      <c r="C3969" s="19" t="s">
        <v>6258</v>
      </c>
      <c r="D3969" s="19" t="s">
        <v>311</v>
      </c>
      <c r="E3969" s="19" t="s">
        <v>312</v>
      </c>
      <c r="F3969" s="19" t="s">
        <v>1140</v>
      </c>
      <c r="G3969" s="19" t="s">
        <v>1028</v>
      </c>
      <c r="H3969" s="19" t="s">
        <v>1020</v>
      </c>
      <c r="I3969" s="19" t="s">
        <v>1575</v>
      </c>
      <c r="J3969" s="20">
        <v>20</v>
      </c>
      <c r="K3969" t="s">
        <v>631</v>
      </c>
      <c r="L3969" t="s">
        <v>628</v>
      </c>
      <c r="M3969" t="s">
        <v>629</v>
      </c>
      <c r="N3969" t="s">
        <v>630</v>
      </c>
      <c r="O3969" t="s">
        <v>632</v>
      </c>
    </row>
    <row r="3970" spans="1:15" x14ac:dyDescent="0.35">
      <c r="A3970" s="77">
        <v>0.1095890410958904</v>
      </c>
      <c r="B3970" s="19">
        <v>100995</v>
      </c>
      <c r="C3970" s="19" t="s">
        <v>6259</v>
      </c>
      <c r="D3970" s="19" t="s">
        <v>322</v>
      </c>
      <c r="E3970" s="19" t="s">
        <v>323</v>
      </c>
      <c r="F3970" s="19" t="s">
        <v>834</v>
      </c>
      <c r="G3970" s="19" t="s">
        <v>1008</v>
      </c>
      <c r="H3970" s="19" t="s">
        <v>1001</v>
      </c>
      <c r="I3970" s="19" t="s">
        <v>1575</v>
      </c>
      <c r="J3970" s="20">
        <v>28</v>
      </c>
      <c r="K3970" t="s">
        <v>668</v>
      </c>
      <c r="L3970" t="s">
        <v>628</v>
      </c>
      <c r="M3970" t="s">
        <v>629</v>
      </c>
      <c r="N3970" t="s">
        <v>630</v>
      </c>
      <c r="O3970" t="s">
        <v>632</v>
      </c>
    </row>
    <row r="3971" spans="1:15" x14ac:dyDescent="0.35">
      <c r="A3971" s="77">
        <v>0.1095890410958904</v>
      </c>
      <c r="B3971" s="19">
        <v>100996</v>
      </c>
      <c r="C3971" s="19" t="s">
        <v>6260</v>
      </c>
      <c r="D3971" s="19" t="s">
        <v>322</v>
      </c>
      <c r="E3971" s="19" t="s">
        <v>323</v>
      </c>
      <c r="F3971" s="19" t="s">
        <v>834</v>
      </c>
      <c r="G3971" s="19" t="s">
        <v>1008</v>
      </c>
      <c r="H3971" s="19" t="s">
        <v>1001</v>
      </c>
      <c r="I3971" s="19" t="s">
        <v>1575</v>
      </c>
      <c r="J3971" s="20">
        <v>24</v>
      </c>
      <c r="K3971" t="s">
        <v>668</v>
      </c>
      <c r="L3971" t="s">
        <v>628</v>
      </c>
      <c r="M3971" t="s">
        <v>629</v>
      </c>
      <c r="N3971" t="s">
        <v>630</v>
      </c>
      <c r="O3971" t="s">
        <v>632</v>
      </c>
    </row>
    <row r="3972" spans="1:15" x14ac:dyDescent="0.35">
      <c r="A3972" s="77">
        <v>0.1095890410958904</v>
      </c>
      <c r="B3972" s="19">
        <v>100997</v>
      </c>
      <c r="C3972" s="19" t="s">
        <v>6261</v>
      </c>
      <c r="D3972" s="19" t="s">
        <v>11</v>
      </c>
      <c r="E3972" s="19" t="s">
        <v>11</v>
      </c>
      <c r="F3972" s="19" t="s">
        <v>627</v>
      </c>
      <c r="G3972" s="19" t="s">
        <v>1008</v>
      </c>
      <c r="H3972" s="19" t="s">
        <v>1001</v>
      </c>
      <c r="I3972" s="19" t="s">
        <v>1575</v>
      </c>
      <c r="J3972" s="20">
        <v>29</v>
      </c>
      <c r="K3972" t="s">
        <v>631</v>
      </c>
      <c r="L3972" t="s">
        <v>628</v>
      </c>
      <c r="M3972" t="s">
        <v>629</v>
      </c>
      <c r="N3972" t="s">
        <v>630</v>
      </c>
      <c r="O3972" t="s">
        <v>632</v>
      </c>
    </row>
    <row r="3973" spans="1:15" x14ac:dyDescent="0.35">
      <c r="A3973" s="77">
        <v>0.1095890410958904</v>
      </c>
      <c r="B3973" s="19">
        <v>100998</v>
      </c>
      <c r="C3973" s="19" t="s">
        <v>6262</v>
      </c>
      <c r="D3973" s="19" t="s">
        <v>161</v>
      </c>
      <c r="E3973" s="19" t="s">
        <v>162</v>
      </c>
      <c r="F3973" s="19" t="s">
        <v>1027</v>
      </c>
      <c r="G3973" s="19" t="s">
        <v>1028</v>
      </c>
      <c r="H3973" s="19" t="s">
        <v>1020</v>
      </c>
      <c r="I3973" s="19" t="s">
        <v>1575</v>
      </c>
      <c r="J3973" s="20">
        <v>24</v>
      </c>
      <c r="K3973" t="s">
        <v>654</v>
      </c>
      <c r="L3973" t="s">
        <v>622</v>
      </c>
      <c r="M3973" t="s">
        <v>623</v>
      </c>
      <c r="N3973" t="s">
        <v>624</v>
      </c>
      <c r="O3973" t="s">
        <v>649</v>
      </c>
    </row>
    <row r="3974" spans="1:15" x14ac:dyDescent="0.35">
      <c r="A3974" s="77">
        <v>0.1095890410958904</v>
      </c>
      <c r="B3974" s="19">
        <v>100999</v>
      </c>
      <c r="C3974" s="19" t="s">
        <v>6263</v>
      </c>
      <c r="D3974" s="19" t="s">
        <v>165</v>
      </c>
      <c r="E3974" s="19" t="s">
        <v>166</v>
      </c>
      <c r="F3974" s="19" t="s">
        <v>1238</v>
      </c>
      <c r="G3974" s="19" t="s">
        <v>1028</v>
      </c>
      <c r="H3974" s="19" t="s">
        <v>1020</v>
      </c>
      <c r="I3974" s="19" t="s">
        <v>1575</v>
      </c>
      <c r="J3974" s="20">
        <v>18</v>
      </c>
      <c r="K3974" t="s">
        <v>636</v>
      </c>
      <c r="L3974" t="s">
        <v>648</v>
      </c>
      <c r="M3974" t="s">
        <v>623</v>
      </c>
      <c r="N3974" t="s">
        <v>624</v>
      </c>
      <c r="O3974" t="s">
        <v>649</v>
      </c>
    </row>
    <row r="3975" spans="1:15" x14ac:dyDescent="0.35">
      <c r="A3975" s="77">
        <v>0.1095890410958904</v>
      </c>
      <c r="B3975" s="19">
        <v>101000</v>
      </c>
      <c r="C3975" s="19" t="s">
        <v>6264</v>
      </c>
      <c r="D3975" s="19" t="s">
        <v>17</v>
      </c>
      <c r="E3975" s="19" t="s">
        <v>17</v>
      </c>
      <c r="F3975" s="19" t="s">
        <v>906</v>
      </c>
      <c r="G3975" s="19" t="s">
        <v>1028</v>
      </c>
      <c r="H3975" s="19" t="s">
        <v>1020</v>
      </c>
      <c r="I3975" s="19" t="s">
        <v>1575</v>
      </c>
      <c r="J3975" s="20">
        <v>24</v>
      </c>
      <c r="K3975" t="s">
        <v>636</v>
      </c>
      <c r="L3975" t="s">
        <v>648</v>
      </c>
      <c r="M3975" t="s">
        <v>623</v>
      </c>
      <c r="N3975" t="s">
        <v>624</v>
      </c>
      <c r="O3975" t="s">
        <v>649</v>
      </c>
    </row>
    <row r="3976" spans="1:15" x14ac:dyDescent="0.35">
      <c r="A3976" s="77">
        <v>0.1095890410958904</v>
      </c>
      <c r="B3976" s="19">
        <v>101001</v>
      </c>
      <c r="C3976" s="19" t="s">
        <v>6265</v>
      </c>
      <c r="D3976" s="19" t="s">
        <v>297</v>
      </c>
      <c r="E3976" s="19" t="s">
        <v>298</v>
      </c>
      <c r="F3976" s="19" t="s">
        <v>904</v>
      </c>
      <c r="G3976" s="19" t="s">
        <v>1028</v>
      </c>
      <c r="H3976" s="19" t="s">
        <v>1020</v>
      </c>
      <c r="I3976" s="19" t="s">
        <v>1575</v>
      </c>
      <c r="J3976" s="20">
        <v>23</v>
      </c>
      <c r="K3976" t="s">
        <v>654</v>
      </c>
      <c r="L3976" t="s">
        <v>762</v>
      </c>
      <c r="M3976" t="s">
        <v>629</v>
      </c>
      <c r="N3976" t="s">
        <v>646</v>
      </c>
      <c r="O3976" t="s">
        <v>823</v>
      </c>
    </row>
    <row r="3977" spans="1:15" x14ac:dyDescent="0.35">
      <c r="A3977" s="77">
        <v>0.1095890410958904</v>
      </c>
      <c r="B3977" s="19">
        <v>101004</v>
      </c>
      <c r="C3977" s="19" t="s">
        <v>6266</v>
      </c>
      <c r="D3977" s="19" t="s">
        <v>155</v>
      </c>
      <c r="E3977" s="19" t="s">
        <v>156</v>
      </c>
      <c r="F3977" s="19" t="s">
        <v>896</v>
      </c>
      <c r="G3977" s="19" t="s">
        <v>1028</v>
      </c>
      <c r="H3977" s="19" t="s">
        <v>1020</v>
      </c>
      <c r="I3977" s="19" t="s">
        <v>1575</v>
      </c>
      <c r="J3977" s="20">
        <v>23</v>
      </c>
      <c r="K3977" t="s">
        <v>636</v>
      </c>
      <c r="L3977" t="s">
        <v>663</v>
      </c>
      <c r="M3977" t="s">
        <v>629</v>
      </c>
      <c r="N3977" t="s">
        <v>646</v>
      </c>
      <c r="O3977" t="s">
        <v>639</v>
      </c>
    </row>
    <row r="3978" spans="1:15" x14ac:dyDescent="0.35">
      <c r="A3978" s="77">
        <v>0.1095890410958904</v>
      </c>
      <c r="B3978" s="19">
        <v>101005</v>
      </c>
      <c r="C3978" s="19" t="s">
        <v>6267</v>
      </c>
      <c r="D3978" s="19" t="s">
        <v>290</v>
      </c>
      <c r="E3978" s="19" t="s">
        <v>291</v>
      </c>
      <c r="F3978" s="19" t="s">
        <v>1182</v>
      </c>
      <c r="G3978" s="19" t="s">
        <v>1019</v>
      </c>
      <c r="H3978" s="19" t="s">
        <v>1020</v>
      </c>
      <c r="I3978" s="19" t="s">
        <v>1575</v>
      </c>
      <c r="J3978" s="20">
        <v>20</v>
      </c>
      <c r="K3978" t="s">
        <v>668</v>
      </c>
      <c r="L3978" t="s">
        <v>663</v>
      </c>
      <c r="M3978" t="s">
        <v>629</v>
      </c>
      <c r="N3978" t="s">
        <v>646</v>
      </c>
      <c r="O3978" t="s">
        <v>639</v>
      </c>
    </row>
    <row r="3979" spans="1:15" x14ac:dyDescent="0.35">
      <c r="A3979" s="77">
        <v>0.1095890410958904</v>
      </c>
      <c r="B3979" s="19">
        <v>101008</v>
      </c>
      <c r="C3979" s="19" t="s">
        <v>6268</v>
      </c>
      <c r="D3979" s="19" t="s">
        <v>51</v>
      </c>
      <c r="E3979" s="19" t="s">
        <v>52</v>
      </c>
      <c r="F3979" s="19" t="s">
        <v>921</v>
      </c>
      <c r="G3979" s="19" t="s">
        <v>1028</v>
      </c>
      <c r="H3979" s="19" t="s">
        <v>1020</v>
      </c>
      <c r="I3979" s="19" t="s">
        <v>1599</v>
      </c>
      <c r="J3979" s="20">
        <v>19</v>
      </c>
      <c r="K3979" t="s">
        <v>636</v>
      </c>
      <c r="L3979" t="s">
        <v>656</v>
      </c>
      <c r="M3979" t="s">
        <v>657</v>
      </c>
      <c r="N3979" t="s">
        <v>658</v>
      </c>
      <c r="O3979" t="s">
        <v>718</v>
      </c>
    </row>
    <row r="3980" spans="1:15" x14ac:dyDescent="0.35">
      <c r="A3980" s="77">
        <v>0.10684931506849316</v>
      </c>
      <c r="B3980" s="19">
        <v>101012</v>
      </c>
      <c r="C3980" s="19" t="s">
        <v>6269</v>
      </c>
      <c r="D3980" s="19" t="s">
        <v>8</v>
      </c>
      <c r="E3980" s="19" t="s">
        <v>8</v>
      </c>
      <c r="F3980" s="19" t="s">
        <v>1176</v>
      </c>
      <c r="G3980" s="19" t="s">
        <v>1028</v>
      </c>
      <c r="H3980" s="19" t="s">
        <v>1020</v>
      </c>
      <c r="I3980" s="19" t="s">
        <v>1575</v>
      </c>
      <c r="J3980" s="20">
        <v>21</v>
      </c>
      <c r="K3980" t="s">
        <v>625</v>
      </c>
      <c r="L3980" t="s">
        <v>622</v>
      </c>
      <c r="M3980" t="s">
        <v>623</v>
      </c>
      <c r="N3980" t="s">
        <v>624</v>
      </c>
      <c r="O3980" t="s">
        <v>626</v>
      </c>
    </row>
    <row r="3981" spans="1:15" x14ac:dyDescent="0.35">
      <c r="A3981" s="77">
        <v>0.10684931506849316</v>
      </c>
      <c r="B3981" s="19">
        <v>101014</v>
      </c>
      <c r="C3981" s="19" t="s">
        <v>6270</v>
      </c>
      <c r="D3981" s="19" t="s">
        <v>151</v>
      </c>
      <c r="E3981" s="19" t="s">
        <v>152</v>
      </c>
      <c r="F3981" s="19" t="s">
        <v>1557</v>
      </c>
      <c r="G3981" s="19" t="s">
        <v>1028</v>
      </c>
      <c r="H3981" s="19" t="s">
        <v>1020</v>
      </c>
      <c r="I3981" s="19" t="s">
        <v>1599</v>
      </c>
      <c r="J3981" s="20">
        <v>18</v>
      </c>
      <c r="K3981" t="s">
        <v>654</v>
      </c>
      <c r="L3981" t="s">
        <v>691</v>
      </c>
      <c r="M3981" t="s">
        <v>657</v>
      </c>
      <c r="N3981" t="s">
        <v>658</v>
      </c>
      <c r="O3981" t="s">
        <v>632</v>
      </c>
    </row>
    <row r="3982" spans="1:15" x14ac:dyDescent="0.35">
      <c r="A3982" s="77">
        <v>0.10684931506849316</v>
      </c>
      <c r="B3982" s="19">
        <v>101015</v>
      </c>
      <c r="C3982" s="19" t="s">
        <v>6271</v>
      </c>
      <c r="D3982" s="19" t="s">
        <v>87</v>
      </c>
      <c r="E3982" s="19" t="s">
        <v>88</v>
      </c>
      <c r="F3982" s="19" t="s">
        <v>1324</v>
      </c>
      <c r="G3982" s="19" t="s">
        <v>1028</v>
      </c>
      <c r="H3982" s="19" t="s">
        <v>1020</v>
      </c>
      <c r="I3982" s="19" t="s">
        <v>1575</v>
      </c>
      <c r="J3982" s="20">
        <v>18</v>
      </c>
      <c r="K3982" t="s">
        <v>642</v>
      </c>
      <c r="L3982" t="s">
        <v>661</v>
      </c>
      <c r="M3982" t="s">
        <v>657</v>
      </c>
      <c r="N3982" t="s">
        <v>662</v>
      </c>
      <c r="O3982" t="s">
        <v>632</v>
      </c>
    </row>
    <row r="3983" spans="1:15" x14ac:dyDescent="0.35">
      <c r="A3983" s="77">
        <v>0.10684931506849316</v>
      </c>
      <c r="B3983" s="19">
        <v>101016</v>
      </c>
      <c r="C3983" s="19" t="s">
        <v>6272</v>
      </c>
      <c r="D3983" s="19" t="s">
        <v>53</v>
      </c>
      <c r="E3983" s="19" t="s">
        <v>54</v>
      </c>
      <c r="F3983" s="19" t="s">
        <v>1308</v>
      </c>
      <c r="G3983" s="19" t="s">
        <v>1028</v>
      </c>
      <c r="H3983" s="19" t="s">
        <v>1020</v>
      </c>
      <c r="I3983" s="19" t="s">
        <v>1575</v>
      </c>
      <c r="J3983" s="20">
        <v>20</v>
      </c>
      <c r="K3983" t="s">
        <v>668</v>
      </c>
      <c r="L3983" t="s">
        <v>691</v>
      </c>
      <c r="M3983" t="s">
        <v>657</v>
      </c>
      <c r="N3983" t="s">
        <v>658</v>
      </c>
      <c r="O3983" t="s">
        <v>632</v>
      </c>
    </row>
    <row r="3984" spans="1:15" x14ac:dyDescent="0.35">
      <c r="A3984" s="77">
        <v>0.10684931506849316</v>
      </c>
      <c r="B3984" s="19">
        <v>101017</v>
      </c>
      <c r="C3984" s="19" t="s">
        <v>6273</v>
      </c>
      <c r="D3984" s="19" t="s">
        <v>382</v>
      </c>
      <c r="E3984" s="19" t="s">
        <v>383</v>
      </c>
      <c r="F3984" s="19" t="s">
        <v>384</v>
      </c>
      <c r="G3984" s="19" t="s">
        <v>1028</v>
      </c>
      <c r="H3984" s="19" t="s">
        <v>1020</v>
      </c>
      <c r="I3984" s="19" t="s">
        <v>1599</v>
      </c>
      <c r="J3984" s="20">
        <v>21</v>
      </c>
      <c r="K3984" t="s">
        <v>636</v>
      </c>
      <c r="L3984" t="s">
        <v>656</v>
      </c>
      <c r="M3984" t="s">
        <v>657</v>
      </c>
      <c r="N3984" t="s">
        <v>658</v>
      </c>
      <c r="O3984" t="s">
        <v>843</v>
      </c>
    </row>
    <row r="3985" spans="1:15" x14ac:dyDescent="0.35">
      <c r="A3985" s="77">
        <v>0.10684931506849316</v>
      </c>
      <c r="B3985" s="19">
        <v>101019</v>
      </c>
      <c r="C3985" s="19" t="s">
        <v>6274</v>
      </c>
      <c r="D3985" s="19" t="s">
        <v>115</v>
      </c>
      <c r="E3985" s="19" t="s">
        <v>116</v>
      </c>
      <c r="F3985" s="19" t="s">
        <v>1383</v>
      </c>
      <c r="G3985" s="19" t="s">
        <v>3508</v>
      </c>
      <c r="H3985" s="19" t="s">
        <v>1020</v>
      </c>
      <c r="I3985" s="19" t="s">
        <v>1575</v>
      </c>
      <c r="J3985" s="20">
        <v>16</v>
      </c>
      <c r="K3985" t="s">
        <v>631</v>
      </c>
      <c r="L3985" t="s">
        <v>670</v>
      </c>
      <c r="M3985" t="s">
        <v>657</v>
      </c>
      <c r="N3985" t="s">
        <v>641</v>
      </c>
      <c r="O3985" t="s">
        <v>671</v>
      </c>
    </row>
    <row r="3986" spans="1:15" x14ac:dyDescent="0.35">
      <c r="A3986" s="77">
        <v>0.10684931506849316</v>
      </c>
      <c r="B3986" s="19">
        <v>101020</v>
      </c>
      <c r="C3986" s="19" t="s">
        <v>6275</v>
      </c>
      <c r="D3986" s="19" t="s">
        <v>175</v>
      </c>
      <c r="E3986" s="19" t="s">
        <v>176</v>
      </c>
      <c r="F3986" s="19" t="s">
        <v>1538</v>
      </c>
      <c r="G3986" s="19" t="s">
        <v>1028</v>
      </c>
      <c r="H3986" s="19" t="s">
        <v>1020</v>
      </c>
      <c r="I3986" s="19" t="s">
        <v>1575</v>
      </c>
      <c r="J3986" s="20">
        <v>21</v>
      </c>
      <c r="K3986" t="s">
        <v>668</v>
      </c>
      <c r="L3986" t="s">
        <v>707</v>
      </c>
      <c r="M3986" t="s">
        <v>629</v>
      </c>
      <c r="N3986" t="s">
        <v>635</v>
      </c>
      <c r="O3986" t="s">
        <v>710</v>
      </c>
    </row>
    <row r="3987" spans="1:15" x14ac:dyDescent="0.35">
      <c r="A3987" s="77">
        <v>0.10684931506849316</v>
      </c>
      <c r="B3987" s="19">
        <v>101021</v>
      </c>
      <c r="C3987" s="19" t="s">
        <v>6276</v>
      </c>
      <c r="D3987" s="19" t="s">
        <v>109</v>
      </c>
      <c r="E3987" s="19" t="s">
        <v>110</v>
      </c>
      <c r="F3987" s="19" t="s">
        <v>2347</v>
      </c>
      <c r="G3987" s="19" t="s">
        <v>1008</v>
      </c>
      <c r="H3987" s="19" t="s">
        <v>1001</v>
      </c>
      <c r="I3987" s="19" t="s">
        <v>1599</v>
      </c>
      <c r="J3987" s="20">
        <v>19</v>
      </c>
      <c r="K3987" t="s">
        <v>654</v>
      </c>
      <c r="L3987" t="s">
        <v>684</v>
      </c>
      <c r="M3987" t="s">
        <v>623</v>
      </c>
      <c r="N3987" t="s">
        <v>662</v>
      </c>
      <c r="O3987" t="s">
        <v>685</v>
      </c>
    </row>
    <row r="3988" spans="1:15" x14ac:dyDescent="0.35">
      <c r="A3988" s="77">
        <v>0.10684931506849316</v>
      </c>
      <c r="B3988" s="19">
        <v>101022</v>
      </c>
      <c r="C3988" s="19" t="s">
        <v>6277</v>
      </c>
      <c r="D3988" s="19" t="s">
        <v>109</v>
      </c>
      <c r="E3988" s="19" t="s">
        <v>110</v>
      </c>
      <c r="F3988" s="19" t="s">
        <v>2347</v>
      </c>
      <c r="G3988" s="19" t="s">
        <v>1008</v>
      </c>
      <c r="H3988" s="19" t="s">
        <v>1001</v>
      </c>
      <c r="I3988" s="19" t="s">
        <v>1575</v>
      </c>
      <c r="J3988" s="20">
        <v>32</v>
      </c>
      <c r="K3988" t="s">
        <v>654</v>
      </c>
      <c r="L3988" t="s">
        <v>684</v>
      </c>
      <c r="M3988" t="s">
        <v>623</v>
      </c>
      <c r="N3988" t="s">
        <v>662</v>
      </c>
      <c r="O3988" t="s">
        <v>685</v>
      </c>
    </row>
    <row r="3989" spans="1:15" x14ac:dyDescent="0.35">
      <c r="A3989" s="77">
        <v>0.10684931506849316</v>
      </c>
      <c r="B3989" s="19">
        <v>101023</v>
      </c>
      <c r="C3989" s="19" t="s">
        <v>6278</v>
      </c>
      <c r="D3989" s="19" t="s">
        <v>109</v>
      </c>
      <c r="E3989" s="19" t="s">
        <v>110</v>
      </c>
      <c r="F3989" s="19" t="s">
        <v>2347</v>
      </c>
      <c r="G3989" s="19" t="s">
        <v>1008</v>
      </c>
      <c r="H3989" s="19" t="s">
        <v>1001</v>
      </c>
      <c r="I3989" s="19" t="s">
        <v>1575</v>
      </c>
      <c r="J3989" s="20">
        <v>22</v>
      </c>
      <c r="K3989" t="s">
        <v>654</v>
      </c>
      <c r="L3989" t="s">
        <v>684</v>
      </c>
      <c r="M3989" t="s">
        <v>623</v>
      </c>
      <c r="N3989" t="s">
        <v>662</v>
      </c>
      <c r="O3989" t="s">
        <v>685</v>
      </c>
    </row>
    <row r="3990" spans="1:15" x14ac:dyDescent="0.35">
      <c r="A3990" s="77">
        <v>0.10684931506849316</v>
      </c>
      <c r="B3990" s="19">
        <v>101024</v>
      </c>
      <c r="C3990" s="19" t="s">
        <v>6279</v>
      </c>
      <c r="D3990" s="19" t="s">
        <v>31</v>
      </c>
      <c r="E3990" s="19" t="s">
        <v>31</v>
      </c>
      <c r="F3990" s="19" t="s">
        <v>675</v>
      </c>
      <c r="G3990" s="19" t="s">
        <v>1028</v>
      </c>
      <c r="H3990" s="19" t="s">
        <v>1020</v>
      </c>
      <c r="I3990" s="19" t="s">
        <v>1575</v>
      </c>
      <c r="J3990" s="20">
        <v>19</v>
      </c>
      <c r="K3990" t="s">
        <v>654</v>
      </c>
      <c r="L3990" t="s">
        <v>670</v>
      </c>
      <c r="M3990" t="s">
        <v>657</v>
      </c>
      <c r="N3990" t="s">
        <v>641</v>
      </c>
      <c r="O3990" t="s">
        <v>676</v>
      </c>
    </row>
    <row r="3991" spans="1:15" x14ac:dyDescent="0.35">
      <c r="A3991" s="77">
        <v>0.10684931506849316</v>
      </c>
      <c r="B3991" s="19">
        <v>101025</v>
      </c>
      <c r="C3991" s="19" t="s">
        <v>6280</v>
      </c>
      <c r="D3991" s="19" t="s">
        <v>322</v>
      </c>
      <c r="E3991" s="19" t="s">
        <v>323</v>
      </c>
      <c r="F3991" s="19" t="s">
        <v>834</v>
      </c>
      <c r="G3991" s="19" t="s">
        <v>1028</v>
      </c>
      <c r="H3991" s="19" t="s">
        <v>1020</v>
      </c>
      <c r="I3991" s="19" t="s">
        <v>1575</v>
      </c>
      <c r="J3991" s="20">
        <v>25</v>
      </c>
      <c r="K3991" t="s">
        <v>668</v>
      </c>
      <c r="L3991" t="s">
        <v>628</v>
      </c>
      <c r="M3991" t="s">
        <v>629</v>
      </c>
      <c r="N3991" t="s">
        <v>630</v>
      </c>
      <c r="O3991" t="s">
        <v>632</v>
      </c>
    </row>
    <row r="3992" spans="1:15" x14ac:dyDescent="0.35">
      <c r="A3992" s="77">
        <v>0.10684931506849316</v>
      </c>
      <c r="B3992" s="19">
        <v>101026</v>
      </c>
      <c r="C3992" s="19" t="s">
        <v>6281</v>
      </c>
      <c r="D3992" s="19" t="s">
        <v>286</v>
      </c>
      <c r="E3992" s="19" t="s">
        <v>287</v>
      </c>
      <c r="F3992" s="19" t="s">
        <v>1675</v>
      </c>
      <c r="G3992" s="19" t="s">
        <v>1028</v>
      </c>
      <c r="H3992" s="19" t="s">
        <v>1020</v>
      </c>
      <c r="I3992" s="19" t="s">
        <v>1575</v>
      </c>
      <c r="J3992" s="20">
        <v>27</v>
      </c>
      <c r="K3992" t="s">
        <v>668</v>
      </c>
      <c r="L3992" t="s">
        <v>640</v>
      </c>
      <c r="M3992" t="s">
        <v>623</v>
      </c>
      <c r="N3992" t="s">
        <v>641</v>
      </c>
      <c r="O3992" t="s">
        <v>754</v>
      </c>
    </row>
    <row r="3993" spans="1:15" x14ac:dyDescent="0.35">
      <c r="A3993" s="77">
        <v>0.10410958904109589</v>
      </c>
      <c r="B3993" s="19">
        <v>101027</v>
      </c>
      <c r="C3993" s="19" t="s">
        <v>6282</v>
      </c>
      <c r="D3993" s="19" t="s">
        <v>349</v>
      </c>
      <c r="E3993" s="19" t="s">
        <v>350</v>
      </c>
      <c r="F3993" s="19" t="s">
        <v>912</v>
      </c>
      <c r="G3993" s="19" t="s">
        <v>1084</v>
      </c>
      <c r="H3993" s="19" t="s">
        <v>1001</v>
      </c>
      <c r="I3993" s="19" t="s">
        <v>1599</v>
      </c>
      <c r="J3993" s="20">
        <v>23</v>
      </c>
      <c r="K3993" t="s">
        <v>625</v>
      </c>
      <c r="L3993" t="s">
        <v>648</v>
      </c>
      <c r="M3993" t="s">
        <v>623</v>
      </c>
      <c r="N3993" t="s">
        <v>624</v>
      </c>
      <c r="O3993" t="s">
        <v>649</v>
      </c>
    </row>
    <row r="3994" spans="1:15" x14ac:dyDescent="0.35">
      <c r="A3994" s="77">
        <v>0.10410958904109589</v>
      </c>
      <c r="B3994" s="19">
        <v>101028</v>
      </c>
      <c r="C3994" s="19" t="s">
        <v>6283</v>
      </c>
      <c r="D3994" s="19" t="s">
        <v>349</v>
      </c>
      <c r="E3994" s="19" t="s">
        <v>350</v>
      </c>
      <c r="F3994" s="19" t="s">
        <v>912</v>
      </c>
      <c r="G3994" s="19" t="s">
        <v>1084</v>
      </c>
      <c r="H3994" s="19" t="s">
        <v>1001</v>
      </c>
      <c r="I3994" s="19" t="s">
        <v>1575</v>
      </c>
      <c r="J3994" s="20">
        <v>28</v>
      </c>
      <c r="K3994" t="s">
        <v>625</v>
      </c>
      <c r="L3994" t="s">
        <v>648</v>
      </c>
      <c r="M3994" t="s">
        <v>623</v>
      </c>
      <c r="N3994" t="s">
        <v>624</v>
      </c>
      <c r="O3994" t="s">
        <v>649</v>
      </c>
    </row>
    <row r="3995" spans="1:15" x14ac:dyDescent="0.35">
      <c r="A3995" s="77">
        <v>0.1095890410958904</v>
      </c>
      <c r="B3995" s="19">
        <v>101029</v>
      </c>
      <c r="C3995" s="19" t="s">
        <v>6284</v>
      </c>
      <c r="D3995" s="19" t="s">
        <v>73</v>
      </c>
      <c r="E3995" s="19" t="s">
        <v>74</v>
      </c>
      <c r="F3995" s="19" t="s">
        <v>1178</v>
      </c>
      <c r="G3995" s="19" t="s">
        <v>3508</v>
      </c>
      <c r="H3995" s="19" t="s">
        <v>1020</v>
      </c>
      <c r="I3995" s="19" t="s">
        <v>1599</v>
      </c>
      <c r="J3995" s="20">
        <v>16</v>
      </c>
      <c r="K3995" t="s">
        <v>654</v>
      </c>
      <c r="L3995" t="s">
        <v>648</v>
      </c>
      <c r="M3995" t="s">
        <v>623</v>
      </c>
      <c r="N3995" t="s">
        <v>624</v>
      </c>
      <c r="O3995" t="s">
        <v>725</v>
      </c>
    </row>
    <row r="3996" spans="1:15" x14ac:dyDescent="0.35">
      <c r="A3996" s="77">
        <v>0.10410958904109589</v>
      </c>
      <c r="B3996" s="19">
        <v>101033</v>
      </c>
      <c r="C3996" s="19" t="s">
        <v>6285</v>
      </c>
      <c r="D3996" s="19" t="s">
        <v>93</v>
      </c>
      <c r="E3996" s="19" t="s">
        <v>94</v>
      </c>
      <c r="F3996" s="19" t="s">
        <v>919</v>
      </c>
      <c r="G3996" s="19" t="s">
        <v>1019</v>
      </c>
      <c r="H3996" s="19" t="s">
        <v>1020</v>
      </c>
      <c r="I3996" s="19" t="s">
        <v>1575</v>
      </c>
      <c r="J3996" s="20">
        <v>20</v>
      </c>
      <c r="K3996" t="s">
        <v>654</v>
      </c>
      <c r="L3996" t="s">
        <v>691</v>
      </c>
      <c r="M3996" t="s">
        <v>657</v>
      </c>
      <c r="N3996" t="s">
        <v>658</v>
      </c>
      <c r="O3996" t="s">
        <v>632</v>
      </c>
    </row>
    <row r="3997" spans="1:15" x14ac:dyDescent="0.35">
      <c r="A3997" s="77">
        <v>0.10410958904109589</v>
      </c>
      <c r="B3997" s="19">
        <v>101034</v>
      </c>
      <c r="C3997" s="19" t="s">
        <v>6286</v>
      </c>
      <c r="D3997" s="19" t="s">
        <v>193</v>
      </c>
      <c r="E3997" s="19" t="s">
        <v>194</v>
      </c>
      <c r="F3997" s="19" t="s">
        <v>2422</v>
      </c>
      <c r="G3997" s="19" t="s">
        <v>1028</v>
      </c>
      <c r="H3997" s="19" t="s">
        <v>1020</v>
      </c>
      <c r="I3997" s="19" t="s">
        <v>1575</v>
      </c>
      <c r="J3997" s="20">
        <v>59</v>
      </c>
      <c r="K3997" t="s">
        <v>654</v>
      </c>
      <c r="L3997" t="s">
        <v>670</v>
      </c>
      <c r="M3997" t="s">
        <v>657</v>
      </c>
      <c r="N3997" t="s">
        <v>641</v>
      </c>
      <c r="O3997" t="s">
        <v>676</v>
      </c>
    </row>
    <row r="3998" spans="1:15" x14ac:dyDescent="0.35">
      <c r="A3998" s="77">
        <v>0.10684931506849316</v>
      </c>
      <c r="B3998" s="19">
        <v>101036</v>
      </c>
      <c r="C3998" s="19" t="s">
        <v>6287</v>
      </c>
      <c r="D3998" s="19" t="s">
        <v>42</v>
      </c>
      <c r="E3998" s="19" t="s">
        <v>42</v>
      </c>
      <c r="F3998" s="19" t="s">
        <v>1262</v>
      </c>
      <c r="G3998" s="19" t="s">
        <v>1057</v>
      </c>
      <c r="H3998" s="19" t="s">
        <v>1001</v>
      </c>
      <c r="I3998" s="19" t="s">
        <v>1575</v>
      </c>
      <c r="J3998" s="20">
        <v>28</v>
      </c>
      <c r="K3998" t="s">
        <v>625</v>
      </c>
      <c r="L3998" t="s">
        <v>628</v>
      </c>
      <c r="M3998" t="s">
        <v>629</v>
      </c>
      <c r="N3998" t="s">
        <v>630</v>
      </c>
      <c r="O3998" t="s">
        <v>632</v>
      </c>
    </row>
    <row r="3999" spans="1:15" x14ac:dyDescent="0.35">
      <c r="A3999" s="77">
        <v>0.10684931506849316</v>
      </c>
      <c r="B3999" s="19">
        <v>101037</v>
      </c>
      <c r="C3999" s="19" t="s">
        <v>6288</v>
      </c>
      <c r="D3999" s="19" t="s">
        <v>419</v>
      </c>
      <c r="E3999" s="19" t="s">
        <v>419</v>
      </c>
      <c r="F3999" s="19" t="s">
        <v>695</v>
      </c>
      <c r="G3999" s="19" t="s">
        <v>1028</v>
      </c>
      <c r="H3999" s="19" t="s">
        <v>1020</v>
      </c>
      <c r="I3999" s="19" t="s">
        <v>1575</v>
      </c>
      <c r="J3999" s="20">
        <v>21</v>
      </c>
      <c r="K3999" t="s">
        <v>654</v>
      </c>
      <c r="L3999" t="s">
        <v>628</v>
      </c>
      <c r="M3999" t="s">
        <v>629</v>
      </c>
      <c r="N3999" t="s">
        <v>630</v>
      </c>
      <c r="O3999" t="s">
        <v>632</v>
      </c>
    </row>
    <row r="4000" spans="1:15" x14ac:dyDescent="0.35">
      <c r="A4000" s="77">
        <v>0.10410958904109589</v>
      </c>
      <c r="B4000" s="19">
        <v>101038</v>
      </c>
      <c r="C4000" s="19" t="s">
        <v>6289</v>
      </c>
      <c r="D4000" s="19" t="s">
        <v>118</v>
      </c>
      <c r="E4000" s="19" t="s">
        <v>119</v>
      </c>
      <c r="F4000" s="19" t="s">
        <v>1360</v>
      </c>
      <c r="G4000" s="19" t="s">
        <v>1084</v>
      </c>
      <c r="H4000" s="19" t="s">
        <v>1001</v>
      </c>
      <c r="I4000" s="19" t="s">
        <v>1599</v>
      </c>
      <c r="J4000" s="20">
        <v>32</v>
      </c>
      <c r="K4000" t="s">
        <v>625</v>
      </c>
      <c r="L4000" t="s">
        <v>656</v>
      </c>
      <c r="M4000" t="s">
        <v>657</v>
      </c>
      <c r="N4000" t="s">
        <v>658</v>
      </c>
      <c r="O4000" t="s">
        <v>632</v>
      </c>
    </row>
    <row r="4001" spans="1:15" x14ac:dyDescent="0.35">
      <c r="A4001" s="77">
        <v>0.10684931506849316</v>
      </c>
      <c r="B4001" s="19">
        <v>101039</v>
      </c>
      <c r="C4001" s="19" t="s">
        <v>6290</v>
      </c>
      <c r="D4001" s="19" t="s">
        <v>371</v>
      </c>
      <c r="E4001" s="19" t="s">
        <v>372</v>
      </c>
      <c r="F4001" s="19" t="s">
        <v>2222</v>
      </c>
      <c r="G4001" s="19" t="s">
        <v>1008</v>
      </c>
      <c r="H4001" s="19" t="s">
        <v>1001</v>
      </c>
      <c r="I4001" s="19" t="s">
        <v>1575</v>
      </c>
      <c r="J4001" s="20">
        <v>21</v>
      </c>
      <c r="K4001" t="s">
        <v>668</v>
      </c>
      <c r="L4001" t="s">
        <v>640</v>
      </c>
      <c r="M4001" t="s">
        <v>623</v>
      </c>
      <c r="N4001" t="s">
        <v>641</v>
      </c>
      <c r="O4001" t="s">
        <v>859</v>
      </c>
    </row>
    <row r="4002" spans="1:15" x14ac:dyDescent="0.35">
      <c r="A4002" s="77">
        <v>0.10410958904109589</v>
      </c>
      <c r="B4002" s="19">
        <v>101041</v>
      </c>
      <c r="C4002" s="19" t="s">
        <v>6291</v>
      </c>
      <c r="D4002" s="19" t="s">
        <v>17</v>
      </c>
      <c r="E4002" s="19" t="s">
        <v>17</v>
      </c>
      <c r="F4002" s="19" t="s">
        <v>906</v>
      </c>
      <c r="G4002" s="19" t="s">
        <v>1028</v>
      </c>
      <c r="H4002" s="19" t="s">
        <v>1020</v>
      </c>
      <c r="I4002" s="19" t="s">
        <v>1575</v>
      </c>
      <c r="J4002" s="20">
        <v>21</v>
      </c>
      <c r="K4002" t="s">
        <v>636</v>
      </c>
      <c r="L4002" t="s">
        <v>648</v>
      </c>
      <c r="M4002" t="s">
        <v>623</v>
      </c>
      <c r="N4002" t="s">
        <v>624</v>
      </c>
      <c r="O4002" t="s">
        <v>649</v>
      </c>
    </row>
    <row r="4003" spans="1:15" x14ac:dyDescent="0.35">
      <c r="A4003" s="77">
        <v>0.10410958904109589</v>
      </c>
      <c r="B4003" s="19">
        <v>101043</v>
      </c>
      <c r="C4003" s="19" t="s">
        <v>6292</v>
      </c>
      <c r="D4003" s="19" t="s">
        <v>405</v>
      </c>
      <c r="E4003" s="19" t="s">
        <v>406</v>
      </c>
      <c r="F4003" s="19" t="s">
        <v>594</v>
      </c>
      <c r="G4003" s="19" t="s">
        <v>1028</v>
      </c>
      <c r="H4003" s="19" t="s">
        <v>1020</v>
      </c>
      <c r="I4003" s="19" t="s">
        <v>1575</v>
      </c>
      <c r="J4003" s="20">
        <v>20</v>
      </c>
      <c r="K4003" t="s">
        <v>654</v>
      </c>
      <c r="L4003" t="s">
        <v>684</v>
      </c>
      <c r="M4003" t="s">
        <v>623</v>
      </c>
      <c r="N4003" t="s">
        <v>662</v>
      </c>
      <c r="O4003" t="s">
        <v>872</v>
      </c>
    </row>
    <row r="4004" spans="1:15" x14ac:dyDescent="0.35">
      <c r="A4004" s="77">
        <v>0.10410958904109589</v>
      </c>
      <c r="B4004" s="19">
        <v>101044</v>
      </c>
      <c r="C4004" s="19" t="s">
        <v>6293</v>
      </c>
      <c r="D4004" s="19" t="s">
        <v>375</v>
      </c>
      <c r="E4004" s="19" t="s">
        <v>376</v>
      </c>
      <c r="F4004" s="19" t="s">
        <v>1270</v>
      </c>
      <c r="G4004" s="19" t="s">
        <v>1028</v>
      </c>
      <c r="H4004" s="19" t="s">
        <v>1020</v>
      </c>
      <c r="I4004" s="19" t="s">
        <v>1575</v>
      </c>
      <c r="J4004" s="20">
        <v>25</v>
      </c>
      <c r="K4004" t="s">
        <v>636</v>
      </c>
      <c r="L4004" t="s">
        <v>678</v>
      </c>
      <c r="M4004" t="s">
        <v>623</v>
      </c>
      <c r="N4004" t="s">
        <v>624</v>
      </c>
      <c r="O4004" t="s">
        <v>679</v>
      </c>
    </row>
    <row r="4005" spans="1:15" x14ac:dyDescent="0.35">
      <c r="A4005" s="77">
        <v>0.10410958904109589</v>
      </c>
      <c r="B4005" s="19">
        <v>101046</v>
      </c>
      <c r="C4005" s="19" t="s">
        <v>6294</v>
      </c>
      <c r="D4005" s="19" t="s">
        <v>324</v>
      </c>
      <c r="E4005" s="19" t="s">
        <v>325</v>
      </c>
      <c r="F4005" s="19" t="s">
        <v>1284</v>
      </c>
      <c r="G4005" s="19" t="s">
        <v>1028</v>
      </c>
      <c r="H4005" s="19" t="s">
        <v>1020</v>
      </c>
      <c r="I4005" s="19" t="s">
        <v>1575</v>
      </c>
      <c r="J4005" s="20">
        <v>20</v>
      </c>
      <c r="K4005" t="s">
        <v>631</v>
      </c>
      <c r="L4005" t="s">
        <v>663</v>
      </c>
      <c r="M4005" t="s">
        <v>629</v>
      </c>
      <c r="N4005" t="s">
        <v>646</v>
      </c>
      <c r="O4005" t="s">
        <v>639</v>
      </c>
    </row>
    <row r="4006" spans="1:15" x14ac:dyDescent="0.35">
      <c r="A4006" s="77">
        <v>0.10410958904109589</v>
      </c>
      <c r="B4006" s="19">
        <v>101047</v>
      </c>
      <c r="C4006" s="19" t="s">
        <v>6295</v>
      </c>
      <c r="D4006" s="19" t="s">
        <v>42</v>
      </c>
      <c r="E4006" s="19" t="s">
        <v>42</v>
      </c>
      <c r="F4006" s="19" t="s">
        <v>1262</v>
      </c>
      <c r="G4006" s="19" t="s">
        <v>1019</v>
      </c>
      <c r="H4006" s="19" t="s">
        <v>1020</v>
      </c>
      <c r="I4006" s="19" t="s">
        <v>1575</v>
      </c>
      <c r="J4006" s="20">
        <v>22</v>
      </c>
      <c r="K4006" t="s">
        <v>625</v>
      </c>
      <c r="L4006" t="s">
        <v>628</v>
      </c>
      <c r="M4006" t="s">
        <v>629</v>
      </c>
      <c r="N4006" t="s">
        <v>630</v>
      </c>
      <c r="O4006" t="s">
        <v>632</v>
      </c>
    </row>
    <row r="4007" spans="1:15" x14ac:dyDescent="0.35">
      <c r="A4007" s="77">
        <v>0.10410958904109589</v>
      </c>
      <c r="B4007" s="19">
        <v>101050</v>
      </c>
      <c r="C4007" s="19" t="s">
        <v>6296</v>
      </c>
      <c r="D4007" s="19" t="s">
        <v>311</v>
      </c>
      <c r="E4007" s="19" t="s">
        <v>312</v>
      </c>
      <c r="F4007" s="19" t="s">
        <v>1140</v>
      </c>
      <c r="G4007" s="19" t="s">
        <v>1028</v>
      </c>
      <c r="H4007" s="19" t="s">
        <v>1020</v>
      </c>
      <c r="I4007" s="19" t="s">
        <v>1575</v>
      </c>
      <c r="J4007" s="20">
        <v>21</v>
      </c>
      <c r="K4007" t="s">
        <v>631</v>
      </c>
      <c r="L4007" t="s">
        <v>628</v>
      </c>
      <c r="M4007" t="s">
        <v>629</v>
      </c>
      <c r="N4007" t="s">
        <v>630</v>
      </c>
      <c r="O4007" t="s">
        <v>632</v>
      </c>
    </row>
    <row r="4008" spans="1:15" x14ac:dyDescent="0.35">
      <c r="A4008" s="77">
        <v>0.10410958904109589</v>
      </c>
      <c r="B4008" s="19">
        <v>101052</v>
      </c>
      <c r="C4008" s="19" t="s">
        <v>6297</v>
      </c>
      <c r="D4008" s="19" t="s">
        <v>17</v>
      </c>
      <c r="E4008" s="19" t="s">
        <v>17</v>
      </c>
      <c r="F4008" s="19" t="s">
        <v>906</v>
      </c>
      <c r="G4008" s="19" t="s">
        <v>1019</v>
      </c>
      <c r="H4008" s="19" t="s">
        <v>1020</v>
      </c>
      <c r="I4008" s="19" t="s">
        <v>1575</v>
      </c>
      <c r="J4008" s="20">
        <v>20</v>
      </c>
      <c r="K4008" t="s">
        <v>636</v>
      </c>
      <c r="L4008" t="s">
        <v>648</v>
      </c>
      <c r="M4008" t="s">
        <v>623</v>
      </c>
      <c r="N4008" t="s">
        <v>624</v>
      </c>
      <c r="O4008" t="s">
        <v>649</v>
      </c>
    </row>
    <row r="4009" spans="1:15" x14ac:dyDescent="0.35">
      <c r="A4009" s="77">
        <v>0.10410958904109589</v>
      </c>
      <c r="B4009" s="19">
        <v>101054</v>
      </c>
      <c r="C4009" s="19" t="s">
        <v>6298</v>
      </c>
      <c r="D4009" s="19" t="s">
        <v>37</v>
      </c>
      <c r="E4009" s="19" t="s">
        <v>37</v>
      </c>
      <c r="F4009" s="19" t="s">
        <v>1480</v>
      </c>
      <c r="G4009" s="19" t="s">
        <v>1028</v>
      </c>
      <c r="H4009" s="19" t="s">
        <v>1020</v>
      </c>
      <c r="I4009" s="19" t="s">
        <v>1599</v>
      </c>
      <c r="J4009" s="20">
        <v>20</v>
      </c>
      <c r="K4009" t="s">
        <v>654</v>
      </c>
      <c r="L4009" t="s">
        <v>648</v>
      </c>
      <c r="M4009" t="s">
        <v>623</v>
      </c>
      <c r="N4009" t="s">
        <v>624</v>
      </c>
      <c r="O4009" t="s">
        <v>649</v>
      </c>
    </row>
    <row r="4010" spans="1:15" x14ac:dyDescent="0.35">
      <c r="A4010" s="77">
        <v>0.10410958904109589</v>
      </c>
      <c r="B4010" s="19">
        <v>101056</v>
      </c>
      <c r="C4010" s="19" t="s">
        <v>6299</v>
      </c>
      <c r="D4010" s="19" t="s">
        <v>241</v>
      </c>
      <c r="E4010" s="19" t="s">
        <v>242</v>
      </c>
      <c r="F4010" s="19" t="s">
        <v>1030</v>
      </c>
      <c r="G4010" s="19" t="s">
        <v>1028</v>
      </c>
      <c r="H4010" s="19" t="s">
        <v>1020</v>
      </c>
      <c r="I4010" s="19" t="s">
        <v>1599</v>
      </c>
      <c r="J4010" s="20">
        <v>35</v>
      </c>
      <c r="K4010" t="s">
        <v>668</v>
      </c>
      <c r="L4010" t="s">
        <v>622</v>
      </c>
      <c r="M4010" t="s">
        <v>623</v>
      </c>
      <c r="N4010" t="s">
        <v>624</v>
      </c>
      <c r="O4010" t="s">
        <v>800</v>
      </c>
    </row>
    <row r="4011" spans="1:15" x14ac:dyDescent="0.35">
      <c r="A4011" s="77">
        <v>9.8630136986301367E-2</v>
      </c>
      <c r="B4011" s="19">
        <v>101062</v>
      </c>
      <c r="C4011" s="19" t="s">
        <v>6300</v>
      </c>
      <c r="D4011" s="19" t="s">
        <v>36</v>
      </c>
      <c r="E4011" s="19" t="s">
        <v>36</v>
      </c>
      <c r="F4011" s="19" t="s">
        <v>1403</v>
      </c>
      <c r="G4011" s="19" t="s">
        <v>1028</v>
      </c>
      <c r="H4011" s="19" t="s">
        <v>1020</v>
      </c>
      <c r="I4011" s="19" t="s">
        <v>1575</v>
      </c>
      <c r="J4011" s="20">
        <v>36</v>
      </c>
      <c r="K4011" t="s">
        <v>668</v>
      </c>
      <c r="L4011" t="s">
        <v>691</v>
      </c>
      <c r="M4011" t="s">
        <v>657</v>
      </c>
      <c r="N4011" t="s">
        <v>658</v>
      </c>
      <c r="O4011" t="s">
        <v>632</v>
      </c>
    </row>
    <row r="4012" spans="1:15" x14ac:dyDescent="0.35">
      <c r="A4012" s="77">
        <v>9.8630136986301367E-2</v>
      </c>
      <c r="B4012" s="19">
        <v>101065</v>
      </c>
      <c r="C4012" s="19" t="s">
        <v>6301</v>
      </c>
      <c r="D4012" s="19" t="s">
        <v>362</v>
      </c>
      <c r="E4012" s="19" t="s">
        <v>363</v>
      </c>
      <c r="F4012" s="19" t="s">
        <v>1056</v>
      </c>
      <c r="G4012" s="19" t="s">
        <v>1028</v>
      </c>
      <c r="H4012" s="19" t="s">
        <v>1020</v>
      </c>
      <c r="I4012" s="19" t="s">
        <v>1599</v>
      </c>
      <c r="J4012" s="20">
        <v>25</v>
      </c>
      <c r="K4012" t="s">
        <v>654</v>
      </c>
      <c r="L4012" t="s">
        <v>663</v>
      </c>
      <c r="M4012" t="s">
        <v>629</v>
      </c>
      <c r="N4012" t="s">
        <v>646</v>
      </c>
      <c r="O4012" t="s">
        <v>810</v>
      </c>
    </row>
    <row r="4013" spans="1:15" x14ac:dyDescent="0.35">
      <c r="A4013" s="77">
        <v>9.8630136986301367E-2</v>
      </c>
      <c r="B4013" s="19">
        <v>101068</v>
      </c>
      <c r="C4013" s="19" t="s">
        <v>6302</v>
      </c>
      <c r="D4013" s="19" t="s">
        <v>293</v>
      </c>
      <c r="E4013" s="19" t="s">
        <v>294</v>
      </c>
      <c r="F4013" s="19" t="s">
        <v>1794</v>
      </c>
      <c r="G4013" s="19" t="s">
        <v>1008</v>
      </c>
      <c r="H4013" s="19" t="s">
        <v>1001</v>
      </c>
      <c r="I4013" s="19" t="s">
        <v>1599</v>
      </c>
      <c r="J4013" s="20">
        <v>22</v>
      </c>
      <c r="K4013" t="s">
        <v>654</v>
      </c>
      <c r="L4013" t="s">
        <v>634</v>
      </c>
      <c r="M4013" t="s">
        <v>629</v>
      </c>
      <c r="N4013" t="s">
        <v>635</v>
      </c>
      <c r="O4013" t="s">
        <v>637</v>
      </c>
    </row>
    <row r="4014" spans="1:15" x14ac:dyDescent="0.35">
      <c r="A4014" s="77">
        <v>9.8630136986301367E-2</v>
      </c>
      <c r="B4014" s="19">
        <v>101069</v>
      </c>
      <c r="C4014" s="19" t="s">
        <v>6303</v>
      </c>
      <c r="D4014" s="19" t="s">
        <v>237</v>
      </c>
      <c r="E4014" s="19" t="s">
        <v>238</v>
      </c>
      <c r="F4014" s="19" t="s">
        <v>1070</v>
      </c>
      <c r="G4014" s="19" t="s">
        <v>1028</v>
      </c>
      <c r="H4014" s="19" t="s">
        <v>1020</v>
      </c>
      <c r="I4014" s="19" t="s">
        <v>1599</v>
      </c>
      <c r="J4014" s="20">
        <v>31</v>
      </c>
      <c r="K4014" t="s">
        <v>631</v>
      </c>
      <c r="L4014" t="s">
        <v>661</v>
      </c>
      <c r="M4014" t="s">
        <v>657</v>
      </c>
      <c r="N4014" t="s">
        <v>662</v>
      </c>
      <c r="O4014" t="s">
        <v>632</v>
      </c>
    </row>
    <row r="4015" spans="1:15" x14ac:dyDescent="0.35">
      <c r="A4015" s="77">
        <v>9.8630136986301367E-2</v>
      </c>
      <c r="B4015" s="19">
        <v>101071</v>
      </c>
      <c r="C4015" s="19" t="s">
        <v>6304</v>
      </c>
      <c r="D4015" s="19" t="s">
        <v>266</v>
      </c>
      <c r="E4015" s="19" t="s">
        <v>267</v>
      </c>
      <c r="F4015" s="19" t="s">
        <v>2070</v>
      </c>
      <c r="G4015" s="19" t="s">
        <v>1028</v>
      </c>
      <c r="H4015" s="19" t="s">
        <v>1020</v>
      </c>
      <c r="I4015" s="19" t="s">
        <v>1575</v>
      </c>
      <c r="J4015" s="20">
        <v>23</v>
      </c>
      <c r="K4015" t="s">
        <v>636</v>
      </c>
      <c r="L4015" t="s">
        <v>634</v>
      </c>
      <c r="M4015" t="s">
        <v>629</v>
      </c>
      <c r="N4015" t="s">
        <v>635</v>
      </c>
      <c r="O4015" t="s">
        <v>637</v>
      </c>
    </row>
    <row r="4016" spans="1:15" x14ac:dyDescent="0.35">
      <c r="A4016" s="77">
        <v>9.8630136986301367E-2</v>
      </c>
      <c r="B4016" s="19">
        <v>101077</v>
      </c>
      <c r="C4016" s="19" t="s">
        <v>6305</v>
      </c>
      <c r="D4016" s="19" t="s">
        <v>47</v>
      </c>
      <c r="E4016" s="19" t="s">
        <v>48</v>
      </c>
      <c r="F4016" s="19" t="s">
        <v>1232</v>
      </c>
      <c r="G4016" s="19" t="s">
        <v>1057</v>
      </c>
      <c r="H4016" s="19" t="s">
        <v>1001</v>
      </c>
      <c r="I4016" s="19" t="s">
        <v>1575</v>
      </c>
      <c r="J4016" s="20">
        <v>22</v>
      </c>
      <c r="K4016" t="s">
        <v>636</v>
      </c>
      <c r="L4016" t="s">
        <v>622</v>
      </c>
      <c r="M4016" t="s">
        <v>623</v>
      </c>
      <c r="N4016" t="s">
        <v>624</v>
      </c>
      <c r="O4016" t="s">
        <v>649</v>
      </c>
    </row>
    <row r="4017" spans="1:15" x14ac:dyDescent="0.35">
      <c r="A4017" s="77">
        <v>9.8630136986301367E-2</v>
      </c>
      <c r="B4017" s="19">
        <v>101078</v>
      </c>
      <c r="C4017" s="19" t="s">
        <v>6306</v>
      </c>
      <c r="D4017" s="19" t="s">
        <v>147</v>
      </c>
      <c r="E4017" s="19" t="s">
        <v>148</v>
      </c>
      <c r="F4017" s="19" t="s">
        <v>1396</v>
      </c>
      <c r="G4017" s="19" t="s">
        <v>1028</v>
      </c>
      <c r="H4017" s="19" t="s">
        <v>1020</v>
      </c>
      <c r="I4017" s="19" t="s">
        <v>1575</v>
      </c>
      <c r="J4017" s="20">
        <v>21</v>
      </c>
      <c r="K4017" t="s">
        <v>636</v>
      </c>
      <c r="L4017" t="s">
        <v>661</v>
      </c>
      <c r="M4017" t="s">
        <v>657</v>
      </c>
      <c r="N4017" t="s">
        <v>662</v>
      </c>
      <c r="O4017" t="s">
        <v>632</v>
      </c>
    </row>
    <row r="4018" spans="1:15" x14ac:dyDescent="0.35">
      <c r="A4018" s="77">
        <v>9.8630136986301367E-2</v>
      </c>
      <c r="B4018" s="19">
        <v>101080</v>
      </c>
      <c r="C4018" s="19" t="s">
        <v>3839</v>
      </c>
      <c r="D4018" s="19" t="s">
        <v>335</v>
      </c>
      <c r="E4018" s="19" t="s">
        <v>336</v>
      </c>
      <c r="F4018" s="19" t="s">
        <v>841</v>
      </c>
      <c r="G4018" s="19" t="s">
        <v>1028</v>
      </c>
      <c r="H4018" s="19" t="s">
        <v>1020</v>
      </c>
      <c r="I4018" s="19" t="s">
        <v>1575</v>
      </c>
      <c r="J4018" s="20">
        <v>23</v>
      </c>
      <c r="K4018" t="s">
        <v>636</v>
      </c>
      <c r="L4018" t="s">
        <v>622</v>
      </c>
      <c r="M4018" t="s">
        <v>623</v>
      </c>
      <c r="N4018" t="s">
        <v>624</v>
      </c>
      <c r="O4018" t="s">
        <v>649</v>
      </c>
    </row>
    <row r="4019" spans="1:15" x14ac:dyDescent="0.35">
      <c r="A4019" s="77">
        <v>9.8630136986301367E-2</v>
      </c>
      <c r="B4019" s="19">
        <v>101082</v>
      </c>
      <c r="C4019" s="19" t="s">
        <v>6307</v>
      </c>
      <c r="D4019" s="19" t="s">
        <v>149</v>
      </c>
      <c r="E4019" s="19" t="s">
        <v>150</v>
      </c>
      <c r="F4019" s="19" t="s">
        <v>1548</v>
      </c>
      <c r="G4019" s="19" t="s">
        <v>1028</v>
      </c>
      <c r="H4019" s="19" t="s">
        <v>1020</v>
      </c>
      <c r="I4019" s="19" t="s">
        <v>1575</v>
      </c>
      <c r="J4019" s="20">
        <v>18</v>
      </c>
      <c r="K4019" t="s">
        <v>654</v>
      </c>
      <c r="L4019" t="s">
        <v>648</v>
      </c>
      <c r="M4019" t="s">
        <v>623</v>
      </c>
      <c r="N4019" t="s">
        <v>624</v>
      </c>
      <c r="O4019" t="s">
        <v>725</v>
      </c>
    </row>
    <row r="4020" spans="1:15" x14ac:dyDescent="0.35">
      <c r="A4020" s="77">
        <v>9.3150684931506855E-2</v>
      </c>
      <c r="B4020" s="19">
        <v>101083</v>
      </c>
      <c r="C4020" s="19" t="s">
        <v>6308</v>
      </c>
      <c r="D4020" s="19" t="s">
        <v>333</v>
      </c>
      <c r="E4020" s="19" t="s">
        <v>334</v>
      </c>
      <c r="F4020" s="19" t="s">
        <v>1333</v>
      </c>
      <c r="G4020" s="19" t="s">
        <v>1046</v>
      </c>
      <c r="H4020" s="19" t="s">
        <v>1001</v>
      </c>
      <c r="I4020" s="19" t="s">
        <v>1575</v>
      </c>
      <c r="J4020" s="20">
        <v>32</v>
      </c>
      <c r="K4020" t="s">
        <v>636</v>
      </c>
      <c r="L4020" t="s">
        <v>666</v>
      </c>
      <c r="M4020" t="s">
        <v>629</v>
      </c>
      <c r="N4020" t="s">
        <v>630</v>
      </c>
      <c r="O4020" t="s">
        <v>652</v>
      </c>
    </row>
    <row r="4021" spans="1:15" x14ac:dyDescent="0.35">
      <c r="A4021" s="77">
        <v>9.8630136986301367E-2</v>
      </c>
      <c r="B4021" s="19">
        <v>101086</v>
      </c>
      <c r="C4021" s="19" t="s">
        <v>6309</v>
      </c>
      <c r="D4021" s="19" t="s">
        <v>282</v>
      </c>
      <c r="E4021" s="19" t="s">
        <v>283</v>
      </c>
      <c r="F4021" s="19" t="s">
        <v>1417</v>
      </c>
      <c r="G4021" s="19" t="s">
        <v>1028</v>
      </c>
      <c r="H4021" s="19" t="s">
        <v>1020</v>
      </c>
      <c r="I4021" s="19" t="s">
        <v>1575</v>
      </c>
      <c r="J4021" s="20">
        <v>18</v>
      </c>
      <c r="K4021" t="s">
        <v>668</v>
      </c>
      <c r="L4021" t="s">
        <v>645</v>
      </c>
      <c r="M4021" t="s">
        <v>629</v>
      </c>
      <c r="N4021" t="s">
        <v>646</v>
      </c>
      <c r="O4021" t="s">
        <v>632</v>
      </c>
    </row>
    <row r="4022" spans="1:15" x14ac:dyDescent="0.35">
      <c r="A4022" s="77">
        <v>9.8630136986301367E-2</v>
      </c>
      <c r="B4022" s="19">
        <v>101087</v>
      </c>
      <c r="C4022" s="19" t="s">
        <v>6310</v>
      </c>
      <c r="D4022" s="19" t="s">
        <v>328</v>
      </c>
      <c r="E4022" s="19" t="s">
        <v>329</v>
      </c>
      <c r="F4022" s="19" t="s">
        <v>838</v>
      </c>
      <c r="G4022" s="19" t="s">
        <v>1028</v>
      </c>
      <c r="H4022" s="19" t="s">
        <v>1020</v>
      </c>
      <c r="I4022" s="19" t="s">
        <v>1599</v>
      </c>
      <c r="J4022" s="20">
        <v>22</v>
      </c>
      <c r="K4022" t="s">
        <v>631</v>
      </c>
      <c r="L4022" t="s">
        <v>645</v>
      </c>
      <c r="M4022" t="s">
        <v>629</v>
      </c>
      <c r="N4022" t="s">
        <v>646</v>
      </c>
      <c r="O4022" t="s">
        <v>632</v>
      </c>
    </row>
    <row r="4023" spans="1:15" x14ac:dyDescent="0.35">
      <c r="A4023" s="77">
        <v>9.8630136986301367E-2</v>
      </c>
      <c r="B4023" s="19">
        <v>101088</v>
      </c>
      <c r="C4023" s="19" t="s">
        <v>6311</v>
      </c>
      <c r="D4023" s="19" t="s">
        <v>41</v>
      </c>
      <c r="E4023" s="19" t="s">
        <v>41</v>
      </c>
      <c r="F4023" s="19" t="s">
        <v>1157</v>
      </c>
      <c r="G4023" s="19" t="s">
        <v>1028</v>
      </c>
      <c r="H4023" s="19" t="s">
        <v>1020</v>
      </c>
      <c r="I4023" s="19" t="s">
        <v>1575</v>
      </c>
      <c r="J4023" s="20">
        <v>38</v>
      </c>
      <c r="K4023" t="s">
        <v>625</v>
      </c>
      <c r="L4023" t="s">
        <v>691</v>
      </c>
      <c r="M4023" t="s">
        <v>657</v>
      </c>
      <c r="N4023" t="s">
        <v>658</v>
      </c>
      <c r="O4023" t="s">
        <v>632</v>
      </c>
    </row>
    <row r="4024" spans="1:15" x14ac:dyDescent="0.35">
      <c r="A4024" s="77">
        <v>9.8630136986301367E-2</v>
      </c>
      <c r="B4024" s="19">
        <v>101089</v>
      </c>
      <c r="C4024" s="19" t="s">
        <v>6312</v>
      </c>
      <c r="D4024" s="19" t="s">
        <v>41</v>
      </c>
      <c r="E4024" s="19" t="s">
        <v>41</v>
      </c>
      <c r="F4024" s="19" t="s">
        <v>1157</v>
      </c>
      <c r="G4024" s="19" t="s">
        <v>1028</v>
      </c>
      <c r="H4024" s="19" t="s">
        <v>1020</v>
      </c>
      <c r="I4024" s="19" t="s">
        <v>1599</v>
      </c>
      <c r="J4024" s="20">
        <v>21</v>
      </c>
      <c r="K4024" t="s">
        <v>625</v>
      </c>
      <c r="L4024" t="s">
        <v>691</v>
      </c>
      <c r="M4024" t="s">
        <v>657</v>
      </c>
      <c r="N4024" t="s">
        <v>658</v>
      </c>
      <c r="O4024" t="s">
        <v>632</v>
      </c>
    </row>
    <row r="4025" spans="1:15" x14ac:dyDescent="0.35">
      <c r="A4025" s="77">
        <v>9.8630136986301367E-2</v>
      </c>
      <c r="B4025" s="19">
        <v>101090</v>
      </c>
      <c r="C4025" s="19" t="s">
        <v>6313</v>
      </c>
      <c r="D4025" s="19" t="s">
        <v>95</v>
      </c>
      <c r="E4025" s="19" t="s">
        <v>96</v>
      </c>
      <c r="F4025" s="19" t="s">
        <v>1188</v>
      </c>
      <c r="G4025" s="19" t="s">
        <v>1028</v>
      </c>
      <c r="H4025" s="19" t="s">
        <v>1020</v>
      </c>
      <c r="I4025" s="19" t="s">
        <v>1575</v>
      </c>
      <c r="J4025" s="20">
        <v>26</v>
      </c>
      <c r="K4025" t="s">
        <v>636</v>
      </c>
      <c r="L4025" t="s">
        <v>737</v>
      </c>
      <c r="M4025" t="s">
        <v>657</v>
      </c>
      <c r="N4025" t="s">
        <v>641</v>
      </c>
      <c r="O4025" t="s">
        <v>738</v>
      </c>
    </row>
    <row r="4026" spans="1:15" x14ac:dyDescent="0.35">
      <c r="A4026" s="77">
        <v>9.8630136986301367E-2</v>
      </c>
      <c r="B4026" s="19">
        <v>101091</v>
      </c>
      <c r="C4026" s="19" t="s">
        <v>6314</v>
      </c>
      <c r="D4026" s="19" t="s">
        <v>19</v>
      </c>
      <c r="E4026" s="19" t="s">
        <v>19</v>
      </c>
      <c r="F4026" s="19" t="s">
        <v>1255</v>
      </c>
      <c r="G4026" s="19" t="s">
        <v>1028</v>
      </c>
      <c r="H4026" s="19" t="s">
        <v>1020</v>
      </c>
      <c r="I4026" s="19" t="s">
        <v>1575</v>
      </c>
      <c r="J4026" s="20">
        <v>23</v>
      </c>
      <c r="K4026" t="s">
        <v>654</v>
      </c>
      <c r="L4026" t="s">
        <v>645</v>
      </c>
      <c r="M4026" t="s">
        <v>629</v>
      </c>
      <c r="N4026" t="s">
        <v>646</v>
      </c>
      <c r="O4026" t="s">
        <v>632</v>
      </c>
    </row>
    <row r="4027" spans="1:15" x14ac:dyDescent="0.35">
      <c r="A4027" s="77">
        <v>9.8630136986301367E-2</v>
      </c>
      <c r="B4027" s="19">
        <v>101092</v>
      </c>
      <c r="C4027" s="19" t="s">
        <v>6315</v>
      </c>
      <c r="D4027" s="19" t="s">
        <v>318</v>
      </c>
      <c r="E4027" s="19" t="s">
        <v>319</v>
      </c>
      <c r="F4027" s="19" t="s">
        <v>1266</v>
      </c>
      <c r="G4027" s="19" t="s">
        <v>1008</v>
      </c>
      <c r="H4027" s="19" t="s">
        <v>1001</v>
      </c>
      <c r="I4027" s="19" t="s">
        <v>1575</v>
      </c>
      <c r="J4027" s="20">
        <v>31</v>
      </c>
      <c r="K4027" t="s">
        <v>625</v>
      </c>
      <c r="L4027" t="s">
        <v>678</v>
      </c>
      <c r="M4027" t="s">
        <v>623</v>
      </c>
      <c r="N4027" t="s">
        <v>624</v>
      </c>
      <c r="O4027" t="s">
        <v>679</v>
      </c>
    </row>
    <row r="4028" spans="1:15" x14ac:dyDescent="0.35">
      <c r="A4028" s="77">
        <v>9.8630136986301367E-2</v>
      </c>
      <c r="B4028" s="19">
        <v>101093</v>
      </c>
      <c r="C4028" s="19" t="s">
        <v>6316</v>
      </c>
      <c r="D4028" s="19" t="s">
        <v>405</v>
      </c>
      <c r="E4028" s="19" t="s">
        <v>406</v>
      </c>
      <c r="F4028" s="19" t="s">
        <v>594</v>
      </c>
      <c r="G4028" s="19" t="s">
        <v>1028</v>
      </c>
      <c r="H4028" s="19" t="s">
        <v>1020</v>
      </c>
      <c r="I4028" s="19" t="s">
        <v>1575</v>
      </c>
      <c r="J4028" s="20">
        <v>22</v>
      </c>
      <c r="K4028" t="s">
        <v>654</v>
      </c>
      <c r="L4028" t="s">
        <v>684</v>
      </c>
      <c r="M4028" t="s">
        <v>623</v>
      </c>
      <c r="N4028" t="s">
        <v>662</v>
      </c>
      <c r="O4028" t="s">
        <v>872</v>
      </c>
    </row>
    <row r="4029" spans="1:15" x14ac:dyDescent="0.35">
      <c r="A4029" s="77">
        <v>9.8630136986301367E-2</v>
      </c>
      <c r="B4029" s="19">
        <v>101094</v>
      </c>
      <c r="C4029" s="19" t="s">
        <v>6317</v>
      </c>
      <c r="D4029" s="19" t="s">
        <v>126</v>
      </c>
      <c r="E4029" s="19" t="s">
        <v>127</v>
      </c>
      <c r="F4029" s="19" t="s">
        <v>1152</v>
      </c>
      <c r="G4029" s="19" t="s">
        <v>1028</v>
      </c>
      <c r="H4029" s="19" t="s">
        <v>1020</v>
      </c>
      <c r="I4029" s="19" t="s">
        <v>1575</v>
      </c>
      <c r="J4029" s="20">
        <v>23</v>
      </c>
      <c r="K4029" t="s">
        <v>654</v>
      </c>
      <c r="L4029" t="s">
        <v>628</v>
      </c>
      <c r="M4029" t="s">
        <v>629</v>
      </c>
      <c r="N4029" t="s">
        <v>630</v>
      </c>
      <c r="O4029" t="s">
        <v>632</v>
      </c>
    </row>
    <row r="4030" spans="1:15" x14ac:dyDescent="0.35">
      <c r="A4030" s="77">
        <v>9.8630136986301367E-2</v>
      </c>
      <c r="B4030" s="19">
        <v>101095</v>
      </c>
      <c r="C4030" s="19" t="s">
        <v>6318</v>
      </c>
      <c r="D4030" s="19" t="s">
        <v>230</v>
      </c>
      <c r="E4030" s="19" t="s">
        <v>231</v>
      </c>
      <c r="F4030" s="19" t="s">
        <v>2112</v>
      </c>
      <c r="G4030" s="19" t="s">
        <v>1028</v>
      </c>
      <c r="H4030" s="19" t="s">
        <v>1020</v>
      </c>
      <c r="I4030" s="19" t="s">
        <v>1575</v>
      </c>
      <c r="J4030" s="20">
        <v>22</v>
      </c>
      <c r="K4030" t="s">
        <v>668</v>
      </c>
      <c r="L4030" t="s">
        <v>684</v>
      </c>
      <c r="M4030" t="s">
        <v>623</v>
      </c>
      <c r="N4030" t="s">
        <v>662</v>
      </c>
      <c r="O4030" t="s">
        <v>795</v>
      </c>
    </row>
    <row r="4031" spans="1:15" x14ac:dyDescent="0.35">
      <c r="A4031" s="77">
        <v>9.8630136986301367E-2</v>
      </c>
      <c r="B4031" s="19">
        <v>101096</v>
      </c>
      <c r="C4031" s="19" t="s">
        <v>6319</v>
      </c>
      <c r="D4031" s="19" t="s">
        <v>419</v>
      </c>
      <c r="E4031" s="19" t="s">
        <v>419</v>
      </c>
      <c r="F4031" s="19" t="s">
        <v>695</v>
      </c>
      <c r="G4031" s="19" t="s">
        <v>1028</v>
      </c>
      <c r="H4031" s="19" t="s">
        <v>1020</v>
      </c>
      <c r="I4031" s="19" t="s">
        <v>1575</v>
      </c>
      <c r="J4031" s="20">
        <v>29</v>
      </c>
      <c r="K4031" t="s">
        <v>654</v>
      </c>
      <c r="L4031" t="s">
        <v>628</v>
      </c>
      <c r="M4031" t="s">
        <v>629</v>
      </c>
      <c r="N4031" t="s">
        <v>630</v>
      </c>
      <c r="O4031" t="s">
        <v>632</v>
      </c>
    </row>
    <row r="4032" spans="1:15" x14ac:dyDescent="0.35">
      <c r="A4032" s="77">
        <v>9.8630136986301367E-2</v>
      </c>
      <c r="B4032" s="19">
        <v>101098</v>
      </c>
      <c r="C4032" s="19" t="s">
        <v>6320</v>
      </c>
      <c r="D4032" s="19" t="s">
        <v>208</v>
      </c>
      <c r="E4032" s="19" t="s">
        <v>209</v>
      </c>
      <c r="F4032" s="19" t="s">
        <v>1444</v>
      </c>
      <c r="G4032" s="19" t="s">
        <v>1028</v>
      </c>
      <c r="H4032" s="19" t="s">
        <v>1020</v>
      </c>
      <c r="I4032" s="19" t="s">
        <v>1575</v>
      </c>
      <c r="J4032" s="20">
        <v>25</v>
      </c>
      <c r="K4032" t="s">
        <v>636</v>
      </c>
      <c r="L4032" t="s">
        <v>640</v>
      </c>
      <c r="M4032" t="s">
        <v>623</v>
      </c>
      <c r="N4032" t="s">
        <v>624</v>
      </c>
      <c r="O4032" t="s">
        <v>787</v>
      </c>
    </row>
    <row r="4033" spans="1:15" x14ac:dyDescent="0.35">
      <c r="A4033" s="77">
        <v>9.0410958904109592E-2</v>
      </c>
      <c r="B4033" s="19">
        <v>101099</v>
      </c>
      <c r="C4033" s="19" t="s">
        <v>6321</v>
      </c>
      <c r="D4033" s="19" t="s">
        <v>426</v>
      </c>
      <c r="E4033" s="19" t="s">
        <v>426</v>
      </c>
      <c r="F4033" s="19" t="s">
        <v>1220</v>
      </c>
      <c r="G4033" s="19" t="s">
        <v>1028</v>
      </c>
      <c r="H4033" s="19" t="s">
        <v>1020</v>
      </c>
      <c r="I4033" s="19" t="s">
        <v>1575</v>
      </c>
      <c r="J4033" s="20">
        <v>25</v>
      </c>
      <c r="K4033" t="s">
        <v>654</v>
      </c>
      <c r="L4033" t="s">
        <v>622</v>
      </c>
      <c r="M4033" t="s">
        <v>623</v>
      </c>
      <c r="N4033" t="s">
        <v>624</v>
      </c>
      <c r="O4033" t="s">
        <v>649</v>
      </c>
    </row>
    <row r="4034" spans="1:15" x14ac:dyDescent="0.35">
      <c r="A4034" s="77">
        <v>9.0410958904109592E-2</v>
      </c>
      <c r="B4034" s="19">
        <v>101100</v>
      </c>
      <c r="C4034" s="19" t="s">
        <v>6322</v>
      </c>
      <c r="D4034" s="19" t="s">
        <v>51</v>
      </c>
      <c r="E4034" s="19" t="s">
        <v>52</v>
      </c>
      <c r="F4034" s="19" t="s">
        <v>921</v>
      </c>
      <c r="G4034" s="19" t="s">
        <v>1028</v>
      </c>
      <c r="H4034" s="19" t="s">
        <v>1020</v>
      </c>
      <c r="I4034" s="19" t="s">
        <v>1575</v>
      </c>
      <c r="J4034" s="20">
        <v>24</v>
      </c>
      <c r="K4034" t="s">
        <v>636</v>
      </c>
      <c r="L4034" t="s">
        <v>656</v>
      </c>
      <c r="M4034" t="s">
        <v>657</v>
      </c>
      <c r="N4034" t="s">
        <v>658</v>
      </c>
      <c r="O4034" t="s">
        <v>718</v>
      </c>
    </row>
    <row r="4035" spans="1:15" x14ac:dyDescent="0.35">
      <c r="A4035" s="77">
        <v>9.0410958904109592E-2</v>
      </c>
      <c r="B4035" s="19">
        <v>101101</v>
      </c>
      <c r="C4035" s="19" t="s">
        <v>6323</v>
      </c>
      <c r="D4035" s="19" t="s">
        <v>365</v>
      </c>
      <c r="E4035" s="19" t="s">
        <v>366</v>
      </c>
      <c r="F4035" s="19" t="s">
        <v>1117</v>
      </c>
      <c r="G4035" s="19" t="s">
        <v>1028</v>
      </c>
      <c r="H4035" s="19" t="s">
        <v>1020</v>
      </c>
      <c r="I4035" s="19" t="s">
        <v>1575</v>
      </c>
      <c r="J4035" s="20">
        <v>21</v>
      </c>
      <c r="K4035" t="s">
        <v>668</v>
      </c>
      <c r="L4035" t="s">
        <v>691</v>
      </c>
      <c r="M4035" t="s">
        <v>657</v>
      </c>
      <c r="N4035" t="s">
        <v>658</v>
      </c>
      <c r="O4035" t="s">
        <v>632</v>
      </c>
    </row>
    <row r="4036" spans="1:15" x14ac:dyDescent="0.35">
      <c r="A4036" s="77">
        <v>9.0410958904109592E-2</v>
      </c>
      <c r="B4036" s="19">
        <v>101103</v>
      </c>
      <c r="C4036" s="19" t="s">
        <v>6324</v>
      </c>
      <c r="D4036" s="19" t="s">
        <v>430</v>
      </c>
      <c r="E4036" s="19" t="e">
        <v>#N/A</v>
      </c>
      <c r="F4036" s="19" t="s">
        <v>1105</v>
      </c>
      <c r="G4036" s="19" t="s">
        <v>1084</v>
      </c>
      <c r="H4036" s="19" t="s">
        <v>1020</v>
      </c>
      <c r="I4036" s="19" t="s">
        <v>1599</v>
      </c>
      <c r="J4036" s="20">
        <v>20</v>
      </c>
      <c r="K4036" t="s">
        <v>654</v>
      </c>
      <c r="L4036" t="s">
        <v>645</v>
      </c>
      <c r="M4036" t="s">
        <v>629</v>
      </c>
      <c r="N4036" t="s">
        <v>646</v>
      </c>
      <c r="O4036" t="s">
        <v>632</v>
      </c>
    </row>
    <row r="4037" spans="1:15" x14ac:dyDescent="0.35">
      <c r="A4037" s="77">
        <v>9.0410958904109592E-2</v>
      </c>
      <c r="B4037" s="19">
        <v>101104</v>
      </c>
      <c r="C4037" s="19" t="s">
        <v>6325</v>
      </c>
      <c r="D4037" s="19" t="s">
        <v>204</v>
      </c>
      <c r="E4037" s="19" t="s">
        <v>205</v>
      </c>
      <c r="F4037" s="19" t="s">
        <v>1090</v>
      </c>
      <c r="G4037" s="19" t="s">
        <v>1028</v>
      </c>
      <c r="H4037" s="19" t="s">
        <v>1020</v>
      </c>
      <c r="I4037" s="19" t="s">
        <v>1599</v>
      </c>
      <c r="J4037" s="20">
        <v>23</v>
      </c>
      <c r="K4037" t="s">
        <v>668</v>
      </c>
      <c r="L4037" t="s">
        <v>634</v>
      </c>
      <c r="M4037" t="s">
        <v>629</v>
      </c>
      <c r="N4037" t="s">
        <v>635</v>
      </c>
      <c r="O4037" t="s">
        <v>637</v>
      </c>
    </row>
    <row r="4038" spans="1:15" x14ac:dyDescent="0.35">
      <c r="A4038" s="77">
        <v>9.0410958904109592E-2</v>
      </c>
      <c r="B4038" s="19">
        <v>101106</v>
      </c>
      <c r="C4038" s="19" t="s">
        <v>6326</v>
      </c>
      <c r="D4038" s="19" t="s">
        <v>237</v>
      </c>
      <c r="E4038" s="19" t="s">
        <v>238</v>
      </c>
      <c r="F4038" s="19" t="s">
        <v>1070</v>
      </c>
      <c r="G4038" s="19" t="s">
        <v>1028</v>
      </c>
      <c r="H4038" s="19" t="s">
        <v>1020</v>
      </c>
      <c r="I4038" s="19" t="s">
        <v>1599</v>
      </c>
      <c r="J4038" s="20">
        <v>20</v>
      </c>
      <c r="K4038" t="s">
        <v>631</v>
      </c>
      <c r="L4038" t="s">
        <v>661</v>
      </c>
      <c r="M4038" t="s">
        <v>657</v>
      </c>
      <c r="N4038" t="s">
        <v>662</v>
      </c>
      <c r="O4038" t="s">
        <v>632</v>
      </c>
    </row>
    <row r="4039" spans="1:15" x14ac:dyDescent="0.35">
      <c r="A4039" s="77">
        <v>9.0410958904109592E-2</v>
      </c>
      <c r="B4039" s="19">
        <v>101107</v>
      </c>
      <c r="C4039" s="19" t="s">
        <v>6327</v>
      </c>
      <c r="D4039" s="19" t="s">
        <v>237</v>
      </c>
      <c r="E4039" s="19" t="s">
        <v>238</v>
      </c>
      <c r="F4039" s="19" t="s">
        <v>1070</v>
      </c>
      <c r="G4039" s="19" t="s">
        <v>1028</v>
      </c>
      <c r="H4039" s="19" t="s">
        <v>1020</v>
      </c>
      <c r="I4039" s="19" t="s">
        <v>1575</v>
      </c>
      <c r="J4039" s="20">
        <v>18</v>
      </c>
      <c r="K4039" t="s">
        <v>631</v>
      </c>
      <c r="L4039" t="s">
        <v>661</v>
      </c>
      <c r="M4039" t="s">
        <v>657</v>
      </c>
      <c r="N4039" t="s">
        <v>662</v>
      </c>
      <c r="O4039" t="s">
        <v>632</v>
      </c>
    </row>
    <row r="4040" spans="1:15" x14ac:dyDescent="0.35">
      <c r="A4040" s="77">
        <v>9.0410958904109592E-2</v>
      </c>
      <c r="B4040" s="19">
        <v>101108</v>
      </c>
      <c r="C4040" s="19" t="s">
        <v>6328</v>
      </c>
      <c r="D4040" s="19" t="s">
        <v>149</v>
      </c>
      <c r="E4040" s="19" t="s">
        <v>150</v>
      </c>
      <c r="F4040" s="19" t="s">
        <v>1548</v>
      </c>
      <c r="G4040" s="19" t="s">
        <v>1028</v>
      </c>
      <c r="H4040" s="19" t="s">
        <v>1020</v>
      </c>
      <c r="I4040" s="19" t="s">
        <v>1575</v>
      </c>
      <c r="J4040" s="20">
        <v>23</v>
      </c>
      <c r="K4040" t="s">
        <v>654</v>
      </c>
      <c r="L4040" t="s">
        <v>648</v>
      </c>
      <c r="M4040" t="s">
        <v>623</v>
      </c>
      <c r="N4040" t="s">
        <v>624</v>
      </c>
      <c r="O4040" t="s">
        <v>725</v>
      </c>
    </row>
    <row r="4041" spans="1:15" x14ac:dyDescent="0.35">
      <c r="A4041" s="77">
        <v>9.0410958904109592E-2</v>
      </c>
      <c r="B4041" s="19">
        <v>101109</v>
      </c>
      <c r="C4041" s="19" t="s">
        <v>6329</v>
      </c>
      <c r="D4041" s="19" t="s">
        <v>349</v>
      </c>
      <c r="E4041" s="19" t="s">
        <v>350</v>
      </c>
      <c r="F4041" s="19" t="s">
        <v>912</v>
      </c>
      <c r="G4041" s="19" t="s">
        <v>1008</v>
      </c>
      <c r="H4041" s="19" t="s">
        <v>1001</v>
      </c>
      <c r="I4041" s="19" t="s">
        <v>1575</v>
      </c>
      <c r="J4041" s="20">
        <v>21</v>
      </c>
      <c r="K4041" t="s">
        <v>625</v>
      </c>
      <c r="L4041" t="s">
        <v>648</v>
      </c>
      <c r="M4041" t="s">
        <v>623</v>
      </c>
      <c r="N4041" t="s">
        <v>624</v>
      </c>
      <c r="O4041" t="s">
        <v>649</v>
      </c>
    </row>
    <row r="4042" spans="1:15" x14ac:dyDescent="0.35">
      <c r="A4042" s="77">
        <v>9.0410958904109592E-2</v>
      </c>
      <c r="B4042" s="19">
        <v>101110</v>
      </c>
      <c r="C4042" s="19" t="s">
        <v>6330</v>
      </c>
      <c r="D4042" s="19" t="s">
        <v>349</v>
      </c>
      <c r="E4042" s="19" t="s">
        <v>350</v>
      </c>
      <c r="F4042" s="19" t="s">
        <v>912</v>
      </c>
      <c r="G4042" s="19" t="s">
        <v>1028</v>
      </c>
      <c r="H4042" s="19" t="s">
        <v>1020</v>
      </c>
      <c r="I4042" s="19" t="s">
        <v>1575</v>
      </c>
      <c r="J4042" s="20">
        <v>29</v>
      </c>
      <c r="K4042" t="s">
        <v>625</v>
      </c>
      <c r="L4042" t="s">
        <v>648</v>
      </c>
      <c r="M4042" t="s">
        <v>623</v>
      </c>
      <c r="N4042" t="s">
        <v>624</v>
      </c>
      <c r="O4042" t="s">
        <v>649</v>
      </c>
    </row>
    <row r="4043" spans="1:15" x14ac:dyDescent="0.35">
      <c r="A4043" s="77">
        <v>9.0410958904109592E-2</v>
      </c>
      <c r="B4043" s="19">
        <v>101111</v>
      </c>
      <c r="C4043" s="19" t="s">
        <v>6331</v>
      </c>
      <c r="D4043" s="19" t="s">
        <v>347</v>
      </c>
      <c r="E4043" s="19" t="s">
        <v>348</v>
      </c>
      <c r="F4043" s="19" t="s">
        <v>910</v>
      </c>
      <c r="G4043" s="19" t="s">
        <v>1028</v>
      </c>
      <c r="H4043" s="19" t="s">
        <v>1020</v>
      </c>
      <c r="I4043" s="19" t="s">
        <v>1575</v>
      </c>
      <c r="J4043" s="20">
        <v>40</v>
      </c>
      <c r="K4043" t="s">
        <v>654</v>
      </c>
      <c r="L4043" t="s">
        <v>707</v>
      </c>
      <c r="M4043" t="s">
        <v>629</v>
      </c>
      <c r="N4043" t="s">
        <v>635</v>
      </c>
      <c r="O4043" t="s">
        <v>710</v>
      </c>
    </row>
    <row r="4044" spans="1:15" x14ac:dyDescent="0.35">
      <c r="A4044" s="77">
        <v>9.0410958904109592E-2</v>
      </c>
      <c r="B4044" s="19">
        <v>101112</v>
      </c>
      <c r="C4044" s="19" t="s">
        <v>6332</v>
      </c>
      <c r="D4044" s="19" t="s">
        <v>307</v>
      </c>
      <c r="E4044" s="19" t="s">
        <v>308</v>
      </c>
      <c r="F4044" s="19" t="s">
        <v>1524</v>
      </c>
      <c r="G4044" s="19" t="s">
        <v>1028</v>
      </c>
      <c r="H4044" s="19" t="s">
        <v>1020</v>
      </c>
      <c r="I4044" s="19" t="s">
        <v>1575</v>
      </c>
      <c r="J4044" s="20">
        <v>22</v>
      </c>
      <c r="K4044" t="s">
        <v>668</v>
      </c>
      <c r="L4044" t="s">
        <v>656</v>
      </c>
      <c r="M4044" t="s">
        <v>657</v>
      </c>
      <c r="N4044" t="s">
        <v>658</v>
      </c>
      <c r="O4044" t="s">
        <v>718</v>
      </c>
    </row>
    <row r="4045" spans="1:15" x14ac:dyDescent="0.35">
      <c r="A4045" s="77">
        <v>8.2191780821917804E-2</v>
      </c>
      <c r="B4045" s="19">
        <v>101124</v>
      </c>
      <c r="C4045" s="19" t="s">
        <v>6333</v>
      </c>
      <c r="D4045" s="19" t="s">
        <v>432</v>
      </c>
      <c r="E4045" s="19" t="e">
        <v>#N/A</v>
      </c>
      <c r="F4045" s="19" t="s">
        <v>1037</v>
      </c>
      <c r="G4045" s="19" t="s">
        <v>1028</v>
      </c>
      <c r="H4045" s="19" t="s">
        <v>1020</v>
      </c>
      <c r="I4045" s="19" t="s">
        <v>1599</v>
      </c>
      <c r="J4045" s="20">
        <v>24</v>
      </c>
      <c r="K4045" t="s">
        <v>668</v>
      </c>
      <c r="L4045" t="s">
        <v>707</v>
      </c>
      <c r="M4045" t="s">
        <v>629</v>
      </c>
      <c r="N4045" t="s">
        <v>635</v>
      </c>
      <c r="O4045" t="s">
        <v>708</v>
      </c>
    </row>
    <row r="4046" spans="1:15" x14ac:dyDescent="0.35">
      <c r="A4046" s="77">
        <v>8.2191780821917804E-2</v>
      </c>
      <c r="B4046" s="19">
        <v>101126</v>
      </c>
      <c r="C4046" s="19" t="s">
        <v>6334</v>
      </c>
      <c r="D4046" s="19" t="s">
        <v>280</v>
      </c>
      <c r="E4046" s="19" t="s">
        <v>281</v>
      </c>
      <c r="F4046" s="19" t="s">
        <v>1223</v>
      </c>
      <c r="G4046" s="19" t="s">
        <v>1028</v>
      </c>
      <c r="H4046" s="19" t="s">
        <v>1020</v>
      </c>
      <c r="I4046" s="19" t="s">
        <v>1575</v>
      </c>
      <c r="J4046" s="20">
        <v>18</v>
      </c>
      <c r="K4046" t="s">
        <v>631</v>
      </c>
      <c r="L4046" t="s">
        <v>691</v>
      </c>
      <c r="M4046" t="s">
        <v>657</v>
      </c>
      <c r="N4046" t="s">
        <v>658</v>
      </c>
      <c r="O4046" t="s">
        <v>632</v>
      </c>
    </row>
    <row r="4047" spans="1:15" x14ac:dyDescent="0.35">
      <c r="A4047" s="77">
        <v>8.2191780821917804E-2</v>
      </c>
      <c r="B4047" s="19">
        <v>101127</v>
      </c>
      <c r="C4047" s="19" t="s">
        <v>6335</v>
      </c>
      <c r="D4047" s="19" t="s">
        <v>19</v>
      </c>
      <c r="E4047" s="19" t="s">
        <v>19</v>
      </c>
      <c r="F4047" s="19" t="s">
        <v>1255</v>
      </c>
      <c r="G4047" s="19" t="s">
        <v>1028</v>
      </c>
      <c r="H4047" s="19" t="s">
        <v>1020</v>
      </c>
      <c r="I4047" s="19" t="s">
        <v>1575</v>
      </c>
      <c r="J4047" s="20">
        <v>18</v>
      </c>
      <c r="K4047" t="s">
        <v>654</v>
      </c>
      <c r="L4047" t="s">
        <v>645</v>
      </c>
      <c r="M4047" t="s">
        <v>629</v>
      </c>
      <c r="N4047" t="s">
        <v>646</v>
      </c>
      <c r="O4047" t="s">
        <v>632</v>
      </c>
    </row>
    <row r="4048" spans="1:15" x14ac:dyDescent="0.35">
      <c r="A4048" s="77">
        <v>8.2191780821917804E-2</v>
      </c>
      <c r="B4048" s="19">
        <v>101129</v>
      </c>
      <c r="C4048" s="19" t="s">
        <v>6336</v>
      </c>
      <c r="D4048" s="19" t="s">
        <v>169</v>
      </c>
      <c r="E4048" s="19" t="s">
        <v>170</v>
      </c>
      <c r="F4048" s="19" t="s">
        <v>1274</v>
      </c>
      <c r="G4048" s="19" t="s">
        <v>1028</v>
      </c>
      <c r="H4048" s="19" t="s">
        <v>1020</v>
      </c>
      <c r="I4048" s="19" t="s">
        <v>1575</v>
      </c>
      <c r="J4048" s="20">
        <v>22</v>
      </c>
      <c r="K4048" t="s">
        <v>631</v>
      </c>
      <c r="L4048" t="s">
        <v>670</v>
      </c>
      <c r="M4048" t="s">
        <v>657</v>
      </c>
      <c r="N4048" t="s">
        <v>641</v>
      </c>
      <c r="O4048" t="s">
        <v>772</v>
      </c>
    </row>
    <row r="4049" spans="1:15" x14ac:dyDescent="0.35">
      <c r="A4049" s="77">
        <v>8.2191780821917804E-2</v>
      </c>
      <c r="B4049" s="19">
        <v>101132</v>
      </c>
      <c r="C4049" s="19" t="s">
        <v>6337</v>
      </c>
      <c r="D4049" s="19" t="s">
        <v>14</v>
      </c>
      <c r="E4049" s="19" t="s">
        <v>14</v>
      </c>
      <c r="F4049" s="19" t="s">
        <v>15</v>
      </c>
      <c r="G4049" s="19" t="s">
        <v>1028</v>
      </c>
      <c r="H4049" s="19" t="s">
        <v>1020</v>
      </c>
      <c r="I4049" s="19" t="s">
        <v>1575</v>
      </c>
      <c r="J4049" s="20">
        <v>20</v>
      </c>
      <c r="K4049" t="s">
        <v>642</v>
      </c>
      <c r="L4049" t="s">
        <v>640</v>
      </c>
      <c r="M4049" t="s">
        <v>623</v>
      </c>
      <c r="N4049" t="s">
        <v>641</v>
      </c>
      <c r="O4049" t="s">
        <v>643</v>
      </c>
    </row>
    <row r="4050" spans="1:15" x14ac:dyDescent="0.35">
      <c r="A4050" s="77">
        <v>8.2191780821917804E-2</v>
      </c>
      <c r="B4050" s="19">
        <v>101135</v>
      </c>
      <c r="C4050" s="19" t="s">
        <v>6338</v>
      </c>
      <c r="D4050" s="19" t="s">
        <v>181</v>
      </c>
      <c r="E4050" s="19" t="s">
        <v>182</v>
      </c>
      <c r="F4050" s="19" t="s">
        <v>1374</v>
      </c>
      <c r="G4050" s="19" t="s">
        <v>1019</v>
      </c>
      <c r="H4050" s="19" t="s">
        <v>1020</v>
      </c>
      <c r="I4050" s="19" t="s">
        <v>1575</v>
      </c>
      <c r="J4050" s="20">
        <v>20</v>
      </c>
      <c r="K4050" t="s">
        <v>625</v>
      </c>
      <c r="L4050" t="s">
        <v>678</v>
      </c>
      <c r="M4050" t="s">
        <v>623</v>
      </c>
      <c r="N4050" t="s">
        <v>624</v>
      </c>
      <c r="O4050" t="s">
        <v>679</v>
      </c>
    </row>
    <row r="4051" spans="1:15" x14ac:dyDescent="0.35">
      <c r="A4051" s="77">
        <v>8.2191780821917804E-2</v>
      </c>
      <c r="B4051" s="19">
        <v>101136</v>
      </c>
      <c r="C4051" s="19" t="s">
        <v>6339</v>
      </c>
      <c r="D4051" s="19" t="s">
        <v>318</v>
      </c>
      <c r="E4051" s="19" t="s">
        <v>319</v>
      </c>
      <c r="F4051" s="19" t="s">
        <v>1266</v>
      </c>
      <c r="G4051" s="19" t="s">
        <v>1028</v>
      </c>
      <c r="H4051" s="19" t="s">
        <v>1020</v>
      </c>
      <c r="I4051" s="19" t="s">
        <v>1575</v>
      </c>
      <c r="J4051" s="20">
        <v>18</v>
      </c>
      <c r="K4051" t="s">
        <v>625</v>
      </c>
      <c r="L4051" t="s">
        <v>678</v>
      </c>
      <c r="M4051" t="s">
        <v>623</v>
      </c>
      <c r="N4051" t="s">
        <v>624</v>
      </c>
      <c r="O4051" t="s">
        <v>679</v>
      </c>
    </row>
    <row r="4052" spans="1:15" x14ac:dyDescent="0.35">
      <c r="A4052" s="77">
        <v>8.2191780821917804E-2</v>
      </c>
      <c r="B4052" s="19">
        <v>101138</v>
      </c>
      <c r="C4052" s="19" t="s">
        <v>6340</v>
      </c>
      <c r="D4052" s="19" t="s">
        <v>371</v>
      </c>
      <c r="E4052" s="19" t="s">
        <v>372</v>
      </c>
      <c r="F4052" s="19" t="s">
        <v>2222</v>
      </c>
      <c r="G4052" s="19" t="s">
        <v>1028</v>
      </c>
      <c r="H4052" s="19" t="s">
        <v>1020</v>
      </c>
      <c r="I4052" s="19" t="s">
        <v>1575</v>
      </c>
      <c r="J4052" s="20">
        <v>28</v>
      </c>
      <c r="K4052" t="s">
        <v>668</v>
      </c>
      <c r="L4052" t="s">
        <v>640</v>
      </c>
      <c r="M4052" t="s">
        <v>623</v>
      </c>
      <c r="N4052" t="s">
        <v>641</v>
      </c>
      <c r="O4052" t="s">
        <v>859</v>
      </c>
    </row>
    <row r="4053" spans="1:15" x14ac:dyDescent="0.35">
      <c r="A4053" s="77">
        <v>8.2191780821917804E-2</v>
      </c>
      <c r="B4053" s="19">
        <v>101140</v>
      </c>
      <c r="C4053" s="19" t="s">
        <v>6341</v>
      </c>
      <c r="D4053" s="19" t="s">
        <v>76</v>
      </c>
      <c r="E4053" s="19" t="s">
        <v>77</v>
      </c>
      <c r="F4053" s="19" t="s">
        <v>899</v>
      </c>
      <c r="G4053" s="19" t="s">
        <v>1028</v>
      </c>
      <c r="H4053" s="19" t="s">
        <v>1020</v>
      </c>
      <c r="I4053" s="19" t="s">
        <v>1575</v>
      </c>
      <c r="J4053" s="20">
        <v>26</v>
      </c>
      <c r="K4053" t="s">
        <v>636</v>
      </c>
      <c r="L4053" t="s">
        <v>645</v>
      </c>
      <c r="M4053" t="s">
        <v>629</v>
      </c>
      <c r="N4053" t="s">
        <v>646</v>
      </c>
      <c r="O4053" t="s">
        <v>632</v>
      </c>
    </row>
    <row r="4054" spans="1:15" x14ac:dyDescent="0.35">
      <c r="A4054" s="77">
        <v>8.2191780821917804E-2</v>
      </c>
      <c r="B4054" s="19">
        <v>101141</v>
      </c>
      <c r="C4054" s="19" t="s">
        <v>6342</v>
      </c>
      <c r="D4054" s="19" t="s">
        <v>80</v>
      </c>
      <c r="E4054" s="19" t="s">
        <v>81</v>
      </c>
      <c r="F4054" s="19" t="s">
        <v>1022</v>
      </c>
      <c r="G4054" s="19" t="s">
        <v>1028</v>
      </c>
      <c r="H4054" s="19" t="s">
        <v>1020</v>
      </c>
      <c r="I4054" s="19" t="s">
        <v>1575</v>
      </c>
      <c r="J4054" s="20">
        <v>21</v>
      </c>
      <c r="K4054" t="s">
        <v>654</v>
      </c>
      <c r="L4054" t="s">
        <v>628</v>
      </c>
      <c r="M4054" t="s">
        <v>629</v>
      </c>
      <c r="N4054" t="s">
        <v>630</v>
      </c>
      <c r="O4054" t="s">
        <v>632</v>
      </c>
    </row>
    <row r="4055" spans="1:15" x14ac:dyDescent="0.35">
      <c r="A4055" s="77">
        <v>8.2191780821917804E-2</v>
      </c>
      <c r="B4055" s="19">
        <v>101142</v>
      </c>
      <c r="C4055" s="19" t="s">
        <v>6343</v>
      </c>
      <c r="D4055" s="19" t="s">
        <v>42</v>
      </c>
      <c r="E4055" s="19" t="s">
        <v>42</v>
      </c>
      <c r="F4055" s="19" t="s">
        <v>1262</v>
      </c>
      <c r="G4055" s="19" t="s">
        <v>1028</v>
      </c>
      <c r="H4055" s="19" t="s">
        <v>1020</v>
      </c>
      <c r="I4055" s="19" t="s">
        <v>1599</v>
      </c>
      <c r="J4055" s="20">
        <v>17</v>
      </c>
      <c r="K4055" t="s">
        <v>625</v>
      </c>
      <c r="L4055" t="s">
        <v>628</v>
      </c>
      <c r="M4055" t="s">
        <v>629</v>
      </c>
      <c r="N4055" t="s">
        <v>630</v>
      </c>
      <c r="O4055" t="s">
        <v>632</v>
      </c>
    </row>
    <row r="4056" spans="1:15" x14ac:dyDescent="0.35">
      <c r="A4056" s="77">
        <v>8.2191780821917804E-2</v>
      </c>
      <c r="B4056" s="19">
        <v>101143</v>
      </c>
      <c r="C4056" s="19" t="s">
        <v>6344</v>
      </c>
      <c r="D4056" s="19" t="s">
        <v>315</v>
      </c>
      <c r="E4056" s="19" t="s">
        <v>316</v>
      </c>
      <c r="F4056" s="19" t="s">
        <v>1322</v>
      </c>
      <c r="G4056" s="19" t="s">
        <v>1028</v>
      </c>
      <c r="H4056" s="19" t="s">
        <v>1020</v>
      </c>
      <c r="I4056" s="19" t="s">
        <v>1599</v>
      </c>
      <c r="J4056" s="20">
        <v>18</v>
      </c>
      <c r="K4056" t="s">
        <v>654</v>
      </c>
      <c r="L4056" t="s">
        <v>684</v>
      </c>
      <c r="M4056" t="s">
        <v>623</v>
      </c>
      <c r="N4056" t="s">
        <v>662</v>
      </c>
      <c r="O4056" t="s">
        <v>831</v>
      </c>
    </row>
    <row r="4057" spans="1:15" x14ac:dyDescent="0.35">
      <c r="A4057" s="77">
        <v>8.2191780821917804E-2</v>
      </c>
      <c r="B4057" s="19">
        <v>101144</v>
      </c>
      <c r="C4057" s="19" t="s">
        <v>6345</v>
      </c>
      <c r="D4057" s="19" t="s">
        <v>339</v>
      </c>
      <c r="E4057" s="19" t="s">
        <v>340</v>
      </c>
      <c r="F4057" s="19" t="s">
        <v>1024</v>
      </c>
      <c r="G4057" s="19" t="s">
        <v>1028</v>
      </c>
      <c r="H4057" s="19" t="s">
        <v>1020</v>
      </c>
      <c r="I4057" s="19" t="s">
        <v>1575</v>
      </c>
      <c r="J4057" s="20">
        <v>25</v>
      </c>
      <c r="K4057" t="s">
        <v>631</v>
      </c>
      <c r="L4057" t="s">
        <v>651</v>
      </c>
      <c r="M4057" t="s">
        <v>629</v>
      </c>
      <c r="N4057" t="s">
        <v>630</v>
      </c>
      <c r="O4057" t="s">
        <v>705</v>
      </c>
    </row>
    <row r="4058" spans="1:15" x14ac:dyDescent="0.35">
      <c r="A4058" s="77">
        <v>8.2191780821917804E-2</v>
      </c>
      <c r="B4058" s="19">
        <v>101145</v>
      </c>
      <c r="C4058" s="19" t="s">
        <v>6346</v>
      </c>
      <c r="D4058" s="19" t="s">
        <v>339</v>
      </c>
      <c r="E4058" s="19" t="s">
        <v>340</v>
      </c>
      <c r="F4058" s="19" t="s">
        <v>1024</v>
      </c>
      <c r="G4058" s="19" t="s">
        <v>1019</v>
      </c>
      <c r="H4058" s="19" t="s">
        <v>1020</v>
      </c>
      <c r="I4058" s="19" t="s">
        <v>1575</v>
      </c>
      <c r="J4058" s="20">
        <v>28</v>
      </c>
      <c r="K4058" t="s">
        <v>631</v>
      </c>
      <c r="L4058" t="s">
        <v>651</v>
      </c>
      <c r="M4058" t="s">
        <v>629</v>
      </c>
      <c r="N4058" t="s">
        <v>630</v>
      </c>
      <c r="O4058" t="s">
        <v>705</v>
      </c>
    </row>
    <row r="4059" spans="1:15" x14ac:dyDescent="0.35">
      <c r="A4059" s="77">
        <v>8.2191780821917804E-2</v>
      </c>
      <c r="B4059" s="19">
        <v>101146</v>
      </c>
      <c r="C4059" s="19" t="s">
        <v>6347</v>
      </c>
      <c r="D4059" s="19" t="s">
        <v>339</v>
      </c>
      <c r="E4059" s="19" t="s">
        <v>340</v>
      </c>
      <c r="F4059" s="19" t="s">
        <v>1024</v>
      </c>
      <c r="G4059" s="19" t="s">
        <v>1028</v>
      </c>
      <c r="H4059" s="19" t="s">
        <v>1020</v>
      </c>
      <c r="I4059" s="19" t="s">
        <v>1575</v>
      </c>
      <c r="J4059" s="20">
        <v>30</v>
      </c>
      <c r="K4059" t="s">
        <v>631</v>
      </c>
      <c r="L4059" t="s">
        <v>651</v>
      </c>
      <c r="M4059" t="s">
        <v>629</v>
      </c>
      <c r="N4059" t="s">
        <v>630</v>
      </c>
      <c r="O4059" t="s">
        <v>705</v>
      </c>
    </row>
    <row r="4060" spans="1:15" x14ac:dyDescent="0.35">
      <c r="A4060" s="77">
        <v>8.2191780821917804E-2</v>
      </c>
      <c r="B4060" s="19">
        <v>101147</v>
      </c>
      <c r="C4060" s="19" t="s">
        <v>6348</v>
      </c>
      <c r="D4060" s="19" t="s">
        <v>339</v>
      </c>
      <c r="E4060" s="19" t="s">
        <v>340</v>
      </c>
      <c r="F4060" s="19" t="s">
        <v>1024</v>
      </c>
      <c r="G4060" s="19" t="s">
        <v>1028</v>
      </c>
      <c r="H4060" s="19" t="s">
        <v>1020</v>
      </c>
      <c r="I4060" s="19" t="s">
        <v>1575</v>
      </c>
      <c r="J4060" s="20">
        <v>20</v>
      </c>
      <c r="K4060" t="s">
        <v>631</v>
      </c>
      <c r="L4060" t="s">
        <v>651</v>
      </c>
      <c r="M4060" t="s">
        <v>629</v>
      </c>
      <c r="N4060" t="s">
        <v>630</v>
      </c>
      <c r="O4060" t="s">
        <v>705</v>
      </c>
    </row>
    <row r="4061" spans="1:15" x14ac:dyDescent="0.35">
      <c r="A4061" s="77">
        <v>8.2191780821917804E-2</v>
      </c>
      <c r="B4061" s="19">
        <v>101148</v>
      </c>
      <c r="C4061" s="19" t="s">
        <v>6349</v>
      </c>
      <c r="D4061" s="19" t="s">
        <v>353</v>
      </c>
      <c r="E4061" s="19" t="s">
        <v>354</v>
      </c>
      <c r="F4061" s="19" t="s">
        <v>850</v>
      </c>
      <c r="G4061" s="19" t="s">
        <v>1028</v>
      </c>
      <c r="H4061" s="19" t="s">
        <v>1020</v>
      </c>
      <c r="I4061" s="19" t="s">
        <v>1599</v>
      </c>
      <c r="J4061" s="20">
        <v>18</v>
      </c>
      <c r="K4061" t="s">
        <v>654</v>
      </c>
      <c r="L4061" t="s">
        <v>640</v>
      </c>
      <c r="M4061" t="s">
        <v>623</v>
      </c>
      <c r="N4061" t="s">
        <v>624</v>
      </c>
      <c r="O4061" t="s">
        <v>789</v>
      </c>
    </row>
    <row r="4062" spans="1:15" x14ac:dyDescent="0.35">
      <c r="A4062" s="77">
        <v>8.2191780821917804E-2</v>
      </c>
      <c r="B4062" s="19">
        <v>101150</v>
      </c>
      <c r="C4062" s="19" t="s">
        <v>6350</v>
      </c>
      <c r="D4062" s="19" t="s">
        <v>35</v>
      </c>
      <c r="E4062" s="19" t="s">
        <v>35</v>
      </c>
      <c r="F4062" s="19" t="s">
        <v>1657</v>
      </c>
      <c r="G4062" s="19" t="s">
        <v>1008</v>
      </c>
      <c r="H4062" s="19" t="s">
        <v>1001</v>
      </c>
      <c r="I4062" s="19" t="s">
        <v>1599</v>
      </c>
      <c r="J4062" s="20">
        <v>20</v>
      </c>
      <c r="K4062" t="s">
        <v>654</v>
      </c>
      <c r="L4062" t="s">
        <v>684</v>
      </c>
      <c r="M4062" t="s">
        <v>623</v>
      </c>
      <c r="N4062" t="s">
        <v>662</v>
      </c>
      <c r="O4062" t="s">
        <v>685</v>
      </c>
    </row>
    <row r="4063" spans="1:15" x14ac:dyDescent="0.35">
      <c r="A4063" s="77">
        <v>8.2191780821917804E-2</v>
      </c>
      <c r="B4063" s="19">
        <v>101151</v>
      </c>
      <c r="C4063" s="19" t="s">
        <v>6351</v>
      </c>
      <c r="D4063" s="19" t="s">
        <v>201</v>
      </c>
      <c r="E4063" s="19" t="s">
        <v>202</v>
      </c>
      <c r="F4063" s="19" t="s">
        <v>1061</v>
      </c>
      <c r="G4063" s="19" t="s">
        <v>1028</v>
      </c>
      <c r="H4063" s="19" t="s">
        <v>1020</v>
      </c>
      <c r="I4063" s="19" t="s">
        <v>1575</v>
      </c>
      <c r="J4063" s="20">
        <v>26</v>
      </c>
      <c r="K4063" t="s">
        <v>631</v>
      </c>
      <c r="L4063" t="s">
        <v>628</v>
      </c>
      <c r="M4063" t="s">
        <v>629</v>
      </c>
      <c r="N4063" t="s">
        <v>630</v>
      </c>
      <c r="O4063" t="s">
        <v>784</v>
      </c>
    </row>
    <row r="4064" spans="1:15" x14ac:dyDescent="0.35">
      <c r="A4064" s="77">
        <v>8.2191780821917804E-2</v>
      </c>
      <c r="B4064" s="19">
        <v>101152</v>
      </c>
      <c r="C4064" s="19" t="s">
        <v>6352</v>
      </c>
      <c r="D4064" s="19" t="s">
        <v>34</v>
      </c>
      <c r="E4064" s="19" t="s">
        <v>34</v>
      </c>
      <c r="F4064" s="19" t="s">
        <v>1066</v>
      </c>
      <c r="G4064" s="19" t="s">
        <v>1028</v>
      </c>
      <c r="H4064" s="19" t="s">
        <v>1020</v>
      </c>
      <c r="I4064" s="19" t="s">
        <v>1575</v>
      </c>
      <c r="J4064" s="20">
        <v>18</v>
      </c>
      <c r="K4064" t="s">
        <v>654</v>
      </c>
      <c r="L4064" t="s">
        <v>656</v>
      </c>
      <c r="M4064" t="s">
        <v>657</v>
      </c>
      <c r="N4064" t="s">
        <v>658</v>
      </c>
      <c r="O4064" t="s">
        <v>632</v>
      </c>
    </row>
    <row r="4065" spans="1:15" x14ac:dyDescent="0.35">
      <c r="A4065" s="77">
        <v>8.2191780821917804E-2</v>
      </c>
      <c r="B4065" s="19">
        <v>101154</v>
      </c>
      <c r="C4065" s="19" t="s">
        <v>6353</v>
      </c>
      <c r="D4065" s="19" t="s">
        <v>23</v>
      </c>
      <c r="E4065" s="19" t="s">
        <v>23</v>
      </c>
      <c r="F4065" s="19" t="s">
        <v>660</v>
      </c>
      <c r="G4065" s="19" t="s">
        <v>1028</v>
      </c>
      <c r="H4065" s="19" t="s">
        <v>1020</v>
      </c>
      <c r="I4065" s="19" t="s">
        <v>1575</v>
      </c>
      <c r="J4065" s="20">
        <v>19</v>
      </c>
      <c r="K4065" t="s">
        <v>631</v>
      </c>
      <c r="L4065" t="s">
        <v>661</v>
      </c>
      <c r="M4065" t="s">
        <v>657</v>
      </c>
      <c r="N4065" t="s">
        <v>662</v>
      </c>
      <c r="O4065" t="s">
        <v>632</v>
      </c>
    </row>
    <row r="4066" spans="1:15" x14ac:dyDescent="0.35">
      <c r="A4066" s="77">
        <v>8.2191780821917804E-2</v>
      </c>
      <c r="B4066" s="19">
        <v>101155</v>
      </c>
      <c r="C4066" s="19" t="s">
        <v>6354</v>
      </c>
      <c r="D4066" s="19" t="s">
        <v>409</v>
      </c>
      <c r="E4066" s="19" t="s">
        <v>410</v>
      </c>
      <c r="F4066" s="19" t="s">
        <v>874</v>
      </c>
      <c r="G4066" s="19" t="s">
        <v>1028</v>
      </c>
      <c r="H4066" s="19" t="s">
        <v>1020</v>
      </c>
      <c r="I4066" s="19" t="s">
        <v>1575</v>
      </c>
      <c r="J4066" s="20">
        <v>18</v>
      </c>
      <c r="K4066" t="s">
        <v>631</v>
      </c>
      <c r="L4066" t="s">
        <v>666</v>
      </c>
      <c r="M4066" t="s">
        <v>629</v>
      </c>
      <c r="N4066" t="s">
        <v>635</v>
      </c>
      <c r="O4066" t="s">
        <v>637</v>
      </c>
    </row>
    <row r="4067" spans="1:15" x14ac:dyDescent="0.35">
      <c r="A4067" s="77">
        <v>8.2191780821917804E-2</v>
      </c>
      <c r="B4067" s="19">
        <v>101156</v>
      </c>
      <c r="C4067" s="19" t="s">
        <v>6355</v>
      </c>
      <c r="D4067" s="19" t="s">
        <v>420</v>
      </c>
      <c r="E4067" s="19" t="s">
        <v>420</v>
      </c>
      <c r="F4067" s="19" t="s">
        <v>686</v>
      </c>
      <c r="G4067" s="19" t="s">
        <v>1008</v>
      </c>
      <c r="H4067" s="19" t="s">
        <v>1001</v>
      </c>
      <c r="I4067" s="19" t="s">
        <v>1575</v>
      </c>
      <c r="J4067" s="20">
        <v>20</v>
      </c>
      <c r="K4067" t="s">
        <v>631</v>
      </c>
      <c r="L4067" t="s">
        <v>634</v>
      </c>
      <c r="M4067" t="s">
        <v>629</v>
      </c>
      <c r="N4067" t="s">
        <v>635</v>
      </c>
      <c r="O4067" t="s">
        <v>637</v>
      </c>
    </row>
    <row r="4068" spans="1:15" x14ac:dyDescent="0.35">
      <c r="A4068" s="77">
        <v>8.2191780821917804E-2</v>
      </c>
      <c r="B4068" s="19">
        <v>101157</v>
      </c>
      <c r="C4068" s="19" t="s">
        <v>6356</v>
      </c>
      <c r="D4068" s="19" t="s">
        <v>333</v>
      </c>
      <c r="E4068" s="19" t="s">
        <v>334</v>
      </c>
      <c r="F4068" s="19" t="s">
        <v>1333</v>
      </c>
      <c r="G4068" s="19" t="s">
        <v>1028</v>
      </c>
      <c r="H4068" s="19" t="s">
        <v>1020</v>
      </c>
      <c r="I4068" s="19" t="s">
        <v>1575</v>
      </c>
      <c r="J4068" s="20">
        <v>18</v>
      </c>
      <c r="K4068" t="s">
        <v>636</v>
      </c>
      <c r="L4068" t="s">
        <v>666</v>
      </c>
      <c r="M4068" t="s">
        <v>629</v>
      </c>
      <c r="N4068" t="s">
        <v>630</v>
      </c>
      <c r="O4068" t="s">
        <v>652</v>
      </c>
    </row>
    <row r="4069" spans="1:15" x14ac:dyDescent="0.35">
      <c r="A4069" s="77">
        <v>8.2191780821917804E-2</v>
      </c>
      <c r="B4069" s="19">
        <v>101158</v>
      </c>
      <c r="C4069" s="19" t="s">
        <v>6357</v>
      </c>
      <c r="D4069" s="19" t="s">
        <v>271</v>
      </c>
      <c r="E4069" s="19" t="s">
        <v>272</v>
      </c>
      <c r="F4069" s="19" t="s">
        <v>2611</v>
      </c>
      <c r="G4069" s="19" t="s">
        <v>1028</v>
      </c>
      <c r="H4069" s="19" t="s">
        <v>1020</v>
      </c>
      <c r="I4069" s="19" t="s">
        <v>1575</v>
      </c>
      <c r="J4069" s="20">
        <v>18</v>
      </c>
      <c r="K4069" t="s">
        <v>654</v>
      </c>
      <c r="L4069" t="s">
        <v>666</v>
      </c>
      <c r="M4069" t="s">
        <v>629</v>
      </c>
      <c r="N4069" t="s">
        <v>635</v>
      </c>
      <c r="O4069" t="s">
        <v>739</v>
      </c>
    </row>
    <row r="4070" spans="1:15" x14ac:dyDescent="0.35">
      <c r="A4070" s="77">
        <v>8.2191780821917804E-2</v>
      </c>
      <c r="B4070" s="19">
        <v>101159</v>
      </c>
      <c r="C4070" s="19" t="s">
        <v>6358</v>
      </c>
      <c r="D4070" s="19" t="s">
        <v>51</v>
      </c>
      <c r="E4070" s="19" t="s">
        <v>52</v>
      </c>
      <c r="F4070" s="19" t="s">
        <v>921</v>
      </c>
      <c r="G4070" s="19" t="s">
        <v>1028</v>
      </c>
      <c r="H4070" s="19" t="s">
        <v>1020</v>
      </c>
      <c r="I4070" s="19" t="s">
        <v>1599</v>
      </c>
      <c r="J4070" s="20">
        <v>19</v>
      </c>
      <c r="K4070" t="s">
        <v>636</v>
      </c>
      <c r="L4070" t="s">
        <v>656</v>
      </c>
      <c r="M4070" t="s">
        <v>657</v>
      </c>
      <c r="N4070" t="s">
        <v>658</v>
      </c>
      <c r="O4070" t="s">
        <v>718</v>
      </c>
    </row>
    <row r="4071" spans="1:15" x14ac:dyDescent="0.35">
      <c r="A4071" s="77">
        <v>8.2191780821917804E-2</v>
      </c>
      <c r="B4071" s="19">
        <v>101160</v>
      </c>
      <c r="C4071" s="19" t="s">
        <v>6359</v>
      </c>
      <c r="D4071" s="19" t="s">
        <v>297</v>
      </c>
      <c r="E4071" s="19" t="s">
        <v>298</v>
      </c>
      <c r="F4071" s="19" t="s">
        <v>904</v>
      </c>
      <c r="G4071" s="19" t="s">
        <v>1028</v>
      </c>
      <c r="H4071" s="19" t="s">
        <v>1020</v>
      </c>
      <c r="I4071" s="19" t="s">
        <v>1575</v>
      </c>
      <c r="J4071" s="20">
        <v>20</v>
      </c>
      <c r="K4071" t="s">
        <v>654</v>
      </c>
      <c r="L4071" t="s">
        <v>762</v>
      </c>
      <c r="M4071" t="s">
        <v>629</v>
      </c>
      <c r="N4071" t="s">
        <v>646</v>
      </c>
      <c r="O4071" t="s">
        <v>823</v>
      </c>
    </row>
    <row r="4072" spans="1:15" x14ac:dyDescent="0.35">
      <c r="A4072" s="77">
        <v>8.2191780821917804E-2</v>
      </c>
      <c r="B4072" s="19">
        <v>101162</v>
      </c>
      <c r="C4072" s="19" t="s">
        <v>6360</v>
      </c>
      <c r="D4072" s="19" t="s">
        <v>183</v>
      </c>
      <c r="E4072" s="19" t="s">
        <v>184</v>
      </c>
      <c r="F4072" s="19" t="s">
        <v>1532</v>
      </c>
      <c r="G4072" s="19" t="s">
        <v>1028</v>
      </c>
      <c r="H4072" s="19" t="s">
        <v>1020</v>
      </c>
      <c r="I4072" s="19" t="s">
        <v>1575</v>
      </c>
      <c r="J4072" s="20">
        <v>22</v>
      </c>
      <c r="K4072" t="s">
        <v>654</v>
      </c>
      <c r="L4072" t="s">
        <v>648</v>
      </c>
      <c r="M4072" t="s">
        <v>623</v>
      </c>
      <c r="N4072" t="s">
        <v>624</v>
      </c>
      <c r="O4072" t="s">
        <v>725</v>
      </c>
    </row>
    <row r="4073" spans="1:15" x14ac:dyDescent="0.35">
      <c r="A4073" s="77">
        <v>8.2191780821917804E-2</v>
      </c>
      <c r="B4073" s="19">
        <v>101163</v>
      </c>
      <c r="C4073" s="19" t="s">
        <v>6361</v>
      </c>
      <c r="D4073" s="19" t="s">
        <v>17</v>
      </c>
      <c r="E4073" s="19" t="s">
        <v>17</v>
      </c>
      <c r="F4073" s="19" t="s">
        <v>906</v>
      </c>
      <c r="G4073" s="19" t="s">
        <v>1084</v>
      </c>
      <c r="H4073" s="19" t="s">
        <v>1001</v>
      </c>
      <c r="I4073" s="19" t="s">
        <v>1599</v>
      </c>
      <c r="J4073" s="20">
        <v>34</v>
      </c>
      <c r="K4073" t="s">
        <v>636</v>
      </c>
      <c r="L4073" t="s">
        <v>648</v>
      </c>
      <c r="M4073" t="s">
        <v>623</v>
      </c>
      <c r="N4073" t="s">
        <v>624</v>
      </c>
      <c r="O4073" t="s">
        <v>649</v>
      </c>
    </row>
    <row r="4074" spans="1:15" x14ac:dyDescent="0.35">
      <c r="A4074" s="77">
        <v>8.2191780821917804E-2</v>
      </c>
      <c r="B4074" s="19">
        <v>101164</v>
      </c>
      <c r="C4074" s="19" t="s">
        <v>6362</v>
      </c>
      <c r="D4074" s="19" t="s">
        <v>228</v>
      </c>
      <c r="E4074" s="19" t="s">
        <v>229</v>
      </c>
      <c r="F4074" s="19" t="s">
        <v>1643</v>
      </c>
      <c r="G4074" s="19" t="s">
        <v>1028</v>
      </c>
      <c r="H4074" s="19" t="s">
        <v>1020</v>
      </c>
      <c r="I4074" s="19" t="s">
        <v>1575</v>
      </c>
      <c r="J4074" s="20">
        <v>22</v>
      </c>
      <c r="K4074" t="s">
        <v>668</v>
      </c>
      <c r="L4074" t="s">
        <v>762</v>
      </c>
      <c r="M4074" t="s">
        <v>629</v>
      </c>
      <c r="N4074" t="s">
        <v>646</v>
      </c>
      <c r="O4074" t="s">
        <v>763</v>
      </c>
    </row>
    <row r="4075" spans="1:15" x14ac:dyDescent="0.35">
      <c r="A4075" s="77">
        <v>8.2191780821917804E-2</v>
      </c>
      <c r="B4075" s="19">
        <v>101165</v>
      </c>
      <c r="C4075" s="19" t="s">
        <v>6363</v>
      </c>
      <c r="D4075" s="19" t="s">
        <v>24</v>
      </c>
      <c r="E4075" s="19" t="s">
        <v>24</v>
      </c>
      <c r="F4075" s="19" t="s">
        <v>2097</v>
      </c>
      <c r="G4075" s="19" t="s">
        <v>1028</v>
      </c>
      <c r="H4075" s="19" t="s">
        <v>1020</v>
      </c>
      <c r="I4075" s="19" t="s">
        <v>1575</v>
      </c>
      <c r="J4075" s="20">
        <v>19</v>
      </c>
      <c r="K4075" t="s">
        <v>664</v>
      </c>
      <c r="L4075" t="s">
        <v>663</v>
      </c>
      <c r="M4075" t="s">
        <v>629</v>
      </c>
      <c r="N4075" t="s">
        <v>646</v>
      </c>
      <c r="O4075" t="s">
        <v>639</v>
      </c>
    </row>
    <row r="4076" spans="1:15" x14ac:dyDescent="0.35">
      <c r="A4076" s="77">
        <v>8.2191780821917804E-2</v>
      </c>
      <c r="B4076" s="19">
        <v>101166</v>
      </c>
      <c r="C4076" s="19" t="s">
        <v>6364</v>
      </c>
      <c r="D4076" s="19" t="s">
        <v>385</v>
      </c>
      <c r="E4076" s="19" t="s">
        <v>386</v>
      </c>
      <c r="F4076" s="19" t="s">
        <v>1059</v>
      </c>
      <c r="G4076" s="19" t="s">
        <v>1028</v>
      </c>
      <c r="H4076" s="19" t="s">
        <v>1020</v>
      </c>
      <c r="I4076" s="19" t="s">
        <v>1575</v>
      </c>
      <c r="J4076" s="20">
        <v>33</v>
      </c>
      <c r="K4076" t="s">
        <v>631</v>
      </c>
      <c r="L4076" t="s">
        <v>663</v>
      </c>
      <c r="M4076" t="s">
        <v>629</v>
      </c>
      <c r="N4076" t="s">
        <v>646</v>
      </c>
      <c r="O4076" t="s">
        <v>810</v>
      </c>
    </row>
    <row r="4077" spans="1:15" x14ac:dyDescent="0.35">
      <c r="A4077" s="77">
        <v>8.2191780821917804E-2</v>
      </c>
      <c r="B4077" s="19">
        <v>101168</v>
      </c>
      <c r="C4077" s="19" t="s">
        <v>6365</v>
      </c>
      <c r="D4077" s="19" t="s">
        <v>429</v>
      </c>
      <c r="E4077" s="19" t="s">
        <v>429</v>
      </c>
      <c r="F4077" s="19" t="s">
        <v>1240</v>
      </c>
      <c r="G4077" s="19" t="s">
        <v>1008</v>
      </c>
      <c r="H4077" s="19" t="s">
        <v>1001</v>
      </c>
      <c r="I4077" s="19" t="s">
        <v>1575</v>
      </c>
      <c r="J4077" s="20">
        <v>21</v>
      </c>
      <c r="K4077" t="s">
        <v>654</v>
      </c>
      <c r="L4077" t="s">
        <v>678</v>
      </c>
      <c r="M4077" t="s">
        <v>623</v>
      </c>
      <c r="N4077" t="s">
        <v>624</v>
      </c>
      <c r="O4077" t="s">
        <v>679</v>
      </c>
    </row>
    <row r="4078" spans="1:15" x14ac:dyDescent="0.35">
      <c r="A4078" s="77">
        <v>8.2191780821917804E-2</v>
      </c>
      <c r="B4078" s="19">
        <v>101169</v>
      </c>
      <c r="C4078" s="19" t="s">
        <v>6366</v>
      </c>
      <c r="D4078" s="19" t="s">
        <v>199</v>
      </c>
      <c r="E4078" s="19" t="s">
        <v>200</v>
      </c>
      <c r="F4078" s="19" t="s">
        <v>1496</v>
      </c>
      <c r="G4078" s="19" t="s">
        <v>1028</v>
      </c>
      <c r="H4078" s="19" t="s">
        <v>1020</v>
      </c>
      <c r="I4078" s="19" t="s">
        <v>1575</v>
      </c>
      <c r="J4078" s="20">
        <v>22</v>
      </c>
      <c r="K4078" t="s">
        <v>654</v>
      </c>
      <c r="L4078" t="s">
        <v>737</v>
      </c>
      <c r="M4078" t="s">
        <v>657</v>
      </c>
      <c r="N4078" t="s">
        <v>641</v>
      </c>
      <c r="O4078" t="s">
        <v>738</v>
      </c>
    </row>
    <row r="4079" spans="1:15" x14ac:dyDescent="0.35">
      <c r="A4079" s="77">
        <v>8.2191780821917804E-2</v>
      </c>
      <c r="B4079" s="19">
        <v>101170</v>
      </c>
      <c r="C4079" s="19" t="s">
        <v>6367</v>
      </c>
      <c r="D4079" s="19" t="s">
        <v>199</v>
      </c>
      <c r="E4079" s="19" t="s">
        <v>200</v>
      </c>
      <c r="F4079" s="19" t="s">
        <v>1496</v>
      </c>
      <c r="G4079" s="19" t="s">
        <v>1028</v>
      </c>
      <c r="H4079" s="19" t="s">
        <v>1020</v>
      </c>
      <c r="I4079" s="19" t="s">
        <v>1575</v>
      </c>
      <c r="J4079" s="20">
        <v>23</v>
      </c>
      <c r="K4079" t="s">
        <v>654</v>
      </c>
      <c r="L4079" t="s">
        <v>737</v>
      </c>
      <c r="M4079" t="s">
        <v>657</v>
      </c>
      <c r="N4079" t="s">
        <v>641</v>
      </c>
      <c r="O4079" t="s">
        <v>738</v>
      </c>
    </row>
    <row r="4080" spans="1:15" x14ac:dyDescent="0.35">
      <c r="A4080" s="77">
        <v>7.9452054794520555E-2</v>
      </c>
      <c r="B4080" s="19">
        <v>101174</v>
      </c>
      <c r="C4080" s="19" t="s">
        <v>6368</v>
      </c>
      <c r="D4080" s="19" t="s">
        <v>95</v>
      </c>
      <c r="E4080" s="19" t="s">
        <v>96</v>
      </c>
      <c r="F4080" s="19" t="s">
        <v>1188</v>
      </c>
      <c r="G4080" s="19" t="s">
        <v>3508</v>
      </c>
      <c r="H4080" s="19" t="s">
        <v>1020</v>
      </c>
      <c r="I4080" s="19" t="s">
        <v>1575</v>
      </c>
      <c r="J4080" s="20">
        <v>17</v>
      </c>
      <c r="K4080" t="s">
        <v>636</v>
      </c>
      <c r="L4080" t="s">
        <v>737</v>
      </c>
      <c r="M4080" t="s">
        <v>657</v>
      </c>
      <c r="N4080" t="s">
        <v>641</v>
      </c>
      <c r="O4080" t="s">
        <v>738</v>
      </c>
    </row>
    <row r="4081" spans="1:15" x14ac:dyDescent="0.35">
      <c r="A4081" s="77">
        <v>7.9452054794520555E-2</v>
      </c>
      <c r="B4081" s="19">
        <v>101176</v>
      </c>
      <c r="C4081" s="19" t="s">
        <v>6369</v>
      </c>
      <c r="D4081" s="19" t="s">
        <v>102</v>
      </c>
      <c r="E4081" s="19" t="s">
        <v>103</v>
      </c>
      <c r="F4081" s="19" t="s">
        <v>1306</v>
      </c>
      <c r="G4081" s="19" t="s">
        <v>1028</v>
      </c>
      <c r="H4081" s="19" t="s">
        <v>1020</v>
      </c>
      <c r="I4081" s="19" t="s">
        <v>1599</v>
      </c>
      <c r="J4081" s="20">
        <v>22</v>
      </c>
      <c r="K4081" t="s">
        <v>654</v>
      </c>
      <c r="L4081" t="s">
        <v>707</v>
      </c>
      <c r="M4081" t="s">
        <v>629</v>
      </c>
      <c r="N4081" t="s">
        <v>635</v>
      </c>
      <c r="O4081" t="s">
        <v>708</v>
      </c>
    </row>
    <row r="4082" spans="1:15" x14ac:dyDescent="0.35">
      <c r="A4082" s="77">
        <v>7.9452054794520555E-2</v>
      </c>
      <c r="B4082" s="19">
        <v>101179</v>
      </c>
      <c r="C4082" s="19" t="s">
        <v>6370</v>
      </c>
      <c r="D4082" s="19" t="s">
        <v>186</v>
      </c>
      <c r="E4082" s="19" t="s">
        <v>187</v>
      </c>
      <c r="F4082" s="19" t="s">
        <v>1164</v>
      </c>
      <c r="G4082" s="19" t="s">
        <v>1028</v>
      </c>
      <c r="H4082" s="19" t="s">
        <v>1020</v>
      </c>
      <c r="I4082" s="19" t="s">
        <v>1575</v>
      </c>
      <c r="J4082" s="20">
        <v>22</v>
      </c>
      <c r="K4082" t="s">
        <v>642</v>
      </c>
      <c r="L4082" t="s">
        <v>648</v>
      </c>
      <c r="M4082" t="s">
        <v>623</v>
      </c>
      <c r="N4082" t="s">
        <v>624</v>
      </c>
      <c r="O4082" t="s">
        <v>649</v>
      </c>
    </row>
    <row r="4083" spans="1:15" x14ac:dyDescent="0.35">
      <c r="A4083" s="77">
        <v>7.9452054794520555E-2</v>
      </c>
      <c r="B4083" s="19">
        <v>101181</v>
      </c>
      <c r="C4083" s="19" t="s">
        <v>6371</v>
      </c>
      <c r="D4083" s="19" t="s">
        <v>51</v>
      </c>
      <c r="E4083" s="19" t="s">
        <v>52</v>
      </c>
      <c r="F4083" s="19" t="s">
        <v>921</v>
      </c>
      <c r="G4083" s="19" t="s">
        <v>1028</v>
      </c>
      <c r="H4083" s="19" t="s">
        <v>1020</v>
      </c>
      <c r="I4083" s="19" t="s">
        <v>1599</v>
      </c>
      <c r="J4083" s="20">
        <v>18</v>
      </c>
      <c r="K4083" t="s">
        <v>636</v>
      </c>
      <c r="L4083" t="s">
        <v>656</v>
      </c>
      <c r="M4083" t="s">
        <v>657</v>
      </c>
      <c r="N4083" t="s">
        <v>658</v>
      </c>
      <c r="O4083" t="s">
        <v>718</v>
      </c>
    </row>
    <row r="4084" spans="1:15" x14ac:dyDescent="0.35">
      <c r="A4084" s="77">
        <v>7.9452054794520555E-2</v>
      </c>
      <c r="B4084" s="19">
        <v>101183</v>
      </c>
      <c r="C4084" s="19" t="s">
        <v>6372</v>
      </c>
      <c r="D4084" s="19" t="s">
        <v>51</v>
      </c>
      <c r="E4084" s="19" t="s">
        <v>52</v>
      </c>
      <c r="F4084" s="19" t="s">
        <v>921</v>
      </c>
      <c r="G4084" s="19" t="s">
        <v>1019</v>
      </c>
      <c r="H4084" s="19" t="s">
        <v>1020</v>
      </c>
      <c r="I4084" s="19" t="s">
        <v>1575</v>
      </c>
      <c r="J4084" s="20">
        <v>30</v>
      </c>
      <c r="K4084" t="s">
        <v>636</v>
      </c>
      <c r="L4084" t="s">
        <v>656</v>
      </c>
      <c r="M4084" t="s">
        <v>657</v>
      </c>
      <c r="N4084" t="s">
        <v>658</v>
      </c>
      <c r="O4084" t="s">
        <v>718</v>
      </c>
    </row>
    <row r="4085" spans="1:15" x14ac:dyDescent="0.35">
      <c r="A4085" s="77">
        <v>7.9452054794520555E-2</v>
      </c>
      <c r="B4085" s="19">
        <v>101184</v>
      </c>
      <c r="C4085" s="19" t="s">
        <v>6373</v>
      </c>
      <c r="D4085" s="19" t="s">
        <v>349</v>
      </c>
      <c r="E4085" s="19" t="s">
        <v>350</v>
      </c>
      <c r="F4085" s="19" t="s">
        <v>912</v>
      </c>
      <c r="G4085" s="19" t="s">
        <v>1028</v>
      </c>
      <c r="H4085" s="19" t="s">
        <v>1020</v>
      </c>
      <c r="I4085" s="19" t="s">
        <v>1575</v>
      </c>
      <c r="J4085" s="20">
        <v>21</v>
      </c>
      <c r="K4085" t="s">
        <v>625</v>
      </c>
      <c r="L4085" t="s">
        <v>648</v>
      </c>
      <c r="M4085" t="s">
        <v>623</v>
      </c>
      <c r="N4085" t="s">
        <v>624</v>
      </c>
      <c r="O4085" t="s">
        <v>649</v>
      </c>
    </row>
    <row r="4086" spans="1:15" x14ac:dyDescent="0.35">
      <c r="A4086" s="77">
        <v>7.9452054794520555E-2</v>
      </c>
      <c r="B4086" s="19">
        <v>101186</v>
      </c>
      <c r="C4086" s="19" t="s">
        <v>6374</v>
      </c>
      <c r="D4086" s="19" t="s">
        <v>147</v>
      </c>
      <c r="E4086" s="19" t="s">
        <v>148</v>
      </c>
      <c r="F4086" s="19" t="s">
        <v>1396</v>
      </c>
      <c r="G4086" s="19" t="s">
        <v>1028</v>
      </c>
      <c r="H4086" s="19" t="s">
        <v>1020</v>
      </c>
      <c r="I4086" s="19" t="s">
        <v>1575</v>
      </c>
      <c r="J4086" s="20">
        <v>22</v>
      </c>
      <c r="K4086" t="s">
        <v>636</v>
      </c>
      <c r="L4086" t="s">
        <v>661</v>
      </c>
      <c r="M4086" t="s">
        <v>657</v>
      </c>
      <c r="N4086" t="s">
        <v>662</v>
      </c>
      <c r="O4086" t="s">
        <v>632</v>
      </c>
    </row>
    <row r="4087" spans="1:15" x14ac:dyDescent="0.35">
      <c r="A4087" s="77">
        <v>7.9452054794520555E-2</v>
      </c>
      <c r="B4087" s="19">
        <v>101188</v>
      </c>
      <c r="C4087" s="19" t="s">
        <v>6375</v>
      </c>
      <c r="D4087" s="19" t="s">
        <v>373</v>
      </c>
      <c r="E4087" s="19" t="s">
        <v>374</v>
      </c>
      <c r="F4087" s="19" t="s">
        <v>1033</v>
      </c>
      <c r="G4087" s="19" t="s">
        <v>1028</v>
      </c>
      <c r="H4087" s="19" t="s">
        <v>1020</v>
      </c>
      <c r="I4087" s="19" t="s">
        <v>1599</v>
      </c>
      <c r="J4087" s="20">
        <v>19</v>
      </c>
      <c r="K4087" t="s">
        <v>654</v>
      </c>
      <c r="L4087" t="s">
        <v>634</v>
      </c>
      <c r="M4087" t="s">
        <v>629</v>
      </c>
      <c r="N4087" t="s">
        <v>635</v>
      </c>
      <c r="O4087" t="s">
        <v>637</v>
      </c>
    </row>
    <row r="4088" spans="1:15" x14ac:dyDescent="0.35">
      <c r="A4088" s="77">
        <v>7.3972602739726029E-2</v>
      </c>
      <c r="B4088" s="19">
        <v>101191</v>
      </c>
      <c r="C4088" s="19" t="s">
        <v>6376</v>
      </c>
      <c r="D4088" s="19" t="s">
        <v>422</v>
      </c>
      <c r="E4088" s="19" t="s">
        <v>422</v>
      </c>
      <c r="F4088" s="19" t="s">
        <v>423</v>
      </c>
      <c r="G4088" s="19" t="s">
        <v>1000</v>
      </c>
      <c r="H4088" s="19" t="s">
        <v>1001</v>
      </c>
      <c r="I4088" s="19" t="s">
        <v>1575</v>
      </c>
      <c r="J4088" s="20">
        <v>32</v>
      </c>
      <c r="K4088" t="s">
        <v>654</v>
      </c>
      <c r="L4088" t="s">
        <v>673</v>
      </c>
      <c r="M4088" t="s">
        <v>623</v>
      </c>
      <c r="N4088" t="s">
        <v>641</v>
      </c>
      <c r="O4088" t="s">
        <v>697</v>
      </c>
    </row>
    <row r="4089" spans="1:15" x14ac:dyDescent="0.35">
      <c r="A4089" s="77">
        <v>7.1232876712328766E-2</v>
      </c>
      <c r="B4089" s="19">
        <v>101192</v>
      </c>
      <c r="C4089" s="19" t="s">
        <v>6377</v>
      </c>
      <c r="D4089" s="19" t="s">
        <v>34</v>
      </c>
      <c r="E4089" s="19" t="s">
        <v>34</v>
      </c>
      <c r="F4089" s="19" t="s">
        <v>1066</v>
      </c>
      <c r="G4089" s="19" t="s">
        <v>1019</v>
      </c>
      <c r="H4089" s="19" t="s">
        <v>1020</v>
      </c>
      <c r="I4089" s="19" t="s">
        <v>1575</v>
      </c>
      <c r="J4089" s="20">
        <v>28</v>
      </c>
      <c r="K4089" t="s">
        <v>654</v>
      </c>
      <c r="L4089" t="s">
        <v>656</v>
      </c>
      <c r="M4089" t="s">
        <v>657</v>
      </c>
      <c r="N4089" t="s">
        <v>658</v>
      </c>
      <c r="O4089" t="s">
        <v>632</v>
      </c>
    </row>
    <row r="4090" spans="1:15" x14ac:dyDescent="0.35">
      <c r="A4090" s="77">
        <v>7.1232876712328766E-2</v>
      </c>
      <c r="B4090" s="19">
        <v>101193</v>
      </c>
      <c r="C4090" s="19" t="s">
        <v>6378</v>
      </c>
      <c r="D4090" s="19" t="s">
        <v>30</v>
      </c>
      <c r="E4090" s="19" t="s">
        <v>30</v>
      </c>
      <c r="F4090" s="19" t="s">
        <v>672</v>
      </c>
      <c r="G4090" s="19" t="s">
        <v>1028</v>
      </c>
      <c r="H4090" s="19" t="s">
        <v>1020</v>
      </c>
      <c r="I4090" s="19" t="s">
        <v>1575</v>
      </c>
      <c r="J4090" s="20">
        <v>22</v>
      </c>
      <c r="K4090" t="s">
        <v>636</v>
      </c>
      <c r="L4090" t="s">
        <v>673</v>
      </c>
      <c r="M4090" t="s">
        <v>623</v>
      </c>
      <c r="N4090" t="s">
        <v>641</v>
      </c>
      <c r="O4090" t="s">
        <v>674</v>
      </c>
    </row>
    <row r="4091" spans="1:15" x14ac:dyDescent="0.35">
      <c r="A4091" s="77">
        <v>7.1232876712328766E-2</v>
      </c>
      <c r="B4091" s="19">
        <v>101194</v>
      </c>
      <c r="C4091" s="19" t="s">
        <v>6379</v>
      </c>
      <c r="D4091" s="19" t="s">
        <v>382</v>
      </c>
      <c r="E4091" s="19" t="s">
        <v>383</v>
      </c>
      <c r="F4091" s="19" t="s">
        <v>384</v>
      </c>
      <c r="G4091" s="19" t="s">
        <v>1008</v>
      </c>
      <c r="H4091" s="19" t="s">
        <v>1001</v>
      </c>
      <c r="I4091" s="19" t="s">
        <v>1599</v>
      </c>
      <c r="J4091" s="20">
        <v>33</v>
      </c>
      <c r="K4091" t="s">
        <v>636</v>
      </c>
      <c r="L4091" t="s">
        <v>656</v>
      </c>
      <c r="M4091" t="s">
        <v>657</v>
      </c>
      <c r="N4091" t="s">
        <v>658</v>
      </c>
      <c r="O4091" t="s">
        <v>843</v>
      </c>
    </row>
    <row r="4092" spans="1:15" x14ac:dyDescent="0.35">
      <c r="A4092" s="77">
        <v>7.1232876712328766E-2</v>
      </c>
      <c r="B4092" s="19">
        <v>101195</v>
      </c>
      <c r="C4092" s="19" t="s">
        <v>6380</v>
      </c>
      <c r="D4092" s="19" t="s">
        <v>407</v>
      </c>
      <c r="E4092" s="19" t="s">
        <v>408</v>
      </c>
      <c r="F4092" s="19" t="s">
        <v>1230</v>
      </c>
      <c r="G4092" s="19" t="s">
        <v>1028</v>
      </c>
      <c r="H4092" s="19" t="s">
        <v>1020</v>
      </c>
      <c r="I4092" s="19" t="s">
        <v>1575</v>
      </c>
      <c r="J4092" s="20">
        <v>21</v>
      </c>
      <c r="K4092" t="s">
        <v>636</v>
      </c>
      <c r="L4092" t="s">
        <v>622</v>
      </c>
      <c r="M4092" t="s">
        <v>623</v>
      </c>
      <c r="N4092" t="s">
        <v>624</v>
      </c>
      <c r="O4092" t="s">
        <v>730</v>
      </c>
    </row>
    <row r="4093" spans="1:15" x14ac:dyDescent="0.35">
      <c r="A4093" s="77">
        <v>7.1232876712328766E-2</v>
      </c>
      <c r="B4093" s="19">
        <v>101196</v>
      </c>
      <c r="C4093" s="19" t="s">
        <v>6381</v>
      </c>
      <c r="D4093" s="19" t="s">
        <v>401</v>
      </c>
      <c r="E4093" s="19" t="s">
        <v>402</v>
      </c>
      <c r="F4093" s="19" t="s">
        <v>1314</v>
      </c>
      <c r="G4093" s="19" t="s">
        <v>1028</v>
      </c>
      <c r="H4093" s="19" t="s">
        <v>1020</v>
      </c>
      <c r="I4093" s="19" t="s">
        <v>1575</v>
      </c>
      <c r="J4093" s="20">
        <v>19</v>
      </c>
      <c r="K4093" t="s">
        <v>668</v>
      </c>
      <c r="L4093" t="s">
        <v>691</v>
      </c>
      <c r="M4093" t="s">
        <v>657</v>
      </c>
      <c r="N4093" t="s">
        <v>658</v>
      </c>
      <c r="O4093" t="s">
        <v>632</v>
      </c>
    </row>
    <row r="4094" spans="1:15" x14ac:dyDescent="0.35">
      <c r="A4094" s="77">
        <v>7.1232876712328766E-2</v>
      </c>
      <c r="B4094" s="19">
        <v>101197</v>
      </c>
      <c r="C4094" s="19" t="s">
        <v>6382</v>
      </c>
      <c r="D4094" s="19" t="s">
        <v>241</v>
      </c>
      <c r="E4094" s="19" t="s">
        <v>242</v>
      </c>
      <c r="F4094" s="19" t="s">
        <v>1030</v>
      </c>
      <c r="G4094" s="19" t="s">
        <v>1028</v>
      </c>
      <c r="H4094" s="19" t="s">
        <v>1020</v>
      </c>
      <c r="I4094" s="19" t="s">
        <v>1575</v>
      </c>
      <c r="J4094" s="20">
        <v>45</v>
      </c>
      <c r="K4094" t="s">
        <v>668</v>
      </c>
      <c r="L4094" t="s">
        <v>622</v>
      </c>
      <c r="M4094" t="s">
        <v>623</v>
      </c>
      <c r="N4094" t="s">
        <v>624</v>
      </c>
      <c r="O4094" t="s">
        <v>800</v>
      </c>
    </row>
    <row r="4095" spans="1:15" x14ac:dyDescent="0.35">
      <c r="A4095" s="77">
        <v>7.1232876712328766E-2</v>
      </c>
      <c r="B4095" s="19">
        <v>101199</v>
      </c>
      <c r="C4095" s="19" t="s">
        <v>6383</v>
      </c>
      <c r="D4095" s="19" t="s">
        <v>199</v>
      </c>
      <c r="E4095" s="19" t="s">
        <v>200</v>
      </c>
      <c r="F4095" s="19" t="s">
        <v>1496</v>
      </c>
      <c r="G4095" s="19" t="s">
        <v>1028</v>
      </c>
      <c r="H4095" s="19" t="s">
        <v>1020</v>
      </c>
      <c r="I4095" s="19" t="s">
        <v>1575</v>
      </c>
      <c r="J4095" s="20">
        <v>51</v>
      </c>
      <c r="K4095" t="s">
        <v>654</v>
      </c>
      <c r="L4095" t="s">
        <v>737</v>
      </c>
      <c r="M4095" t="s">
        <v>657</v>
      </c>
      <c r="N4095" t="s">
        <v>641</v>
      </c>
      <c r="O4095" t="s">
        <v>738</v>
      </c>
    </row>
    <row r="4096" spans="1:15" x14ac:dyDescent="0.35">
      <c r="A4096" s="77">
        <v>7.1232876712328766E-2</v>
      </c>
      <c r="B4096" s="19">
        <v>101201</v>
      </c>
      <c r="C4096" s="19" t="s">
        <v>6384</v>
      </c>
      <c r="D4096" s="19" t="s">
        <v>349</v>
      </c>
      <c r="E4096" s="19" t="s">
        <v>350</v>
      </c>
      <c r="F4096" s="19" t="s">
        <v>912</v>
      </c>
      <c r="G4096" s="19" t="s">
        <v>1028</v>
      </c>
      <c r="H4096" s="19" t="s">
        <v>1020</v>
      </c>
      <c r="I4096" s="19" t="s">
        <v>1575</v>
      </c>
      <c r="J4096" s="20">
        <v>22</v>
      </c>
      <c r="K4096" t="s">
        <v>625</v>
      </c>
      <c r="L4096" t="s">
        <v>648</v>
      </c>
      <c r="M4096" t="s">
        <v>623</v>
      </c>
      <c r="N4096" t="s">
        <v>624</v>
      </c>
      <c r="O4096" t="s">
        <v>649</v>
      </c>
    </row>
    <row r="4097" spans="1:15" x14ac:dyDescent="0.35">
      <c r="A4097" s="77">
        <v>7.1232876712328766E-2</v>
      </c>
      <c r="B4097" s="19">
        <v>101202</v>
      </c>
      <c r="C4097" s="19" t="s">
        <v>6385</v>
      </c>
      <c r="D4097" s="19" t="s">
        <v>318</v>
      </c>
      <c r="E4097" s="19" t="s">
        <v>319</v>
      </c>
      <c r="F4097" s="19" t="s">
        <v>1266</v>
      </c>
      <c r="G4097" s="19" t="s">
        <v>1019</v>
      </c>
      <c r="H4097" s="19" t="s">
        <v>1020</v>
      </c>
      <c r="I4097" s="19" t="s">
        <v>1575</v>
      </c>
      <c r="J4097" s="20">
        <v>19</v>
      </c>
      <c r="K4097" t="s">
        <v>625</v>
      </c>
      <c r="L4097" t="s">
        <v>678</v>
      </c>
      <c r="M4097" t="s">
        <v>623</v>
      </c>
      <c r="N4097" t="s">
        <v>624</v>
      </c>
      <c r="O4097" t="s">
        <v>679</v>
      </c>
    </row>
    <row r="4098" spans="1:15" x14ac:dyDescent="0.35">
      <c r="A4098" s="77">
        <v>7.1232876712328766E-2</v>
      </c>
      <c r="B4098" s="19">
        <v>101203</v>
      </c>
      <c r="C4098" s="19" t="s">
        <v>6386</v>
      </c>
      <c r="D4098" s="19" t="s">
        <v>318</v>
      </c>
      <c r="E4098" s="19" t="s">
        <v>319</v>
      </c>
      <c r="F4098" s="19" t="s">
        <v>1266</v>
      </c>
      <c r="G4098" s="19" t="s">
        <v>1028</v>
      </c>
      <c r="H4098" s="19" t="s">
        <v>1020</v>
      </c>
      <c r="I4098" s="19" t="s">
        <v>1575</v>
      </c>
      <c r="J4098" s="20">
        <v>19</v>
      </c>
      <c r="K4098" t="s">
        <v>625</v>
      </c>
      <c r="L4098" t="s">
        <v>678</v>
      </c>
      <c r="M4098" t="s">
        <v>623</v>
      </c>
      <c r="N4098" t="s">
        <v>624</v>
      </c>
      <c r="O4098" t="s">
        <v>679</v>
      </c>
    </row>
    <row r="4099" spans="1:15" x14ac:dyDescent="0.35">
      <c r="A4099" s="77">
        <v>7.1232876712328766E-2</v>
      </c>
      <c r="B4099" s="19">
        <v>101204</v>
      </c>
      <c r="C4099" s="19" t="s">
        <v>6387</v>
      </c>
      <c r="D4099" s="19" t="s">
        <v>411</v>
      </c>
      <c r="E4099" s="19" t="s">
        <v>412</v>
      </c>
      <c r="F4099" s="19" t="s">
        <v>1225</v>
      </c>
      <c r="G4099" s="19" t="s">
        <v>1057</v>
      </c>
      <c r="H4099" s="19" t="s">
        <v>1001</v>
      </c>
      <c r="I4099" s="19" t="s">
        <v>1575</v>
      </c>
      <c r="J4099" s="20">
        <v>20</v>
      </c>
      <c r="K4099" t="s">
        <v>636</v>
      </c>
      <c r="L4099" t="s">
        <v>691</v>
      </c>
      <c r="M4099" t="s">
        <v>657</v>
      </c>
      <c r="N4099" t="s">
        <v>658</v>
      </c>
      <c r="O4099" t="s">
        <v>632</v>
      </c>
    </row>
    <row r="4100" spans="1:15" x14ac:dyDescent="0.35">
      <c r="A4100" s="77">
        <v>7.1232876712328766E-2</v>
      </c>
      <c r="B4100" s="19">
        <v>101205</v>
      </c>
      <c r="C4100" s="19" t="s">
        <v>6388</v>
      </c>
      <c r="D4100" s="19" t="s">
        <v>385</v>
      </c>
      <c r="E4100" s="19" t="s">
        <v>386</v>
      </c>
      <c r="F4100" s="19" t="s">
        <v>1059</v>
      </c>
      <c r="G4100" s="19" t="s">
        <v>1028</v>
      </c>
      <c r="H4100" s="19" t="s">
        <v>1020</v>
      </c>
      <c r="I4100" s="19" t="s">
        <v>1575</v>
      </c>
      <c r="J4100" s="20">
        <v>29</v>
      </c>
      <c r="K4100" t="s">
        <v>631</v>
      </c>
      <c r="L4100" t="s">
        <v>663</v>
      </c>
      <c r="M4100" t="s">
        <v>629</v>
      </c>
      <c r="N4100" t="s">
        <v>646</v>
      </c>
      <c r="O4100" t="s">
        <v>810</v>
      </c>
    </row>
    <row r="4101" spans="1:15" x14ac:dyDescent="0.35">
      <c r="A4101" s="77">
        <v>7.1232876712328766E-2</v>
      </c>
      <c r="B4101" s="19">
        <v>101206</v>
      </c>
      <c r="C4101" s="19" t="s">
        <v>6389</v>
      </c>
      <c r="D4101" s="19" t="s">
        <v>417</v>
      </c>
      <c r="E4101" s="19" t="s">
        <v>417</v>
      </c>
      <c r="F4101" s="19" t="s">
        <v>418</v>
      </c>
      <c r="G4101" s="19" t="s">
        <v>1028</v>
      </c>
      <c r="H4101" s="19" t="s">
        <v>1020</v>
      </c>
      <c r="I4101" s="19" t="s">
        <v>1599</v>
      </c>
      <c r="J4101" s="20">
        <v>21</v>
      </c>
      <c r="K4101" t="s">
        <v>654</v>
      </c>
      <c r="L4101" t="s">
        <v>684</v>
      </c>
      <c r="M4101" t="s">
        <v>623</v>
      </c>
      <c r="N4101" t="s">
        <v>662</v>
      </c>
      <c r="O4101" t="s">
        <v>687</v>
      </c>
    </row>
    <row r="4102" spans="1:15" x14ac:dyDescent="0.35">
      <c r="A4102" s="77">
        <v>7.1232876712328766E-2</v>
      </c>
      <c r="B4102" s="19">
        <v>101209</v>
      </c>
      <c r="C4102" s="19" t="s">
        <v>6390</v>
      </c>
      <c r="D4102" s="19" t="s">
        <v>322</v>
      </c>
      <c r="E4102" s="19" t="s">
        <v>323</v>
      </c>
      <c r="F4102" s="19" t="s">
        <v>834</v>
      </c>
      <c r="G4102" s="19" t="s">
        <v>1028</v>
      </c>
      <c r="H4102" s="19" t="s">
        <v>1020</v>
      </c>
      <c r="I4102" s="19" t="s">
        <v>1575</v>
      </c>
      <c r="J4102" s="20">
        <v>19</v>
      </c>
      <c r="K4102" t="s">
        <v>668</v>
      </c>
      <c r="L4102" t="s">
        <v>628</v>
      </c>
      <c r="M4102" t="s">
        <v>629</v>
      </c>
      <c r="N4102" t="s">
        <v>630</v>
      </c>
      <c r="O4102" t="s">
        <v>632</v>
      </c>
    </row>
    <row r="4103" spans="1:15" x14ac:dyDescent="0.35">
      <c r="A4103" s="77">
        <v>7.1232876712328766E-2</v>
      </c>
      <c r="B4103" s="19">
        <v>101210</v>
      </c>
      <c r="C4103" s="19" t="s">
        <v>6391</v>
      </c>
      <c r="D4103" s="19" t="s">
        <v>322</v>
      </c>
      <c r="E4103" s="19" t="s">
        <v>323</v>
      </c>
      <c r="F4103" s="19" t="s">
        <v>834</v>
      </c>
      <c r="G4103" s="19" t="s">
        <v>1028</v>
      </c>
      <c r="H4103" s="19" t="s">
        <v>1020</v>
      </c>
      <c r="I4103" s="19" t="s">
        <v>1575</v>
      </c>
      <c r="J4103" s="20">
        <v>26</v>
      </c>
      <c r="K4103" t="s">
        <v>668</v>
      </c>
      <c r="L4103" t="s">
        <v>628</v>
      </c>
      <c r="M4103" t="s">
        <v>629</v>
      </c>
      <c r="N4103" t="s">
        <v>630</v>
      </c>
      <c r="O4103" t="s">
        <v>632</v>
      </c>
    </row>
    <row r="4104" spans="1:15" x14ac:dyDescent="0.35">
      <c r="A4104" s="77">
        <v>7.1232876712328766E-2</v>
      </c>
      <c r="B4104" s="19">
        <v>101211</v>
      </c>
      <c r="C4104" s="19" t="s">
        <v>6392</v>
      </c>
      <c r="D4104" s="19" t="s">
        <v>201</v>
      </c>
      <c r="E4104" s="19" t="s">
        <v>202</v>
      </c>
      <c r="F4104" s="19" t="s">
        <v>1061</v>
      </c>
      <c r="G4104" s="19" t="s">
        <v>1019</v>
      </c>
      <c r="H4104" s="19" t="s">
        <v>1020</v>
      </c>
      <c r="I4104" s="19" t="s">
        <v>1575</v>
      </c>
      <c r="J4104" s="20">
        <v>30</v>
      </c>
      <c r="K4104" t="s">
        <v>631</v>
      </c>
      <c r="L4104" t="s">
        <v>628</v>
      </c>
      <c r="M4104" t="s">
        <v>629</v>
      </c>
      <c r="N4104" t="s">
        <v>630</v>
      </c>
      <c r="O4104" t="s">
        <v>784</v>
      </c>
    </row>
    <row r="4105" spans="1:15" x14ac:dyDescent="0.35">
      <c r="A4105" s="77">
        <v>7.1232876712328766E-2</v>
      </c>
      <c r="B4105" s="19">
        <v>101212</v>
      </c>
      <c r="C4105" s="19" t="s">
        <v>6393</v>
      </c>
      <c r="D4105" s="19" t="s">
        <v>311</v>
      </c>
      <c r="E4105" s="19" t="s">
        <v>312</v>
      </c>
      <c r="F4105" s="19" t="s">
        <v>1140</v>
      </c>
      <c r="G4105" s="19" t="s">
        <v>1019</v>
      </c>
      <c r="H4105" s="19" t="s">
        <v>1020</v>
      </c>
      <c r="I4105" s="19" t="s">
        <v>1575</v>
      </c>
      <c r="J4105" s="20">
        <v>22</v>
      </c>
      <c r="K4105" t="s">
        <v>631</v>
      </c>
      <c r="L4105" t="s">
        <v>628</v>
      </c>
      <c r="M4105" t="s">
        <v>629</v>
      </c>
      <c r="N4105" t="s">
        <v>630</v>
      </c>
      <c r="O4105" t="s">
        <v>632</v>
      </c>
    </row>
    <row r="4106" spans="1:15" x14ac:dyDescent="0.35">
      <c r="A4106" s="77">
        <v>7.1232876712328766E-2</v>
      </c>
      <c r="B4106" s="19">
        <v>101213</v>
      </c>
      <c r="C4106" s="19" t="s">
        <v>6394</v>
      </c>
      <c r="D4106" s="19" t="s">
        <v>311</v>
      </c>
      <c r="E4106" s="19" t="s">
        <v>312</v>
      </c>
      <c r="F4106" s="19" t="s">
        <v>1140</v>
      </c>
      <c r="G4106" s="19" t="s">
        <v>1028</v>
      </c>
      <c r="H4106" s="19" t="s">
        <v>1020</v>
      </c>
      <c r="I4106" s="19" t="s">
        <v>1575</v>
      </c>
      <c r="J4106" s="20">
        <v>19</v>
      </c>
      <c r="K4106" t="s">
        <v>631</v>
      </c>
      <c r="L4106" t="s">
        <v>628</v>
      </c>
      <c r="M4106" t="s">
        <v>629</v>
      </c>
      <c r="N4106" t="s">
        <v>630</v>
      </c>
      <c r="O4106" t="s">
        <v>632</v>
      </c>
    </row>
    <row r="4107" spans="1:15" x14ac:dyDescent="0.35">
      <c r="A4107" s="77">
        <v>7.1232876712328766E-2</v>
      </c>
      <c r="B4107" s="19">
        <v>101214</v>
      </c>
      <c r="C4107" s="19" t="s">
        <v>6395</v>
      </c>
      <c r="D4107" s="19" t="s">
        <v>126</v>
      </c>
      <c r="E4107" s="19" t="s">
        <v>127</v>
      </c>
      <c r="F4107" s="19" t="s">
        <v>1152</v>
      </c>
      <c r="G4107" s="19" t="s">
        <v>1008</v>
      </c>
      <c r="H4107" s="19" t="s">
        <v>1001</v>
      </c>
      <c r="I4107" s="19" t="s">
        <v>1575</v>
      </c>
      <c r="J4107" s="20">
        <v>19</v>
      </c>
      <c r="K4107" t="s">
        <v>654</v>
      </c>
      <c r="L4107" t="s">
        <v>628</v>
      </c>
      <c r="M4107" t="s">
        <v>629</v>
      </c>
      <c r="N4107" t="s">
        <v>630</v>
      </c>
      <c r="O4107" t="s">
        <v>632</v>
      </c>
    </row>
    <row r="4108" spans="1:15" x14ac:dyDescent="0.35">
      <c r="A4108" s="77">
        <v>6.8493150684931503E-2</v>
      </c>
      <c r="B4108" s="19">
        <v>101217</v>
      </c>
      <c r="C4108" s="19" t="s">
        <v>6396</v>
      </c>
      <c r="D4108" s="19" t="s">
        <v>228</v>
      </c>
      <c r="E4108" s="19" t="s">
        <v>229</v>
      </c>
      <c r="F4108" s="19" t="s">
        <v>1643</v>
      </c>
      <c r="G4108" s="19" t="s">
        <v>1028</v>
      </c>
      <c r="H4108" s="19" t="s">
        <v>1020</v>
      </c>
      <c r="I4108" s="19" t="s">
        <v>1575</v>
      </c>
      <c r="J4108" s="20">
        <v>19</v>
      </c>
      <c r="K4108" t="s">
        <v>668</v>
      </c>
      <c r="L4108" t="s">
        <v>762</v>
      </c>
      <c r="M4108" t="s">
        <v>629</v>
      </c>
      <c r="N4108" t="s">
        <v>646</v>
      </c>
      <c r="O4108" t="s">
        <v>763</v>
      </c>
    </row>
    <row r="4109" spans="1:15" x14ac:dyDescent="0.35">
      <c r="A4109" s="77">
        <v>7.1232876712328766E-2</v>
      </c>
      <c r="B4109" s="19">
        <v>101219</v>
      </c>
      <c r="C4109" s="19" t="s">
        <v>6397</v>
      </c>
      <c r="D4109" s="19" t="s">
        <v>403</v>
      </c>
      <c r="E4109" s="19" t="s">
        <v>404</v>
      </c>
      <c r="F4109" s="19" t="s">
        <v>870</v>
      </c>
      <c r="G4109" s="19" t="s">
        <v>1028</v>
      </c>
      <c r="H4109" s="19" t="s">
        <v>1020</v>
      </c>
      <c r="I4109" s="19" t="s">
        <v>1575</v>
      </c>
      <c r="J4109" s="20">
        <v>24</v>
      </c>
      <c r="K4109" t="s">
        <v>631</v>
      </c>
      <c r="L4109" t="s">
        <v>691</v>
      </c>
      <c r="M4109" t="s">
        <v>657</v>
      </c>
      <c r="N4109" t="s">
        <v>658</v>
      </c>
      <c r="O4109" t="s">
        <v>632</v>
      </c>
    </row>
    <row r="4110" spans="1:15" x14ac:dyDescent="0.35">
      <c r="A4110" s="77">
        <v>7.1232876712328766E-2</v>
      </c>
      <c r="B4110" s="19">
        <v>101220</v>
      </c>
      <c r="C4110" s="19" t="s">
        <v>6398</v>
      </c>
      <c r="D4110" s="19" t="s">
        <v>403</v>
      </c>
      <c r="E4110" s="19" t="s">
        <v>404</v>
      </c>
      <c r="F4110" s="19" t="s">
        <v>870</v>
      </c>
      <c r="G4110" s="19" t="s">
        <v>1028</v>
      </c>
      <c r="H4110" s="19" t="s">
        <v>1020</v>
      </c>
      <c r="I4110" s="19" t="s">
        <v>1575</v>
      </c>
      <c r="J4110" s="20">
        <v>20</v>
      </c>
      <c r="K4110" t="s">
        <v>631</v>
      </c>
      <c r="L4110" t="s">
        <v>691</v>
      </c>
      <c r="M4110" t="s">
        <v>657</v>
      </c>
      <c r="N4110" t="s">
        <v>658</v>
      </c>
      <c r="O4110" t="s">
        <v>632</v>
      </c>
    </row>
    <row r="4111" spans="1:15" x14ac:dyDescent="0.35">
      <c r="A4111" s="77">
        <v>6.8493150684931503E-2</v>
      </c>
      <c r="B4111" s="19">
        <v>101221</v>
      </c>
      <c r="C4111" s="19" t="s">
        <v>6399</v>
      </c>
      <c r="D4111" s="19" t="s">
        <v>31</v>
      </c>
      <c r="E4111" s="19" t="s">
        <v>31</v>
      </c>
      <c r="F4111" s="19" t="s">
        <v>675</v>
      </c>
      <c r="G4111" s="19" t="s">
        <v>1028</v>
      </c>
      <c r="H4111" s="19" t="s">
        <v>1020</v>
      </c>
      <c r="I4111" s="19" t="s">
        <v>1575</v>
      </c>
      <c r="J4111" s="20">
        <v>21</v>
      </c>
      <c r="K4111" t="s">
        <v>654</v>
      </c>
      <c r="L4111" t="s">
        <v>670</v>
      </c>
      <c r="M4111" t="s">
        <v>657</v>
      </c>
      <c r="N4111" t="s">
        <v>641</v>
      </c>
      <c r="O4111" t="s">
        <v>676</v>
      </c>
    </row>
    <row r="4112" spans="1:15" x14ac:dyDescent="0.35">
      <c r="A4112" s="77">
        <v>6.8493150684931503E-2</v>
      </c>
      <c r="B4112" s="19">
        <v>101223</v>
      </c>
      <c r="C4112" s="19" t="s">
        <v>6400</v>
      </c>
      <c r="D4112" s="19" t="s">
        <v>300</v>
      </c>
      <c r="E4112" s="19" t="s">
        <v>301</v>
      </c>
      <c r="F4112" s="19" t="s">
        <v>1719</v>
      </c>
      <c r="G4112" s="19" t="s">
        <v>1019</v>
      </c>
      <c r="H4112" s="19" t="s">
        <v>1020</v>
      </c>
      <c r="I4112" s="19" t="s">
        <v>1575</v>
      </c>
      <c r="J4112" s="20">
        <v>21</v>
      </c>
      <c r="K4112" t="s">
        <v>668</v>
      </c>
      <c r="L4112" t="s">
        <v>737</v>
      </c>
      <c r="M4112" t="s">
        <v>657</v>
      </c>
      <c r="N4112" t="s">
        <v>641</v>
      </c>
      <c r="O4112" t="s">
        <v>738</v>
      </c>
    </row>
    <row r="4113" spans="1:15" x14ac:dyDescent="0.35">
      <c r="A4113" s="77">
        <v>6.8493150684931503E-2</v>
      </c>
      <c r="B4113" s="19">
        <v>101224</v>
      </c>
      <c r="C4113" s="19" t="s">
        <v>6401</v>
      </c>
      <c r="D4113" s="19" t="s">
        <v>313</v>
      </c>
      <c r="E4113" s="19" t="s">
        <v>314</v>
      </c>
      <c r="F4113" s="19" t="s">
        <v>1401</v>
      </c>
      <c r="G4113" s="19" t="s">
        <v>3508</v>
      </c>
      <c r="H4113" s="19" t="s">
        <v>1020</v>
      </c>
      <c r="I4113" s="19" t="s">
        <v>1599</v>
      </c>
      <c r="J4113" s="20">
        <v>17</v>
      </c>
      <c r="K4113" t="s">
        <v>654</v>
      </c>
      <c r="L4113" t="s">
        <v>666</v>
      </c>
      <c r="M4113" t="s">
        <v>629</v>
      </c>
      <c r="N4113" t="s">
        <v>635</v>
      </c>
      <c r="O4113" t="s">
        <v>637</v>
      </c>
    </row>
    <row r="4114" spans="1:15" x14ac:dyDescent="0.35">
      <c r="A4114" s="77">
        <v>7.3972602739726029E-2</v>
      </c>
      <c r="B4114" s="19">
        <v>101225</v>
      </c>
      <c r="C4114" s="19" t="s">
        <v>6402</v>
      </c>
      <c r="D4114" s="19" t="s">
        <v>87</v>
      </c>
      <c r="E4114" s="19" t="s">
        <v>88</v>
      </c>
      <c r="F4114" s="19" t="s">
        <v>1324</v>
      </c>
      <c r="G4114" s="19" t="s">
        <v>1028</v>
      </c>
      <c r="H4114" s="19" t="s">
        <v>1020</v>
      </c>
      <c r="I4114" s="19" t="s">
        <v>1599</v>
      </c>
      <c r="J4114" s="20">
        <v>26</v>
      </c>
      <c r="K4114" t="s">
        <v>642</v>
      </c>
      <c r="L4114" t="s">
        <v>661</v>
      </c>
      <c r="M4114" t="s">
        <v>657</v>
      </c>
      <c r="N4114" t="s">
        <v>662</v>
      </c>
      <c r="O4114" t="s">
        <v>632</v>
      </c>
    </row>
    <row r="4115" spans="1:15" x14ac:dyDescent="0.35">
      <c r="A4115" s="77">
        <v>6.8493150684931503E-2</v>
      </c>
      <c r="B4115" s="19">
        <v>101226</v>
      </c>
      <c r="C4115" s="19" t="s">
        <v>6403</v>
      </c>
      <c r="D4115" s="19" t="s">
        <v>171</v>
      </c>
      <c r="E4115" s="19" t="s">
        <v>172</v>
      </c>
      <c r="F4115" s="19" t="s">
        <v>2239</v>
      </c>
      <c r="G4115" s="19" t="s">
        <v>1028</v>
      </c>
      <c r="H4115" s="19" t="s">
        <v>1020</v>
      </c>
      <c r="I4115" s="19" t="s">
        <v>1575</v>
      </c>
      <c r="J4115" s="20">
        <v>23</v>
      </c>
      <c r="K4115" t="s">
        <v>654</v>
      </c>
      <c r="L4115" t="s">
        <v>661</v>
      </c>
      <c r="M4115" t="s">
        <v>657</v>
      </c>
      <c r="N4115" t="s">
        <v>662</v>
      </c>
      <c r="O4115" t="s">
        <v>632</v>
      </c>
    </row>
    <row r="4116" spans="1:15" x14ac:dyDescent="0.35">
      <c r="A4116" s="77">
        <v>6.8493150684931503E-2</v>
      </c>
      <c r="B4116" s="19">
        <v>101227</v>
      </c>
      <c r="C4116" s="19" t="s">
        <v>6404</v>
      </c>
      <c r="D4116" s="19" t="s">
        <v>171</v>
      </c>
      <c r="E4116" s="19" t="s">
        <v>172</v>
      </c>
      <c r="F4116" s="19" t="s">
        <v>2239</v>
      </c>
      <c r="G4116" s="19" t="s">
        <v>1028</v>
      </c>
      <c r="H4116" s="19" t="s">
        <v>1020</v>
      </c>
      <c r="I4116" s="19" t="s">
        <v>1575</v>
      </c>
      <c r="J4116" s="20">
        <v>19</v>
      </c>
      <c r="K4116" t="s">
        <v>654</v>
      </c>
      <c r="L4116" t="s">
        <v>661</v>
      </c>
      <c r="M4116" t="s">
        <v>657</v>
      </c>
      <c r="N4116" t="s">
        <v>662</v>
      </c>
      <c r="O4116" t="s">
        <v>632</v>
      </c>
    </row>
    <row r="4117" spans="1:15" x14ac:dyDescent="0.35">
      <c r="A4117" s="77">
        <v>6.8493150684931503E-2</v>
      </c>
      <c r="B4117" s="19">
        <v>101230</v>
      </c>
      <c r="C4117" s="19" t="s">
        <v>6405</v>
      </c>
      <c r="D4117" s="19" t="s">
        <v>290</v>
      </c>
      <c r="E4117" s="19" t="s">
        <v>291</v>
      </c>
      <c r="F4117" s="19" t="s">
        <v>1182</v>
      </c>
      <c r="G4117" s="19" t="s">
        <v>1057</v>
      </c>
      <c r="H4117" s="19" t="s">
        <v>1001</v>
      </c>
      <c r="I4117" s="19" t="s">
        <v>1599</v>
      </c>
      <c r="J4117" s="20">
        <v>22</v>
      </c>
      <c r="K4117" t="s">
        <v>668</v>
      </c>
      <c r="L4117" t="s">
        <v>663</v>
      </c>
      <c r="M4117" t="s">
        <v>629</v>
      </c>
      <c r="N4117" t="s">
        <v>646</v>
      </c>
      <c r="O4117" t="s">
        <v>639</v>
      </c>
    </row>
    <row r="4118" spans="1:15" x14ac:dyDescent="0.35">
      <c r="A4118" s="77">
        <v>6.8493150684931503E-2</v>
      </c>
      <c r="B4118" s="19">
        <v>101231</v>
      </c>
      <c r="C4118" s="19" t="s">
        <v>6406</v>
      </c>
      <c r="D4118" s="19" t="s">
        <v>420</v>
      </c>
      <c r="E4118" s="19" t="s">
        <v>420</v>
      </c>
      <c r="F4118" s="19" t="s">
        <v>686</v>
      </c>
      <c r="G4118" s="19" t="s">
        <v>1028</v>
      </c>
      <c r="H4118" s="19" t="s">
        <v>1020</v>
      </c>
      <c r="I4118" s="19" t="s">
        <v>1575</v>
      </c>
      <c r="J4118" s="20">
        <v>22</v>
      </c>
      <c r="K4118" t="s">
        <v>631</v>
      </c>
      <c r="L4118" t="s">
        <v>634</v>
      </c>
      <c r="M4118" t="s">
        <v>629</v>
      </c>
      <c r="N4118" t="s">
        <v>635</v>
      </c>
      <c r="O4118" t="s">
        <v>637</v>
      </c>
    </row>
    <row r="4119" spans="1:15" x14ac:dyDescent="0.35">
      <c r="A4119" s="77">
        <v>6.8493150684931503E-2</v>
      </c>
      <c r="B4119" s="19">
        <v>101233</v>
      </c>
      <c r="C4119" s="19" t="s">
        <v>6407</v>
      </c>
      <c r="D4119" s="19" t="s">
        <v>429</v>
      </c>
      <c r="E4119" s="19" t="s">
        <v>429</v>
      </c>
      <c r="F4119" s="19" t="s">
        <v>1240</v>
      </c>
      <c r="G4119" s="19" t="s">
        <v>1008</v>
      </c>
      <c r="H4119" s="19" t="s">
        <v>1001</v>
      </c>
      <c r="I4119" s="19" t="s">
        <v>1575</v>
      </c>
      <c r="J4119" s="20">
        <v>19</v>
      </c>
      <c r="K4119" t="s">
        <v>654</v>
      </c>
      <c r="L4119" t="s">
        <v>678</v>
      </c>
      <c r="M4119" t="s">
        <v>623</v>
      </c>
      <c r="N4119" t="s">
        <v>624</v>
      </c>
      <c r="O4119" t="s">
        <v>679</v>
      </c>
    </row>
    <row r="4120" spans="1:15" x14ac:dyDescent="0.35">
      <c r="A4120" s="77">
        <v>6.8493150684931503E-2</v>
      </c>
      <c r="B4120" s="19">
        <v>101235</v>
      </c>
      <c r="C4120" s="19" t="s">
        <v>6408</v>
      </c>
      <c r="D4120" s="19" t="s">
        <v>42</v>
      </c>
      <c r="E4120" s="19" t="s">
        <v>42</v>
      </c>
      <c r="F4120" s="19" t="s">
        <v>1262</v>
      </c>
      <c r="G4120" s="19" t="s">
        <v>1028</v>
      </c>
      <c r="H4120" s="19" t="s">
        <v>1020</v>
      </c>
      <c r="I4120" s="19" t="s">
        <v>1575</v>
      </c>
      <c r="J4120" s="20">
        <v>18</v>
      </c>
      <c r="K4120" t="s">
        <v>625</v>
      </c>
      <c r="L4120" t="s">
        <v>628</v>
      </c>
      <c r="M4120" t="s">
        <v>629</v>
      </c>
      <c r="N4120" t="s">
        <v>630</v>
      </c>
      <c r="O4120" t="s">
        <v>632</v>
      </c>
    </row>
    <row r="4121" spans="1:15" x14ac:dyDescent="0.35">
      <c r="A4121" s="77">
        <v>6.8493150684931503E-2</v>
      </c>
      <c r="B4121" s="19">
        <v>101236</v>
      </c>
      <c r="C4121" s="19" t="s">
        <v>6409</v>
      </c>
      <c r="D4121" s="19" t="s">
        <v>42</v>
      </c>
      <c r="E4121" s="19" t="s">
        <v>42</v>
      </c>
      <c r="F4121" s="19" t="s">
        <v>1262</v>
      </c>
      <c r="G4121" s="19" t="s">
        <v>1019</v>
      </c>
      <c r="H4121" s="19" t="s">
        <v>1020</v>
      </c>
      <c r="I4121" s="19" t="s">
        <v>1575</v>
      </c>
      <c r="J4121" s="20">
        <v>21</v>
      </c>
      <c r="K4121" t="s">
        <v>625</v>
      </c>
      <c r="L4121" t="s">
        <v>628</v>
      </c>
      <c r="M4121" t="s">
        <v>629</v>
      </c>
      <c r="N4121" t="s">
        <v>630</v>
      </c>
      <c r="O4121" t="s">
        <v>632</v>
      </c>
    </row>
    <row r="4122" spans="1:15" x14ac:dyDescent="0.35">
      <c r="A4122" s="77">
        <v>6.8493150684931503E-2</v>
      </c>
      <c r="B4122" s="19">
        <v>101238</v>
      </c>
      <c r="C4122" s="19" t="s">
        <v>6410</v>
      </c>
      <c r="D4122" s="19" t="s">
        <v>13</v>
      </c>
      <c r="E4122" s="19" t="s">
        <v>13</v>
      </c>
      <c r="F4122" s="19" t="s">
        <v>1467</v>
      </c>
      <c r="G4122" s="19" t="s">
        <v>1028</v>
      </c>
      <c r="H4122" s="19" t="s">
        <v>1020</v>
      </c>
      <c r="I4122" s="19" t="s">
        <v>1575</v>
      </c>
      <c r="J4122" s="20">
        <v>21</v>
      </c>
      <c r="K4122" t="s">
        <v>631</v>
      </c>
      <c r="L4122" t="s">
        <v>628</v>
      </c>
      <c r="M4122" t="s">
        <v>629</v>
      </c>
      <c r="N4122" t="s">
        <v>630</v>
      </c>
      <c r="O4122" t="s">
        <v>639</v>
      </c>
    </row>
    <row r="4123" spans="1:15" x14ac:dyDescent="0.35">
      <c r="A4123" s="77">
        <v>6.8493150684931503E-2</v>
      </c>
      <c r="B4123" s="19">
        <v>101240</v>
      </c>
      <c r="C4123" s="19" t="s">
        <v>6411</v>
      </c>
      <c r="D4123" s="19" t="s">
        <v>126</v>
      </c>
      <c r="E4123" s="19" t="s">
        <v>127</v>
      </c>
      <c r="F4123" s="19" t="s">
        <v>1152</v>
      </c>
      <c r="G4123" s="19" t="s">
        <v>1028</v>
      </c>
      <c r="H4123" s="19" t="s">
        <v>1020</v>
      </c>
      <c r="I4123" s="19" t="s">
        <v>1575</v>
      </c>
      <c r="J4123" s="20">
        <v>20</v>
      </c>
      <c r="K4123" t="s">
        <v>654</v>
      </c>
      <c r="L4123" t="s">
        <v>628</v>
      </c>
      <c r="M4123" t="s">
        <v>629</v>
      </c>
      <c r="N4123" t="s">
        <v>630</v>
      </c>
      <c r="O4123" t="s">
        <v>632</v>
      </c>
    </row>
    <row r="4124" spans="1:15" x14ac:dyDescent="0.35">
      <c r="A4124" s="77">
        <v>6.8493150684931503E-2</v>
      </c>
      <c r="B4124" s="19">
        <v>101241</v>
      </c>
      <c r="C4124" s="19" t="s">
        <v>6412</v>
      </c>
      <c r="D4124" s="19" t="s">
        <v>273</v>
      </c>
      <c r="E4124" s="19" t="s">
        <v>274</v>
      </c>
      <c r="F4124" s="19" t="s">
        <v>1093</v>
      </c>
      <c r="G4124" s="19" t="s">
        <v>1019</v>
      </c>
      <c r="H4124" s="19" t="s">
        <v>1020</v>
      </c>
      <c r="I4124" s="19" t="s">
        <v>1575</v>
      </c>
      <c r="J4124" s="20">
        <v>22</v>
      </c>
      <c r="K4124" t="s">
        <v>636</v>
      </c>
      <c r="L4124" t="s">
        <v>663</v>
      </c>
      <c r="M4124" t="s">
        <v>629</v>
      </c>
      <c r="N4124" t="s">
        <v>646</v>
      </c>
      <c r="O4124" t="s">
        <v>639</v>
      </c>
    </row>
    <row r="4125" spans="1:15" x14ac:dyDescent="0.35">
      <c r="A4125" s="77">
        <v>6.8493150684931503E-2</v>
      </c>
      <c r="B4125" s="19">
        <v>101243</v>
      </c>
      <c r="C4125" s="19" t="s">
        <v>6413</v>
      </c>
      <c r="D4125" s="19" t="s">
        <v>118</v>
      </c>
      <c r="E4125" s="19" t="s">
        <v>119</v>
      </c>
      <c r="F4125" s="19" t="s">
        <v>1360</v>
      </c>
      <c r="G4125" s="19" t="s">
        <v>1028</v>
      </c>
      <c r="H4125" s="19" t="s">
        <v>1020</v>
      </c>
      <c r="I4125" s="19" t="s">
        <v>1575</v>
      </c>
      <c r="J4125" s="20">
        <v>19</v>
      </c>
      <c r="K4125" t="s">
        <v>625</v>
      </c>
      <c r="L4125" t="s">
        <v>656</v>
      </c>
      <c r="M4125" t="s">
        <v>657</v>
      </c>
      <c r="N4125" t="s">
        <v>658</v>
      </c>
      <c r="O4125" t="s">
        <v>632</v>
      </c>
    </row>
    <row r="4126" spans="1:15" x14ac:dyDescent="0.35">
      <c r="A4126" s="77">
        <v>6.8493150684931503E-2</v>
      </c>
      <c r="B4126" s="19">
        <v>101244</v>
      </c>
      <c r="C4126" s="19" t="s">
        <v>6414</v>
      </c>
      <c r="D4126" s="19" t="s">
        <v>20</v>
      </c>
      <c r="E4126" s="19" t="s">
        <v>20</v>
      </c>
      <c r="F4126" s="19" t="s">
        <v>1133</v>
      </c>
      <c r="G4126" s="19" t="s">
        <v>1028</v>
      </c>
      <c r="H4126" s="19" t="s">
        <v>1020</v>
      </c>
      <c r="I4126" s="19" t="s">
        <v>1575</v>
      </c>
      <c r="J4126" s="20">
        <v>25</v>
      </c>
      <c r="K4126" t="s">
        <v>654</v>
      </c>
      <c r="L4126" t="s">
        <v>634</v>
      </c>
      <c r="M4126" t="s">
        <v>629</v>
      </c>
      <c r="N4126" t="s">
        <v>635</v>
      </c>
      <c r="O4126" t="s">
        <v>637</v>
      </c>
    </row>
    <row r="4127" spans="1:15" x14ac:dyDescent="0.35">
      <c r="A4127" s="77">
        <v>6.575342465753424E-2</v>
      </c>
      <c r="B4127" s="19">
        <v>101245</v>
      </c>
      <c r="C4127" s="19" t="s">
        <v>6415</v>
      </c>
      <c r="D4127" s="19" t="s">
        <v>320</v>
      </c>
      <c r="E4127" s="19" t="s">
        <v>321</v>
      </c>
      <c r="F4127" s="19" t="s">
        <v>1205</v>
      </c>
      <c r="G4127" s="19" t="s">
        <v>1028</v>
      </c>
      <c r="H4127" s="19" t="s">
        <v>1020</v>
      </c>
      <c r="I4127" s="19" t="s">
        <v>1575</v>
      </c>
      <c r="J4127" s="20">
        <v>29</v>
      </c>
      <c r="K4127" t="s">
        <v>668</v>
      </c>
      <c r="L4127" t="s">
        <v>707</v>
      </c>
      <c r="M4127" t="s">
        <v>629</v>
      </c>
      <c r="N4127" t="s">
        <v>635</v>
      </c>
      <c r="O4127" t="s">
        <v>708</v>
      </c>
    </row>
    <row r="4128" spans="1:15" x14ac:dyDescent="0.35">
      <c r="A4128" s="77">
        <v>6.575342465753424E-2</v>
      </c>
      <c r="B4128" s="19">
        <v>101246</v>
      </c>
      <c r="C4128" s="19" t="s">
        <v>6416</v>
      </c>
      <c r="D4128" s="19" t="s">
        <v>320</v>
      </c>
      <c r="E4128" s="19" t="s">
        <v>321</v>
      </c>
      <c r="F4128" s="19" t="s">
        <v>1205</v>
      </c>
      <c r="G4128" s="19" t="s">
        <v>1008</v>
      </c>
      <c r="H4128" s="19" t="s">
        <v>1001</v>
      </c>
      <c r="I4128" s="19" t="s">
        <v>1575</v>
      </c>
      <c r="J4128" s="20">
        <v>22</v>
      </c>
      <c r="K4128" t="s">
        <v>668</v>
      </c>
      <c r="L4128" t="s">
        <v>707</v>
      </c>
      <c r="M4128" t="s">
        <v>629</v>
      </c>
      <c r="N4128" t="s">
        <v>635</v>
      </c>
      <c r="O4128" t="s">
        <v>708</v>
      </c>
    </row>
    <row r="4129" spans="1:15" x14ac:dyDescent="0.35">
      <c r="A4129" s="77">
        <v>6.575342465753424E-2</v>
      </c>
      <c r="B4129" s="19">
        <v>101252</v>
      </c>
      <c r="C4129" s="19" t="s">
        <v>6417</v>
      </c>
      <c r="D4129" s="19" t="s">
        <v>140</v>
      </c>
      <c r="E4129" s="19" t="s">
        <v>141</v>
      </c>
      <c r="F4129" s="19" t="s">
        <v>1138</v>
      </c>
      <c r="G4129" s="19" t="s">
        <v>1028</v>
      </c>
      <c r="H4129" s="19" t="s">
        <v>1020</v>
      </c>
      <c r="I4129" s="19" t="s">
        <v>1575</v>
      </c>
      <c r="J4129" s="20">
        <v>23</v>
      </c>
      <c r="K4129" t="s">
        <v>636</v>
      </c>
      <c r="L4129" t="s">
        <v>640</v>
      </c>
      <c r="M4129" t="s">
        <v>623</v>
      </c>
      <c r="N4129" t="s">
        <v>641</v>
      </c>
      <c r="O4129" t="s">
        <v>754</v>
      </c>
    </row>
    <row r="4130" spans="1:15" x14ac:dyDescent="0.35">
      <c r="A4130" s="77">
        <v>6.575342465753424E-2</v>
      </c>
      <c r="B4130" s="19">
        <v>101253</v>
      </c>
      <c r="C4130" s="19" t="s">
        <v>6418</v>
      </c>
      <c r="D4130" s="19" t="s">
        <v>278</v>
      </c>
      <c r="E4130" s="19" t="s">
        <v>279</v>
      </c>
      <c r="F4130" s="19" t="s">
        <v>1131</v>
      </c>
      <c r="G4130" s="19" t="s">
        <v>1028</v>
      </c>
      <c r="H4130" s="19" t="s">
        <v>1020</v>
      </c>
      <c r="I4130" s="19" t="s">
        <v>1575</v>
      </c>
      <c r="J4130" s="20">
        <v>18</v>
      </c>
      <c r="K4130" t="s">
        <v>625</v>
      </c>
      <c r="L4130" t="s">
        <v>661</v>
      </c>
      <c r="M4130" t="s">
        <v>657</v>
      </c>
      <c r="N4130" t="s">
        <v>662</v>
      </c>
      <c r="O4130" t="s">
        <v>632</v>
      </c>
    </row>
    <row r="4131" spans="1:15" x14ac:dyDescent="0.35">
      <c r="A4131" s="77">
        <v>6.575342465753424E-2</v>
      </c>
      <c r="B4131" s="19">
        <v>101254</v>
      </c>
      <c r="C4131" s="19" t="s">
        <v>6419</v>
      </c>
      <c r="D4131" s="19" t="s">
        <v>278</v>
      </c>
      <c r="E4131" s="19" t="s">
        <v>279</v>
      </c>
      <c r="F4131" s="19" t="s">
        <v>1131</v>
      </c>
      <c r="G4131" s="19" t="s">
        <v>1084</v>
      </c>
      <c r="H4131" s="19" t="s">
        <v>1020</v>
      </c>
      <c r="I4131" s="19" t="s">
        <v>1599</v>
      </c>
      <c r="J4131" s="20">
        <v>21</v>
      </c>
      <c r="K4131" t="s">
        <v>625</v>
      </c>
      <c r="L4131" t="s">
        <v>661</v>
      </c>
      <c r="M4131" t="s">
        <v>657</v>
      </c>
      <c r="N4131" t="s">
        <v>662</v>
      </c>
      <c r="O4131" t="s">
        <v>632</v>
      </c>
    </row>
    <row r="4132" spans="1:15" x14ac:dyDescent="0.35">
      <c r="A4132" s="77">
        <v>6.575342465753424E-2</v>
      </c>
      <c r="B4132" s="19">
        <v>101255</v>
      </c>
      <c r="C4132" s="19" t="s">
        <v>6420</v>
      </c>
      <c r="D4132" s="19" t="s">
        <v>271</v>
      </c>
      <c r="E4132" s="19" t="s">
        <v>272</v>
      </c>
      <c r="F4132" s="19" t="s">
        <v>2611</v>
      </c>
      <c r="G4132" s="19" t="s">
        <v>1028</v>
      </c>
      <c r="H4132" s="19" t="s">
        <v>1020</v>
      </c>
      <c r="I4132" s="19" t="s">
        <v>1575</v>
      </c>
      <c r="J4132" s="20">
        <v>22</v>
      </c>
      <c r="K4132" t="s">
        <v>654</v>
      </c>
      <c r="L4132" t="s">
        <v>666</v>
      </c>
      <c r="M4132" t="s">
        <v>629</v>
      </c>
      <c r="N4132" t="s">
        <v>635</v>
      </c>
      <c r="O4132" t="s">
        <v>739</v>
      </c>
    </row>
    <row r="4133" spans="1:15" x14ac:dyDescent="0.35">
      <c r="A4133" s="77">
        <v>6.3013698630136991E-2</v>
      </c>
      <c r="B4133" s="19">
        <v>101258</v>
      </c>
      <c r="C4133" s="19" t="s">
        <v>6421</v>
      </c>
      <c r="D4133" s="19" t="s">
        <v>339</v>
      </c>
      <c r="E4133" s="19" t="s">
        <v>340</v>
      </c>
      <c r="F4133" s="19" t="s">
        <v>1024</v>
      </c>
      <c r="G4133" s="19" t="s">
        <v>1028</v>
      </c>
      <c r="H4133" s="19" t="s">
        <v>1020</v>
      </c>
      <c r="I4133" s="19" t="s">
        <v>1575</v>
      </c>
      <c r="J4133" s="20">
        <v>20</v>
      </c>
      <c r="K4133" t="s">
        <v>631</v>
      </c>
      <c r="L4133" t="s">
        <v>651</v>
      </c>
      <c r="M4133" t="s">
        <v>629</v>
      </c>
      <c r="N4133" t="s">
        <v>630</v>
      </c>
      <c r="O4133" t="s">
        <v>705</v>
      </c>
    </row>
    <row r="4134" spans="1:15" x14ac:dyDescent="0.35">
      <c r="A4134" s="77">
        <v>6.3013698630136991E-2</v>
      </c>
      <c r="B4134" s="19">
        <v>101259</v>
      </c>
      <c r="C4134" s="19" t="s">
        <v>6422</v>
      </c>
      <c r="D4134" s="19" t="s">
        <v>256</v>
      </c>
      <c r="E4134" s="19" t="s">
        <v>257</v>
      </c>
      <c r="F4134" s="19" t="s">
        <v>1005</v>
      </c>
      <c r="G4134" s="19" t="s">
        <v>1028</v>
      </c>
      <c r="H4134" s="19" t="s">
        <v>1020</v>
      </c>
      <c r="I4134" s="19" t="s">
        <v>1599</v>
      </c>
      <c r="J4134" s="20">
        <v>24</v>
      </c>
      <c r="K4134" t="s">
        <v>668</v>
      </c>
      <c r="L4134" t="s">
        <v>651</v>
      </c>
      <c r="M4134" t="s">
        <v>629</v>
      </c>
      <c r="N4134" t="s">
        <v>630</v>
      </c>
      <c r="O4134" t="s">
        <v>705</v>
      </c>
    </row>
    <row r="4135" spans="1:15" x14ac:dyDescent="0.35">
      <c r="A4135" s="77">
        <v>6.3013698630136991E-2</v>
      </c>
      <c r="B4135" s="19">
        <v>101260</v>
      </c>
      <c r="C4135" s="19" t="s">
        <v>6423</v>
      </c>
      <c r="D4135" s="19" t="s">
        <v>8</v>
      </c>
      <c r="E4135" s="19" t="s">
        <v>8</v>
      </c>
      <c r="F4135" s="19" t="s">
        <v>1176</v>
      </c>
      <c r="G4135" s="19" t="s">
        <v>1028</v>
      </c>
      <c r="H4135" s="19" t="s">
        <v>1020</v>
      </c>
      <c r="I4135" s="19" t="s">
        <v>1599</v>
      </c>
      <c r="J4135" s="20">
        <v>18</v>
      </c>
      <c r="K4135" t="s">
        <v>625</v>
      </c>
      <c r="L4135" t="s">
        <v>622</v>
      </c>
      <c r="M4135" t="s">
        <v>623</v>
      </c>
      <c r="N4135" t="s">
        <v>624</v>
      </c>
      <c r="O4135" t="s">
        <v>626</v>
      </c>
    </row>
    <row r="4136" spans="1:15" x14ac:dyDescent="0.35">
      <c r="A4136" s="77">
        <v>6.3013698630136991E-2</v>
      </c>
      <c r="B4136" s="19">
        <v>101261</v>
      </c>
      <c r="C4136" s="19" t="s">
        <v>6424</v>
      </c>
      <c r="D4136" s="19" t="s">
        <v>235</v>
      </c>
      <c r="E4136" s="19" t="s">
        <v>236</v>
      </c>
      <c r="F4136" s="19" t="s">
        <v>1457</v>
      </c>
      <c r="G4136" s="19" t="s">
        <v>1019</v>
      </c>
      <c r="H4136" s="19" t="s">
        <v>1020</v>
      </c>
      <c r="I4136" s="19" t="s">
        <v>1575</v>
      </c>
      <c r="J4136" s="20">
        <v>20</v>
      </c>
      <c r="K4136" t="s">
        <v>654</v>
      </c>
      <c r="L4136" t="s">
        <v>707</v>
      </c>
      <c r="M4136" t="s">
        <v>629</v>
      </c>
      <c r="N4136" t="s">
        <v>635</v>
      </c>
      <c r="O4136" t="s">
        <v>710</v>
      </c>
    </row>
    <row r="4137" spans="1:15" x14ac:dyDescent="0.35">
      <c r="A4137" s="77">
        <v>6.3013698630136991E-2</v>
      </c>
      <c r="B4137" s="19">
        <v>101262</v>
      </c>
      <c r="C4137" s="19" t="s">
        <v>6425</v>
      </c>
      <c r="D4137" s="19" t="s">
        <v>60</v>
      </c>
      <c r="E4137" s="19" t="s">
        <v>61</v>
      </c>
      <c r="F4137" s="19" t="s">
        <v>1119</v>
      </c>
      <c r="G4137" s="19" t="s">
        <v>1028</v>
      </c>
      <c r="H4137" s="19" t="s">
        <v>1020</v>
      </c>
      <c r="I4137" s="19" t="s">
        <v>1575</v>
      </c>
      <c r="J4137" s="20">
        <v>19</v>
      </c>
      <c r="K4137" t="s">
        <v>654</v>
      </c>
      <c r="L4137" t="s">
        <v>651</v>
      </c>
      <c r="M4137" t="s">
        <v>629</v>
      </c>
      <c r="N4137" t="s">
        <v>630</v>
      </c>
      <c r="O4137" t="s">
        <v>705</v>
      </c>
    </row>
    <row r="4138" spans="1:15" x14ac:dyDescent="0.35">
      <c r="A4138" s="77">
        <v>6.3013698630136991E-2</v>
      </c>
      <c r="B4138" s="19">
        <v>101264</v>
      </c>
      <c r="C4138" s="19" t="s">
        <v>6426</v>
      </c>
      <c r="D4138" s="19" t="s">
        <v>260</v>
      </c>
      <c r="E4138" s="19" t="s">
        <v>261</v>
      </c>
      <c r="F4138" s="19" t="s">
        <v>1109</v>
      </c>
      <c r="G4138" s="19" t="s">
        <v>1028</v>
      </c>
      <c r="H4138" s="19" t="s">
        <v>1020</v>
      </c>
      <c r="I4138" s="19" t="s">
        <v>1575</v>
      </c>
      <c r="J4138" s="20">
        <v>25</v>
      </c>
      <c r="K4138" t="s">
        <v>636</v>
      </c>
      <c r="L4138" t="s">
        <v>656</v>
      </c>
      <c r="M4138" t="s">
        <v>657</v>
      </c>
      <c r="N4138" t="s">
        <v>658</v>
      </c>
      <c r="O4138" t="s">
        <v>808</v>
      </c>
    </row>
    <row r="4139" spans="1:15" x14ac:dyDescent="0.35">
      <c r="A4139" s="77">
        <v>6.3013698630136991E-2</v>
      </c>
      <c r="B4139" s="19">
        <v>101266</v>
      </c>
      <c r="C4139" s="19" t="s">
        <v>6427</v>
      </c>
      <c r="D4139" s="19" t="s">
        <v>159</v>
      </c>
      <c r="E4139" s="19" t="s">
        <v>160</v>
      </c>
      <c r="F4139" s="19" t="s">
        <v>1488</v>
      </c>
      <c r="G4139" s="19" t="s">
        <v>1028</v>
      </c>
      <c r="H4139" s="19" t="s">
        <v>1020</v>
      </c>
      <c r="I4139" s="19" t="s">
        <v>1599</v>
      </c>
      <c r="J4139" s="20">
        <v>22</v>
      </c>
      <c r="K4139" t="s">
        <v>654</v>
      </c>
      <c r="L4139" t="s">
        <v>678</v>
      </c>
      <c r="M4139" t="s">
        <v>623</v>
      </c>
      <c r="N4139" t="s">
        <v>624</v>
      </c>
      <c r="O4139" t="s">
        <v>679</v>
      </c>
    </row>
    <row r="4140" spans="1:15" x14ac:dyDescent="0.35">
      <c r="A4140" s="77">
        <v>6.3013698630136991E-2</v>
      </c>
      <c r="B4140" s="19">
        <v>101267</v>
      </c>
      <c r="C4140" s="19" t="s">
        <v>6428</v>
      </c>
      <c r="D4140" s="19" t="s">
        <v>128</v>
      </c>
      <c r="E4140" s="19" t="s">
        <v>129</v>
      </c>
      <c r="F4140" s="19" t="s">
        <v>1075</v>
      </c>
      <c r="G4140" s="19" t="s">
        <v>1028</v>
      </c>
      <c r="H4140" s="19" t="s">
        <v>1020</v>
      </c>
      <c r="I4140" s="19" t="s">
        <v>1575</v>
      </c>
      <c r="J4140" s="20">
        <v>24</v>
      </c>
      <c r="K4140" t="s">
        <v>636</v>
      </c>
      <c r="L4140" t="s">
        <v>678</v>
      </c>
      <c r="M4140" t="s">
        <v>623</v>
      </c>
      <c r="N4140" t="s">
        <v>624</v>
      </c>
      <c r="O4140" t="s">
        <v>679</v>
      </c>
    </row>
    <row r="4141" spans="1:15" x14ac:dyDescent="0.35">
      <c r="A4141" s="77">
        <v>6.3013698630136991E-2</v>
      </c>
      <c r="B4141" s="19">
        <v>101268</v>
      </c>
      <c r="C4141" s="19" t="s">
        <v>6429</v>
      </c>
      <c r="D4141" s="19" t="s">
        <v>318</v>
      </c>
      <c r="E4141" s="19" t="s">
        <v>319</v>
      </c>
      <c r="F4141" s="19" t="s">
        <v>1266</v>
      </c>
      <c r="G4141" s="19" t="s">
        <v>1057</v>
      </c>
      <c r="H4141" s="19" t="s">
        <v>1001</v>
      </c>
      <c r="I4141" s="19" t="s">
        <v>1575</v>
      </c>
      <c r="J4141" s="20">
        <v>22</v>
      </c>
      <c r="K4141" t="s">
        <v>625</v>
      </c>
      <c r="L4141" t="s">
        <v>678</v>
      </c>
      <c r="M4141" t="s">
        <v>623</v>
      </c>
      <c r="N4141" t="s">
        <v>624</v>
      </c>
      <c r="O4141" t="s">
        <v>679</v>
      </c>
    </row>
    <row r="4142" spans="1:15" x14ac:dyDescent="0.35">
      <c r="A4142" s="77">
        <v>6.3013698630136991E-2</v>
      </c>
      <c r="B4142" s="19">
        <v>101270</v>
      </c>
      <c r="C4142" s="19" t="s">
        <v>6430</v>
      </c>
      <c r="D4142" s="19" t="s">
        <v>245</v>
      </c>
      <c r="E4142" s="19" t="s">
        <v>246</v>
      </c>
      <c r="F4142" s="19" t="s">
        <v>1365</v>
      </c>
      <c r="G4142" s="19" t="s">
        <v>1028</v>
      </c>
      <c r="H4142" s="19" t="s">
        <v>1020</v>
      </c>
      <c r="I4142" s="19" t="s">
        <v>1575</v>
      </c>
      <c r="J4142" s="20">
        <v>20</v>
      </c>
      <c r="K4142" t="s">
        <v>654</v>
      </c>
      <c r="L4142" t="s">
        <v>678</v>
      </c>
      <c r="M4142" t="s">
        <v>623</v>
      </c>
      <c r="N4142" t="s">
        <v>624</v>
      </c>
      <c r="O4142" t="s">
        <v>679</v>
      </c>
    </row>
    <row r="4143" spans="1:15" x14ac:dyDescent="0.35">
      <c r="A4143" s="77">
        <v>6.3013698630136991E-2</v>
      </c>
      <c r="B4143" s="19">
        <v>101271</v>
      </c>
      <c r="C4143" s="19" t="s">
        <v>6431</v>
      </c>
      <c r="D4143" s="19" t="s">
        <v>379</v>
      </c>
      <c r="E4143" s="19" t="s">
        <v>380</v>
      </c>
      <c r="F4143" s="19" t="s">
        <v>381</v>
      </c>
      <c r="G4143" s="19" t="s">
        <v>1028</v>
      </c>
      <c r="H4143" s="19" t="s">
        <v>1020</v>
      </c>
      <c r="I4143" s="19" t="s">
        <v>1575</v>
      </c>
      <c r="J4143" s="20">
        <v>19</v>
      </c>
      <c r="K4143" t="s">
        <v>636</v>
      </c>
      <c r="L4143" t="s">
        <v>628</v>
      </c>
      <c r="M4143" t="s">
        <v>629</v>
      </c>
      <c r="N4143" t="s">
        <v>630</v>
      </c>
      <c r="O4143" t="s">
        <v>632</v>
      </c>
    </row>
    <row r="4144" spans="1:15" x14ac:dyDescent="0.35">
      <c r="A4144" s="77">
        <v>6.3013698630136991E-2</v>
      </c>
      <c r="B4144" s="19">
        <v>101272</v>
      </c>
      <c r="C4144" s="19" t="s">
        <v>6432</v>
      </c>
      <c r="D4144" s="19" t="s">
        <v>173</v>
      </c>
      <c r="E4144" s="19" t="s">
        <v>174</v>
      </c>
      <c r="F4144" s="19" t="s">
        <v>901</v>
      </c>
      <c r="G4144" s="19" t="s">
        <v>1019</v>
      </c>
      <c r="H4144" s="19" t="s">
        <v>1020</v>
      </c>
      <c r="I4144" s="19" t="s">
        <v>1575</v>
      </c>
      <c r="J4144" s="20">
        <v>20</v>
      </c>
      <c r="K4144" t="s">
        <v>668</v>
      </c>
      <c r="L4144" t="s">
        <v>656</v>
      </c>
      <c r="M4144" t="s">
        <v>657</v>
      </c>
      <c r="N4144" t="s">
        <v>658</v>
      </c>
      <c r="O4144" t="s">
        <v>632</v>
      </c>
    </row>
    <row r="4145" spans="1:15" x14ac:dyDescent="0.35">
      <c r="A4145" s="77">
        <v>6.3013698630136991E-2</v>
      </c>
      <c r="B4145" s="19">
        <v>101273</v>
      </c>
      <c r="C4145" s="19" t="s">
        <v>6433</v>
      </c>
      <c r="D4145" s="19" t="s">
        <v>47</v>
      </c>
      <c r="E4145" s="19" t="s">
        <v>48</v>
      </c>
      <c r="F4145" s="19" t="s">
        <v>1232</v>
      </c>
      <c r="G4145" s="19" t="s">
        <v>1028</v>
      </c>
      <c r="H4145" s="19" t="s">
        <v>1020</v>
      </c>
      <c r="I4145" s="19" t="s">
        <v>1599</v>
      </c>
      <c r="J4145" s="20">
        <v>21</v>
      </c>
      <c r="K4145" t="s">
        <v>636</v>
      </c>
      <c r="L4145" t="s">
        <v>622</v>
      </c>
      <c r="M4145" t="s">
        <v>623</v>
      </c>
      <c r="N4145" t="s">
        <v>624</v>
      </c>
      <c r="O4145" t="s">
        <v>649</v>
      </c>
    </row>
    <row r="4146" spans="1:15" x14ac:dyDescent="0.35">
      <c r="A4146" s="77">
        <v>6.3013698630136991E-2</v>
      </c>
      <c r="B4146" s="19">
        <v>101274</v>
      </c>
      <c r="C4146" s="19" t="s">
        <v>6434</v>
      </c>
      <c r="D4146" s="19" t="s">
        <v>47</v>
      </c>
      <c r="E4146" s="19" t="s">
        <v>48</v>
      </c>
      <c r="F4146" s="19" t="s">
        <v>1232</v>
      </c>
      <c r="G4146" s="19" t="s">
        <v>1028</v>
      </c>
      <c r="H4146" s="19" t="s">
        <v>1020</v>
      </c>
      <c r="I4146" s="19" t="s">
        <v>1575</v>
      </c>
      <c r="J4146" s="20">
        <v>22</v>
      </c>
      <c r="K4146" t="s">
        <v>636</v>
      </c>
      <c r="L4146" t="s">
        <v>622</v>
      </c>
      <c r="M4146" t="s">
        <v>623</v>
      </c>
      <c r="N4146" t="s">
        <v>624</v>
      </c>
      <c r="O4146" t="s">
        <v>649</v>
      </c>
    </row>
    <row r="4147" spans="1:15" x14ac:dyDescent="0.35">
      <c r="A4147" s="77">
        <v>6.3013698630136991E-2</v>
      </c>
      <c r="B4147" s="19">
        <v>101276</v>
      </c>
      <c r="C4147" s="19" t="s">
        <v>6435</v>
      </c>
      <c r="D4147" s="19" t="s">
        <v>161</v>
      </c>
      <c r="E4147" s="19" t="s">
        <v>162</v>
      </c>
      <c r="F4147" s="19" t="s">
        <v>1027</v>
      </c>
      <c r="G4147" s="19" t="s">
        <v>1028</v>
      </c>
      <c r="H4147" s="19" t="s">
        <v>1020</v>
      </c>
      <c r="I4147" s="19" t="s">
        <v>1575</v>
      </c>
      <c r="J4147" s="20">
        <v>18</v>
      </c>
      <c r="K4147" t="s">
        <v>654</v>
      </c>
      <c r="L4147" t="s">
        <v>622</v>
      </c>
      <c r="M4147" t="s">
        <v>623</v>
      </c>
      <c r="N4147" t="s">
        <v>624</v>
      </c>
      <c r="O4147" t="s">
        <v>649</v>
      </c>
    </row>
    <row r="4148" spans="1:15" x14ac:dyDescent="0.35">
      <c r="A4148" s="77">
        <v>6.3013698630136991E-2</v>
      </c>
      <c r="B4148" s="19">
        <v>101278</v>
      </c>
      <c r="C4148" s="19" t="s">
        <v>6436</v>
      </c>
      <c r="D4148" s="19" t="s">
        <v>330</v>
      </c>
      <c r="E4148" s="19" t="s">
        <v>331</v>
      </c>
      <c r="F4148" s="19" t="s">
        <v>332</v>
      </c>
      <c r="G4148" s="19" t="s">
        <v>1028</v>
      </c>
      <c r="H4148" s="19" t="s">
        <v>1020</v>
      </c>
      <c r="I4148" s="19" t="s">
        <v>1575</v>
      </c>
      <c r="J4148" s="20">
        <v>22</v>
      </c>
      <c r="K4148" t="s">
        <v>636</v>
      </c>
      <c r="L4148" t="s">
        <v>762</v>
      </c>
      <c r="M4148" t="s">
        <v>629</v>
      </c>
      <c r="N4148" t="s">
        <v>646</v>
      </c>
      <c r="O4148" t="s">
        <v>839</v>
      </c>
    </row>
    <row r="4149" spans="1:15" x14ac:dyDescent="0.35">
      <c r="A4149" s="77">
        <v>6.3013698630136991E-2</v>
      </c>
      <c r="B4149" s="19">
        <v>101279</v>
      </c>
      <c r="C4149" s="19" t="s">
        <v>6437</v>
      </c>
      <c r="D4149" s="19" t="s">
        <v>355</v>
      </c>
      <c r="E4149" s="19" t="s">
        <v>356</v>
      </c>
      <c r="F4149" s="19" t="s">
        <v>1100</v>
      </c>
      <c r="G4149" s="19" t="s">
        <v>1028</v>
      </c>
      <c r="H4149" s="19" t="s">
        <v>1020</v>
      </c>
      <c r="I4149" s="19" t="s">
        <v>1575</v>
      </c>
      <c r="J4149" s="20">
        <v>31</v>
      </c>
      <c r="K4149" t="s">
        <v>625</v>
      </c>
      <c r="L4149" t="s">
        <v>622</v>
      </c>
      <c r="M4149" t="s">
        <v>623</v>
      </c>
      <c r="N4149" t="s">
        <v>624</v>
      </c>
      <c r="O4149" t="s">
        <v>649</v>
      </c>
    </row>
    <row r="4150" spans="1:15" x14ac:dyDescent="0.35">
      <c r="A4150" s="77">
        <v>6.3013698630136991E-2</v>
      </c>
      <c r="B4150" s="19">
        <v>101280</v>
      </c>
      <c r="C4150" s="19" t="s">
        <v>6438</v>
      </c>
      <c r="D4150" s="19" t="s">
        <v>355</v>
      </c>
      <c r="E4150" s="19" t="s">
        <v>356</v>
      </c>
      <c r="F4150" s="19" t="s">
        <v>1100</v>
      </c>
      <c r="G4150" s="19" t="s">
        <v>1028</v>
      </c>
      <c r="H4150" s="19" t="s">
        <v>1020</v>
      </c>
      <c r="I4150" s="19" t="s">
        <v>1575</v>
      </c>
      <c r="J4150" s="20">
        <v>23</v>
      </c>
      <c r="K4150" t="s">
        <v>625</v>
      </c>
      <c r="L4150" t="s">
        <v>622</v>
      </c>
      <c r="M4150" t="s">
        <v>623</v>
      </c>
      <c r="N4150" t="s">
        <v>624</v>
      </c>
      <c r="O4150" t="s">
        <v>649</v>
      </c>
    </row>
    <row r="4151" spans="1:15" x14ac:dyDescent="0.35">
      <c r="A4151" s="77">
        <v>6.3013698630136991E-2</v>
      </c>
      <c r="B4151" s="19">
        <v>101282</v>
      </c>
      <c r="C4151" s="19" t="s">
        <v>6439</v>
      </c>
      <c r="D4151" s="19" t="s">
        <v>147</v>
      </c>
      <c r="E4151" s="19" t="s">
        <v>148</v>
      </c>
      <c r="F4151" s="19" t="s">
        <v>1396</v>
      </c>
      <c r="G4151" s="19" t="s">
        <v>1028</v>
      </c>
      <c r="H4151" s="19" t="s">
        <v>1020</v>
      </c>
      <c r="I4151" s="19" t="s">
        <v>1599</v>
      </c>
      <c r="J4151" s="20">
        <v>21</v>
      </c>
      <c r="K4151" t="s">
        <v>636</v>
      </c>
      <c r="L4151" t="s">
        <v>661</v>
      </c>
      <c r="M4151" t="s">
        <v>657</v>
      </c>
      <c r="N4151" t="s">
        <v>662</v>
      </c>
      <c r="O4151" t="s">
        <v>632</v>
      </c>
    </row>
    <row r="4152" spans="1:15" x14ac:dyDescent="0.35">
      <c r="A4152" s="77">
        <v>6.3013698630136991E-2</v>
      </c>
      <c r="B4152" s="19">
        <v>101284</v>
      </c>
      <c r="C4152" s="19" t="s">
        <v>6440</v>
      </c>
      <c r="D4152" s="19" t="s">
        <v>309</v>
      </c>
      <c r="E4152" s="19" t="s">
        <v>310</v>
      </c>
      <c r="F4152" s="19" t="s">
        <v>1234</v>
      </c>
      <c r="G4152" s="19" t="s">
        <v>1028</v>
      </c>
      <c r="H4152" s="19" t="s">
        <v>1020</v>
      </c>
      <c r="I4152" s="19" t="s">
        <v>1575</v>
      </c>
      <c r="J4152" s="20">
        <v>21</v>
      </c>
      <c r="K4152" t="s">
        <v>668</v>
      </c>
      <c r="L4152" t="s">
        <v>666</v>
      </c>
      <c r="M4152" t="s">
        <v>629</v>
      </c>
      <c r="N4152" t="s">
        <v>635</v>
      </c>
      <c r="O4152" t="s">
        <v>637</v>
      </c>
    </row>
    <row r="4153" spans="1:15" x14ac:dyDescent="0.35">
      <c r="A4153" s="77">
        <v>6.3013698630136991E-2</v>
      </c>
      <c r="B4153" s="19">
        <v>101285</v>
      </c>
      <c r="C4153" s="19" t="s">
        <v>6441</v>
      </c>
      <c r="D4153" s="19" t="s">
        <v>377</v>
      </c>
      <c r="E4153" s="19" t="s">
        <v>378</v>
      </c>
      <c r="F4153" s="19" t="s">
        <v>862</v>
      </c>
      <c r="G4153" s="19" t="s">
        <v>1028</v>
      </c>
      <c r="H4153" s="19" t="s">
        <v>1020</v>
      </c>
      <c r="I4153" s="19" t="s">
        <v>1575</v>
      </c>
      <c r="J4153" s="20">
        <v>20</v>
      </c>
      <c r="K4153" t="s">
        <v>631</v>
      </c>
      <c r="L4153" t="s">
        <v>661</v>
      </c>
      <c r="M4153" t="s">
        <v>657</v>
      </c>
      <c r="N4153" t="s">
        <v>662</v>
      </c>
      <c r="O4153" t="s">
        <v>632</v>
      </c>
    </row>
    <row r="4154" spans="1:15" x14ac:dyDescent="0.35">
      <c r="A4154" s="77">
        <v>6.0273972602739728E-2</v>
      </c>
      <c r="B4154" s="19">
        <v>101287</v>
      </c>
      <c r="C4154" s="19" t="s">
        <v>6442</v>
      </c>
      <c r="D4154" s="19" t="s">
        <v>68</v>
      </c>
      <c r="E4154" s="19" t="s">
        <v>69</v>
      </c>
      <c r="F4154" s="19" t="s">
        <v>1078</v>
      </c>
      <c r="G4154" s="19" t="s">
        <v>1028</v>
      </c>
      <c r="H4154" s="19" t="s">
        <v>1020</v>
      </c>
      <c r="I4154" s="19" t="s">
        <v>1575</v>
      </c>
      <c r="J4154" s="20">
        <v>20</v>
      </c>
      <c r="K4154" t="s">
        <v>636</v>
      </c>
      <c r="L4154" t="s">
        <v>670</v>
      </c>
      <c r="M4154" t="s">
        <v>657</v>
      </c>
      <c r="N4154" t="s">
        <v>641</v>
      </c>
      <c r="O4154" t="s">
        <v>671</v>
      </c>
    </row>
    <row r="4155" spans="1:15" x14ac:dyDescent="0.35">
      <c r="A4155" s="77">
        <v>6.0273972602739728E-2</v>
      </c>
      <c r="B4155" s="19">
        <v>101289</v>
      </c>
      <c r="C4155" s="19" t="s">
        <v>6443</v>
      </c>
      <c r="D4155" s="19" t="s">
        <v>181</v>
      </c>
      <c r="E4155" s="19" t="s">
        <v>182</v>
      </c>
      <c r="F4155" s="19" t="s">
        <v>1374</v>
      </c>
      <c r="G4155" s="19" t="s">
        <v>1028</v>
      </c>
      <c r="H4155" s="19" t="s">
        <v>1020</v>
      </c>
      <c r="I4155" s="19" t="s">
        <v>1575</v>
      </c>
      <c r="J4155" s="20">
        <v>20</v>
      </c>
      <c r="K4155" t="s">
        <v>625</v>
      </c>
      <c r="L4155" t="s">
        <v>678</v>
      </c>
      <c r="M4155" t="s">
        <v>623</v>
      </c>
      <c r="N4155" t="s">
        <v>624</v>
      </c>
      <c r="O4155" t="s">
        <v>679</v>
      </c>
    </row>
    <row r="4156" spans="1:15" x14ac:dyDescent="0.35">
      <c r="A4156" s="77">
        <v>6.0273972602739728E-2</v>
      </c>
      <c r="B4156" s="19">
        <v>101293</v>
      </c>
      <c r="C4156" s="19" t="s">
        <v>6444</v>
      </c>
      <c r="D4156" s="19" t="s">
        <v>341</v>
      </c>
      <c r="E4156" s="19" t="s">
        <v>342</v>
      </c>
      <c r="F4156" s="19" t="s">
        <v>1264</v>
      </c>
      <c r="G4156" s="19" t="s">
        <v>1008</v>
      </c>
      <c r="H4156" s="19" t="s">
        <v>1001</v>
      </c>
      <c r="I4156" s="19" t="s">
        <v>1575</v>
      </c>
      <c r="J4156" s="20">
        <v>22</v>
      </c>
      <c r="K4156" t="s">
        <v>636</v>
      </c>
      <c r="L4156" t="s">
        <v>678</v>
      </c>
      <c r="M4156" t="s">
        <v>623</v>
      </c>
      <c r="N4156" t="s">
        <v>624</v>
      </c>
      <c r="O4156" t="s">
        <v>679</v>
      </c>
    </row>
    <row r="4157" spans="1:15" x14ac:dyDescent="0.35">
      <c r="A4157" s="77">
        <v>6.0273972602739728E-2</v>
      </c>
      <c r="B4157" s="19">
        <v>101294</v>
      </c>
      <c r="C4157" s="19" t="s">
        <v>6445</v>
      </c>
      <c r="D4157" s="19" t="s">
        <v>245</v>
      </c>
      <c r="E4157" s="19" t="s">
        <v>246</v>
      </c>
      <c r="F4157" s="19" t="s">
        <v>1365</v>
      </c>
      <c r="G4157" s="19" t="s">
        <v>1028</v>
      </c>
      <c r="H4157" s="19" t="s">
        <v>1020</v>
      </c>
      <c r="I4157" s="19" t="s">
        <v>1575</v>
      </c>
      <c r="J4157" s="20">
        <v>18</v>
      </c>
      <c r="K4157" t="s">
        <v>654</v>
      </c>
      <c r="L4157" t="s">
        <v>678</v>
      </c>
      <c r="M4157" t="s">
        <v>623</v>
      </c>
      <c r="N4157" t="s">
        <v>624</v>
      </c>
      <c r="O4157" t="s">
        <v>679</v>
      </c>
    </row>
    <row r="4158" spans="1:15" x14ac:dyDescent="0.35">
      <c r="A4158" s="77">
        <v>6.0273972602739728E-2</v>
      </c>
      <c r="B4158" s="19">
        <v>101297</v>
      </c>
      <c r="C4158" s="19" t="s">
        <v>6446</v>
      </c>
      <c r="D4158" s="19" t="s">
        <v>13</v>
      </c>
      <c r="E4158" s="19" t="s">
        <v>13</v>
      </c>
      <c r="F4158" s="19" t="s">
        <v>1467</v>
      </c>
      <c r="G4158" s="19" t="s">
        <v>1028</v>
      </c>
      <c r="H4158" s="19" t="s">
        <v>1020</v>
      </c>
      <c r="I4158" s="19" t="s">
        <v>1575</v>
      </c>
      <c r="J4158" s="20">
        <v>20</v>
      </c>
      <c r="K4158" t="s">
        <v>631</v>
      </c>
      <c r="L4158" t="s">
        <v>628</v>
      </c>
      <c r="M4158" t="s">
        <v>629</v>
      </c>
      <c r="N4158" t="s">
        <v>630</v>
      </c>
      <c r="O4158" t="s">
        <v>639</v>
      </c>
    </row>
    <row r="4159" spans="1:15" x14ac:dyDescent="0.35">
      <c r="A4159" s="77">
        <v>6.0273972602739728E-2</v>
      </c>
      <c r="B4159" s="19">
        <v>101298</v>
      </c>
      <c r="C4159" s="19" t="s">
        <v>6447</v>
      </c>
      <c r="D4159" s="19" t="s">
        <v>91</v>
      </c>
      <c r="E4159" s="19" t="s">
        <v>92</v>
      </c>
      <c r="F4159" s="19" t="s">
        <v>1113</v>
      </c>
      <c r="G4159" s="19" t="s">
        <v>1028</v>
      </c>
      <c r="H4159" s="19" t="s">
        <v>1020</v>
      </c>
      <c r="I4159" s="19" t="s">
        <v>1575</v>
      </c>
      <c r="J4159" s="20">
        <v>20</v>
      </c>
      <c r="K4159" t="s">
        <v>636</v>
      </c>
      <c r="L4159" t="s">
        <v>634</v>
      </c>
      <c r="M4159" t="s">
        <v>629</v>
      </c>
      <c r="N4159" t="s">
        <v>630</v>
      </c>
      <c r="O4159" t="s">
        <v>734</v>
      </c>
    </row>
    <row r="4160" spans="1:15" x14ac:dyDescent="0.35">
      <c r="A4160" s="77">
        <v>6.0273972602739728E-2</v>
      </c>
      <c r="B4160" s="19">
        <v>101299</v>
      </c>
      <c r="C4160" s="19" t="s">
        <v>6448</v>
      </c>
      <c r="D4160" s="19" t="s">
        <v>278</v>
      </c>
      <c r="E4160" s="19" t="s">
        <v>279</v>
      </c>
      <c r="F4160" s="19" t="s">
        <v>1131</v>
      </c>
      <c r="G4160" s="19" t="s">
        <v>1028</v>
      </c>
      <c r="H4160" s="19" t="s">
        <v>1020</v>
      </c>
      <c r="I4160" s="19" t="s">
        <v>1575</v>
      </c>
      <c r="J4160" s="20">
        <v>24</v>
      </c>
      <c r="K4160" t="s">
        <v>625</v>
      </c>
      <c r="L4160" t="s">
        <v>661</v>
      </c>
      <c r="M4160" t="s">
        <v>657</v>
      </c>
      <c r="N4160" t="s">
        <v>662</v>
      </c>
      <c r="O4160" t="s">
        <v>632</v>
      </c>
    </row>
    <row r="4161" spans="1:15" x14ac:dyDescent="0.35">
      <c r="A4161" s="77">
        <v>5.4794520547945202E-2</v>
      </c>
      <c r="B4161" s="19">
        <v>101301</v>
      </c>
      <c r="C4161" s="19" t="s">
        <v>6449</v>
      </c>
      <c r="D4161" s="19" t="s">
        <v>273</v>
      </c>
      <c r="E4161" s="19" t="s">
        <v>274</v>
      </c>
      <c r="F4161" s="19" t="s">
        <v>1093</v>
      </c>
      <c r="G4161" s="19" t="s">
        <v>1028</v>
      </c>
      <c r="H4161" s="19" t="s">
        <v>1020</v>
      </c>
      <c r="I4161" s="19" t="s">
        <v>1575</v>
      </c>
      <c r="J4161" s="20">
        <v>20</v>
      </c>
      <c r="K4161" t="s">
        <v>636</v>
      </c>
      <c r="L4161" t="s">
        <v>663</v>
      </c>
      <c r="M4161" t="s">
        <v>629</v>
      </c>
      <c r="N4161" t="s">
        <v>646</v>
      </c>
      <c r="O4161" t="s">
        <v>639</v>
      </c>
    </row>
    <row r="4162" spans="1:15" x14ac:dyDescent="0.35">
      <c r="A4162" s="77">
        <v>5.4794520547945202E-2</v>
      </c>
      <c r="B4162" s="19">
        <v>101302</v>
      </c>
      <c r="C4162" s="19" t="s">
        <v>6450</v>
      </c>
      <c r="D4162" s="19" t="s">
        <v>165</v>
      </c>
      <c r="E4162" s="19" t="s">
        <v>166</v>
      </c>
      <c r="F4162" s="19" t="s">
        <v>1238</v>
      </c>
      <c r="G4162" s="19" t="s">
        <v>1028</v>
      </c>
      <c r="H4162" s="19" t="s">
        <v>1020</v>
      </c>
      <c r="I4162" s="19" t="s">
        <v>1575</v>
      </c>
      <c r="J4162" s="20">
        <v>18</v>
      </c>
      <c r="K4162" t="s">
        <v>636</v>
      </c>
      <c r="L4162" t="s">
        <v>648</v>
      </c>
      <c r="M4162" t="s">
        <v>623</v>
      </c>
      <c r="N4162" t="s">
        <v>624</v>
      </c>
      <c r="O4162" t="s">
        <v>649</v>
      </c>
    </row>
    <row r="4163" spans="1:15" x14ac:dyDescent="0.35">
      <c r="A4163" s="77">
        <v>5.2054794520547946E-2</v>
      </c>
      <c r="B4163" s="19">
        <v>101304</v>
      </c>
      <c r="C4163" s="19" t="s">
        <v>6451</v>
      </c>
      <c r="D4163" s="19" t="s">
        <v>45</v>
      </c>
      <c r="E4163" s="19" t="s">
        <v>46</v>
      </c>
      <c r="F4163" s="19" t="s">
        <v>1122</v>
      </c>
      <c r="G4163" s="19" t="s">
        <v>1019</v>
      </c>
      <c r="H4163" s="19" t="s">
        <v>1020</v>
      </c>
      <c r="I4163" s="19" t="s">
        <v>1575</v>
      </c>
      <c r="J4163" s="20">
        <v>35</v>
      </c>
      <c r="K4163" t="s">
        <v>631</v>
      </c>
      <c r="L4163" t="s">
        <v>651</v>
      </c>
      <c r="M4163" t="s">
        <v>629</v>
      </c>
      <c r="N4163" t="s">
        <v>630</v>
      </c>
      <c r="O4163" t="s">
        <v>705</v>
      </c>
    </row>
    <row r="4164" spans="1:15" x14ac:dyDescent="0.35">
      <c r="A4164" s="77">
        <v>5.2054794520547946E-2</v>
      </c>
      <c r="B4164" s="19">
        <v>101305</v>
      </c>
      <c r="C4164" s="19" t="s">
        <v>6452</v>
      </c>
      <c r="D4164" s="19" t="s">
        <v>45</v>
      </c>
      <c r="E4164" s="19" t="s">
        <v>46</v>
      </c>
      <c r="F4164" s="19" t="s">
        <v>1122</v>
      </c>
      <c r="G4164" s="19" t="s">
        <v>1028</v>
      </c>
      <c r="H4164" s="19" t="s">
        <v>1020</v>
      </c>
      <c r="I4164" s="19" t="s">
        <v>1575</v>
      </c>
      <c r="J4164" s="20">
        <v>24</v>
      </c>
      <c r="K4164" t="s">
        <v>631</v>
      </c>
      <c r="L4164" t="s">
        <v>651</v>
      </c>
      <c r="M4164" t="s">
        <v>629</v>
      </c>
      <c r="N4164" t="s">
        <v>630</v>
      </c>
      <c r="O4164" t="s">
        <v>705</v>
      </c>
    </row>
    <row r="4165" spans="1:15" x14ac:dyDescent="0.35">
      <c r="A4165" s="77">
        <v>5.2054794520547946E-2</v>
      </c>
      <c r="B4165" s="19">
        <v>101306</v>
      </c>
      <c r="C4165" s="19" t="s">
        <v>6453</v>
      </c>
      <c r="D4165" s="19" t="s">
        <v>149</v>
      </c>
      <c r="E4165" s="19" t="s">
        <v>150</v>
      </c>
      <c r="F4165" s="19" t="s">
        <v>1548</v>
      </c>
      <c r="G4165" s="19" t="s">
        <v>3508</v>
      </c>
      <c r="H4165" s="19" t="s">
        <v>1020</v>
      </c>
      <c r="I4165" s="19" t="s">
        <v>1599</v>
      </c>
      <c r="J4165" s="20">
        <v>16</v>
      </c>
      <c r="K4165" t="s">
        <v>654</v>
      </c>
      <c r="L4165" t="s">
        <v>648</v>
      </c>
      <c r="M4165" t="s">
        <v>623</v>
      </c>
      <c r="N4165" t="s">
        <v>624</v>
      </c>
      <c r="O4165" t="s">
        <v>725</v>
      </c>
    </row>
    <row r="4166" spans="1:15" x14ac:dyDescent="0.35">
      <c r="A4166" s="77">
        <v>5.4794520547945202E-2</v>
      </c>
      <c r="B4166" s="19">
        <v>101307</v>
      </c>
      <c r="C4166" s="19" t="s">
        <v>6454</v>
      </c>
      <c r="D4166" s="19" t="s">
        <v>95</v>
      </c>
      <c r="E4166" s="19" t="s">
        <v>96</v>
      </c>
      <c r="F4166" s="19" t="s">
        <v>1188</v>
      </c>
      <c r="G4166" s="19" t="s">
        <v>1028</v>
      </c>
      <c r="H4166" s="19" t="s">
        <v>1020</v>
      </c>
      <c r="I4166" s="19" t="s">
        <v>1599</v>
      </c>
      <c r="J4166" s="20">
        <v>24</v>
      </c>
      <c r="K4166" t="s">
        <v>636</v>
      </c>
      <c r="L4166" t="s">
        <v>737</v>
      </c>
      <c r="M4166" t="s">
        <v>657</v>
      </c>
      <c r="N4166" t="s">
        <v>641</v>
      </c>
      <c r="O4166" t="s">
        <v>738</v>
      </c>
    </row>
    <row r="4167" spans="1:15" x14ac:dyDescent="0.35">
      <c r="A4167" s="77">
        <v>5.4794520547945202E-2</v>
      </c>
      <c r="B4167" s="19">
        <v>101308</v>
      </c>
      <c r="C4167" s="19" t="s">
        <v>6455</v>
      </c>
      <c r="D4167" s="19" t="s">
        <v>432</v>
      </c>
      <c r="E4167" s="19" t="e">
        <v>#N/A</v>
      </c>
      <c r="F4167" s="19" t="s">
        <v>1037</v>
      </c>
      <c r="G4167" s="19" t="s">
        <v>1084</v>
      </c>
      <c r="H4167" s="19" t="s">
        <v>1001</v>
      </c>
      <c r="I4167" s="19" t="s">
        <v>1599</v>
      </c>
      <c r="J4167" s="20">
        <v>23</v>
      </c>
      <c r="K4167" t="s">
        <v>668</v>
      </c>
      <c r="L4167" t="s">
        <v>707</v>
      </c>
      <c r="M4167" t="s">
        <v>629</v>
      </c>
      <c r="N4167" t="s">
        <v>635</v>
      </c>
      <c r="O4167" t="s">
        <v>708</v>
      </c>
    </row>
    <row r="4168" spans="1:15" x14ac:dyDescent="0.35">
      <c r="A4168" s="77">
        <v>5.4794520547945202E-2</v>
      </c>
      <c r="B4168" s="19">
        <v>101309</v>
      </c>
      <c r="C4168" s="19" t="s">
        <v>6456</v>
      </c>
      <c r="D4168" s="19" t="s">
        <v>27</v>
      </c>
      <c r="E4168" s="19" t="s">
        <v>27</v>
      </c>
      <c r="F4168" s="19" t="s">
        <v>1250</v>
      </c>
      <c r="G4168" s="19" t="s">
        <v>1008</v>
      </c>
      <c r="H4168" s="19" t="s">
        <v>1001</v>
      </c>
      <c r="I4168" s="19" t="s">
        <v>1575</v>
      </c>
      <c r="J4168" s="20">
        <v>21</v>
      </c>
      <c r="K4168" t="s">
        <v>668</v>
      </c>
      <c r="L4168" t="s">
        <v>645</v>
      </c>
      <c r="M4168" t="s">
        <v>629</v>
      </c>
      <c r="N4168" t="s">
        <v>646</v>
      </c>
      <c r="O4168" t="s">
        <v>632</v>
      </c>
    </row>
    <row r="4169" spans="1:15" x14ac:dyDescent="0.35">
      <c r="A4169" s="77">
        <v>5.4794520547945202E-2</v>
      </c>
      <c r="B4169" s="19">
        <v>101310</v>
      </c>
      <c r="C4169" s="19" t="s">
        <v>6457</v>
      </c>
      <c r="D4169" s="19" t="s">
        <v>239</v>
      </c>
      <c r="E4169" s="19" t="s">
        <v>240</v>
      </c>
      <c r="F4169" s="19" t="s">
        <v>798</v>
      </c>
      <c r="G4169" s="19" t="s">
        <v>1028</v>
      </c>
      <c r="H4169" s="19" t="s">
        <v>1020</v>
      </c>
      <c r="I4169" s="19" t="s">
        <v>1575</v>
      </c>
      <c r="J4169" s="20">
        <v>22</v>
      </c>
      <c r="K4169" t="s">
        <v>636</v>
      </c>
      <c r="L4169" t="s">
        <v>628</v>
      </c>
      <c r="M4169" t="s">
        <v>629</v>
      </c>
      <c r="N4169" t="s">
        <v>646</v>
      </c>
      <c r="O4169" t="s">
        <v>632</v>
      </c>
    </row>
    <row r="4170" spans="1:15" x14ac:dyDescent="0.35">
      <c r="A4170" s="77">
        <v>5.4794520547945202E-2</v>
      </c>
      <c r="B4170" s="19">
        <v>101312</v>
      </c>
      <c r="C4170" s="19" t="s">
        <v>6458</v>
      </c>
      <c r="D4170" s="19" t="s">
        <v>181</v>
      </c>
      <c r="E4170" s="19" t="s">
        <v>182</v>
      </c>
      <c r="F4170" s="19" t="s">
        <v>1374</v>
      </c>
      <c r="G4170" s="19" t="s">
        <v>1028</v>
      </c>
      <c r="H4170" s="19" t="s">
        <v>1020</v>
      </c>
      <c r="I4170" s="19" t="s">
        <v>1575</v>
      </c>
      <c r="J4170" s="20">
        <v>45</v>
      </c>
      <c r="K4170" t="s">
        <v>625</v>
      </c>
      <c r="L4170" t="s">
        <v>678</v>
      </c>
      <c r="M4170" t="s">
        <v>623</v>
      </c>
      <c r="N4170" t="s">
        <v>624</v>
      </c>
      <c r="O4170" t="s">
        <v>679</v>
      </c>
    </row>
    <row r="4171" spans="1:15" x14ac:dyDescent="0.35">
      <c r="A4171" s="77">
        <v>5.2054794520547946E-2</v>
      </c>
      <c r="B4171" s="19">
        <v>101314</v>
      </c>
      <c r="C4171" s="19" t="s">
        <v>6459</v>
      </c>
      <c r="D4171" s="19" t="s">
        <v>128</v>
      </c>
      <c r="E4171" s="19" t="s">
        <v>129</v>
      </c>
      <c r="F4171" s="19" t="s">
        <v>1075</v>
      </c>
      <c r="G4171" s="19" t="s">
        <v>1008</v>
      </c>
      <c r="H4171" s="19" t="s">
        <v>1001</v>
      </c>
      <c r="I4171" s="19" t="s">
        <v>1575</v>
      </c>
      <c r="J4171" s="20">
        <v>19</v>
      </c>
      <c r="K4171" t="s">
        <v>636</v>
      </c>
      <c r="L4171" t="s">
        <v>678</v>
      </c>
      <c r="M4171" t="s">
        <v>623</v>
      </c>
      <c r="N4171" t="s">
        <v>624</v>
      </c>
      <c r="O4171" t="s">
        <v>679</v>
      </c>
    </row>
    <row r="4172" spans="1:15" x14ac:dyDescent="0.35">
      <c r="A4172" s="77">
        <v>5.2054794520547946E-2</v>
      </c>
      <c r="B4172" s="19">
        <v>101315</v>
      </c>
      <c r="C4172" s="19" t="s">
        <v>6460</v>
      </c>
      <c r="D4172" s="19" t="s">
        <v>201</v>
      </c>
      <c r="E4172" s="19" t="s">
        <v>202</v>
      </c>
      <c r="F4172" s="19" t="s">
        <v>1061</v>
      </c>
      <c r="G4172" s="19" t="s">
        <v>1084</v>
      </c>
      <c r="H4172" s="19" t="s">
        <v>1020</v>
      </c>
      <c r="I4172" s="19" t="s">
        <v>1599</v>
      </c>
      <c r="J4172" s="20">
        <v>19</v>
      </c>
      <c r="K4172" t="s">
        <v>631</v>
      </c>
      <c r="L4172" t="s">
        <v>628</v>
      </c>
      <c r="M4172" t="s">
        <v>629</v>
      </c>
      <c r="N4172" t="s">
        <v>630</v>
      </c>
      <c r="O4172" t="s">
        <v>784</v>
      </c>
    </row>
    <row r="4173" spans="1:15" x14ac:dyDescent="0.35">
      <c r="A4173" s="77">
        <v>5.2054794520547946E-2</v>
      </c>
      <c r="B4173" s="19">
        <v>101316</v>
      </c>
      <c r="C4173" s="19" t="s">
        <v>6461</v>
      </c>
      <c r="D4173" s="19" t="s">
        <v>140</v>
      </c>
      <c r="E4173" s="19" t="s">
        <v>141</v>
      </c>
      <c r="F4173" s="19" t="s">
        <v>1138</v>
      </c>
      <c r="G4173" s="19" t="s">
        <v>1028</v>
      </c>
      <c r="H4173" s="19" t="s">
        <v>1020</v>
      </c>
      <c r="I4173" s="19" t="s">
        <v>1575</v>
      </c>
      <c r="J4173" s="20">
        <v>29</v>
      </c>
      <c r="K4173" t="s">
        <v>636</v>
      </c>
      <c r="L4173" t="s">
        <v>640</v>
      </c>
      <c r="M4173" t="s">
        <v>623</v>
      </c>
      <c r="N4173" t="s">
        <v>641</v>
      </c>
      <c r="O4173" t="s">
        <v>754</v>
      </c>
    </row>
    <row r="4174" spans="1:15" x14ac:dyDescent="0.35">
      <c r="A4174" s="77">
        <v>5.2054794520547946E-2</v>
      </c>
      <c r="B4174" s="19">
        <v>101317</v>
      </c>
      <c r="C4174" s="19" t="s">
        <v>6462</v>
      </c>
      <c r="D4174" s="19" t="s">
        <v>315</v>
      </c>
      <c r="E4174" s="19" t="s">
        <v>316</v>
      </c>
      <c r="F4174" s="19" t="s">
        <v>1322</v>
      </c>
      <c r="G4174" s="19" t="s">
        <v>1028</v>
      </c>
      <c r="H4174" s="19" t="s">
        <v>1020</v>
      </c>
      <c r="I4174" s="19" t="s">
        <v>1575</v>
      </c>
      <c r="J4174" s="20">
        <v>21</v>
      </c>
      <c r="K4174" t="s">
        <v>654</v>
      </c>
      <c r="L4174" t="s">
        <v>684</v>
      </c>
      <c r="M4174" t="s">
        <v>623</v>
      </c>
      <c r="N4174" t="s">
        <v>662</v>
      </c>
      <c r="O4174" t="s">
        <v>831</v>
      </c>
    </row>
    <row r="4175" spans="1:15" x14ac:dyDescent="0.35">
      <c r="A4175" s="77">
        <v>5.2054794520547946E-2</v>
      </c>
      <c r="B4175" s="19">
        <v>101318</v>
      </c>
      <c r="C4175" s="19" t="s">
        <v>6463</v>
      </c>
      <c r="D4175" s="19" t="s">
        <v>426</v>
      </c>
      <c r="E4175" s="19" t="s">
        <v>426</v>
      </c>
      <c r="F4175" s="19" t="s">
        <v>1220</v>
      </c>
      <c r="G4175" s="19" t="s">
        <v>1019</v>
      </c>
      <c r="H4175" s="19" t="s">
        <v>1020</v>
      </c>
      <c r="I4175" s="19" t="s">
        <v>1599</v>
      </c>
      <c r="J4175" s="20">
        <v>23</v>
      </c>
      <c r="K4175" t="s">
        <v>654</v>
      </c>
      <c r="L4175" t="s">
        <v>622</v>
      </c>
      <c r="M4175" t="s">
        <v>623</v>
      </c>
      <c r="N4175" t="s">
        <v>624</v>
      </c>
      <c r="O4175" t="s">
        <v>649</v>
      </c>
    </row>
    <row r="4176" spans="1:15" x14ac:dyDescent="0.35">
      <c r="A4176" s="77">
        <v>5.2054794520547946E-2</v>
      </c>
      <c r="B4176" s="19">
        <v>101319</v>
      </c>
      <c r="C4176" s="19" t="s">
        <v>6464</v>
      </c>
      <c r="D4176" s="19" t="s">
        <v>49</v>
      </c>
      <c r="E4176" s="19" t="s">
        <v>50</v>
      </c>
      <c r="F4176" s="19" t="s">
        <v>1213</v>
      </c>
      <c r="G4176" s="19" t="s">
        <v>1028</v>
      </c>
      <c r="H4176" s="19" t="s">
        <v>1020</v>
      </c>
      <c r="I4176" s="19" t="s">
        <v>1599</v>
      </c>
      <c r="J4176" s="20">
        <v>21</v>
      </c>
      <c r="K4176" t="s">
        <v>625</v>
      </c>
      <c r="L4176" t="s">
        <v>648</v>
      </c>
      <c r="M4176" t="s">
        <v>623</v>
      </c>
      <c r="N4176" t="s">
        <v>624</v>
      </c>
      <c r="O4176" t="s">
        <v>649</v>
      </c>
    </row>
    <row r="4177" spans="1:15" x14ac:dyDescent="0.35">
      <c r="A4177" s="77">
        <v>5.2054794520547946E-2</v>
      </c>
      <c r="B4177" s="19">
        <v>101321</v>
      </c>
      <c r="C4177" s="19" t="s">
        <v>6465</v>
      </c>
      <c r="D4177" s="19" t="s">
        <v>34</v>
      </c>
      <c r="E4177" s="19" t="s">
        <v>34</v>
      </c>
      <c r="F4177" s="19" t="s">
        <v>1066</v>
      </c>
      <c r="G4177" s="19" t="s">
        <v>1028</v>
      </c>
      <c r="H4177" s="19" t="s">
        <v>1020</v>
      </c>
      <c r="I4177" s="19" t="s">
        <v>1575</v>
      </c>
      <c r="J4177" s="20">
        <v>22</v>
      </c>
      <c r="K4177" t="s">
        <v>654</v>
      </c>
      <c r="L4177" t="s">
        <v>656</v>
      </c>
      <c r="M4177" t="s">
        <v>657</v>
      </c>
      <c r="N4177" t="s">
        <v>658</v>
      </c>
      <c r="O4177" t="s">
        <v>632</v>
      </c>
    </row>
    <row r="4178" spans="1:15" x14ac:dyDescent="0.35">
      <c r="A4178" s="77">
        <v>5.2054794520547946E-2</v>
      </c>
      <c r="B4178" s="19">
        <v>101322</v>
      </c>
      <c r="C4178" s="19" t="s">
        <v>6466</v>
      </c>
      <c r="D4178" s="19" t="s">
        <v>355</v>
      </c>
      <c r="E4178" s="19" t="s">
        <v>356</v>
      </c>
      <c r="F4178" s="19" t="s">
        <v>1100</v>
      </c>
      <c r="G4178" s="19" t="s">
        <v>1028</v>
      </c>
      <c r="H4178" s="19" t="s">
        <v>1020</v>
      </c>
      <c r="I4178" s="19" t="s">
        <v>1575</v>
      </c>
      <c r="J4178" s="20">
        <v>19</v>
      </c>
      <c r="K4178" t="s">
        <v>625</v>
      </c>
      <c r="L4178" t="s">
        <v>622</v>
      </c>
      <c r="M4178" t="s">
        <v>623</v>
      </c>
      <c r="N4178" t="s">
        <v>624</v>
      </c>
      <c r="O4178" t="s">
        <v>649</v>
      </c>
    </row>
    <row r="4179" spans="1:15" x14ac:dyDescent="0.35">
      <c r="A4179" s="77">
        <v>5.2054794520547946E-2</v>
      </c>
      <c r="B4179" s="19">
        <v>101323</v>
      </c>
      <c r="C4179" s="19" t="s">
        <v>6467</v>
      </c>
      <c r="D4179" s="19" t="s">
        <v>153</v>
      </c>
      <c r="E4179" s="19" t="s">
        <v>154</v>
      </c>
      <c r="F4179" s="19" t="s">
        <v>2384</v>
      </c>
      <c r="G4179" s="19" t="s">
        <v>1028</v>
      </c>
      <c r="H4179" s="19" t="s">
        <v>1020</v>
      </c>
      <c r="I4179" s="19" t="s">
        <v>1575</v>
      </c>
      <c r="J4179" s="20">
        <v>24</v>
      </c>
      <c r="K4179" t="s">
        <v>654</v>
      </c>
      <c r="L4179" t="s">
        <v>762</v>
      </c>
      <c r="M4179" t="s">
        <v>629</v>
      </c>
      <c r="N4179" t="s">
        <v>646</v>
      </c>
      <c r="O4179" t="s">
        <v>763</v>
      </c>
    </row>
    <row r="4180" spans="1:15" x14ac:dyDescent="0.35">
      <c r="A4180" s="77">
        <v>5.2054794520547946E-2</v>
      </c>
      <c r="B4180" s="19">
        <v>101324</v>
      </c>
      <c r="C4180" s="19" t="s">
        <v>6468</v>
      </c>
      <c r="D4180" s="19" t="s">
        <v>153</v>
      </c>
      <c r="E4180" s="19" t="s">
        <v>154</v>
      </c>
      <c r="F4180" s="19" t="s">
        <v>2384</v>
      </c>
      <c r="G4180" s="19" t="s">
        <v>1028</v>
      </c>
      <c r="H4180" s="19" t="s">
        <v>1020</v>
      </c>
      <c r="I4180" s="19" t="s">
        <v>1575</v>
      </c>
      <c r="J4180" s="20">
        <v>23</v>
      </c>
      <c r="K4180" t="s">
        <v>654</v>
      </c>
      <c r="L4180" t="s">
        <v>762</v>
      </c>
      <c r="M4180" t="s">
        <v>629</v>
      </c>
      <c r="N4180" t="s">
        <v>646</v>
      </c>
      <c r="O4180" t="s">
        <v>763</v>
      </c>
    </row>
    <row r="4181" spans="1:15" x14ac:dyDescent="0.35">
      <c r="A4181" s="77">
        <v>5.2054794520547946E-2</v>
      </c>
      <c r="B4181" s="19">
        <v>101325</v>
      </c>
      <c r="C4181" s="19" t="s">
        <v>6469</v>
      </c>
      <c r="D4181" s="19" t="s">
        <v>153</v>
      </c>
      <c r="E4181" s="19" t="s">
        <v>154</v>
      </c>
      <c r="F4181" s="19" t="s">
        <v>2384</v>
      </c>
      <c r="G4181" s="19" t="s">
        <v>1028</v>
      </c>
      <c r="H4181" s="19" t="s">
        <v>1020</v>
      </c>
      <c r="I4181" s="19" t="s">
        <v>1575</v>
      </c>
      <c r="J4181" s="20">
        <v>24</v>
      </c>
      <c r="K4181" t="s">
        <v>654</v>
      </c>
      <c r="L4181" t="s">
        <v>762</v>
      </c>
      <c r="M4181" t="s">
        <v>629</v>
      </c>
      <c r="N4181" t="s">
        <v>646</v>
      </c>
      <c r="O4181" t="s">
        <v>763</v>
      </c>
    </row>
    <row r="4182" spans="1:15" x14ac:dyDescent="0.35">
      <c r="A4182" s="77">
        <v>5.2054794520547946E-2</v>
      </c>
      <c r="B4182" s="19">
        <v>101328</v>
      </c>
      <c r="C4182" s="19" t="s">
        <v>4639</v>
      </c>
      <c r="D4182" s="19" t="s">
        <v>385</v>
      </c>
      <c r="E4182" s="19" t="s">
        <v>386</v>
      </c>
      <c r="F4182" s="19" t="s">
        <v>1059</v>
      </c>
      <c r="G4182" s="19" t="s">
        <v>1028</v>
      </c>
      <c r="H4182" s="19" t="s">
        <v>1020</v>
      </c>
      <c r="I4182" s="19" t="s">
        <v>1575</v>
      </c>
      <c r="J4182" s="20">
        <v>18</v>
      </c>
      <c r="K4182" t="s">
        <v>631</v>
      </c>
      <c r="L4182" t="s">
        <v>663</v>
      </c>
      <c r="M4182" t="s">
        <v>629</v>
      </c>
      <c r="N4182" t="s">
        <v>646</v>
      </c>
      <c r="O4182" t="s">
        <v>810</v>
      </c>
    </row>
    <row r="4183" spans="1:15" x14ac:dyDescent="0.35">
      <c r="A4183" s="77">
        <v>5.2054794520547946E-2</v>
      </c>
      <c r="B4183" s="19">
        <v>101329</v>
      </c>
      <c r="C4183" s="19" t="s">
        <v>6470</v>
      </c>
      <c r="D4183" s="19" t="s">
        <v>163</v>
      </c>
      <c r="E4183" s="19" t="s">
        <v>164</v>
      </c>
      <c r="F4183" s="19" t="s">
        <v>1174</v>
      </c>
      <c r="G4183" s="19" t="s">
        <v>1028</v>
      </c>
      <c r="H4183" s="19" t="s">
        <v>1020</v>
      </c>
      <c r="I4183" s="19" t="s">
        <v>1575</v>
      </c>
      <c r="J4183" s="20">
        <v>19</v>
      </c>
      <c r="K4183" t="s">
        <v>654</v>
      </c>
      <c r="L4183" t="s">
        <v>634</v>
      </c>
      <c r="M4183" t="s">
        <v>629</v>
      </c>
      <c r="N4183" t="s">
        <v>635</v>
      </c>
      <c r="O4183" t="s">
        <v>637</v>
      </c>
    </row>
    <row r="4184" spans="1:15" x14ac:dyDescent="0.35">
      <c r="A4184" s="77">
        <v>5.2054794520547946E-2</v>
      </c>
      <c r="B4184" s="19">
        <v>101330</v>
      </c>
      <c r="C4184" s="19" t="s">
        <v>6471</v>
      </c>
      <c r="D4184" s="19" t="s">
        <v>313</v>
      </c>
      <c r="E4184" s="19" t="s">
        <v>314</v>
      </c>
      <c r="F4184" s="19" t="s">
        <v>1401</v>
      </c>
      <c r="G4184" s="19" t="s">
        <v>1028</v>
      </c>
      <c r="H4184" s="19" t="s">
        <v>1020</v>
      </c>
      <c r="I4184" s="19" t="s">
        <v>1599</v>
      </c>
      <c r="J4184" s="20">
        <v>21</v>
      </c>
      <c r="K4184" t="s">
        <v>654</v>
      </c>
      <c r="L4184" t="s">
        <v>666</v>
      </c>
      <c r="M4184" t="s">
        <v>629</v>
      </c>
      <c r="N4184" t="s">
        <v>635</v>
      </c>
      <c r="O4184" t="s">
        <v>637</v>
      </c>
    </row>
    <row r="4185" spans="1:15" x14ac:dyDescent="0.35">
      <c r="A4185" s="77">
        <v>5.2054794520547946E-2</v>
      </c>
      <c r="B4185" s="19">
        <v>101331</v>
      </c>
      <c r="C4185" s="19" t="s">
        <v>6472</v>
      </c>
      <c r="D4185" s="19" t="s">
        <v>313</v>
      </c>
      <c r="E4185" s="19" t="s">
        <v>314</v>
      </c>
      <c r="F4185" s="19" t="s">
        <v>1401</v>
      </c>
      <c r="G4185" s="19" t="s">
        <v>1028</v>
      </c>
      <c r="H4185" s="19" t="s">
        <v>1020</v>
      </c>
      <c r="I4185" s="19" t="s">
        <v>1575</v>
      </c>
      <c r="J4185" s="20">
        <v>27</v>
      </c>
      <c r="K4185" t="s">
        <v>654</v>
      </c>
      <c r="L4185" t="s">
        <v>666</v>
      </c>
      <c r="M4185" t="s">
        <v>629</v>
      </c>
      <c r="N4185" t="s">
        <v>635</v>
      </c>
      <c r="O4185" t="s">
        <v>637</v>
      </c>
    </row>
    <row r="4186" spans="1:15" x14ac:dyDescent="0.35">
      <c r="A4186" s="77">
        <v>5.2054794520547946E-2</v>
      </c>
      <c r="B4186" s="19">
        <v>101332</v>
      </c>
      <c r="C4186" s="19" t="s">
        <v>6473</v>
      </c>
      <c r="D4186" s="19" t="s">
        <v>147</v>
      </c>
      <c r="E4186" s="19" t="s">
        <v>148</v>
      </c>
      <c r="F4186" s="19" t="s">
        <v>1396</v>
      </c>
      <c r="G4186" s="19" t="s">
        <v>1028</v>
      </c>
      <c r="H4186" s="19" t="s">
        <v>1020</v>
      </c>
      <c r="I4186" s="19" t="s">
        <v>1575</v>
      </c>
      <c r="J4186" s="20">
        <v>19</v>
      </c>
      <c r="K4186" t="s">
        <v>636</v>
      </c>
      <c r="L4186" t="s">
        <v>661</v>
      </c>
      <c r="M4186" t="s">
        <v>657</v>
      </c>
      <c r="N4186" t="s">
        <v>662</v>
      </c>
      <c r="O4186" t="s">
        <v>632</v>
      </c>
    </row>
    <row r="4187" spans="1:15" x14ac:dyDescent="0.35">
      <c r="A4187" s="77">
        <v>5.2054794520547946E-2</v>
      </c>
      <c r="B4187" s="19">
        <v>101333</v>
      </c>
      <c r="C4187" s="19" t="s">
        <v>6474</v>
      </c>
      <c r="D4187" s="19" t="s">
        <v>237</v>
      </c>
      <c r="E4187" s="19" t="s">
        <v>238</v>
      </c>
      <c r="F4187" s="19" t="s">
        <v>1070</v>
      </c>
      <c r="G4187" s="19" t="s">
        <v>1028</v>
      </c>
      <c r="H4187" s="19" t="s">
        <v>1020</v>
      </c>
      <c r="I4187" s="19" t="s">
        <v>1599</v>
      </c>
      <c r="J4187" s="20">
        <v>24</v>
      </c>
      <c r="K4187" t="s">
        <v>631</v>
      </c>
      <c r="L4187" t="s">
        <v>661</v>
      </c>
      <c r="M4187" t="s">
        <v>657</v>
      </c>
      <c r="N4187" t="s">
        <v>662</v>
      </c>
      <c r="O4187" t="s">
        <v>632</v>
      </c>
    </row>
    <row r="4188" spans="1:15" x14ac:dyDescent="0.35">
      <c r="A4188" s="77">
        <v>4.9315068493150684E-2</v>
      </c>
      <c r="B4188" s="19">
        <v>101334</v>
      </c>
      <c r="C4188" s="19" t="s">
        <v>6475</v>
      </c>
      <c r="D4188" s="19" t="s">
        <v>337</v>
      </c>
      <c r="E4188" s="19" t="s">
        <v>338</v>
      </c>
      <c r="F4188" s="19" t="s">
        <v>2642</v>
      </c>
      <c r="G4188" s="19" t="s">
        <v>1028</v>
      </c>
      <c r="H4188" s="19" t="s">
        <v>1020</v>
      </c>
      <c r="I4188" s="19" t="s">
        <v>1575</v>
      </c>
      <c r="J4188" s="20">
        <v>24</v>
      </c>
      <c r="K4188" t="s">
        <v>668</v>
      </c>
      <c r="L4188" t="s">
        <v>656</v>
      </c>
      <c r="M4188" t="s">
        <v>657</v>
      </c>
      <c r="N4188" t="s">
        <v>658</v>
      </c>
      <c r="O4188" t="s">
        <v>843</v>
      </c>
    </row>
    <row r="4189" spans="1:15" x14ac:dyDescent="0.35">
      <c r="A4189" s="77">
        <v>4.9315068493150684E-2</v>
      </c>
      <c r="B4189" s="19">
        <v>101335</v>
      </c>
      <c r="C4189" s="19" t="s">
        <v>6476</v>
      </c>
      <c r="D4189" s="19" t="s">
        <v>19</v>
      </c>
      <c r="E4189" s="19" t="s">
        <v>19</v>
      </c>
      <c r="F4189" s="19" t="s">
        <v>1255</v>
      </c>
      <c r="G4189" s="19" t="s">
        <v>1008</v>
      </c>
      <c r="H4189" s="19" t="s">
        <v>1001</v>
      </c>
      <c r="I4189" s="19" t="s">
        <v>1575</v>
      </c>
      <c r="J4189" s="20">
        <v>26</v>
      </c>
      <c r="K4189" t="s">
        <v>654</v>
      </c>
      <c r="L4189" t="s">
        <v>645</v>
      </c>
      <c r="M4189" t="s">
        <v>629</v>
      </c>
      <c r="N4189" t="s">
        <v>646</v>
      </c>
      <c r="O4189" t="s">
        <v>632</v>
      </c>
    </row>
    <row r="4190" spans="1:15" x14ac:dyDescent="0.35">
      <c r="A4190" s="77">
        <v>4.9315068493150684E-2</v>
      </c>
      <c r="B4190" s="19">
        <v>101336</v>
      </c>
      <c r="C4190" s="19" t="s">
        <v>6477</v>
      </c>
      <c r="D4190" s="19" t="s">
        <v>195</v>
      </c>
      <c r="E4190" s="19" t="s">
        <v>196</v>
      </c>
      <c r="F4190" s="19" t="s">
        <v>908</v>
      </c>
      <c r="G4190" s="19" t="s">
        <v>1028</v>
      </c>
      <c r="H4190" s="19" t="s">
        <v>1020</v>
      </c>
      <c r="I4190" s="19" t="s">
        <v>1575</v>
      </c>
      <c r="J4190" s="20">
        <v>21</v>
      </c>
      <c r="K4190" t="s">
        <v>636</v>
      </c>
      <c r="L4190" t="s">
        <v>670</v>
      </c>
      <c r="M4190" t="s">
        <v>657</v>
      </c>
      <c r="N4190" t="s">
        <v>641</v>
      </c>
      <c r="O4190" t="s">
        <v>676</v>
      </c>
    </row>
    <row r="4191" spans="1:15" x14ac:dyDescent="0.35">
      <c r="A4191" s="77">
        <v>4.9315068493150684E-2</v>
      </c>
      <c r="B4191" s="19">
        <v>101339</v>
      </c>
      <c r="C4191" s="19" t="s">
        <v>6478</v>
      </c>
      <c r="D4191" s="19" t="s">
        <v>295</v>
      </c>
      <c r="E4191" s="19" t="s">
        <v>296</v>
      </c>
      <c r="F4191" s="19" t="s">
        <v>1095</v>
      </c>
      <c r="G4191" s="19" t="s">
        <v>1028</v>
      </c>
      <c r="H4191" s="19" t="s">
        <v>1020</v>
      </c>
      <c r="I4191" s="19" t="s">
        <v>1575</v>
      </c>
      <c r="J4191" s="20">
        <v>28</v>
      </c>
      <c r="K4191" t="s">
        <v>654</v>
      </c>
      <c r="L4191" t="s">
        <v>651</v>
      </c>
      <c r="M4191" t="s">
        <v>629</v>
      </c>
      <c r="N4191" t="s">
        <v>630</v>
      </c>
      <c r="O4191" t="s">
        <v>705</v>
      </c>
    </row>
    <row r="4192" spans="1:15" x14ac:dyDescent="0.35">
      <c r="A4192" s="77">
        <v>4.9315068493150684E-2</v>
      </c>
      <c r="B4192" s="19">
        <v>101343</v>
      </c>
      <c r="C4192" s="19" t="s">
        <v>6479</v>
      </c>
      <c r="D4192" s="19" t="s">
        <v>382</v>
      </c>
      <c r="E4192" s="19" t="s">
        <v>383</v>
      </c>
      <c r="F4192" s="19" t="s">
        <v>384</v>
      </c>
      <c r="G4192" s="19" t="s">
        <v>1028</v>
      </c>
      <c r="H4192" s="19" t="s">
        <v>1020</v>
      </c>
      <c r="I4192" s="19" t="s">
        <v>1575</v>
      </c>
      <c r="J4192" s="20">
        <v>20</v>
      </c>
      <c r="K4192" t="s">
        <v>636</v>
      </c>
      <c r="L4192" t="s">
        <v>656</v>
      </c>
      <c r="M4192" t="s">
        <v>657</v>
      </c>
      <c r="N4192" t="s">
        <v>658</v>
      </c>
      <c r="O4192" t="s">
        <v>843</v>
      </c>
    </row>
    <row r="4193" spans="1:15" x14ac:dyDescent="0.35">
      <c r="A4193" s="77">
        <v>4.9315068493150684E-2</v>
      </c>
      <c r="B4193" s="19">
        <v>101344</v>
      </c>
      <c r="C4193" s="19" t="s">
        <v>6480</v>
      </c>
      <c r="D4193" s="19" t="s">
        <v>322</v>
      </c>
      <c r="E4193" s="19" t="s">
        <v>323</v>
      </c>
      <c r="F4193" s="19" t="s">
        <v>834</v>
      </c>
      <c r="G4193" s="19" t="s">
        <v>1019</v>
      </c>
      <c r="H4193" s="19" t="s">
        <v>1020</v>
      </c>
      <c r="I4193" s="19" t="s">
        <v>1575</v>
      </c>
      <c r="J4193" s="20">
        <v>28</v>
      </c>
      <c r="K4193" t="s">
        <v>668</v>
      </c>
      <c r="L4193" t="s">
        <v>628</v>
      </c>
      <c r="M4193" t="s">
        <v>629</v>
      </c>
      <c r="N4193" t="s">
        <v>630</v>
      </c>
      <c r="O4193" t="s">
        <v>632</v>
      </c>
    </row>
    <row r="4194" spans="1:15" x14ac:dyDescent="0.35">
      <c r="A4194" s="77">
        <v>4.9315068493150684E-2</v>
      </c>
      <c r="B4194" s="19">
        <v>101345</v>
      </c>
      <c r="C4194" s="19" t="s">
        <v>6481</v>
      </c>
      <c r="D4194" s="19" t="s">
        <v>181</v>
      </c>
      <c r="E4194" s="19" t="s">
        <v>182</v>
      </c>
      <c r="F4194" s="19" t="s">
        <v>1374</v>
      </c>
      <c r="G4194" s="19" t="s">
        <v>1028</v>
      </c>
      <c r="H4194" s="19" t="s">
        <v>1020</v>
      </c>
      <c r="I4194" s="19" t="s">
        <v>1575</v>
      </c>
      <c r="J4194" s="20">
        <v>27</v>
      </c>
      <c r="K4194" t="s">
        <v>625</v>
      </c>
      <c r="L4194" t="s">
        <v>678</v>
      </c>
      <c r="M4194" t="s">
        <v>623</v>
      </c>
      <c r="N4194" t="s">
        <v>624</v>
      </c>
      <c r="O4194" t="s">
        <v>679</v>
      </c>
    </row>
    <row r="4195" spans="1:15" x14ac:dyDescent="0.35">
      <c r="A4195" s="77">
        <v>4.9315068493150684E-2</v>
      </c>
      <c r="B4195" s="19">
        <v>101346</v>
      </c>
      <c r="C4195" s="19" t="s">
        <v>6482</v>
      </c>
      <c r="D4195" s="19" t="s">
        <v>66</v>
      </c>
      <c r="E4195" s="19" t="s">
        <v>67</v>
      </c>
      <c r="F4195" s="19" t="s">
        <v>1708</v>
      </c>
      <c r="G4195" s="19" t="s">
        <v>1028</v>
      </c>
      <c r="H4195" s="19" t="s">
        <v>1020</v>
      </c>
      <c r="I4195" s="19" t="s">
        <v>1599</v>
      </c>
      <c r="J4195" s="20">
        <v>18</v>
      </c>
      <c r="K4195" t="s">
        <v>654</v>
      </c>
      <c r="L4195" t="s">
        <v>645</v>
      </c>
      <c r="M4195" t="s">
        <v>629</v>
      </c>
      <c r="N4195" t="s">
        <v>646</v>
      </c>
      <c r="O4195" t="s">
        <v>632</v>
      </c>
    </row>
    <row r="4196" spans="1:15" x14ac:dyDescent="0.35">
      <c r="A4196" s="77">
        <v>4.9315068493150684E-2</v>
      </c>
      <c r="B4196" s="19">
        <v>101348</v>
      </c>
      <c r="C4196" s="19" t="s">
        <v>6483</v>
      </c>
      <c r="D4196" s="19" t="s">
        <v>78</v>
      </c>
      <c r="E4196" s="19" t="s">
        <v>79</v>
      </c>
      <c r="F4196" s="19" t="s">
        <v>1107</v>
      </c>
      <c r="G4196" s="19" t="s">
        <v>1008</v>
      </c>
      <c r="H4196" s="19" t="s">
        <v>1001</v>
      </c>
      <c r="I4196" s="19" t="s">
        <v>1575</v>
      </c>
      <c r="J4196" s="20">
        <v>20</v>
      </c>
      <c r="K4196" t="s">
        <v>654</v>
      </c>
      <c r="L4196" t="s">
        <v>661</v>
      </c>
      <c r="M4196" t="s">
        <v>657</v>
      </c>
      <c r="N4196" t="s">
        <v>658</v>
      </c>
      <c r="O4196" t="s">
        <v>632</v>
      </c>
    </row>
    <row r="4197" spans="1:15" x14ac:dyDescent="0.35">
      <c r="A4197" s="77">
        <v>4.9315068493150684E-2</v>
      </c>
      <c r="B4197" s="19">
        <v>101350</v>
      </c>
      <c r="C4197" s="19" t="s">
        <v>6484</v>
      </c>
      <c r="D4197" s="19" t="s">
        <v>49</v>
      </c>
      <c r="E4197" s="19" t="s">
        <v>50</v>
      </c>
      <c r="F4197" s="19" t="s">
        <v>1213</v>
      </c>
      <c r="G4197" s="19" t="s">
        <v>1008</v>
      </c>
      <c r="H4197" s="19" t="s">
        <v>1001</v>
      </c>
      <c r="I4197" s="19" t="s">
        <v>1599</v>
      </c>
      <c r="J4197" s="20">
        <v>20</v>
      </c>
      <c r="K4197" t="s">
        <v>625</v>
      </c>
      <c r="L4197" t="s">
        <v>648</v>
      </c>
      <c r="M4197" t="s">
        <v>623</v>
      </c>
      <c r="N4197" t="s">
        <v>624</v>
      </c>
      <c r="O4197" t="s">
        <v>649</v>
      </c>
    </row>
    <row r="4198" spans="1:15" x14ac:dyDescent="0.35">
      <c r="A4198" s="77">
        <v>4.9315068493150684E-2</v>
      </c>
      <c r="B4198" s="19">
        <v>101351</v>
      </c>
      <c r="C4198" s="19" t="s">
        <v>6485</v>
      </c>
      <c r="D4198" s="19" t="s">
        <v>335</v>
      </c>
      <c r="E4198" s="19" t="s">
        <v>336</v>
      </c>
      <c r="F4198" s="19" t="s">
        <v>841</v>
      </c>
      <c r="G4198" s="19" t="s">
        <v>1028</v>
      </c>
      <c r="H4198" s="19" t="s">
        <v>1020</v>
      </c>
      <c r="I4198" s="19" t="s">
        <v>1575</v>
      </c>
      <c r="J4198" s="20">
        <v>19</v>
      </c>
      <c r="K4198" t="s">
        <v>636</v>
      </c>
      <c r="L4198" t="s">
        <v>622</v>
      </c>
      <c r="M4198" t="s">
        <v>623</v>
      </c>
      <c r="N4198" t="s">
        <v>624</v>
      </c>
      <c r="O4198" t="s">
        <v>649</v>
      </c>
    </row>
    <row r="4199" spans="1:15" x14ac:dyDescent="0.35">
      <c r="A4199" s="77">
        <v>4.9315068493150684E-2</v>
      </c>
      <c r="B4199" s="19">
        <v>101352</v>
      </c>
      <c r="C4199" s="19" t="s">
        <v>6486</v>
      </c>
      <c r="D4199" s="19" t="s">
        <v>73</v>
      </c>
      <c r="E4199" s="19" t="s">
        <v>74</v>
      </c>
      <c r="F4199" s="19" t="s">
        <v>1178</v>
      </c>
      <c r="G4199" s="19" t="s">
        <v>3508</v>
      </c>
      <c r="H4199" s="19" t="s">
        <v>1020</v>
      </c>
      <c r="I4199" s="19" t="s">
        <v>1599</v>
      </c>
      <c r="J4199" s="20">
        <v>14</v>
      </c>
      <c r="K4199" t="s">
        <v>654</v>
      </c>
      <c r="L4199" t="s">
        <v>648</v>
      </c>
      <c r="M4199" t="s">
        <v>623</v>
      </c>
      <c r="N4199" t="s">
        <v>624</v>
      </c>
      <c r="O4199" t="s">
        <v>725</v>
      </c>
    </row>
    <row r="4200" spans="1:15" x14ac:dyDescent="0.35">
      <c r="A4200" s="77">
        <v>4.9315068493150684E-2</v>
      </c>
      <c r="B4200" s="19">
        <v>101354</v>
      </c>
      <c r="C4200" s="19" t="s">
        <v>6487</v>
      </c>
      <c r="D4200" s="19" t="s">
        <v>82</v>
      </c>
      <c r="E4200" s="19" t="s">
        <v>83</v>
      </c>
      <c r="F4200" s="19" t="s">
        <v>1103</v>
      </c>
      <c r="G4200" s="19" t="s">
        <v>1028</v>
      </c>
      <c r="H4200" s="19" t="s">
        <v>1020</v>
      </c>
      <c r="I4200" s="19" t="s">
        <v>1599</v>
      </c>
      <c r="J4200" s="20">
        <v>18</v>
      </c>
      <c r="K4200" t="s">
        <v>642</v>
      </c>
      <c r="L4200" t="s">
        <v>661</v>
      </c>
      <c r="M4200" t="s">
        <v>657</v>
      </c>
      <c r="N4200" t="s">
        <v>662</v>
      </c>
      <c r="O4200" t="s">
        <v>632</v>
      </c>
    </row>
    <row r="4201" spans="1:15" x14ac:dyDescent="0.35">
      <c r="A4201" s="77">
        <v>4.9315068493150684E-2</v>
      </c>
      <c r="B4201" s="19">
        <v>101355</v>
      </c>
      <c r="C4201" s="19" t="s">
        <v>6488</v>
      </c>
      <c r="D4201" s="19" t="s">
        <v>26</v>
      </c>
      <c r="E4201" s="19" t="s">
        <v>26</v>
      </c>
      <c r="F4201" s="19" t="s">
        <v>1124</v>
      </c>
      <c r="G4201" s="19" t="s">
        <v>1028</v>
      </c>
      <c r="H4201" s="19" t="s">
        <v>1020</v>
      </c>
      <c r="I4201" s="19" t="s">
        <v>1575</v>
      </c>
      <c r="J4201" s="20">
        <v>28</v>
      </c>
      <c r="K4201" t="s">
        <v>636</v>
      </c>
      <c r="L4201" t="s">
        <v>666</v>
      </c>
      <c r="M4201" t="s">
        <v>629</v>
      </c>
      <c r="N4201" t="s">
        <v>635</v>
      </c>
      <c r="O4201" t="s">
        <v>637</v>
      </c>
    </row>
    <row r="4202" spans="1:15" x14ac:dyDescent="0.35">
      <c r="A4202" s="77">
        <v>6.3013698630136991E-2</v>
      </c>
      <c r="B4202" s="19">
        <v>101356</v>
      </c>
      <c r="C4202" s="19" t="s">
        <v>6489</v>
      </c>
      <c r="D4202" s="19" t="s">
        <v>45</v>
      </c>
      <c r="E4202" s="19" t="s">
        <v>46</v>
      </c>
      <c r="F4202" s="19" t="s">
        <v>1122</v>
      </c>
      <c r="G4202" s="19" t="s">
        <v>1028</v>
      </c>
      <c r="H4202" s="19" t="s">
        <v>1020</v>
      </c>
      <c r="I4202" s="19" t="s">
        <v>1575</v>
      </c>
      <c r="J4202" s="20">
        <v>19</v>
      </c>
      <c r="K4202" t="s">
        <v>631</v>
      </c>
      <c r="L4202" t="s">
        <v>651</v>
      </c>
      <c r="M4202" t="s">
        <v>629</v>
      </c>
      <c r="N4202" t="s">
        <v>630</v>
      </c>
      <c r="O4202" t="s">
        <v>705</v>
      </c>
    </row>
    <row r="4203" spans="1:15" x14ac:dyDescent="0.35">
      <c r="A4203" s="77">
        <v>4.6575342465753428E-2</v>
      </c>
      <c r="B4203" s="19">
        <v>101361</v>
      </c>
      <c r="C4203" s="19" t="s">
        <v>6490</v>
      </c>
      <c r="D4203" s="19" t="s">
        <v>8</v>
      </c>
      <c r="E4203" s="19" t="s">
        <v>8</v>
      </c>
      <c r="F4203" s="19" t="s">
        <v>1176</v>
      </c>
      <c r="G4203" s="19" t="s">
        <v>1028</v>
      </c>
      <c r="H4203" s="19" t="s">
        <v>1020</v>
      </c>
      <c r="I4203" s="19" t="s">
        <v>1575</v>
      </c>
      <c r="J4203" s="20">
        <v>23</v>
      </c>
      <c r="K4203" t="s">
        <v>625</v>
      </c>
      <c r="L4203" t="s">
        <v>622</v>
      </c>
      <c r="M4203" t="s">
        <v>623</v>
      </c>
      <c r="N4203" t="s">
        <v>624</v>
      </c>
      <c r="O4203" t="s">
        <v>626</v>
      </c>
    </row>
    <row r="4204" spans="1:15" x14ac:dyDescent="0.35">
      <c r="A4204" s="77">
        <v>4.6575342465753428E-2</v>
      </c>
      <c r="B4204" s="19">
        <v>101362</v>
      </c>
      <c r="C4204" s="19" t="s">
        <v>6491</v>
      </c>
      <c r="D4204" s="19" t="s">
        <v>8</v>
      </c>
      <c r="E4204" s="19" t="s">
        <v>8</v>
      </c>
      <c r="F4204" s="19" t="s">
        <v>1176</v>
      </c>
      <c r="G4204" s="19" t="s">
        <v>1019</v>
      </c>
      <c r="H4204" s="19" t="s">
        <v>1020</v>
      </c>
      <c r="I4204" s="19" t="s">
        <v>1599</v>
      </c>
      <c r="J4204" s="20">
        <v>25</v>
      </c>
      <c r="K4204" t="s">
        <v>625</v>
      </c>
      <c r="L4204" t="s">
        <v>622</v>
      </c>
      <c r="M4204" t="s">
        <v>623</v>
      </c>
      <c r="N4204" t="s">
        <v>624</v>
      </c>
      <c r="O4204" t="s">
        <v>626</v>
      </c>
    </row>
    <row r="4205" spans="1:15" x14ac:dyDescent="0.35">
      <c r="A4205" s="77">
        <v>4.6575342465753428E-2</v>
      </c>
      <c r="B4205" s="19">
        <v>101363</v>
      </c>
      <c r="C4205" s="19" t="s">
        <v>6492</v>
      </c>
      <c r="D4205" s="19" t="s">
        <v>8</v>
      </c>
      <c r="E4205" s="19" t="s">
        <v>8</v>
      </c>
      <c r="F4205" s="19" t="s">
        <v>1176</v>
      </c>
      <c r="G4205" s="19" t="s">
        <v>1028</v>
      </c>
      <c r="H4205" s="19" t="s">
        <v>1020</v>
      </c>
      <c r="I4205" s="19" t="s">
        <v>1575</v>
      </c>
      <c r="J4205" s="20">
        <v>18</v>
      </c>
      <c r="K4205" t="s">
        <v>625</v>
      </c>
      <c r="L4205" t="s">
        <v>622</v>
      </c>
      <c r="M4205" t="s">
        <v>623</v>
      </c>
      <c r="N4205" t="s">
        <v>624</v>
      </c>
      <c r="O4205" t="s">
        <v>626</v>
      </c>
    </row>
    <row r="4206" spans="1:15" x14ac:dyDescent="0.35">
      <c r="A4206" s="77">
        <v>4.9315068493150684E-2</v>
      </c>
      <c r="B4206" s="19">
        <v>101365</v>
      </c>
      <c r="C4206" s="19" t="s">
        <v>6493</v>
      </c>
      <c r="D4206" s="19" t="s">
        <v>163</v>
      </c>
      <c r="E4206" s="19" t="s">
        <v>164</v>
      </c>
      <c r="F4206" s="19" t="s">
        <v>1174</v>
      </c>
      <c r="G4206" s="19" t="s">
        <v>1028</v>
      </c>
      <c r="H4206" s="19" t="s">
        <v>1020</v>
      </c>
      <c r="I4206" s="19" t="s">
        <v>1575</v>
      </c>
      <c r="J4206" s="20">
        <v>19</v>
      </c>
      <c r="K4206" t="s">
        <v>654</v>
      </c>
      <c r="L4206" t="s">
        <v>634</v>
      </c>
      <c r="M4206" t="s">
        <v>629</v>
      </c>
      <c r="N4206" t="s">
        <v>635</v>
      </c>
      <c r="O4206" t="s">
        <v>637</v>
      </c>
    </row>
    <row r="4207" spans="1:15" x14ac:dyDescent="0.35">
      <c r="A4207" s="77">
        <v>3.5616438356164383E-2</v>
      </c>
      <c r="B4207" s="19">
        <v>101373</v>
      </c>
      <c r="C4207" s="19" t="s">
        <v>6494</v>
      </c>
      <c r="D4207" s="19" t="s">
        <v>30</v>
      </c>
      <c r="E4207" s="19" t="s">
        <v>30</v>
      </c>
      <c r="F4207" s="19" t="s">
        <v>672</v>
      </c>
      <c r="G4207" s="19" t="s">
        <v>1045</v>
      </c>
      <c r="H4207" s="19" t="s">
        <v>1001</v>
      </c>
      <c r="I4207" s="19" t="s">
        <v>1575</v>
      </c>
      <c r="J4207" s="20">
        <v>27</v>
      </c>
      <c r="K4207" t="s">
        <v>636</v>
      </c>
      <c r="L4207" t="s">
        <v>673</v>
      </c>
      <c r="M4207" t="s">
        <v>623</v>
      </c>
      <c r="N4207" t="s">
        <v>641</v>
      </c>
      <c r="O4207" t="s">
        <v>674</v>
      </c>
    </row>
    <row r="4208" spans="1:15" x14ac:dyDescent="0.35">
      <c r="A4208" s="77">
        <v>4.6575342465753428E-2</v>
      </c>
      <c r="B4208" s="19">
        <v>101375</v>
      </c>
      <c r="C4208" s="19" t="s">
        <v>6495</v>
      </c>
      <c r="D4208" s="19" t="s">
        <v>430</v>
      </c>
      <c r="E4208" s="19" t="e">
        <v>#N/A</v>
      </c>
      <c r="F4208" s="19" t="s">
        <v>1105</v>
      </c>
      <c r="G4208" s="19" t="s">
        <v>1028</v>
      </c>
      <c r="H4208" s="19" t="s">
        <v>1020</v>
      </c>
      <c r="I4208" s="19" t="s">
        <v>1575</v>
      </c>
      <c r="J4208" s="20">
        <v>24</v>
      </c>
      <c r="K4208" t="s">
        <v>654</v>
      </c>
      <c r="L4208" t="s">
        <v>645</v>
      </c>
      <c r="M4208" t="s">
        <v>629</v>
      </c>
      <c r="N4208" t="s">
        <v>646</v>
      </c>
      <c r="O4208" t="s">
        <v>632</v>
      </c>
    </row>
    <row r="4209" spans="1:15" x14ac:dyDescent="0.35">
      <c r="A4209" s="77">
        <v>5.4794520547945202E-2</v>
      </c>
      <c r="B4209" s="19">
        <v>101376</v>
      </c>
      <c r="C4209" s="19" t="s">
        <v>6496</v>
      </c>
      <c r="D4209" s="19" t="s">
        <v>102</v>
      </c>
      <c r="E4209" s="19" t="s">
        <v>103</v>
      </c>
      <c r="F4209" s="19" t="s">
        <v>1306</v>
      </c>
      <c r="G4209" s="19" t="s">
        <v>1028</v>
      </c>
      <c r="H4209" s="19" t="s">
        <v>1020</v>
      </c>
      <c r="I4209" s="19" t="s">
        <v>1575</v>
      </c>
      <c r="J4209" s="20">
        <v>19</v>
      </c>
      <c r="K4209" t="s">
        <v>654</v>
      </c>
      <c r="L4209" t="s">
        <v>707</v>
      </c>
      <c r="M4209" t="s">
        <v>629</v>
      </c>
      <c r="N4209" t="s">
        <v>635</v>
      </c>
      <c r="O4209" t="s">
        <v>708</v>
      </c>
    </row>
    <row r="4210" spans="1:15" x14ac:dyDescent="0.35">
      <c r="A4210" s="77">
        <v>4.6575342465753428E-2</v>
      </c>
      <c r="B4210" s="19">
        <v>101377</v>
      </c>
      <c r="C4210" s="19" t="s">
        <v>6497</v>
      </c>
      <c r="D4210" s="19" t="s">
        <v>102</v>
      </c>
      <c r="E4210" s="19" t="s">
        <v>103</v>
      </c>
      <c r="F4210" s="19" t="s">
        <v>1306</v>
      </c>
      <c r="G4210" s="19" t="s">
        <v>1008</v>
      </c>
      <c r="H4210" s="19" t="s">
        <v>1001</v>
      </c>
      <c r="I4210" s="19" t="s">
        <v>1575</v>
      </c>
      <c r="J4210" s="20">
        <v>33</v>
      </c>
      <c r="K4210" t="s">
        <v>654</v>
      </c>
      <c r="L4210" t="s">
        <v>707</v>
      </c>
      <c r="M4210" t="s">
        <v>629</v>
      </c>
      <c r="N4210" t="s">
        <v>635</v>
      </c>
      <c r="O4210" t="s">
        <v>708</v>
      </c>
    </row>
    <row r="4211" spans="1:15" x14ac:dyDescent="0.35">
      <c r="A4211" s="77">
        <v>4.6575342465753428E-2</v>
      </c>
      <c r="B4211" s="19">
        <v>101378</v>
      </c>
      <c r="C4211" s="19" t="s">
        <v>6498</v>
      </c>
      <c r="D4211" s="19" t="s">
        <v>87</v>
      </c>
      <c r="E4211" s="19" t="s">
        <v>88</v>
      </c>
      <c r="F4211" s="19" t="s">
        <v>1324</v>
      </c>
      <c r="G4211" s="19" t="s">
        <v>1028</v>
      </c>
      <c r="H4211" s="19" t="s">
        <v>1020</v>
      </c>
      <c r="I4211" s="19" t="s">
        <v>1575</v>
      </c>
      <c r="J4211" s="20">
        <v>25</v>
      </c>
      <c r="K4211" t="s">
        <v>642</v>
      </c>
      <c r="L4211" t="s">
        <v>661</v>
      </c>
      <c r="M4211" t="s">
        <v>657</v>
      </c>
      <c r="N4211" t="s">
        <v>662</v>
      </c>
      <c r="O4211" t="s">
        <v>632</v>
      </c>
    </row>
    <row r="4212" spans="1:15" x14ac:dyDescent="0.35">
      <c r="A4212" s="77">
        <v>4.6575342465753428E-2</v>
      </c>
      <c r="B4212" s="19">
        <v>101379</v>
      </c>
      <c r="C4212" s="19" t="s">
        <v>6499</v>
      </c>
      <c r="D4212" s="19" t="s">
        <v>87</v>
      </c>
      <c r="E4212" s="19" t="s">
        <v>88</v>
      </c>
      <c r="F4212" s="19" t="s">
        <v>1324</v>
      </c>
      <c r="G4212" s="19" t="s">
        <v>1028</v>
      </c>
      <c r="H4212" s="19" t="s">
        <v>1020</v>
      </c>
      <c r="I4212" s="19" t="s">
        <v>1575</v>
      </c>
      <c r="J4212" s="20">
        <v>21</v>
      </c>
      <c r="K4212" t="s">
        <v>642</v>
      </c>
      <c r="L4212" t="s">
        <v>661</v>
      </c>
      <c r="M4212" t="s">
        <v>657</v>
      </c>
      <c r="N4212" t="s">
        <v>662</v>
      </c>
      <c r="O4212" t="s">
        <v>632</v>
      </c>
    </row>
    <row r="4213" spans="1:15" x14ac:dyDescent="0.35">
      <c r="A4213" s="77">
        <v>4.6575342465753428E-2</v>
      </c>
      <c r="B4213" s="19">
        <v>101382</v>
      </c>
      <c r="C4213" s="19" t="s">
        <v>2544</v>
      </c>
      <c r="D4213" s="19" t="s">
        <v>218</v>
      </c>
      <c r="E4213" s="19" t="s">
        <v>219</v>
      </c>
      <c r="F4213" s="19" t="s">
        <v>1372</v>
      </c>
      <c r="G4213" s="19" t="s">
        <v>1019</v>
      </c>
      <c r="H4213" s="19" t="s">
        <v>1020</v>
      </c>
      <c r="I4213" s="19" t="s">
        <v>1575</v>
      </c>
      <c r="J4213" s="20">
        <v>20</v>
      </c>
      <c r="K4213" t="s">
        <v>625</v>
      </c>
      <c r="L4213" t="s">
        <v>661</v>
      </c>
      <c r="M4213" t="s">
        <v>657</v>
      </c>
      <c r="N4213" t="s">
        <v>662</v>
      </c>
      <c r="O4213" t="s">
        <v>632</v>
      </c>
    </row>
    <row r="4214" spans="1:15" x14ac:dyDescent="0.35">
      <c r="A4214" s="77">
        <v>4.6575342465753428E-2</v>
      </c>
      <c r="B4214" s="19">
        <v>101383</v>
      </c>
      <c r="C4214" s="19" t="s">
        <v>6500</v>
      </c>
      <c r="D4214" s="19" t="s">
        <v>420</v>
      </c>
      <c r="E4214" s="19" t="s">
        <v>420</v>
      </c>
      <c r="F4214" s="19" t="s">
        <v>686</v>
      </c>
      <c r="G4214" s="19" t="s">
        <v>1028</v>
      </c>
      <c r="H4214" s="19" t="s">
        <v>1020</v>
      </c>
      <c r="I4214" s="19" t="s">
        <v>1575</v>
      </c>
      <c r="J4214" s="20">
        <v>23</v>
      </c>
      <c r="K4214" t="s">
        <v>631</v>
      </c>
      <c r="L4214" t="s">
        <v>634</v>
      </c>
      <c r="M4214" t="s">
        <v>629</v>
      </c>
      <c r="N4214" t="s">
        <v>635</v>
      </c>
      <c r="O4214" t="s">
        <v>637</v>
      </c>
    </row>
    <row r="4215" spans="1:15" x14ac:dyDescent="0.35">
      <c r="A4215" s="77">
        <v>4.6575342465753428E-2</v>
      </c>
      <c r="B4215" s="19">
        <v>101392</v>
      </c>
      <c r="C4215" s="19" t="s">
        <v>6501</v>
      </c>
      <c r="D4215" s="19" t="s">
        <v>273</v>
      </c>
      <c r="E4215" s="19" t="s">
        <v>274</v>
      </c>
      <c r="F4215" s="19" t="s">
        <v>1093</v>
      </c>
      <c r="G4215" s="19" t="s">
        <v>1008</v>
      </c>
      <c r="H4215" s="19" t="s">
        <v>1001</v>
      </c>
      <c r="I4215" s="19" t="s">
        <v>1575</v>
      </c>
      <c r="J4215" s="20">
        <v>21</v>
      </c>
      <c r="K4215" t="s">
        <v>636</v>
      </c>
      <c r="L4215" t="s">
        <v>663</v>
      </c>
      <c r="M4215" t="s">
        <v>629</v>
      </c>
      <c r="N4215" t="s">
        <v>646</v>
      </c>
      <c r="O4215" t="s">
        <v>639</v>
      </c>
    </row>
    <row r="4216" spans="1:15" x14ac:dyDescent="0.35">
      <c r="A4216" s="77">
        <v>4.6575342465753428E-2</v>
      </c>
      <c r="B4216" s="19">
        <v>101393</v>
      </c>
      <c r="C4216" s="19" t="s">
        <v>6502</v>
      </c>
      <c r="D4216" s="19" t="s">
        <v>335</v>
      </c>
      <c r="E4216" s="19" t="s">
        <v>336</v>
      </c>
      <c r="F4216" s="19" t="s">
        <v>841</v>
      </c>
      <c r="G4216" s="19" t="s">
        <v>1028</v>
      </c>
      <c r="H4216" s="19" t="s">
        <v>1020</v>
      </c>
      <c r="I4216" s="19" t="s">
        <v>1575</v>
      </c>
      <c r="J4216" s="20">
        <v>20</v>
      </c>
      <c r="K4216" t="s">
        <v>636</v>
      </c>
      <c r="L4216" t="s">
        <v>622</v>
      </c>
      <c r="M4216" t="s">
        <v>623</v>
      </c>
      <c r="N4216" t="s">
        <v>624</v>
      </c>
      <c r="O4216" t="s">
        <v>649</v>
      </c>
    </row>
    <row r="4217" spans="1:15" x14ac:dyDescent="0.35">
      <c r="A4217" s="77">
        <v>4.6575342465753428E-2</v>
      </c>
      <c r="B4217" s="19">
        <v>101394</v>
      </c>
      <c r="C4217" s="19" t="s">
        <v>6503</v>
      </c>
      <c r="D4217" s="19" t="s">
        <v>428</v>
      </c>
      <c r="E4217" s="19" t="s">
        <v>428</v>
      </c>
      <c r="F4217" s="19" t="s">
        <v>1063</v>
      </c>
      <c r="G4217" s="19" t="s">
        <v>1028</v>
      </c>
      <c r="H4217" s="19" t="s">
        <v>1020</v>
      </c>
      <c r="I4217" s="19" t="s">
        <v>1575</v>
      </c>
      <c r="J4217" s="20">
        <v>25</v>
      </c>
      <c r="K4217" t="s">
        <v>668</v>
      </c>
      <c r="L4217" t="s">
        <v>656</v>
      </c>
      <c r="M4217" t="s">
        <v>657</v>
      </c>
      <c r="N4217" t="s">
        <v>658</v>
      </c>
      <c r="O4217" t="s">
        <v>632</v>
      </c>
    </row>
    <row r="4218" spans="1:15" x14ac:dyDescent="0.35">
      <c r="A4218" s="77">
        <v>4.6575342465753428E-2</v>
      </c>
      <c r="B4218" s="19">
        <v>101395</v>
      </c>
      <c r="C4218" s="19" t="s">
        <v>6504</v>
      </c>
      <c r="D4218" s="19" t="s">
        <v>73</v>
      </c>
      <c r="E4218" s="19" t="s">
        <v>74</v>
      </c>
      <c r="F4218" s="19" t="s">
        <v>1178</v>
      </c>
      <c r="G4218" s="19" t="s">
        <v>1028</v>
      </c>
      <c r="H4218" s="19" t="s">
        <v>1020</v>
      </c>
      <c r="I4218" s="19" t="s">
        <v>1575</v>
      </c>
      <c r="J4218" s="20">
        <v>18</v>
      </c>
      <c r="K4218" t="s">
        <v>654</v>
      </c>
      <c r="L4218" t="s">
        <v>648</v>
      </c>
      <c r="M4218" t="s">
        <v>623</v>
      </c>
      <c r="N4218" t="s">
        <v>624</v>
      </c>
      <c r="O4218" t="s">
        <v>725</v>
      </c>
    </row>
    <row r="4219" spans="1:15" x14ac:dyDescent="0.35">
      <c r="A4219" s="77">
        <v>4.3835616438356165E-2</v>
      </c>
      <c r="B4219" s="19">
        <v>101396</v>
      </c>
      <c r="C4219" s="19" t="s">
        <v>6505</v>
      </c>
      <c r="D4219" s="19" t="s">
        <v>420</v>
      </c>
      <c r="E4219" s="19" t="s">
        <v>420</v>
      </c>
      <c r="F4219" s="19" t="s">
        <v>686</v>
      </c>
      <c r="G4219" s="19" t="s">
        <v>1008</v>
      </c>
      <c r="H4219" s="19" t="s">
        <v>1001</v>
      </c>
      <c r="I4219" s="19" t="s">
        <v>1575</v>
      </c>
      <c r="J4219" s="20">
        <v>21</v>
      </c>
      <c r="K4219" t="s">
        <v>631</v>
      </c>
      <c r="L4219" t="s">
        <v>634</v>
      </c>
      <c r="M4219" t="s">
        <v>629</v>
      </c>
      <c r="N4219" t="s">
        <v>635</v>
      </c>
      <c r="O4219" t="s">
        <v>637</v>
      </c>
    </row>
    <row r="4220" spans="1:15" x14ac:dyDescent="0.35">
      <c r="A4220" s="77">
        <v>4.3835616438356165E-2</v>
      </c>
      <c r="B4220" s="19">
        <v>101397</v>
      </c>
      <c r="C4220" s="19" t="s">
        <v>6506</v>
      </c>
      <c r="D4220" s="19" t="s">
        <v>365</v>
      </c>
      <c r="E4220" s="19" t="s">
        <v>366</v>
      </c>
      <c r="F4220" s="19" t="s">
        <v>1117</v>
      </c>
      <c r="G4220" s="19" t="s">
        <v>1008</v>
      </c>
      <c r="H4220" s="19" t="s">
        <v>1001</v>
      </c>
      <c r="I4220" s="19" t="s">
        <v>1599</v>
      </c>
      <c r="J4220" s="20">
        <v>24</v>
      </c>
      <c r="K4220" t="s">
        <v>668</v>
      </c>
      <c r="L4220" t="s">
        <v>691</v>
      </c>
      <c r="M4220" t="s">
        <v>657</v>
      </c>
      <c r="N4220" t="s">
        <v>658</v>
      </c>
      <c r="O4220" t="s">
        <v>632</v>
      </c>
    </row>
    <row r="4221" spans="1:15" x14ac:dyDescent="0.35">
      <c r="A4221" s="77">
        <v>4.3835616438356165E-2</v>
      </c>
      <c r="B4221" s="19">
        <v>101398</v>
      </c>
      <c r="C4221" s="19" t="s">
        <v>6507</v>
      </c>
      <c r="D4221" s="19" t="s">
        <v>19</v>
      </c>
      <c r="E4221" s="19" t="s">
        <v>19</v>
      </c>
      <c r="F4221" s="19" t="s">
        <v>1255</v>
      </c>
      <c r="G4221" s="19" t="s">
        <v>1028</v>
      </c>
      <c r="H4221" s="19" t="s">
        <v>1020</v>
      </c>
      <c r="I4221" s="19" t="s">
        <v>1575</v>
      </c>
      <c r="J4221" s="20">
        <v>18</v>
      </c>
      <c r="K4221" t="s">
        <v>654</v>
      </c>
      <c r="L4221" t="s">
        <v>645</v>
      </c>
      <c r="M4221" t="s">
        <v>629</v>
      </c>
      <c r="N4221" t="s">
        <v>646</v>
      </c>
      <c r="O4221" t="s">
        <v>632</v>
      </c>
    </row>
    <row r="4222" spans="1:15" x14ac:dyDescent="0.35">
      <c r="A4222" s="77">
        <v>4.3835616438356165E-2</v>
      </c>
      <c r="B4222" s="19">
        <v>101402</v>
      </c>
      <c r="C4222" s="19" t="s">
        <v>6508</v>
      </c>
      <c r="D4222" s="19" t="s">
        <v>60</v>
      </c>
      <c r="E4222" s="19" t="s">
        <v>61</v>
      </c>
      <c r="F4222" s="19" t="s">
        <v>1119</v>
      </c>
      <c r="G4222" s="19" t="s">
        <v>1028</v>
      </c>
      <c r="H4222" s="19" t="s">
        <v>1020</v>
      </c>
      <c r="I4222" s="19" t="s">
        <v>1575</v>
      </c>
      <c r="J4222" s="20">
        <v>20</v>
      </c>
      <c r="K4222" t="s">
        <v>654</v>
      </c>
      <c r="L4222" t="s">
        <v>651</v>
      </c>
      <c r="M4222" t="s">
        <v>629</v>
      </c>
      <c r="N4222" t="s">
        <v>630</v>
      </c>
      <c r="O4222" t="s">
        <v>705</v>
      </c>
    </row>
    <row r="4223" spans="1:15" x14ac:dyDescent="0.35">
      <c r="A4223" s="77">
        <v>4.3835616438356165E-2</v>
      </c>
      <c r="B4223" s="19">
        <v>101403</v>
      </c>
      <c r="C4223" s="19" t="s">
        <v>6509</v>
      </c>
      <c r="D4223" s="19" t="s">
        <v>36</v>
      </c>
      <c r="E4223" s="19" t="s">
        <v>36</v>
      </c>
      <c r="F4223" s="19" t="s">
        <v>1403</v>
      </c>
      <c r="G4223" s="19" t="s">
        <v>1028</v>
      </c>
      <c r="H4223" s="19" t="s">
        <v>1020</v>
      </c>
      <c r="I4223" s="19" t="s">
        <v>1575</v>
      </c>
      <c r="J4223" s="20">
        <v>20</v>
      </c>
      <c r="K4223" t="s">
        <v>668</v>
      </c>
      <c r="L4223" t="s">
        <v>691</v>
      </c>
      <c r="M4223" t="s">
        <v>657</v>
      </c>
      <c r="N4223" t="s">
        <v>658</v>
      </c>
      <c r="O4223" t="s">
        <v>632</v>
      </c>
    </row>
    <row r="4224" spans="1:15" x14ac:dyDescent="0.35">
      <c r="A4224" s="77">
        <v>4.3835616438356165E-2</v>
      </c>
      <c r="B4224" s="19">
        <v>101404</v>
      </c>
      <c r="C4224" s="19" t="s">
        <v>6510</v>
      </c>
      <c r="D4224" s="19" t="s">
        <v>401</v>
      </c>
      <c r="E4224" s="19" t="s">
        <v>402</v>
      </c>
      <c r="F4224" s="19" t="s">
        <v>1314</v>
      </c>
      <c r="G4224" s="19" t="s">
        <v>1028</v>
      </c>
      <c r="H4224" s="19" t="s">
        <v>1020</v>
      </c>
      <c r="I4224" s="19" t="s">
        <v>1575</v>
      </c>
      <c r="J4224" s="20">
        <v>19</v>
      </c>
      <c r="K4224" t="s">
        <v>668</v>
      </c>
      <c r="L4224" t="s">
        <v>691</v>
      </c>
      <c r="M4224" t="s">
        <v>657</v>
      </c>
      <c r="N4224" t="s">
        <v>658</v>
      </c>
      <c r="O4224" t="s">
        <v>632</v>
      </c>
    </row>
    <row r="4225" spans="1:15" x14ac:dyDescent="0.35">
      <c r="A4225" s="77">
        <v>4.3835616438356165E-2</v>
      </c>
      <c r="B4225" s="19">
        <v>101405</v>
      </c>
      <c r="C4225" s="19" t="s">
        <v>6511</v>
      </c>
      <c r="D4225" s="19" t="s">
        <v>42</v>
      </c>
      <c r="E4225" s="19" t="s">
        <v>42</v>
      </c>
      <c r="F4225" s="19" t="s">
        <v>1262</v>
      </c>
      <c r="G4225" s="19" t="s">
        <v>1084</v>
      </c>
      <c r="H4225" s="19" t="s">
        <v>1020</v>
      </c>
      <c r="I4225" s="19" t="s">
        <v>1575</v>
      </c>
      <c r="J4225" s="20">
        <v>19</v>
      </c>
      <c r="K4225" t="s">
        <v>625</v>
      </c>
      <c r="L4225" t="s">
        <v>628</v>
      </c>
      <c r="M4225" t="s">
        <v>629</v>
      </c>
      <c r="N4225" t="s">
        <v>630</v>
      </c>
      <c r="O4225" t="s">
        <v>632</v>
      </c>
    </row>
    <row r="4226" spans="1:15" x14ac:dyDescent="0.35">
      <c r="A4226" s="77">
        <v>4.3835616438356165E-2</v>
      </c>
      <c r="B4226" s="19">
        <v>101406</v>
      </c>
      <c r="C4226" s="19" t="s">
        <v>6512</v>
      </c>
      <c r="D4226" s="19" t="s">
        <v>91</v>
      </c>
      <c r="E4226" s="19" t="s">
        <v>92</v>
      </c>
      <c r="F4226" s="19" t="s">
        <v>1113</v>
      </c>
      <c r="G4226" s="19" t="s">
        <v>1084</v>
      </c>
      <c r="H4226" s="19" t="s">
        <v>1020</v>
      </c>
      <c r="I4226" s="19" t="s">
        <v>1599</v>
      </c>
      <c r="J4226" s="20">
        <v>29</v>
      </c>
      <c r="K4226" t="s">
        <v>636</v>
      </c>
      <c r="L4226" t="s">
        <v>634</v>
      </c>
      <c r="M4226" t="s">
        <v>629</v>
      </c>
      <c r="N4226" t="s">
        <v>630</v>
      </c>
      <c r="O4226" t="s">
        <v>734</v>
      </c>
    </row>
    <row r="4227" spans="1:15" x14ac:dyDescent="0.35">
      <c r="A4227" s="77">
        <v>4.1095890410958902E-2</v>
      </c>
      <c r="B4227" s="19">
        <v>101413</v>
      </c>
      <c r="C4227" s="19" t="s">
        <v>6513</v>
      </c>
      <c r="D4227" s="19" t="s">
        <v>113</v>
      </c>
      <c r="E4227" s="19" t="s">
        <v>114</v>
      </c>
      <c r="F4227" s="19" t="s">
        <v>1871</v>
      </c>
      <c r="G4227" s="19" t="s">
        <v>1028</v>
      </c>
      <c r="H4227" s="19" t="s">
        <v>1020</v>
      </c>
      <c r="I4227" s="19" t="s">
        <v>1575</v>
      </c>
      <c r="J4227" s="20">
        <v>20</v>
      </c>
      <c r="K4227" t="s">
        <v>654</v>
      </c>
      <c r="L4227" t="s">
        <v>661</v>
      </c>
      <c r="M4227" t="s">
        <v>657</v>
      </c>
      <c r="N4227" t="s">
        <v>662</v>
      </c>
      <c r="O4227" t="s">
        <v>632</v>
      </c>
    </row>
    <row r="4228" spans="1:15" x14ac:dyDescent="0.35">
      <c r="A4228" s="77">
        <v>4.1095890410958902E-2</v>
      </c>
      <c r="B4228" s="19">
        <v>101414</v>
      </c>
      <c r="C4228" s="19" t="s">
        <v>5464</v>
      </c>
      <c r="D4228" s="19" t="s">
        <v>113</v>
      </c>
      <c r="E4228" s="19" t="s">
        <v>114</v>
      </c>
      <c r="F4228" s="19" t="s">
        <v>1871</v>
      </c>
      <c r="G4228" s="19" t="s">
        <v>1028</v>
      </c>
      <c r="H4228" s="19" t="s">
        <v>1020</v>
      </c>
      <c r="I4228" s="19" t="s">
        <v>1575</v>
      </c>
      <c r="J4228" s="20">
        <v>18</v>
      </c>
      <c r="K4228" t="s">
        <v>654</v>
      </c>
      <c r="L4228" t="s">
        <v>661</v>
      </c>
      <c r="M4228" t="s">
        <v>657</v>
      </c>
      <c r="N4228" t="s">
        <v>662</v>
      </c>
      <c r="O4228" t="s">
        <v>632</v>
      </c>
    </row>
    <row r="4229" spans="1:15" x14ac:dyDescent="0.35">
      <c r="A4229" s="77">
        <v>4.1095890410958902E-2</v>
      </c>
      <c r="B4229" s="19">
        <v>101415</v>
      </c>
      <c r="C4229" s="19" t="s">
        <v>6514</v>
      </c>
      <c r="D4229" s="19" t="s">
        <v>23</v>
      </c>
      <c r="E4229" s="19" t="s">
        <v>23</v>
      </c>
      <c r="F4229" s="19" t="s">
        <v>660</v>
      </c>
      <c r="G4229" s="19" t="s">
        <v>1008</v>
      </c>
      <c r="H4229" s="19" t="s">
        <v>1001</v>
      </c>
      <c r="I4229" s="19" t="s">
        <v>1575</v>
      </c>
      <c r="J4229" s="20">
        <v>18</v>
      </c>
      <c r="K4229" t="s">
        <v>631</v>
      </c>
      <c r="L4229" t="s">
        <v>661</v>
      </c>
      <c r="M4229" t="s">
        <v>657</v>
      </c>
      <c r="N4229" t="s">
        <v>662</v>
      </c>
      <c r="O4229" t="s">
        <v>632</v>
      </c>
    </row>
    <row r="4230" spans="1:15" x14ac:dyDescent="0.35">
      <c r="A4230" s="77">
        <v>4.1095890410958902E-2</v>
      </c>
      <c r="B4230" s="19">
        <v>101418</v>
      </c>
      <c r="C4230" s="19" t="s">
        <v>6515</v>
      </c>
      <c r="D4230" s="19" t="s">
        <v>157</v>
      </c>
      <c r="E4230" s="19" t="s">
        <v>158</v>
      </c>
      <c r="F4230" s="19" t="s">
        <v>1012</v>
      </c>
      <c r="G4230" s="19" t="s">
        <v>1028</v>
      </c>
      <c r="H4230" s="19" t="s">
        <v>1020</v>
      </c>
      <c r="I4230" s="19" t="s">
        <v>1575</v>
      </c>
      <c r="J4230" s="20">
        <v>19</v>
      </c>
      <c r="K4230" t="s">
        <v>668</v>
      </c>
      <c r="L4230" t="s">
        <v>670</v>
      </c>
      <c r="M4230" t="s">
        <v>657</v>
      </c>
      <c r="N4230" t="s">
        <v>641</v>
      </c>
      <c r="O4230" t="s">
        <v>671</v>
      </c>
    </row>
    <row r="4231" spans="1:15" x14ac:dyDescent="0.35">
      <c r="A4231" s="77">
        <v>4.1095890410958902E-2</v>
      </c>
      <c r="B4231" s="19">
        <v>101419</v>
      </c>
      <c r="C4231" s="19" t="s">
        <v>6516</v>
      </c>
      <c r="D4231" s="19" t="s">
        <v>175</v>
      </c>
      <c r="E4231" s="19" t="s">
        <v>176</v>
      </c>
      <c r="F4231" s="19" t="s">
        <v>1538</v>
      </c>
      <c r="G4231" s="19" t="s">
        <v>1028</v>
      </c>
      <c r="H4231" s="19" t="s">
        <v>1020</v>
      </c>
      <c r="I4231" s="19" t="s">
        <v>1575</v>
      </c>
      <c r="J4231" s="20">
        <v>19</v>
      </c>
      <c r="K4231" t="s">
        <v>668</v>
      </c>
      <c r="L4231" t="s">
        <v>707</v>
      </c>
      <c r="M4231" t="s">
        <v>629</v>
      </c>
      <c r="N4231" t="s">
        <v>635</v>
      </c>
      <c r="O4231" t="s">
        <v>710</v>
      </c>
    </row>
    <row r="4232" spans="1:15" x14ac:dyDescent="0.35">
      <c r="A4232" s="77">
        <v>4.1095890410958902E-2</v>
      </c>
      <c r="B4232" s="19">
        <v>101420</v>
      </c>
      <c r="C4232" s="19" t="s">
        <v>6517</v>
      </c>
      <c r="D4232" s="19" t="s">
        <v>280</v>
      </c>
      <c r="E4232" s="19" t="s">
        <v>281</v>
      </c>
      <c r="F4232" s="19" t="s">
        <v>1223</v>
      </c>
      <c r="G4232" s="19" t="s">
        <v>1028</v>
      </c>
      <c r="H4232" s="19" t="s">
        <v>1020</v>
      </c>
      <c r="I4232" s="19" t="s">
        <v>1575</v>
      </c>
      <c r="J4232" s="20">
        <v>25</v>
      </c>
      <c r="K4232" t="s">
        <v>631</v>
      </c>
      <c r="L4232" t="s">
        <v>691</v>
      </c>
      <c r="M4232" t="s">
        <v>657</v>
      </c>
      <c r="N4232" t="s">
        <v>658</v>
      </c>
      <c r="O4232" t="s">
        <v>632</v>
      </c>
    </row>
    <row r="4233" spans="1:15" x14ac:dyDescent="0.35">
      <c r="A4233" s="77">
        <v>4.1095890410958902E-2</v>
      </c>
      <c r="B4233" s="19">
        <v>101421</v>
      </c>
      <c r="C4233" s="19" t="s">
        <v>6518</v>
      </c>
      <c r="D4233" s="19" t="s">
        <v>195</v>
      </c>
      <c r="E4233" s="19" t="s">
        <v>196</v>
      </c>
      <c r="F4233" s="19" t="s">
        <v>908</v>
      </c>
      <c r="G4233" s="19" t="s">
        <v>1028</v>
      </c>
      <c r="H4233" s="19" t="s">
        <v>1020</v>
      </c>
      <c r="I4233" s="19" t="s">
        <v>1599</v>
      </c>
      <c r="J4233" s="20">
        <v>19</v>
      </c>
      <c r="K4233" t="s">
        <v>636</v>
      </c>
      <c r="L4233" t="s">
        <v>670</v>
      </c>
      <c r="M4233" t="s">
        <v>657</v>
      </c>
      <c r="N4233" t="s">
        <v>641</v>
      </c>
      <c r="O4233" t="s">
        <v>676</v>
      </c>
    </row>
    <row r="4234" spans="1:15" x14ac:dyDescent="0.35">
      <c r="A4234" s="77">
        <v>4.1095890410958902E-2</v>
      </c>
      <c r="B4234" s="19">
        <v>101427</v>
      </c>
      <c r="C4234" s="19" t="s">
        <v>6519</v>
      </c>
      <c r="D4234" s="19" t="s">
        <v>258</v>
      </c>
      <c r="E4234" s="19" t="s">
        <v>259</v>
      </c>
      <c r="F4234" s="19" t="s">
        <v>1349</v>
      </c>
      <c r="G4234" s="19" t="s">
        <v>1028</v>
      </c>
      <c r="H4234" s="19" t="s">
        <v>1020</v>
      </c>
      <c r="I4234" s="19" t="s">
        <v>1575</v>
      </c>
      <c r="J4234" s="20">
        <v>25</v>
      </c>
      <c r="K4234" t="s">
        <v>668</v>
      </c>
      <c r="L4234" t="s">
        <v>691</v>
      </c>
      <c r="M4234" t="s">
        <v>657</v>
      </c>
      <c r="N4234" t="s">
        <v>658</v>
      </c>
      <c r="O4234" t="s">
        <v>632</v>
      </c>
    </row>
    <row r="4235" spans="1:15" x14ac:dyDescent="0.35">
      <c r="A4235" s="77">
        <v>4.1095890410958902E-2</v>
      </c>
      <c r="B4235" s="19">
        <v>101429</v>
      </c>
      <c r="C4235" s="19" t="s">
        <v>6520</v>
      </c>
      <c r="D4235" s="19" t="s">
        <v>422</v>
      </c>
      <c r="E4235" s="19" t="s">
        <v>422</v>
      </c>
      <c r="F4235" s="19" t="s">
        <v>423</v>
      </c>
      <c r="G4235" s="19" t="s">
        <v>1028</v>
      </c>
      <c r="H4235" s="19" t="s">
        <v>1020</v>
      </c>
      <c r="I4235" s="19" t="s">
        <v>1575</v>
      </c>
      <c r="J4235" s="20">
        <v>18</v>
      </c>
      <c r="K4235" t="s">
        <v>654</v>
      </c>
      <c r="L4235" t="s">
        <v>673</v>
      </c>
      <c r="M4235" t="s">
        <v>623</v>
      </c>
      <c r="N4235" t="s">
        <v>641</v>
      </c>
      <c r="O4235" t="s">
        <v>697</v>
      </c>
    </row>
    <row r="4236" spans="1:15" x14ac:dyDescent="0.35">
      <c r="A4236" s="77">
        <v>4.1095890410958902E-2</v>
      </c>
      <c r="B4236" s="19">
        <v>101430</v>
      </c>
      <c r="C4236" s="19" t="s">
        <v>6521</v>
      </c>
      <c r="D4236" s="19" t="s">
        <v>181</v>
      </c>
      <c r="E4236" s="19" t="s">
        <v>182</v>
      </c>
      <c r="F4236" s="19" t="s">
        <v>1374</v>
      </c>
      <c r="G4236" s="19" t="s">
        <v>1028</v>
      </c>
      <c r="H4236" s="19" t="s">
        <v>1020</v>
      </c>
      <c r="I4236" s="19" t="s">
        <v>1575</v>
      </c>
      <c r="J4236" s="20">
        <v>24</v>
      </c>
      <c r="K4236" t="s">
        <v>625</v>
      </c>
      <c r="L4236" t="s">
        <v>678</v>
      </c>
      <c r="M4236" t="s">
        <v>623</v>
      </c>
      <c r="N4236" t="s">
        <v>624</v>
      </c>
      <c r="O4236" t="s">
        <v>679</v>
      </c>
    </row>
    <row r="4237" spans="1:15" x14ac:dyDescent="0.35">
      <c r="A4237" s="77">
        <v>4.1095890410958902E-2</v>
      </c>
      <c r="B4237" s="19">
        <v>101431</v>
      </c>
      <c r="C4237" s="19" t="s">
        <v>6522</v>
      </c>
      <c r="D4237" s="19" t="s">
        <v>181</v>
      </c>
      <c r="E4237" s="19" t="s">
        <v>182</v>
      </c>
      <c r="F4237" s="19" t="s">
        <v>1374</v>
      </c>
      <c r="G4237" s="19" t="s">
        <v>1019</v>
      </c>
      <c r="H4237" s="19" t="s">
        <v>1020</v>
      </c>
      <c r="I4237" s="19" t="s">
        <v>1575</v>
      </c>
      <c r="J4237" s="20">
        <v>24</v>
      </c>
      <c r="K4237" t="s">
        <v>625</v>
      </c>
      <c r="L4237" t="s">
        <v>678</v>
      </c>
      <c r="M4237" t="s">
        <v>623</v>
      </c>
      <c r="N4237" t="s">
        <v>624</v>
      </c>
      <c r="O4237" t="s">
        <v>679</v>
      </c>
    </row>
    <row r="4238" spans="1:15" x14ac:dyDescent="0.35">
      <c r="A4238" s="77">
        <v>4.1095890410958902E-2</v>
      </c>
      <c r="B4238" s="19">
        <v>101432</v>
      </c>
      <c r="C4238" s="19" t="s">
        <v>6523</v>
      </c>
      <c r="D4238" s="19" t="s">
        <v>357</v>
      </c>
      <c r="E4238" s="19" t="s">
        <v>358</v>
      </c>
      <c r="F4238" s="19" t="s">
        <v>1161</v>
      </c>
      <c r="G4238" s="19" t="s">
        <v>1028</v>
      </c>
      <c r="H4238" s="19" t="s">
        <v>1020</v>
      </c>
      <c r="I4238" s="19" t="s">
        <v>1575</v>
      </c>
      <c r="J4238" s="20">
        <v>22</v>
      </c>
      <c r="K4238" t="s">
        <v>668</v>
      </c>
      <c r="L4238" t="s">
        <v>640</v>
      </c>
      <c r="M4238" t="s">
        <v>623</v>
      </c>
      <c r="N4238" t="s">
        <v>641</v>
      </c>
      <c r="O4238" t="s">
        <v>852</v>
      </c>
    </row>
    <row r="4239" spans="1:15" x14ac:dyDescent="0.35">
      <c r="A4239" s="77">
        <v>3.5616438356164383E-2</v>
      </c>
      <c r="B4239" s="19">
        <v>101433</v>
      </c>
      <c r="C4239" s="19" t="s">
        <v>6524</v>
      </c>
      <c r="D4239" s="19" t="s">
        <v>140</v>
      </c>
      <c r="E4239" s="19" t="s">
        <v>141</v>
      </c>
      <c r="F4239" s="19" t="s">
        <v>1138</v>
      </c>
      <c r="G4239" s="19" t="s">
        <v>1008</v>
      </c>
      <c r="H4239" s="19" t="s">
        <v>1001</v>
      </c>
      <c r="I4239" s="19" t="s">
        <v>1575</v>
      </c>
      <c r="J4239" s="20">
        <v>21</v>
      </c>
      <c r="K4239" t="s">
        <v>636</v>
      </c>
      <c r="L4239" t="s">
        <v>640</v>
      </c>
      <c r="M4239" t="s">
        <v>623</v>
      </c>
      <c r="N4239" t="s">
        <v>641</v>
      </c>
      <c r="O4239" t="s">
        <v>754</v>
      </c>
    </row>
    <row r="4240" spans="1:15" x14ac:dyDescent="0.35">
      <c r="A4240" s="77">
        <v>3.5616438356164383E-2</v>
      </c>
      <c r="B4240" s="19">
        <v>101435</v>
      </c>
      <c r="C4240" s="19" t="s">
        <v>6525</v>
      </c>
      <c r="D4240" s="19" t="s">
        <v>140</v>
      </c>
      <c r="E4240" s="19" t="s">
        <v>141</v>
      </c>
      <c r="F4240" s="19" t="s">
        <v>1138</v>
      </c>
      <c r="G4240" s="19" t="s">
        <v>1008</v>
      </c>
      <c r="H4240" s="19" t="s">
        <v>1001</v>
      </c>
      <c r="I4240" s="19" t="s">
        <v>1575</v>
      </c>
      <c r="J4240" s="20">
        <v>23</v>
      </c>
      <c r="K4240" t="s">
        <v>636</v>
      </c>
      <c r="L4240" t="s">
        <v>640</v>
      </c>
      <c r="M4240" t="s">
        <v>623</v>
      </c>
      <c r="N4240" t="s">
        <v>641</v>
      </c>
      <c r="O4240" t="s">
        <v>754</v>
      </c>
    </row>
    <row r="4241" spans="1:15" x14ac:dyDescent="0.35">
      <c r="A4241" s="77">
        <v>3.8356164383561646E-2</v>
      </c>
      <c r="B4241" s="19">
        <v>101436</v>
      </c>
      <c r="C4241" s="19" t="s">
        <v>6526</v>
      </c>
      <c r="D4241" s="19" t="s">
        <v>399</v>
      </c>
      <c r="E4241" s="19" t="s">
        <v>400</v>
      </c>
      <c r="F4241" s="19" t="s">
        <v>868</v>
      </c>
      <c r="G4241" s="19" t="s">
        <v>1028</v>
      </c>
      <c r="H4241" s="19" t="s">
        <v>1020</v>
      </c>
      <c r="I4241" s="19" t="s">
        <v>1575</v>
      </c>
      <c r="J4241" s="20">
        <v>23</v>
      </c>
      <c r="K4241" t="s">
        <v>642</v>
      </c>
      <c r="L4241" t="s">
        <v>684</v>
      </c>
      <c r="M4241" t="s">
        <v>623</v>
      </c>
      <c r="N4241" t="s">
        <v>662</v>
      </c>
      <c r="O4241" t="s">
        <v>795</v>
      </c>
    </row>
    <row r="4242" spans="1:15" x14ac:dyDescent="0.35">
      <c r="A4242" s="77">
        <v>4.1095890410958902E-2</v>
      </c>
      <c r="B4242" s="19">
        <v>101437</v>
      </c>
      <c r="C4242" s="19" t="s">
        <v>6527</v>
      </c>
      <c r="D4242" s="19" t="s">
        <v>47</v>
      </c>
      <c r="E4242" s="19" t="s">
        <v>48</v>
      </c>
      <c r="F4242" s="19" t="s">
        <v>1232</v>
      </c>
      <c r="G4242" s="19" t="s">
        <v>1019</v>
      </c>
      <c r="H4242" s="19" t="s">
        <v>1020</v>
      </c>
      <c r="I4242" s="19" t="s">
        <v>1575</v>
      </c>
      <c r="J4242" s="20">
        <v>21</v>
      </c>
      <c r="K4242" t="s">
        <v>636</v>
      </c>
      <c r="L4242" t="s">
        <v>622</v>
      </c>
      <c r="M4242" t="s">
        <v>623</v>
      </c>
      <c r="N4242" t="s">
        <v>624</v>
      </c>
      <c r="O4242" t="s">
        <v>649</v>
      </c>
    </row>
    <row r="4243" spans="1:15" x14ac:dyDescent="0.35">
      <c r="A4243" s="77">
        <v>4.1095890410958902E-2</v>
      </c>
      <c r="B4243" s="19">
        <v>101438</v>
      </c>
      <c r="C4243" s="19" t="s">
        <v>6528</v>
      </c>
      <c r="D4243" s="19" t="s">
        <v>260</v>
      </c>
      <c r="E4243" s="19" t="s">
        <v>261</v>
      </c>
      <c r="F4243" s="19" t="s">
        <v>1109</v>
      </c>
      <c r="G4243" s="19" t="s">
        <v>1028</v>
      </c>
      <c r="H4243" s="19" t="s">
        <v>1020</v>
      </c>
      <c r="I4243" s="19" t="s">
        <v>1575</v>
      </c>
      <c r="J4243" s="20">
        <v>22</v>
      </c>
      <c r="K4243" t="s">
        <v>636</v>
      </c>
      <c r="L4243" t="s">
        <v>656</v>
      </c>
      <c r="M4243" t="s">
        <v>657</v>
      </c>
      <c r="N4243" t="s">
        <v>658</v>
      </c>
      <c r="O4243" t="s">
        <v>808</v>
      </c>
    </row>
    <row r="4244" spans="1:15" x14ac:dyDescent="0.35">
      <c r="A4244" s="77">
        <v>4.1095890410958902E-2</v>
      </c>
      <c r="B4244" s="19">
        <v>101439</v>
      </c>
      <c r="C4244" s="19" t="s">
        <v>6529</v>
      </c>
      <c r="D4244" s="19" t="s">
        <v>173</v>
      </c>
      <c r="E4244" s="19" t="s">
        <v>174</v>
      </c>
      <c r="F4244" s="19" t="s">
        <v>901</v>
      </c>
      <c r="G4244" s="19" t="s">
        <v>1028</v>
      </c>
      <c r="H4244" s="19" t="s">
        <v>1020</v>
      </c>
      <c r="I4244" s="19" t="s">
        <v>1575</v>
      </c>
      <c r="J4244" s="20">
        <v>17</v>
      </c>
      <c r="K4244" t="s">
        <v>668</v>
      </c>
      <c r="L4244" t="s">
        <v>656</v>
      </c>
      <c r="M4244" t="s">
        <v>657</v>
      </c>
      <c r="N4244" t="s">
        <v>658</v>
      </c>
      <c r="O4244" t="s">
        <v>632</v>
      </c>
    </row>
    <row r="4245" spans="1:15" x14ac:dyDescent="0.35">
      <c r="A4245" s="77">
        <v>4.1095890410958902E-2</v>
      </c>
      <c r="B4245" s="19">
        <v>101440</v>
      </c>
      <c r="C4245" s="19" t="s">
        <v>6530</v>
      </c>
      <c r="D4245" s="19" t="s">
        <v>413</v>
      </c>
      <c r="E4245" s="19" t="s">
        <v>414</v>
      </c>
      <c r="F4245" s="19" t="s">
        <v>1699</v>
      </c>
      <c r="G4245" s="19" t="s">
        <v>1028</v>
      </c>
      <c r="H4245" s="19" t="s">
        <v>1020</v>
      </c>
      <c r="I4245" s="19" t="s">
        <v>1575</v>
      </c>
      <c r="J4245" s="20">
        <v>20</v>
      </c>
      <c r="K4245" t="s">
        <v>668</v>
      </c>
      <c r="L4245" t="s">
        <v>691</v>
      </c>
      <c r="M4245" t="s">
        <v>657</v>
      </c>
      <c r="N4245" t="s">
        <v>658</v>
      </c>
      <c r="O4245" t="s">
        <v>632</v>
      </c>
    </row>
    <row r="4246" spans="1:15" x14ac:dyDescent="0.35">
      <c r="A4246" s="77">
        <v>4.1095890410958902E-2</v>
      </c>
      <c r="B4246" s="19">
        <v>101441</v>
      </c>
      <c r="C4246" s="19" t="s">
        <v>6531</v>
      </c>
      <c r="D4246" s="19" t="s">
        <v>21</v>
      </c>
      <c r="E4246" s="19" t="s">
        <v>21</v>
      </c>
      <c r="F4246" s="19" t="s">
        <v>22</v>
      </c>
      <c r="G4246" s="19" t="s">
        <v>1028</v>
      </c>
      <c r="H4246" s="19" t="s">
        <v>1020</v>
      </c>
      <c r="I4246" s="19" t="s">
        <v>1599</v>
      </c>
      <c r="J4246" s="20">
        <v>22</v>
      </c>
      <c r="K4246" t="s">
        <v>654</v>
      </c>
      <c r="L4246" t="s">
        <v>656</v>
      </c>
      <c r="M4246" t="s">
        <v>657</v>
      </c>
      <c r="N4246" t="s">
        <v>658</v>
      </c>
      <c r="O4246" t="s">
        <v>659</v>
      </c>
    </row>
    <row r="4247" spans="1:15" x14ac:dyDescent="0.35">
      <c r="A4247" s="77">
        <v>4.1095890410958902E-2</v>
      </c>
      <c r="B4247" s="19">
        <v>101442</v>
      </c>
      <c r="C4247" s="19" t="s">
        <v>6532</v>
      </c>
      <c r="D4247" s="19" t="s">
        <v>21</v>
      </c>
      <c r="E4247" s="19" t="s">
        <v>21</v>
      </c>
      <c r="F4247" s="19" t="s">
        <v>22</v>
      </c>
      <c r="G4247" s="19" t="s">
        <v>1028</v>
      </c>
      <c r="H4247" s="19" t="s">
        <v>1020</v>
      </c>
      <c r="I4247" s="19" t="s">
        <v>1575</v>
      </c>
      <c r="J4247" s="20">
        <v>23</v>
      </c>
      <c r="K4247" t="s">
        <v>654</v>
      </c>
      <c r="L4247" t="s">
        <v>656</v>
      </c>
      <c r="M4247" t="s">
        <v>657</v>
      </c>
      <c r="N4247" t="s">
        <v>658</v>
      </c>
      <c r="O4247" t="s">
        <v>659</v>
      </c>
    </row>
    <row r="4248" spans="1:15" x14ac:dyDescent="0.35">
      <c r="A4248" s="77">
        <v>4.1095890410958902E-2</v>
      </c>
      <c r="B4248" s="19">
        <v>101443</v>
      </c>
      <c r="C4248" s="19" t="s">
        <v>6533</v>
      </c>
      <c r="D4248" s="19" t="s">
        <v>21</v>
      </c>
      <c r="E4248" s="19" t="s">
        <v>21</v>
      </c>
      <c r="F4248" s="19" t="s">
        <v>22</v>
      </c>
      <c r="G4248" s="19" t="s">
        <v>1028</v>
      </c>
      <c r="H4248" s="19" t="s">
        <v>1020</v>
      </c>
      <c r="I4248" s="19" t="s">
        <v>1575</v>
      </c>
      <c r="J4248" s="20">
        <v>19</v>
      </c>
      <c r="K4248" t="s">
        <v>654</v>
      </c>
      <c r="L4248" t="s">
        <v>656</v>
      </c>
      <c r="M4248" t="s">
        <v>657</v>
      </c>
      <c r="N4248" t="s">
        <v>658</v>
      </c>
      <c r="O4248" t="s">
        <v>659</v>
      </c>
    </row>
    <row r="4249" spans="1:15" x14ac:dyDescent="0.35">
      <c r="A4249" s="77">
        <v>4.1095890410958902E-2</v>
      </c>
      <c r="B4249" s="19">
        <v>101444</v>
      </c>
      <c r="C4249" s="19" t="s">
        <v>6534</v>
      </c>
      <c r="D4249" s="19" t="s">
        <v>155</v>
      </c>
      <c r="E4249" s="19" t="s">
        <v>156</v>
      </c>
      <c r="F4249" s="19" t="s">
        <v>896</v>
      </c>
      <c r="G4249" s="19" t="s">
        <v>1028</v>
      </c>
      <c r="H4249" s="19" t="s">
        <v>1020</v>
      </c>
      <c r="I4249" s="19" t="s">
        <v>1575</v>
      </c>
      <c r="J4249" s="20">
        <v>20</v>
      </c>
      <c r="K4249" t="s">
        <v>636</v>
      </c>
      <c r="L4249" t="s">
        <v>663</v>
      </c>
      <c r="M4249" t="s">
        <v>629</v>
      </c>
      <c r="N4249" t="s">
        <v>646</v>
      </c>
      <c r="O4249" t="s">
        <v>639</v>
      </c>
    </row>
    <row r="4250" spans="1:15" x14ac:dyDescent="0.35">
      <c r="A4250" s="77">
        <v>4.1095890410958902E-2</v>
      </c>
      <c r="B4250" s="19">
        <v>101445</v>
      </c>
      <c r="C4250" s="19" t="s">
        <v>6535</v>
      </c>
      <c r="D4250" s="19" t="s">
        <v>273</v>
      </c>
      <c r="E4250" s="19" t="s">
        <v>274</v>
      </c>
      <c r="F4250" s="19" t="s">
        <v>1093</v>
      </c>
      <c r="G4250" s="19" t="s">
        <v>1028</v>
      </c>
      <c r="H4250" s="19" t="s">
        <v>1020</v>
      </c>
      <c r="I4250" s="19" t="s">
        <v>1575</v>
      </c>
      <c r="J4250" s="20">
        <v>21</v>
      </c>
      <c r="K4250" t="s">
        <v>636</v>
      </c>
      <c r="L4250" t="s">
        <v>663</v>
      </c>
      <c r="M4250" t="s">
        <v>629</v>
      </c>
      <c r="N4250" t="s">
        <v>646</v>
      </c>
      <c r="O4250" t="s">
        <v>639</v>
      </c>
    </row>
    <row r="4251" spans="1:15" x14ac:dyDescent="0.35">
      <c r="A4251" s="77">
        <v>4.1095890410958902E-2</v>
      </c>
      <c r="B4251" s="19">
        <v>101447</v>
      </c>
      <c r="C4251" s="19" t="s">
        <v>6536</v>
      </c>
      <c r="D4251" s="19" t="s">
        <v>326</v>
      </c>
      <c r="E4251" s="19" t="s">
        <v>327</v>
      </c>
      <c r="F4251" s="19" t="s">
        <v>1051</v>
      </c>
      <c r="G4251" s="19" t="s">
        <v>1028</v>
      </c>
      <c r="H4251" s="19" t="s">
        <v>1020</v>
      </c>
      <c r="I4251" s="19" t="s">
        <v>1599</v>
      </c>
      <c r="J4251" s="20">
        <v>21</v>
      </c>
      <c r="K4251" t="s">
        <v>631</v>
      </c>
      <c r="L4251" t="s">
        <v>648</v>
      </c>
      <c r="M4251" t="s">
        <v>623</v>
      </c>
      <c r="N4251" t="s">
        <v>624</v>
      </c>
      <c r="O4251" t="s">
        <v>837</v>
      </c>
    </row>
    <row r="4252" spans="1:15" x14ac:dyDescent="0.35">
      <c r="A4252" s="77">
        <v>4.1095890410958902E-2</v>
      </c>
      <c r="B4252" s="19">
        <v>101448</v>
      </c>
      <c r="C4252" s="19" t="s">
        <v>6537</v>
      </c>
      <c r="D4252" s="19" t="s">
        <v>326</v>
      </c>
      <c r="E4252" s="19" t="s">
        <v>327</v>
      </c>
      <c r="F4252" s="19" t="s">
        <v>1051</v>
      </c>
      <c r="G4252" s="19" t="s">
        <v>1028</v>
      </c>
      <c r="H4252" s="19" t="s">
        <v>1020</v>
      </c>
      <c r="I4252" s="19" t="s">
        <v>1575</v>
      </c>
      <c r="J4252" s="20">
        <v>24</v>
      </c>
      <c r="K4252" t="s">
        <v>631</v>
      </c>
      <c r="L4252" t="s">
        <v>648</v>
      </c>
      <c r="M4252" t="s">
        <v>623</v>
      </c>
      <c r="N4252" t="s">
        <v>624</v>
      </c>
      <c r="O4252" t="s">
        <v>837</v>
      </c>
    </row>
    <row r="4253" spans="1:15" x14ac:dyDescent="0.35">
      <c r="A4253" s="77">
        <v>4.1095890410958902E-2</v>
      </c>
      <c r="B4253" s="19">
        <v>101449</v>
      </c>
      <c r="C4253" s="19" t="s">
        <v>6538</v>
      </c>
      <c r="D4253" s="19" t="s">
        <v>326</v>
      </c>
      <c r="E4253" s="19" t="s">
        <v>327</v>
      </c>
      <c r="F4253" s="19" t="s">
        <v>1051</v>
      </c>
      <c r="G4253" s="19" t="s">
        <v>1019</v>
      </c>
      <c r="H4253" s="19" t="s">
        <v>1020</v>
      </c>
      <c r="I4253" s="19" t="s">
        <v>1575</v>
      </c>
      <c r="J4253" s="20">
        <v>19</v>
      </c>
      <c r="K4253" t="s">
        <v>631</v>
      </c>
      <c r="L4253" t="s">
        <v>648</v>
      </c>
      <c r="M4253" t="s">
        <v>623</v>
      </c>
      <c r="N4253" t="s">
        <v>624</v>
      </c>
      <c r="O4253" t="s">
        <v>837</v>
      </c>
    </row>
    <row r="4254" spans="1:15" x14ac:dyDescent="0.35">
      <c r="A4254" s="77">
        <v>3.287671232876712E-2</v>
      </c>
      <c r="B4254" s="19">
        <v>101451</v>
      </c>
      <c r="C4254" s="19" t="s">
        <v>6539</v>
      </c>
      <c r="D4254" s="19" t="s">
        <v>430</v>
      </c>
      <c r="E4254" s="19" t="e">
        <v>#N/A</v>
      </c>
      <c r="F4254" s="19" t="s">
        <v>1105</v>
      </c>
      <c r="G4254" s="19" t="s">
        <v>1028</v>
      </c>
      <c r="H4254" s="19" t="s">
        <v>1020</v>
      </c>
      <c r="I4254" s="19" t="s">
        <v>1575</v>
      </c>
      <c r="J4254" s="20">
        <v>22</v>
      </c>
      <c r="K4254" t="s">
        <v>654</v>
      </c>
      <c r="L4254" t="s">
        <v>645</v>
      </c>
      <c r="M4254" t="s">
        <v>629</v>
      </c>
      <c r="N4254" t="s">
        <v>646</v>
      </c>
      <c r="O4254" t="s">
        <v>632</v>
      </c>
    </row>
    <row r="4255" spans="1:15" x14ac:dyDescent="0.35">
      <c r="A4255" s="77">
        <v>3.287671232876712E-2</v>
      </c>
      <c r="B4255" s="19">
        <v>101452</v>
      </c>
      <c r="C4255" s="19" t="s">
        <v>6540</v>
      </c>
      <c r="D4255" s="19" t="s">
        <v>430</v>
      </c>
      <c r="E4255" s="19" t="e">
        <v>#N/A</v>
      </c>
      <c r="F4255" s="19" t="s">
        <v>1105</v>
      </c>
      <c r="G4255" s="19" t="s">
        <v>1028</v>
      </c>
      <c r="H4255" s="19" t="s">
        <v>1020</v>
      </c>
      <c r="I4255" s="19" t="s">
        <v>1575</v>
      </c>
      <c r="J4255" s="20">
        <v>19</v>
      </c>
      <c r="K4255" t="s">
        <v>654</v>
      </c>
      <c r="L4255" t="s">
        <v>645</v>
      </c>
      <c r="M4255" t="s">
        <v>629</v>
      </c>
      <c r="N4255" t="s">
        <v>646</v>
      </c>
      <c r="O4255" t="s">
        <v>632</v>
      </c>
    </row>
    <row r="4256" spans="1:15" x14ac:dyDescent="0.35">
      <c r="A4256" s="77">
        <v>3.287671232876712E-2</v>
      </c>
      <c r="B4256" s="19">
        <v>101453</v>
      </c>
      <c r="C4256" s="19" t="s">
        <v>6541</v>
      </c>
      <c r="D4256" s="19" t="s">
        <v>16</v>
      </c>
      <c r="E4256" s="19" t="s">
        <v>16</v>
      </c>
      <c r="F4256" s="19" t="s">
        <v>1211</v>
      </c>
      <c r="G4256" s="19" t="s">
        <v>1028</v>
      </c>
      <c r="H4256" s="19" t="s">
        <v>1020</v>
      </c>
      <c r="I4256" s="19" t="s">
        <v>1575</v>
      </c>
      <c r="J4256" s="20">
        <v>25</v>
      </c>
      <c r="K4256" t="s">
        <v>631</v>
      </c>
      <c r="L4256" t="s">
        <v>645</v>
      </c>
      <c r="M4256" t="s">
        <v>629</v>
      </c>
      <c r="N4256" t="s">
        <v>646</v>
      </c>
      <c r="O4256" t="s">
        <v>632</v>
      </c>
    </row>
    <row r="4257" spans="1:15" x14ac:dyDescent="0.35">
      <c r="A4257" s="77">
        <v>3.287671232876712E-2</v>
      </c>
      <c r="B4257" s="19">
        <v>101454</v>
      </c>
      <c r="C4257" s="19" t="s">
        <v>5304</v>
      </c>
      <c r="D4257" s="19" t="s">
        <v>38</v>
      </c>
      <c r="E4257" s="19" t="s">
        <v>38</v>
      </c>
      <c r="F4257" s="19" t="s">
        <v>711</v>
      </c>
      <c r="G4257" s="19" t="s">
        <v>1028</v>
      </c>
      <c r="H4257" s="19" t="s">
        <v>1020</v>
      </c>
      <c r="I4257" s="19" t="s">
        <v>1575</v>
      </c>
      <c r="J4257" s="20">
        <v>19</v>
      </c>
      <c r="K4257" t="s">
        <v>668</v>
      </c>
      <c r="L4257" t="s">
        <v>691</v>
      </c>
      <c r="M4257" t="s">
        <v>657</v>
      </c>
      <c r="N4257" t="s">
        <v>658</v>
      </c>
      <c r="O4257" t="s">
        <v>632</v>
      </c>
    </row>
    <row r="4258" spans="1:15" x14ac:dyDescent="0.35">
      <c r="A4258" s="77">
        <v>3.287671232876712E-2</v>
      </c>
      <c r="B4258" s="19">
        <v>101455</v>
      </c>
      <c r="C4258" s="19" t="s">
        <v>6542</v>
      </c>
      <c r="D4258" s="19" t="s">
        <v>36</v>
      </c>
      <c r="E4258" s="19" t="s">
        <v>36</v>
      </c>
      <c r="F4258" s="19" t="s">
        <v>1403</v>
      </c>
      <c r="G4258" s="19" t="s">
        <v>1028</v>
      </c>
      <c r="H4258" s="19" t="s">
        <v>1020</v>
      </c>
      <c r="I4258" s="19" t="s">
        <v>1575</v>
      </c>
      <c r="J4258" s="20">
        <v>21</v>
      </c>
      <c r="K4258" t="s">
        <v>668</v>
      </c>
      <c r="L4258" t="s">
        <v>691</v>
      </c>
      <c r="M4258" t="s">
        <v>657</v>
      </c>
      <c r="N4258" t="s">
        <v>658</v>
      </c>
      <c r="O4258" t="s">
        <v>632</v>
      </c>
    </row>
    <row r="4259" spans="1:15" x14ac:dyDescent="0.35">
      <c r="A4259" s="77">
        <v>3.287671232876712E-2</v>
      </c>
      <c r="B4259" s="19">
        <v>101456</v>
      </c>
      <c r="C4259" s="19" t="s">
        <v>6543</v>
      </c>
      <c r="D4259" s="19" t="s">
        <v>8</v>
      </c>
      <c r="E4259" s="19" t="s">
        <v>8</v>
      </c>
      <c r="F4259" s="19" t="s">
        <v>1176</v>
      </c>
      <c r="G4259" s="19" t="s">
        <v>1028</v>
      </c>
      <c r="H4259" s="19" t="s">
        <v>1020</v>
      </c>
      <c r="I4259" s="19" t="s">
        <v>1599</v>
      </c>
      <c r="J4259" s="20">
        <v>19</v>
      </c>
      <c r="K4259" t="s">
        <v>625</v>
      </c>
      <c r="L4259" t="s">
        <v>622</v>
      </c>
      <c r="M4259" t="s">
        <v>623</v>
      </c>
      <c r="N4259" t="s">
        <v>624</v>
      </c>
      <c r="O4259" t="s">
        <v>626</v>
      </c>
    </row>
    <row r="4260" spans="1:15" x14ac:dyDescent="0.35">
      <c r="A4260" s="77">
        <v>3.287671232876712E-2</v>
      </c>
      <c r="B4260" s="19">
        <v>101457</v>
      </c>
      <c r="C4260" s="19" t="s">
        <v>6544</v>
      </c>
      <c r="D4260" s="19" t="s">
        <v>8</v>
      </c>
      <c r="E4260" s="19" t="s">
        <v>8</v>
      </c>
      <c r="F4260" s="19" t="s">
        <v>1176</v>
      </c>
      <c r="G4260" s="19" t="s">
        <v>1028</v>
      </c>
      <c r="H4260" s="19" t="s">
        <v>1020</v>
      </c>
      <c r="I4260" s="19" t="s">
        <v>1575</v>
      </c>
      <c r="J4260" s="20">
        <v>20</v>
      </c>
      <c r="K4260" t="s">
        <v>625</v>
      </c>
      <c r="L4260" t="s">
        <v>622</v>
      </c>
      <c r="M4260" t="s">
        <v>623</v>
      </c>
      <c r="N4260" t="s">
        <v>624</v>
      </c>
      <c r="O4260" t="s">
        <v>626</v>
      </c>
    </row>
    <row r="4261" spans="1:15" x14ac:dyDescent="0.35">
      <c r="A4261" s="77">
        <v>3.287671232876712E-2</v>
      </c>
      <c r="B4261" s="19">
        <v>101458</v>
      </c>
      <c r="C4261" s="19" t="s">
        <v>6545</v>
      </c>
      <c r="D4261" s="19" t="s">
        <v>427</v>
      </c>
      <c r="E4261" s="19" t="s">
        <v>427</v>
      </c>
      <c r="F4261" s="19" t="s">
        <v>1290</v>
      </c>
      <c r="G4261" s="19" t="s">
        <v>1008</v>
      </c>
      <c r="H4261" s="19" t="s">
        <v>1001</v>
      </c>
      <c r="I4261" s="19" t="s">
        <v>1575</v>
      </c>
      <c r="J4261" s="20">
        <v>24</v>
      </c>
      <c r="K4261" t="s">
        <v>654</v>
      </c>
      <c r="L4261" t="s">
        <v>651</v>
      </c>
      <c r="M4261" t="s">
        <v>629</v>
      </c>
      <c r="N4261" t="s">
        <v>630</v>
      </c>
      <c r="O4261" t="s">
        <v>652</v>
      </c>
    </row>
    <row r="4262" spans="1:15" x14ac:dyDescent="0.35">
      <c r="A4262" s="77">
        <v>3.287671232876712E-2</v>
      </c>
      <c r="B4262" s="19">
        <v>101460</v>
      </c>
      <c r="C4262" s="19" t="s">
        <v>6546</v>
      </c>
      <c r="D4262" s="19" t="s">
        <v>100</v>
      </c>
      <c r="E4262" s="19" t="s">
        <v>101</v>
      </c>
      <c r="F4262" s="19" t="s">
        <v>2786</v>
      </c>
      <c r="G4262" s="19" t="s">
        <v>1028</v>
      </c>
      <c r="H4262" s="19" t="s">
        <v>1020</v>
      </c>
      <c r="I4262" s="19" t="s">
        <v>1575</v>
      </c>
      <c r="J4262" s="20">
        <v>30</v>
      </c>
      <c r="K4262" t="s">
        <v>654</v>
      </c>
      <c r="L4262" t="s">
        <v>651</v>
      </c>
      <c r="M4262" t="s">
        <v>629</v>
      </c>
      <c r="N4262" t="s">
        <v>630</v>
      </c>
      <c r="O4262" t="s">
        <v>705</v>
      </c>
    </row>
    <row r="4263" spans="1:15" x14ac:dyDescent="0.35">
      <c r="A4263" s="77">
        <v>3.287671232876712E-2</v>
      </c>
      <c r="B4263" s="19">
        <v>101461</v>
      </c>
      <c r="C4263" s="19" t="s">
        <v>6547</v>
      </c>
      <c r="D4263" s="19" t="s">
        <v>411</v>
      </c>
      <c r="E4263" s="19" t="s">
        <v>412</v>
      </c>
      <c r="F4263" s="19" t="s">
        <v>1225</v>
      </c>
      <c r="G4263" s="19" t="s">
        <v>1028</v>
      </c>
      <c r="H4263" s="19" t="s">
        <v>1020</v>
      </c>
      <c r="I4263" s="19" t="s">
        <v>1575</v>
      </c>
      <c r="J4263" s="20">
        <v>19</v>
      </c>
      <c r="K4263" t="s">
        <v>636</v>
      </c>
      <c r="L4263" t="s">
        <v>691</v>
      </c>
      <c r="M4263" t="s">
        <v>657</v>
      </c>
      <c r="N4263" t="s">
        <v>658</v>
      </c>
      <c r="O4263" t="s">
        <v>632</v>
      </c>
    </row>
    <row r="4264" spans="1:15" x14ac:dyDescent="0.35">
      <c r="A4264" s="77">
        <v>3.287671232876712E-2</v>
      </c>
      <c r="B4264" s="19">
        <v>101462</v>
      </c>
      <c r="C4264" s="19" t="s">
        <v>6548</v>
      </c>
      <c r="D4264" s="19" t="s">
        <v>339</v>
      </c>
      <c r="E4264" s="19" t="s">
        <v>340</v>
      </c>
      <c r="F4264" s="19" t="s">
        <v>1024</v>
      </c>
      <c r="G4264" s="19" t="s">
        <v>1019</v>
      </c>
      <c r="H4264" s="19" t="s">
        <v>1020</v>
      </c>
      <c r="I4264" s="19" t="s">
        <v>1575</v>
      </c>
      <c r="J4264" s="20">
        <v>20</v>
      </c>
      <c r="K4264" t="s">
        <v>631</v>
      </c>
      <c r="L4264" t="s">
        <v>651</v>
      </c>
      <c r="M4264" t="s">
        <v>629</v>
      </c>
      <c r="N4264" t="s">
        <v>630</v>
      </c>
      <c r="O4264" t="s">
        <v>705</v>
      </c>
    </row>
    <row r="4265" spans="1:15" x14ac:dyDescent="0.35">
      <c r="A4265" s="77">
        <v>3.287671232876712E-2</v>
      </c>
      <c r="B4265" s="19">
        <v>101463</v>
      </c>
      <c r="C4265" s="19" t="s">
        <v>6549</v>
      </c>
      <c r="D4265" s="19" t="s">
        <v>105</v>
      </c>
      <c r="E4265" s="19" t="s">
        <v>106</v>
      </c>
      <c r="F4265" s="19" t="s">
        <v>1207</v>
      </c>
      <c r="G4265" s="19" t="s">
        <v>1008</v>
      </c>
      <c r="H4265" s="19" t="s">
        <v>1001</v>
      </c>
      <c r="I4265" s="19" t="s">
        <v>1575</v>
      </c>
      <c r="J4265" s="20">
        <v>25</v>
      </c>
      <c r="K4265" t="s">
        <v>654</v>
      </c>
      <c r="L4265" t="s">
        <v>622</v>
      </c>
      <c r="M4265" t="s">
        <v>623</v>
      </c>
      <c r="N4265" t="s">
        <v>624</v>
      </c>
      <c r="O4265" t="s">
        <v>626</v>
      </c>
    </row>
    <row r="4266" spans="1:15" x14ac:dyDescent="0.35">
      <c r="A4266" s="77">
        <v>3.0136986301369864E-2</v>
      </c>
      <c r="B4266" s="19">
        <v>101464</v>
      </c>
      <c r="C4266" s="19" t="s">
        <v>6550</v>
      </c>
      <c r="D4266" s="19" t="s">
        <v>432</v>
      </c>
      <c r="E4266" s="19" t="e">
        <v>#N/A</v>
      </c>
      <c r="F4266" s="19" t="s">
        <v>1037</v>
      </c>
      <c r="G4266" s="19" t="s">
        <v>1046</v>
      </c>
      <c r="H4266" s="19" t="s">
        <v>1001</v>
      </c>
      <c r="I4266" s="19" t="s">
        <v>1575</v>
      </c>
      <c r="J4266" s="20">
        <v>25</v>
      </c>
      <c r="K4266" t="s">
        <v>668</v>
      </c>
      <c r="L4266" t="s">
        <v>707</v>
      </c>
      <c r="M4266" t="s">
        <v>629</v>
      </c>
      <c r="N4266" t="s">
        <v>635</v>
      </c>
      <c r="O4266" t="s">
        <v>708</v>
      </c>
    </row>
    <row r="4267" spans="1:15" x14ac:dyDescent="0.35">
      <c r="A4267" s="77">
        <v>3.287671232876712E-2</v>
      </c>
      <c r="B4267" s="19">
        <v>101465</v>
      </c>
      <c r="C4267" s="19" t="s">
        <v>6551</v>
      </c>
      <c r="D4267" s="19" t="s">
        <v>102</v>
      </c>
      <c r="E4267" s="19" t="s">
        <v>103</v>
      </c>
      <c r="F4267" s="19" t="s">
        <v>1306</v>
      </c>
      <c r="G4267" s="19" t="s">
        <v>1028</v>
      </c>
      <c r="H4267" s="19" t="s">
        <v>1020</v>
      </c>
      <c r="I4267" s="19" t="s">
        <v>1575</v>
      </c>
      <c r="J4267" s="20">
        <v>33</v>
      </c>
      <c r="K4267" t="s">
        <v>654</v>
      </c>
      <c r="L4267" t="s">
        <v>707</v>
      </c>
      <c r="M4267" t="s">
        <v>629</v>
      </c>
      <c r="N4267" t="s">
        <v>635</v>
      </c>
      <c r="O4267" t="s">
        <v>708</v>
      </c>
    </row>
    <row r="4268" spans="1:15" x14ac:dyDescent="0.35">
      <c r="A4268" s="77">
        <v>3.287671232876712E-2</v>
      </c>
      <c r="B4268" s="19">
        <v>101466</v>
      </c>
      <c r="C4268" s="19" t="s">
        <v>6552</v>
      </c>
      <c r="D4268" s="19" t="s">
        <v>280</v>
      </c>
      <c r="E4268" s="19" t="s">
        <v>281</v>
      </c>
      <c r="F4268" s="19" t="s">
        <v>1223</v>
      </c>
      <c r="G4268" s="19" t="s">
        <v>1028</v>
      </c>
      <c r="H4268" s="19" t="s">
        <v>1020</v>
      </c>
      <c r="I4268" s="19" t="s">
        <v>1575</v>
      </c>
      <c r="J4268" s="20">
        <v>22</v>
      </c>
      <c r="K4268" t="s">
        <v>631</v>
      </c>
      <c r="L4268" t="s">
        <v>691</v>
      </c>
      <c r="M4268" t="s">
        <v>657</v>
      </c>
      <c r="N4268" t="s">
        <v>658</v>
      </c>
      <c r="O4268" t="s">
        <v>632</v>
      </c>
    </row>
    <row r="4269" spans="1:15" x14ac:dyDescent="0.35">
      <c r="A4269" s="77">
        <v>3.287671232876712E-2</v>
      </c>
      <c r="B4269" s="19">
        <v>101467</v>
      </c>
      <c r="C4269" s="19" t="s">
        <v>6553</v>
      </c>
      <c r="D4269" s="19" t="s">
        <v>280</v>
      </c>
      <c r="E4269" s="19" t="s">
        <v>281</v>
      </c>
      <c r="F4269" s="19" t="s">
        <v>1223</v>
      </c>
      <c r="G4269" s="19" t="s">
        <v>1028</v>
      </c>
      <c r="H4269" s="19" t="s">
        <v>1020</v>
      </c>
      <c r="I4269" s="19" t="s">
        <v>1575</v>
      </c>
      <c r="J4269" s="20">
        <v>22</v>
      </c>
      <c r="K4269" t="s">
        <v>631</v>
      </c>
      <c r="L4269" t="s">
        <v>691</v>
      </c>
      <c r="M4269" t="s">
        <v>657</v>
      </c>
      <c r="N4269" t="s">
        <v>658</v>
      </c>
      <c r="O4269" t="s">
        <v>632</v>
      </c>
    </row>
    <row r="4270" spans="1:15" x14ac:dyDescent="0.35">
      <c r="A4270" s="77">
        <v>3.287671232876712E-2</v>
      </c>
      <c r="B4270" s="19">
        <v>101468</v>
      </c>
      <c r="C4270" s="19" t="s">
        <v>6554</v>
      </c>
      <c r="D4270" s="19" t="s">
        <v>387</v>
      </c>
      <c r="E4270" s="19" t="s">
        <v>388</v>
      </c>
      <c r="F4270" s="19" t="s">
        <v>1142</v>
      </c>
      <c r="G4270" s="19" t="s">
        <v>1028</v>
      </c>
      <c r="H4270" s="19" t="s">
        <v>1020</v>
      </c>
      <c r="I4270" s="19" t="s">
        <v>1575</v>
      </c>
      <c r="J4270" s="20">
        <v>19</v>
      </c>
      <c r="K4270" t="s">
        <v>642</v>
      </c>
      <c r="L4270" t="s">
        <v>634</v>
      </c>
      <c r="M4270" t="s">
        <v>629</v>
      </c>
      <c r="N4270" t="s">
        <v>630</v>
      </c>
      <c r="O4270" t="s">
        <v>734</v>
      </c>
    </row>
    <row r="4271" spans="1:15" x14ac:dyDescent="0.35">
      <c r="A4271" s="77">
        <v>3.287671232876712E-2</v>
      </c>
      <c r="B4271" s="19">
        <v>101469</v>
      </c>
      <c r="C4271" s="19" t="s">
        <v>6555</v>
      </c>
      <c r="D4271" s="19" t="s">
        <v>411</v>
      </c>
      <c r="E4271" s="19" t="s">
        <v>412</v>
      </c>
      <c r="F4271" s="19" t="s">
        <v>1225</v>
      </c>
      <c r="G4271" s="19" t="s">
        <v>1028</v>
      </c>
      <c r="H4271" s="19" t="s">
        <v>1020</v>
      </c>
      <c r="I4271" s="19" t="s">
        <v>1575</v>
      </c>
      <c r="J4271" s="20">
        <v>18</v>
      </c>
      <c r="K4271" t="s">
        <v>636</v>
      </c>
      <c r="L4271" t="s">
        <v>691</v>
      </c>
      <c r="M4271" t="s">
        <v>657</v>
      </c>
      <c r="N4271" t="s">
        <v>658</v>
      </c>
      <c r="O4271" t="s">
        <v>632</v>
      </c>
    </row>
    <row r="4272" spans="1:15" x14ac:dyDescent="0.35">
      <c r="A4272" s="77">
        <v>3.287671232876712E-2</v>
      </c>
      <c r="B4272" s="19">
        <v>101470</v>
      </c>
      <c r="C4272" s="19" t="s">
        <v>6556</v>
      </c>
      <c r="D4272" s="19" t="s">
        <v>89</v>
      </c>
      <c r="E4272" s="19" t="s">
        <v>90</v>
      </c>
      <c r="F4272" s="19" t="s">
        <v>1217</v>
      </c>
      <c r="G4272" s="19" t="s">
        <v>1028</v>
      </c>
      <c r="H4272" s="19" t="s">
        <v>1020</v>
      </c>
      <c r="I4272" s="19" t="s">
        <v>1575</v>
      </c>
      <c r="J4272" s="20">
        <v>18</v>
      </c>
      <c r="K4272" t="s">
        <v>636</v>
      </c>
      <c r="L4272" t="s">
        <v>666</v>
      </c>
      <c r="M4272" t="s">
        <v>629</v>
      </c>
      <c r="N4272" t="s">
        <v>635</v>
      </c>
      <c r="O4272" t="s">
        <v>637</v>
      </c>
    </row>
    <row r="4273" spans="1:15" x14ac:dyDescent="0.35">
      <c r="A4273" s="77">
        <v>3.287671232876712E-2</v>
      </c>
      <c r="B4273" s="19">
        <v>101471</v>
      </c>
      <c r="C4273" s="19" t="s">
        <v>6557</v>
      </c>
      <c r="D4273" s="19" t="s">
        <v>26</v>
      </c>
      <c r="E4273" s="19" t="s">
        <v>26</v>
      </c>
      <c r="F4273" s="19" t="s">
        <v>1124</v>
      </c>
      <c r="G4273" s="19" t="s">
        <v>1028</v>
      </c>
      <c r="H4273" s="19" t="s">
        <v>1020</v>
      </c>
      <c r="I4273" s="19" t="s">
        <v>1575</v>
      </c>
      <c r="J4273" s="20">
        <v>21</v>
      </c>
      <c r="K4273" t="s">
        <v>636</v>
      </c>
      <c r="L4273" t="s">
        <v>666</v>
      </c>
      <c r="M4273" t="s">
        <v>629</v>
      </c>
      <c r="N4273" t="s">
        <v>635</v>
      </c>
      <c r="O4273" t="s">
        <v>637</v>
      </c>
    </row>
    <row r="4274" spans="1:15" x14ac:dyDescent="0.35">
      <c r="A4274" s="77">
        <v>3.287671232876712E-2</v>
      </c>
      <c r="B4274" s="19">
        <v>101473</v>
      </c>
      <c r="C4274" s="19" t="s">
        <v>6558</v>
      </c>
      <c r="D4274" s="19" t="s">
        <v>87</v>
      </c>
      <c r="E4274" s="19" t="s">
        <v>88</v>
      </c>
      <c r="F4274" s="19" t="s">
        <v>1324</v>
      </c>
      <c r="G4274" s="19" t="s">
        <v>1028</v>
      </c>
      <c r="H4274" s="19" t="s">
        <v>1020</v>
      </c>
      <c r="I4274" s="19" t="s">
        <v>1599</v>
      </c>
      <c r="J4274" s="20">
        <v>20</v>
      </c>
      <c r="K4274" t="s">
        <v>642</v>
      </c>
      <c r="L4274" t="s">
        <v>661</v>
      </c>
      <c r="M4274" t="s">
        <v>657</v>
      </c>
      <c r="N4274" t="s">
        <v>662</v>
      </c>
      <c r="O4274" t="s">
        <v>632</v>
      </c>
    </row>
    <row r="4275" spans="1:15" x14ac:dyDescent="0.35">
      <c r="A4275" s="77">
        <v>3.287671232876712E-2</v>
      </c>
      <c r="B4275" s="19">
        <v>101474</v>
      </c>
      <c r="C4275" s="19" t="s">
        <v>6559</v>
      </c>
      <c r="D4275" s="19" t="s">
        <v>87</v>
      </c>
      <c r="E4275" s="19" t="s">
        <v>88</v>
      </c>
      <c r="F4275" s="19" t="s">
        <v>1324</v>
      </c>
      <c r="G4275" s="19" t="s">
        <v>1028</v>
      </c>
      <c r="H4275" s="19" t="s">
        <v>1020</v>
      </c>
      <c r="I4275" s="19" t="s">
        <v>1599</v>
      </c>
      <c r="J4275" s="20">
        <v>18</v>
      </c>
      <c r="K4275" t="s">
        <v>642</v>
      </c>
      <c r="L4275" t="s">
        <v>661</v>
      </c>
      <c r="M4275" t="s">
        <v>657</v>
      </c>
      <c r="N4275" t="s">
        <v>662</v>
      </c>
      <c r="O4275" t="s">
        <v>632</v>
      </c>
    </row>
    <row r="4276" spans="1:15" x14ac:dyDescent="0.35">
      <c r="A4276" s="77">
        <v>3.287671232876712E-2</v>
      </c>
      <c r="B4276" s="19">
        <v>101475</v>
      </c>
      <c r="C4276" s="19" t="s">
        <v>6560</v>
      </c>
      <c r="D4276" s="19" t="s">
        <v>237</v>
      </c>
      <c r="E4276" s="19" t="s">
        <v>238</v>
      </c>
      <c r="F4276" s="19" t="s">
        <v>1070</v>
      </c>
      <c r="G4276" s="19" t="s">
        <v>1028</v>
      </c>
      <c r="H4276" s="19" t="s">
        <v>1020</v>
      </c>
      <c r="I4276" s="19" t="s">
        <v>1575</v>
      </c>
      <c r="J4276" s="20">
        <v>21</v>
      </c>
      <c r="K4276" t="s">
        <v>631</v>
      </c>
      <c r="L4276" t="s">
        <v>661</v>
      </c>
      <c r="M4276" t="s">
        <v>657</v>
      </c>
      <c r="N4276" t="s">
        <v>662</v>
      </c>
      <c r="O4276" t="s">
        <v>632</v>
      </c>
    </row>
    <row r="4277" spans="1:15" x14ac:dyDescent="0.35">
      <c r="A4277" s="77">
        <v>3.287671232876712E-2</v>
      </c>
      <c r="B4277" s="19">
        <v>101476</v>
      </c>
      <c r="C4277" s="19" t="s">
        <v>6561</v>
      </c>
      <c r="D4277" s="19" t="s">
        <v>377</v>
      </c>
      <c r="E4277" s="19" t="s">
        <v>378</v>
      </c>
      <c r="F4277" s="19" t="s">
        <v>862</v>
      </c>
      <c r="G4277" s="19" t="s">
        <v>1019</v>
      </c>
      <c r="H4277" s="19" t="s">
        <v>1020</v>
      </c>
      <c r="I4277" s="19" t="s">
        <v>1599</v>
      </c>
      <c r="J4277" s="20">
        <v>20</v>
      </c>
      <c r="K4277" t="s">
        <v>631</v>
      </c>
      <c r="L4277" t="s">
        <v>661</v>
      </c>
      <c r="M4277" t="s">
        <v>657</v>
      </c>
      <c r="N4277" t="s">
        <v>662</v>
      </c>
      <c r="O4277" t="s">
        <v>632</v>
      </c>
    </row>
    <row r="4278" spans="1:15" x14ac:dyDescent="0.35">
      <c r="A4278" s="77">
        <v>3.287671232876712E-2</v>
      </c>
      <c r="B4278" s="19">
        <v>101477</v>
      </c>
      <c r="C4278" s="19" t="s">
        <v>6562</v>
      </c>
      <c r="D4278" s="19" t="s">
        <v>247</v>
      </c>
      <c r="E4278" s="19" t="s">
        <v>248</v>
      </c>
      <c r="F4278" s="19" t="s">
        <v>1726</v>
      </c>
      <c r="G4278" s="19" t="s">
        <v>1028</v>
      </c>
      <c r="H4278" s="19" t="s">
        <v>1020</v>
      </c>
      <c r="I4278" s="19" t="s">
        <v>1575</v>
      </c>
      <c r="J4278" s="20">
        <v>19</v>
      </c>
      <c r="K4278" t="s">
        <v>668</v>
      </c>
      <c r="L4278" t="s">
        <v>634</v>
      </c>
      <c r="M4278" t="s">
        <v>629</v>
      </c>
      <c r="N4278" t="s">
        <v>635</v>
      </c>
      <c r="O4278" t="s">
        <v>637</v>
      </c>
    </row>
    <row r="4279" spans="1:15" x14ac:dyDescent="0.35">
      <c r="A4279" s="77">
        <v>3.287671232876712E-2</v>
      </c>
      <c r="B4279" s="19">
        <v>101478</v>
      </c>
      <c r="C4279" s="19" t="s">
        <v>6563</v>
      </c>
      <c r="D4279" s="19" t="s">
        <v>39</v>
      </c>
      <c r="E4279" s="19" t="s">
        <v>39</v>
      </c>
      <c r="F4279" s="19" t="s">
        <v>1168</v>
      </c>
      <c r="G4279" s="19" t="s">
        <v>1028</v>
      </c>
      <c r="H4279" s="19" t="s">
        <v>1020</v>
      </c>
      <c r="I4279" s="19" t="s">
        <v>1599</v>
      </c>
      <c r="J4279" s="20">
        <v>18</v>
      </c>
      <c r="K4279" t="s">
        <v>636</v>
      </c>
      <c r="L4279" t="s">
        <v>661</v>
      </c>
      <c r="M4279" t="s">
        <v>657</v>
      </c>
      <c r="N4279" t="s">
        <v>662</v>
      </c>
      <c r="O4279" t="s">
        <v>632</v>
      </c>
    </row>
    <row r="4280" spans="1:15" x14ac:dyDescent="0.35">
      <c r="A4280" s="77">
        <v>3.287671232876712E-2</v>
      </c>
      <c r="B4280" s="19">
        <v>101479</v>
      </c>
      <c r="C4280" s="19" t="s">
        <v>6564</v>
      </c>
      <c r="D4280" s="19" t="s">
        <v>91</v>
      </c>
      <c r="E4280" s="19" t="s">
        <v>92</v>
      </c>
      <c r="F4280" s="19" t="s">
        <v>1113</v>
      </c>
      <c r="G4280" s="19" t="s">
        <v>1019</v>
      </c>
      <c r="H4280" s="19" t="s">
        <v>1020</v>
      </c>
      <c r="I4280" s="19" t="s">
        <v>1575</v>
      </c>
      <c r="J4280" s="20">
        <v>30</v>
      </c>
      <c r="K4280" t="s">
        <v>636</v>
      </c>
      <c r="L4280" t="s">
        <v>634</v>
      </c>
      <c r="M4280" t="s">
        <v>629</v>
      </c>
      <c r="N4280" t="s">
        <v>630</v>
      </c>
      <c r="O4280" t="s">
        <v>734</v>
      </c>
    </row>
    <row r="4281" spans="1:15" x14ac:dyDescent="0.35">
      <c r="A4281" s="77">
        <v>3.287671232876712E-2</v>
      </c>
      <c r="B4281" s="19">
        <v>101480</v>
      </c>
      <c r="C4281" s="19" t="s">
        <v>6565</v>
      </c>
      <c r="D4281" s="19" t="s">
        <v>16</v>
      </c>
      <c r="E4281" s="19" t="s">
        <v>16</v>
      </c>
      <c r="F4281" s="19" t="s">
        <v>1211</v>
      </c>
      <c r="G4281" s="19" t="s">
        <v>1019</v>
      </c>
      <c r="H4281" s="19" t="s">
        <v>1020</v>
      </c>
      <c r="I4281" s="19" t="s">
        <v>1575</v>
      </c>
      <c r="J4281" s="20">
        <v>22</v>
      </c>
      <c r="K4281" t="s">
        <v>631</v>
      </c>
      <c r="L4281" t="s">
        <v>645</v>
      </c>
      <c r="M4281" t="s">
        <v>629</v>
      </c>
      <c r="N4281" t="s">
        <v>646</v>
      </c>
      <c r="O4281" t="s">
        <v>632</v>
      </c>
    </row>
    <row r="4282" spans="1:15" x14ac:dyDescent="0.35">
      <c r="A4282" s="77">
        <v>3.287671232876712E-2</v>
      </c>
      <c r="B4282" s="19">
        <v>101481</v>
      </c>
      <c r="C4282" s="19" t="s">
        <v>6566</v>
      </c>
      <c r="D4282" s="19" t="s">
        <v>21</v>
      </c>
      <c r="E4282" s="19" t="s">
        <v>21</v>
      </c>
      <c r="F4282" s="19" t="s">
        <v>22</v>
      </c>
      <c r="G4282" s="19" t="s">
        <v>1084</v>
      </c>
      <c r="H4282" s="19" t="s">
        <v>1020</v>
      </c>
      <c r="I4282" s="19" t="s">
        <v>1575</v>
      </c>
      <c r="J4282" s="20">
        <v>40</v>
      </c>
      <c r="K4282" t="s">
        <v>654</v>
      </c>
      <c r="L4282" t="s">
        <v>656</v>
      </c>
      <c r="M4282" t="s">
        <v>657</v>
      </c>
      <c r="N4282" t="s">
        <v>658</v>
      </c>
      <c r="O4282" t="s">
        <v>659</v>
      </c>
    </row>
    <row r="4283" spans="1:15" x14ac:dyDescent="0.35">
      <c r="A4283" s="77">
        <v>3.287671232876712E-2</v>
      </c>
      <c r="B4283" s="19">
        <v>101482</v>
      </c>
      <c r="C4283" s="19" t="s">
        <v>6567</v>
      </c>
      <c r="D4283" s="19" t="s">
        <v>335</v>
      </c>
      <c r="E4283" s="19" t="s">
        <v>336</v>
      </c>
      <c r="F4283" s="19" t="s">
        <v>841</v>
      </c>
      <c r="G4283" s="19" t="s">
        <v>1008</v>
      </c>
      <c r="H4283" s="19" t="s">
        <v>1001</v>
      </c>
      <c r="I4283" s="19" t="s">
        <v>1599</v>
      </c>
      <c r="J4283" s="20">
        <v>30</v>
      </c>
      <c r="K4283" t="s">
        <v>636</v>
      </c>
      <c r="L4283" t="s">
        <v>622</v>
      </c>
      <c r="M4283" t="s">
        <v>623</v>
      </c>
      <c r="N4283" t="s">
        <v>624</v>
      </c>
      <c r="O4283" t="s">
        <v>649</v>
      </c>
    </row>
    <row r="4284" spans="1:15" x14ac:dyDescent="0.35">
      <c r="A4284" s="77">
        <v>3.287671232876712E-2</v>
      </c>
      <c r="B4284" s="19">
        <v>101483</v>
      </c>
      <c r="C4284" s="19" t="s">
        <v>6568</v>
      </c>
      <c r="D4284" s="19" t="s">
        <v>290</v>
      </c>
      <c r="E4284" s="19" t="s">
        <v>291</v>
      </c>
      <c r="F4284" s="19" t="s">
        <v>1182</v>
      </c>
      <c r="G4284" s="19" t="s">
        <v>1028</v>
      </c>
      <c r="H4284" s="19" t="s">
        <v>1020</v>
      </c>
      <c r="I4284" s="19" t="s">
        <v>1575</v>
      </c>
      <c r="J4284" s="20">
        <v>20</v>
      </c>
      <c r="K4284" t="s">
        <v>668</v>
      </c>
      <c r="L4284" t="s">
        <v>663</v>
      </c>
      <c r="M4284" t="s">
        <v>629</v>
      </c>
      <c r="N4284" t="s">
        <v>646</v>
      </c>
      <c r="O4284" t="s">
        <v>639</v>
      </c>
    </row>
    <row r="4285" spans="1:15" x14ac:dyDescent="0.35">
      <c r="A4285" s="77">
        <v>3.287671232876712E-2</v>
      </c>
      <c r="B4285" s="19">
        <v>101484</v>
      </c>
      <c r="C4285" s="19" t="s">
        <v>6569</v>
      </c>
      <c r="D4285" s="19" t="s">
        <v>47</v>
      </c>
      <c r="E4285" s="19" t="s">
        <v>48</v>
      </c>
      <c r="F4285" s="19" t="s">
        <v>1232</v>
      </c>
      <c r="G4285" s="19" t="s">
        <v>1028</v>
      </c>
      <c r="H4285" s="19" t="s">
        <v>1020</v>
      </c>
      <c r="I4285" s="19" t="s">
        <v>1599</v>
      </c>
      <c r="J4285" s="20">
        <v>20</v>
      </c>
      <c r="K4285" t="s">
        <v>636</v>
      </c>
      <c r="L4285" t="s">
        <v>622</v>
      </c>
      <c r="M4285" t="s">
        <v>623</v>
      </c>
      <c r="N4285" t="s">
        <v>624</v>
      </c>
      <c r="O4285" t="s">
        <v>649</v>
      </c>
    </row>
    <row r="4286" spans="1:15" x14ac:dyDescent="0.35">
      <c r="A4286" s="77">
        <v>3.287671232876712E-2</v>
      </c>
      <c r="B4286" s="19">
        <v>101485</v>
      </c>
      <c r="C4286" s="19" t="s">
        <v>6570</v>
      </c>
      <c r="D4286" s="19" t="s">
        <v>155</v>
      </c>
      <c r="E4286" s="19" t="s">
        <v>156</v>
      </c>
      <c r="F4286" s="19" t="s">
        <v>896</v>
      </c>
      <c r="G4286" s="19" t="s">
        <v>1028</v>
      </c>
      <c r="H4286" s="19" t="s">
        <v>1020</v>
      </c>
      <c r="I4286" s="19" t="s">
        <v>1575</v>
      </c>
      <c r="J4286" s="20">
        <v>19</v>
      </c>
      <c r="K4286" t="s">
        <v>636</v>
      </c>
      <c r="L4286" t="s">
        <v>663</v>
      </c>
      <c r="M4286" t="s">
        <v>629</v>
      </c>
      <c r="N4286" t="s">
        <v>646</v>
      </c>
      <c r="O4286" t="s">
        <v>639</v>
      </c>
    </row>
    <row r="4287" spans="1:15" x14ac:dyDescent="0.35">
      <c r="A4287" s="77">
        <v>3.287671232876712E-2</v>
      </c>
      <c r="B4287" s="19">
        <v>101486</v>
      </c>
      <c r="C4287" s="19" t="s">
        <v>6571</v>
      </c>
      <c r="D4287" s="19" t="s">
        <v>118</v>
      </c>
      <c r="E4287" s="19" t="s">
        <v>119</v>
      </c>
      <c r="F4287" s="19" t="s">
        <v>1360</v>
      </c>
      <c r="G4287" s="19" t="s">
        <v>1028</v>
      </c>
      <c r="H4287" s="19" t="s">
        <v>1020</v>
      </c>
      <c r="I4287" s="19" t="s">
        <v>1575</v>
      </c>
      <c r="J4287" s="20">
        <v>31</v>
      </c>
      <c r="K4287" t="s">
        <v>625</v>
      </c>
      <c r="L4287" t="s">
        <v>656</v>
      </c>
      <c r="M4287" t="s">
        <v>657</v>
      </c>
      <c r="N4287" t="s">
        <v>658</v>
      </c>
      <c r="O4287" t="s">
        <v>632</v>
      </c>
    </row>
    <row r="4288" spans="1:15" x14ac:dyDescent="0.35">
      <c r="A4288" s="77">
        <v>3.287671232876712E-2</v>
      </c>
      <c r="B4288" s="19">
        <v>101487</v>
      </c>
      <c r="C4288" s="19" t="s">
        <v>6572</v>
      </c>
      <c r="D4288" s="19" t="s">
        <v>118</v>
      </c>
      <c r="E4288" s="19" t="s">
        <v>119</v>
      </c>
      <c r="F4288" s="19" t="s">
        <v>1360</v>
      </c>
      <c r="G4288" s="19" t="s">
        <v>1028</v>
      </c>
      <c r="H4288" s="19" t="s">
        <v>1020</v>
      </c>
      <c r="I4288" s="19" t="s">
        <v>1575</v>
      </c>
      <c r="J4288" s="20">
        <v>19</v>
      </c>
      <c r="K4288" t="s">
        <v>625</v>
      </c>
      <c r="L4288" t="s">
        <v>656</v>
      </c>
      <c r="M4288" t="s">
        <v>657</v>
      </c>
      <c r="N4288" t="s">
        <v>658</v>
      </c>
      <c r="O4288" t="s">
        <v>632</v>
      </c>
    </row>
    <row r="4289" spans="1:15" x14ac:dyDescent="0.35">
      <c r="A4289" s="77">
        <v>3.287671232876712E-2</v>
      </c>
      <c r="B4289" s="19">
        <v>101488</v>
      </c>
      <c r="C4289" s="19" t="s">
        <v>6573</v>
      </c>
      <c r="D4289" s="19" t="s">
        <v>73</v>
      </c>
      <c r="E4289" s="19" t="s">
        <v>74</v>
      </c>
      <c r="F4289" s="19" t="s">
        <v>1178</v>
      </c>
      <c r="G4289" s="19" t="s">
        <v>1028</v>
      </c>
      <c r="H4289" s="19" t="s">
        <v>1020</v>
      </c>
      <c r="I4289" s="19" t="s">
        <v>1575</v>
      </c>
      <c r="J4289" s="20">
        <v>20</v>
      </c>
      <c r="K4289" t="s">
        <v>654</v>
      </c>
      <c r="L4289" t="s">
        <v>648</v>
      </c>
      <c r="M4289" t="s">
        <v>623</v>
      </c>
      <c r="N4289" t="s">
        <v>624</v>
      </c>
      <c r="O4289" t="s">
        <v>725</v>
      </c>
    </row>
    <row r="4290" spans="1:15" x14ac:dyDescent="0.35">
      <c r="A4290" s="77">
        <v>3.287671232876712E-2</v>
      </c>
      <c r="B4290" s="19">
        <v>101489</v>
      </c>
      <c r="C4290" s="19" t="s">
        <v>6574</v>
      </c>
      <c r="D4290" s="19" t="s">
        <v>335</v>
      </c>
      <c r="E4290" s="19" t="s">
        <v>336</v>
      </c>
      <c r="F4290" s="19" t="s">
        <v>841</v>
      </c>
      <c r="G4290" s="19" t="s">
        <v>1028</v>
      </c>
      <c r="H4290" s="19" t="s">
        <v>1020</v>
      </c>
      <c r="I4290" s="19" t="s">
        <v>1599</v>
      </c>
      <c r="J4290" s="20">
        <v>18</v>
      </c>
      <c r="K4290" t="s">
        <v>636</v>
      </c>
      <c r="L4290" t="s">
        <v>622</v>
      </c>
      <c r="M4290" t="s">
        <v>623</v>
      </c>
      <c r="N4290" t="s">
        <v>624</v>
      </c>
      <c r="O4290" t="s">
        <v>649</v>
      </c>
    </row>
    <row r="4291" spans="1:15" x14ac:dyDescent="0.35">
      <c r="A4291" s="77">
        <v>3.287671232876712E-2</v>
      </c>
      <c r="B4291" s="19">
        <v>101490</v>
      </c>
      <c r="C4291" s="19" t="s">
        <v>6575</v>
      </c>
      <c r="D4291" s="19" t="s">
        <v>159</v>
      </c>
      <c r="E4291" s="19" t="s">
        <v>160</v>
      </c>
      <c r="F4291" s="19" t="s">
        <v>1488</v>
      </c>
      <c r="G4291" s="19" t="s">
        <v>1008</v>
      </c>
      <c r="H4291" s="19" t="s">
        <v>1001</v>
      </c>
      <c r="I4291" s="19" t="s">
        <v>1575</v>
      </c>
      <c r="J4291" s="20">
        <v>29</v>
      </c>
      <c r="K4291" t="s">
        <v>654</v>
      </c>
      <c r="L4291" t="s">
        <v>678</v>
      </c>
      <c r="M4291" t="s">
        <v>623</v>
      </c>
      <c r="N4291" t="s">
        <v>624</v>
      </c>
      <c r="O4291" t="s">
        <v>679</v>
      </c>
    </row>
    <row r="4292" spans="1:15" x14ac:dyDescent="0.35">
      <c r="A4292" s="77">
        <v>3.287671232876712E-2</v>
      </c>
      <c r="B4292" s="19">
        <v>101491</v>
      </c>
      <c r="C4292" s="19" t="s">
        <v>6576</v>
      </c>
      <c r="D4292" s="19" t="s">
        <v>264</v>
      </c>
      <c r="E4292" s="19" t="s">
        <v>265</v>
      </c>
      <c r="F4292" s="19" t="s">
        <v>2526</v>
      </c>
      <c r="G4292" s="19" t="s">
        <v>1028</v>
      </c>
      <c r="H4292" s="19" t="s">
        <v>1020</v>
      </c>
      <c r="I4292" s="19" t="s">
        <v>1575</v>
      </c>
      <c r="J4292" s="20">
        <v>24</v>
      </c>
      <c r="K4292" t="s">
        <v>654</v>
      </c>
      <c r="L4292" t="s">
        <v>678</v>
      </c>
      <c r="M4292" t="s">
        <v>623</v>
      </c>
      <c r="N4292" t="s">
        <v>624</v>
      </c>
      <c r="O4292" t="s">
        <v>689</v>
      </c>
    </row>
    <row r="4293" spans="1:15" x14ac:dyDescent="0.35">
      <c r="A4293" s="77">
        <v>3.287671232876712E-2</v>
      </c>
      <c r="B4293" s="19">
        <v>101492</v>
      </c>
      <c r="C4293" s="19" t="s">
        <v>6577</v>
      </c>
      <c r="D4293" s="19" t="s">
        <v>42</v>
      </c>
      <c r="E4293" s="19" t="s">
        <v>42</v>
      </c>
      <c r="F4293" s="19" t="s">
        <v>1262</v>
      </c>
      <c r="G4293" s="19" t="s">
        <v>1028</v>
      </c>
      <c r="H4293" s="19" t="s">
        <v>1020</v>
      </c>
      <c r="I4293" s="19" t="s">
        <v>1575</v>
      </c>
      <c r="J4293" s="20">
        <v>21</v>
      </c>
      <c r="K4293" t="s">
        <v>625</v>
      </c>
      <c r="L4293" t="s">
        <v>628</v>
      </c>
      <c r="M4293" t="s">
        <v>629</v>
      </c>
      <c r="N4293" t="s">
        <v>630</v>
      </c>
      <c r="O4293" t="s">
        <v>632</v>
      </c>
    </row>
    <row r="4294" spans="1:15" x14ac:dyDescent="0.35">
      <c r="A4294" s="77">
        <v>3.287671232876712E-2</v>
      </c>
      <c r="B4294" s="19">
        <v>101493</v>
      </c>
      <c r="C4294" s="19" t="s">
        <v>6578</v>
      </c>
      <c r="D4294" s="19" t="s">
        <v>201</v>
      </c>
      <c r="E4294" s="19" t="s">
        <v>202</v>
      </c>
      <c r="F4294" s="19" t="s">
        <v>1061</v>
      </c>
      <c r="G4294" s="19" t="s">
        <v>1028</v>
      </c>
      <c r="H4294" s="19" t="s">
        <v>1020</v>
      </c>
      <c r="I4294" s="19" t="s">
        <v>1575</v>
      </c>
      <c r="J4294" s="20">
        <v>19</v>
      </c>
      <c r="K4294" t="s">
        <v>631</v>
      </c>
      <c r="L4294" t="s">
        <v>628</v>
      </c>
      <c r="M4294" t="s">
        <v>629</v>
      </c>
      <c r="N4294" t="s">
        <v>630</v>
      </c>
      <c r="O4294" t="s">
        <v>784</v>
      </c>
    </row>
    <row r="4295" spans="1:15" x14ac:dyDescent="0.35">
      <c r="A4295" s="77">
        <v>3.287671232876712E-2</v>
      </c>
      <c r="B4295" s="19">
        <v>101494</v>
      </c>
      <c r="C4295" s="19" t="s">
        <v>6579</v>
      </c>
      <c r="D4295" s="19" t="s">
        <v>318</v>
      </c>
      <c r="E4295" s="19" t="s">
        <v>319</v>
      </c>
      <c r="F4295" s="19" t="s">
        <v>1266</v>
      </c>
      <c r="G4295" s="19" t="s">
        <v>1008</v>
      </c>
      <c r="H4295" s="19" t="s">
        <v>1001</v>
      </c>
      <c r="I4295" s="19" t="s">
        <v>1575</v>
      </c>
      <c r="J4295" s="20">
        <v>23</v>
      </c>
      <c r="K4295" t="s">
        <v>625</v>
      </c>
      <c r="L4295" t="s">
        <v>678</v>
      </c>
      <c r="M4295" t="s">
        <v>623</v>
      </c>
      <c r="N4295" t="s">
        <v>624</v>
      </c>
      <c r="O4295" t="s">
        <v>679</v>
      </c>
    </row>
    <row r="4296" spans="1:15" x14ac:dyDescent="0.35">
      <c r="A4296" s="77">
        <v>3.0136986301369864E-2</v>
      </c>
      <c r="B4296" s="19">
        <v>101495</v>
      </c>
      <c r="C4296" s="19" t="s">
        <v>6580</v>
      </c>
      <c r="D4296" s="19" t="s">
        <v>149</v>
      </c>
      <c r="E4296" s="19" t="s">
        <v>150</v>
      </c>
      <c r="F4296" s="19" t="s">
        <v>1548</v>
      </c>
      <c r="G4296" s="19" t="s">
        <v>1028</v>
      </c>
      <c r="H4296" s="19" t="s">
        <v>1020</v>
      </c>
      <c r="I4296" s="19" t="s">
        <v>1575</v>
      </c>
      <c r="J4296" s="20">
        <v>20</v>
      </c>
      <c r="K4296" t="s">
        <v>654</v>
      </c>
      <c r="L4296" t="s">
        <v>648</v>
      </c>
      <c r="M4296" t="s">
        <v>623</v>
      </c>
      <c r="N4296" t="s">
        <v>624</v>
      </c>
      <c r="O4296" t="s">
        <v>725</v>
      </c>
    </row>
    <row r="4297" spans="1:15" x14ac:dyDescent="0.35">
      <c r="A4297" s="77">
        <v>3.0136986301369864E-2</v>
      </c>
      <c r="B4297" s="19">
        <v>101496</v>
      </c>
      <c r="C4297" s="19" t="s">
        <v>6581</v>
      </c>
      <c r="D4297" s="19" t="s">
        <v>260</v>
      </c>
      <c r="E4297" s="19" t="s">
        <v>261</v>
      </c>
      <c r="F4297" s="19" t="s">
        <v>1109</v>
      </c>
      <c r="G4297" s="19" t="s">
        <v>1028</v>
      </c>
      <c r="H4297" s="19" t="s">
        <v>1020</v>
      </c>
      <c r="I4297" s="19" t="s">
        <v>1575</v>
      </c>
      <c r="J4297" s="20">
        <v>20</v>
      </c>
      <c r="K4297" t="s">
        <v>636</v>
      </c>
      <c r="L4297" t="s">
        <v>656</v>
      </c>
      <c r="M4297" t="s">
        <v>657</v>
      </c>
      <c r="N4297" t="s">
        <v>658</v>
      </c>
      <c r="O4297" t="s">
        <v>808</v>
      </c>
    </row>
    <row r="4298" spans="1:15" x14ac:dyDescent="0.35">
      <c r="A4298" s="77">
        <v>3.287671232876712E-2</v>
      </c>
      <c r="B4298" s="19">
        <v>101497</v>
      </c>
      <c r="C4298" s="19" t="s">
        <v>6582</v>
      </c>
      <c r="D4298" s="19" t="s">
        <v>379</v>
      </c>
      <c r="E4298" s="19" t="s">
        <v>380</v>
      </c>
      <c r="F4298" s="19" t="s">
        <v>381</v>
      </c>
      <c r="G4298" s="19" t="s">
        <v>1028</v>
      </c>
      <c r="H4298" s="19" t="s">
        <v>1020</v>
      </c>
      <c r="I4298" s="19" t="s">
        <v>1575</v>
      </c>
      <c r="J4298" s="20">
        <v>19</v>
      </c>
      <c r="K4298" t="s">
        <v>636</v>
      </c>
      <c r="L4298" t="s">
        <v>628</v>
      </c>
      <c r="M4298" t="s">
        <v>629</v>
      </c>
      <c r="N4298" t="s">
        <v>630</v>
      </c>
      <c r="O4298" t="s">
        <v>632</v>
      </c>
    </row>
    <row r="4299" spans="1:15" x14ac:dyDescent="0.35">
      <c r="A4299" s="77">
        <v>3.287671232876712E-2</v>
      </c>
      <c r="B4299" s="19">
        <v>101498</v>
      </c>
      <c r="C4299" s="19" t="s">
        <v>6583</v>
      </c>
      <c r="D4299" s="19" t="s">
        <v>429</v>
      </c>
      <c r="E4299" s="19" t="s">
        <v>429</v>
      </c>
      <c r="F4299" s="19" t="s">
        <v>1240</v>
      </c>
      <c r="G4299" s="19" t="s">
        <v>1008</v>
      </c>
      <c r="H4299" s="19" t="s">
        <v>1001</v>
      </c>
      <c r="I4299" s="19" t="s">
        <v>1575</v>
      </c>
      <c r="J4299" s="20">
        <v>20</v>
      </c>
      <c r="K4299" t="s">
        <v>654</v>
      </c>
      <c r="L4299" t="s">
        <v>678</v>
      </c>
      <c r="M4299" t="s">
        <v>623</v>
      </c>
      <c r="N4299" t="s">
        <v>624</v>
      </c>
      <c r="O4299" t="s">
        <v>679</v>
      </c>
    </row>
    <row r="4300" spans="1:15" x14ac:dyDescent="0.35">
      <c r="A4300" s="77">
        <v>3.287671232876712E-2</v>
      </c>
      <c r="B4300" s="19">
        <v>101499</v>
      </c>
      <c r="C4300" s="19" t="s">
        <v>6584</v>
      </c>
      <c r="D4300" s="19" t="s">
        <v>375</v>
      </c>
      <c r="E4300" s="19" t="s">
        <v>376</v>
      </c>
      <c r="F4300" s="19" t="s">
        <v>1270</v>
      </c>
      <c r="G4300" s="19" t="s">
        <v>1028</v>
      </c>
      <c r="H4300" s="19" t="s">
        <v>1020</v>
      </c>
      <c r="I4300" s="19" t="s">
        <v>1575</v>
      </c>
      <c r="J4300" s="20">
        <v>25</v>
      </c>
      <c r="K4300" t="s">
        <v>636</v>
      </c>
      <c r="L4300" t="s">
        <v>678</v>
      </c>
      <c r="M4300" t="s">
        <v>623</v>
      </c>
      <c r="N4300" t="s">
        <v>624</v>
      </c>
      <c r="O4300" t="s">
        <v>679</v>
      </c>
    </row>
    <row r="4301" spans="1:15" x14ac:dyDescent="0.35">
      <c r="A4301" s="77">
        <v>2.7397260273972601E-2</v>
      </c>
      <c r="B4301" s="19">
        <v>101500</v>
      </c>
      <c r="C4301" s="19" t="s">
        <v>6585</v>
      </c>
      <c r="D4301" s="19" t="s">
        <v>68</v>
      </c>
      <c r="E4301" s="19" t="s">
        <v>69</v>
      </c>
      <c r="F4301" s="19" t="s">
        <v>1078</v>
      </c>
      <c r="G4301" s="19" t="s">
        <v>1028</v>
      </c>
      <c r="H4301" s="19" t="s">
        <v>1020</v>
      </c>
      <c r="I4301" s="19" t="s">
        <v>1575</v>
      </c>
      <c r="J4301" s="20">
        <v>18</v>
      </c>
      <c r="K4301" t="s">
        <v>636</v>
      </c>
      <c r="L4301" t="s">
        <v>670</v>
      </c>
      <c r="M4301" t="s">
        <v>657</v>
      </c>
      <c r="N4301" t="s">
        <v>641</v>
      </c>
      <c r="O4301" t="s">
        <v>671</v>
      </c>
    </row>
    <row r="4302" spans="1:15" x14ac:dyDescent="0.35">
      <c r="A4302" s="77">
        <v>2.7397260273972601E-2</v>
      </c>
      <c r="B4302" s="19">
        <v>101501</v>
      </c>
      <c r="C4302" s="19" t="s">
        <v>2458</v>
      </c>
      <c r="D4302" s="19" t="s">
        <v>68</v>
      </c>
      <c r="E4302" s="19" t="s">
        <v>69</v>
      </c>
      <c r="F4302" s="19" t="s">
        <v>1078</v>
      </c>
      <c r="G4302" s="19" t="s">
        <v>1028</v>
      </c>
      <c r="H4302" s="19" t="s">
        <v>1020</v>
      </c>
      <c r="I4302" s="19" t="s">
        <v>1575</v>
      </c>
      <c r="J4302" s="20">
        <v>39</v>
      </c>
      <c r="K4302" t="s">
        <v>636</v>
      </c>
      <c r="L4302" t="s">
        <v>670</v>
      </c>
      <c r="M4302" t="s">
        <v>657</v>
      </c>
      <c r="N4302" t="s">
        <v>641</v>
      </c>
      <c r="O4302" t="s">
        <v>671</v>
      </c>
    </row>
    <row r="4303" spans="1:15" x14ac:dyDescent="0.35">
      <c r="A4303" s="77">
        <v>2.7397260273972601E-2</v>
      </c>
      <c r="B4303" s="19">
        <v>101502</v>
      </c>
      <c r="C4303" s="19" t="s">
        <v>6586</v>
      </c>
      <c r="D4303" s="19" t="s">
        <v>28</v>
      </c>
      <c r="E4303" s="19" t="s">
        <v>28</v>
      </c>
      <c r="F4303" s="19" t="s">
        <v>916</v>
      </c>
      <c r="G4303" s="19" t="s">
        <v>1084</v>
      </c>
      <c r="H4303" s="19" t="s">
        <v>1020</v>
      </c>
      <c r="I4303" s="19" t="s">
        <v>1599</v>
      </c>
      <c r="J4303" s="20">
        <v>25</v>
      </c>
      <c r="K4303" t="s">
        <v>654</v>
      </c>
      <c r="L4303" t="s">
        <v>670</v>
      </c>
      <c r="M4303" t="s">
        <v>657</v>
      </c>
      <c r="N4303" t="s">
        <v>641</v>
      </c>
      <c r="O4303" t="s">
        <v>671</v>
      </c>
    </row>
    <row r="4304" spans="1:15" x14ac:dyDescent="0.35">
      <c r="A4304" s="77">
        <v>2.7397260273972601E-2</v>
      </c>
      <c r="B4304" s="19">
        <v>101503</v>
      </c>
      <c r="C4304" s="19" t="s">
        <v>6587</v>
      </c>
      <c r="D4304" s="19" t="s">
        <v>197</v>
      </c>
      <c r="E4304" s="19" t="s">
        <v>198</v>
      </c>
      <c r="F4304" s="19" t="s">
        <v>1297</v>
      </c>
      <c r="G4304" s="19" t="s">
        <v>1028</v>
      </c>
      <c r="H4304" s="19" t="s">
        <v>1020</v>
      </c>
      <c r="I4304" s="19" t="s">
        <v>1575</v>
      </c>
      <c r="J4304" s="20">
        <v>24</v>
      </c>
      <c r="K4304" t="s">
        <v>654</v>
      </c>
      <c r="L4304" t="s">
        <v>645</v>
      </c>
      <c r="M4304" t="s">
        <v>629</v>
      </c>
      <c r="N4304" t="s">
        <v>646</v>
      </c>
      <c r="O4304" t="s">
        <v>632</v>
      </c>
    </row>
    <row r="4305" spans="1:15" x14ac:dyDescent="0.35">
      <c r="A4305" s="77">
        <v>2.7397260273972601E-2</v>
      </c>
      <c r="B4305" s="19">
        <v>101504</v>
      </c>
      <c r="C4305" s="19" t="s">
        <v>6588</v>
      </c>
      <c r="D4305" s="19" t="s">
        <v>41</v>
      </c>
      <c r="E4305" s="19" t="s">
        <v>41</v>
      </c>
      <c r="F4305" s="19" t="s">
        <v>1157</v>
      </c>
      <c r="G4305" s="19" t="s">
        <v>1028</v>
      </c>
      <c r="H4305" s="19" t="s">
        <v>1020</v>
      </c>
      <c r="I4305" s="19" t="s">
        <v>1575</v>
      </c>
      <c r="J4305" s="20">
        <v>35</v>
      </c>
      <c r="K4305" t="s">
        <v>625</v>
      </c>
      <c r="L4305" t="s">
        <v>691</v>
      </c>
      <c r="M4305" t="s">
        <v>657</v>
      </c>
      <c r="N4305" t="s">
        <v>658</v>
      </c>
      <c r="O4305" t="s">
        <v>632</v>
      </c>
    </row>
    <row r="4306" spans="1:15" x14ac:dyDescent="0.35">
      <c r="A4306" s="77">
        <v>2.7397260273972601E-2</v>
      </c>
      <c r="B4306" s="19">
        <v>101506</v>
      </c>
      <c r="C4306" s="19" t="s">
        <v>6589</v>
      </c>
      <c r="D4306" s="19" t="s">
        <v>41</v>
      </c>
      <c r="E4306" s="19" t="s">
        <v>41</v>
      </c>
      <c r="F4306" s="19" t="s">
        <v>1157</v>
      </c>
      <c r="G4306" s="19" t="s">
        <v>1028</v>
      </c>
      <c r="H4306" s="19" t="s">
        <v>1020</v>
      </c>
      <c r="I4306" s="19" t="s">
        <v>1575</v>
      </c>
      <c r="J4306" s="20">
        <v>23</v>
      </c>
      <c r="K4306" t="s">
        <v>625</v>
      </c>
      <c r="L4306" t="s">
        <v>691</v>
      </c>
      <c r="M4306" t="s">
        <v>657</v>
      </c>
      <c r="N4306" t="s">
        <v>658</v>
      </c>
      <c r="O4306" t="s">
        <v>632</v>
      </c>
    </row>
    <row r="4307" spans="1:15" x14ac:dyDescent="0.35">
      <c r="A4307" s="77">
        <v>2.7397260273972601E-2</v>
      </c>
      <c r="B4307" s="19">
        <v>101507</v>
      </c>
      <c r="C4307" s="19" t="s">
        <v>6590</v>
      </c>
      <c r="D4307" s="19" t="s">
        <v>41</v>
      </c>
      <c r="E4307" s="19" t="s">
        <v>41</v>
      </c>
      <c r="F4307" s="19" t="s">
        <v>1157</v>
      </c>
      <c r="G4307" s="19" t="s">
        <v>1028</v>
      </c>
      <c r="H4307" s="19" t="s">
        <v>1020</v>
      </c>
      <c r="I4307" s="19" t="s">
        <v>1575</v>
      </c>
      <c r="J4307" s="20">
        <v>20</v>
      </c>
      <c r="K4307" t="s">
        <v>625</v>
      </c>
      <c r="L4307" t="s">
        <v>691</v>
      </c>
      <c r="M4307" t="s">
        <v>657</v>
      </c>
      <c r="N4307" t="s">
        <v>658</v>
      </c>
      <c r="O4307" t="s">
        <v>632</v>
      </c>
    </row>
    <row r="4308" spans="1:15" x14ac:dyDescent="0.35">
      <c r="A4308" s="77">
        <v>2.7397260273972601E-2</v>
      </c>
      <c r="B4308" s="19">
        <v>101508</v>
      </c>
      <c r="C4308" s="19" t="s">
        <v>6591</v>
      </c>
      <c r="D4308" s="19" t="s">
        <v>115</v>
      </c>
      <c r="E4308" s="19" t="s">
        <v>116</v>
      </c>
      <c r="F4308" s="19" t="s">
        <v>1383</v>
      </c>
      <c r="G4308" s="19" t="s">
        <v>1028</v>
      </c>
      <c r="H4308" s="19" t="s">
        <v>1020</v>
      </c>
      <c r="I4308" s="19" t="s">
        <v>1575</v>
      </c>
      <c r="J4308" s="20">
        <v>26</v>
      </c>
      <c r="K4308" t="s">
        <v>631</v>
      </c>
      <c r="L4308" t="s">
        <v>670</v>
      </c>
      <c r="M4308" t="s">
        <v>657</v>
      </c>
      <c r="N4308" t="s">
        <v>641</v>
      </c>
      <c r="O4308" t="s">
        <v>671</v>
      </c>
    </row>
    <row r="4309" spans="1:15" x14ac:dyDescent="0.35">
      <c r="A4309" s="77">
        <v>2.7397260273972601E-2</v>
      </c>
      <c r="B4309" s="19">
        <v>101509</v>
      </c>
      <c r="C4309" s="19" t="s">
        <v>6592</v>
      </c>
      <c r="D4309" s="19" t="s">
        <v>195</v>
      </c>
      <c r="E4309" s="19" t="s">
        <v>196</v>
      </c>
      <c r="F4309" s="19" t="s">
        <v>908</v>
      </c>
      <c r="G4309" s="19" t="s">
        <v>1028</v>
      </c>
      <c r="H4309" s="19" t="s">
        <v>1020</v>
      </c>
      <c r="I4309" s="19" t="s">
        <v>1599</v>
      </c>
      <c r="J4309" s="20">
        <v>23</v>
      </c>
      <c r="K4309" t="s">
        <v>636</v>
      </c>
      <c r="L4309" t="s">
        <v>670</v>
      </c>
      <c r="M4309" t="s">
        <v>657</v>
      </c>
      <c r="N4309" t="s">
        <v>641</v>
      </c>
      <c r="O4309" t="s">
        <v>676</v>
      </c>
    </row>
    <row r="4310" spans="1:15" x14ac:dyDescent="0.35">
      <c r="A4310" s="77">
        <v>2.7397260273972601E-2</v>
      </c>
      <c r="B4310" s="19">
        <v>101510</v>
      </c>
      <c r="C4310" s="19" t="s">
        <v>6593</v>
      </c>
      <c r="D4310" s="19" t="s">
        <v>93</v>
      </c>
      <c r="E4310" s="19" t="s">
        <v>94</v>
      </c>
      <c r="F4310" s="19" t="s">
        <v>919</v>
      </c>
      <c r="G4310" s="19" t="s">
        <v>1028</v>
      </c>
      <c r="H4310" s="19" t="s">
        <v>1020</v>
      </c>
      <c r="I4310" s="19" t="s">
        <v>1575</v>
      </c>
      <c r="J4310" s="20">
        <v>21</v>
      </c>
      <c r="K4310" t="s">
        <v>654</v>
      </c>
      <c r="L4310" t="s">
        <v>691</v>
      </c>
      <c r="M4310" t="s">
        <v>657</v>
      </c>
      <c r="N4310" t="s">
        <v>658</v>
      </c>
      <c r="O4310" t="s">
        <v>632</v>
      </c>
    </row>
    <row r="4311" spans="1:15" x14ac:dyDescent="0.35">
      <c r="A4311" s="77">
        <v>2.7397260273972601E-2</v>
      </c>
      <c r="B4311" s="19">
        <v>101511</v>
      </c>
      <c r="C4311" s="19" t="s">
        <v>6594</v>
      </c>
      <c r="D4311" s="19" t="s">
        <v>93</v>
      </c>
      <c r="E4311" s="19" t="s">
        <v>94</v>
      </c>
      <c r="F4311" s="19" t="s">
        <v>919</v>
      </c>
      <c r="G4311" s="19" t="s">
        <v>1019</v>
      </c>
      <c r="H4311" s="19" t="s">
        <v>1020</v>
      </c>
      <c r="I4311" s="19" t="s">
        <v>1575</v>
      </c>
      <c r="J4311" s="20">
        <v>19</v>
      </c>
      <c r="K4311" t="s">
        <v>654</v>
      </c>
      <c r="L4311" t="s">
        <v>691</v>
      </c>
      <c r="M4311" t="s">
        <v>657</v>
      </c>
      <c r="N4311" t="s">
        <v>658</v>
      </c>
      <c r="O4311" t="s">
        <v>632</v>
      </c>
    </row>
    <row r="4312" spans="1:15" x14ac:dyDescent="0.35">
      <c r="A4312" s="77">
        <v>2.4657534246575342E-2</v>
      </c>
      <c r="B4312" s="19">
        <v>101512</v>
      </c>
      <c r="C4312" s="19" t="s">
        <v>6595</v>
      </c>
      <c r="D4312" s="19" t="s">
        <v>282</v>
      </c>
      <c r="E4312" s="19" t="s">
        <v>283</v>
      </c>
      <c r="F4312" s="19" t="s">
        <v>1417</v>
      </c>
      <c r="G4312" s="19" t="s">
        <v>1008</v>
      </c>
      <c r="H4312" s="19" t="s">
        <v>1001</v>
      </c>
      <c r="I4312" s="19" t="s">
        <v>1575</v>
      </c>
      <c r="J4312" s="20">
        <v>21</v>
      </c>
      <c r="K4312" t="s">
        <v>668</v>
      </c>
      <c r="L4312" t="s">
        <v>645</v>
      </c>
      <c r="M4312" t="s">
        <v>629</v>
      </c>
      <c r="N4312" t="s">
        <v>646</v>
      </c>
      <c r="O4312" t="s">
        <v>632</v>
      </c>
    </row>
    <row r="4313" spans="1:15" x14ac:dyDescent="0.35">
      <c r="A4313" s="77">
        <v>2.7397260273972601E-2</v>
      </c>
      <c r="B4313" s="19">
        <v>101513</v>
      </c>
      <c r="C4313" s="19" t="s">
        <v>6596</v>
      </c>
      <c r="D4313" s="19" t="s">
        <v>328</v>
      </c>
      <c r="E4313" s="19" t="s">
        <v>329</v>
      </c>
      <c r="F4313" s="19" t="s">
        <v>838</v>
      </c>
      <c r="G4313" s="19" t="s">
        <v>1028</v>
      </c>
      <c r="H4313" s="19" t="s">
        <v>1020</v>
      </c>
      <c r="I4313" s="19" t="s">
        <v>1575</v>
      </c>
      <c r="J4313" s="20">
        <v>19</v>
      </c>
      <c r="K4313" t="s">
        <v>631</v>
      </c>
      <c r="L4313" t="s">
        <v>645</v>
      </c>
      <c r="M4313" t="s">
        <v>629</v>
      </c>
      <c r="N4313" t="s">
        <v>646</v>
      </c>
      <c r="O4313" t="s">
        <v>632</v>
      </c>
    </row>
    <row r="4314" spans="1:15" x14ac:dyDescent="0.35">
      <c r="A4314" s="77">
        <v>2.7397260273972601E-2</v>
      </c>
      <c r="B4314" s="19">
        <v>101514</v>
      </c>
      <c r="C4314" s="19" t="s">
        <v>6597</v>
      </c>
      <c r="D4314" s="19" t="s">
        <v>169</v>
      </c>
      <c r="E4314" s="19" t="s">
        <v>170</v>
      </c>
      <c r="F4314" s="19" t="s">
        <v>1274</v>
      </c>
      <c r="G4314" s="19" t="s">
        <v>1028</v>
      </c>
      <c r="H4314" s="19" t="s">
        <v>1020</v>
      </c>
      <c r="I4314" s="19" t="s">
        <v>1575</v>
      </c>
      <c r="J4314" s="20">
        <v>22</v>
      </c>
      <c r="K4314" t="s">
        <v>631</v>
      </c>
      <c r="L4314" t="s">
        <v>670</v>
      </c>
      <c r="M4314" t="s">
        <v>657</v>
      </c>
      <c r="N4314" t="s">
        <v>641</v>
      </c>
      <c r="O4314" t="s">
        <v>772</v>
      </c>
    </row>
    <row r="4315" spans="1:15" x14ac:dyDescent="0.35">
      <c r="A4315" s="77">
        <v>2.7397260273972601E-2</v>
      </c>
      <c r="B4315" s="19">
        <v>101515</v>
      </c>
      <c r="C4315" s="19" t="s">
        <v>6598</v>
      </c>
      <c r="D4315" s="19" t="s">
        <v>218</v>
      </c>
      <c r="E4315" s="19" t="s">
        <v>219</v>
      </c>
      <c r="F4315" s="19" t="s">
        <v>1372</v>
      </c>
      <c r="G4315" s="19" t="s">
        <v>1028</v>
      </c>
      <c r="H4315" s="19" t="s">
        <v>1020</v>
      </c>
      <c r="I4315" s="19" t="s">
        <v>1575</v>
      </c>
      <c r="J4315" s="20">
        <v>21</v>
      </c>
      <c r="K4315" t="s">
        <v>625</v>
      </c>
      <c r="L4315" t="s">
        <v>661</v>
      </c>
      <c r="M4315" t="s">
        <v>657</v>
      </c>
      <c r="N4315" t="s">
        <v>662</v>
      </c>
      <c r="O4315" t="s">
        <v>632</v>
      </c>
    </row>
    <row r="4316" spans="1:15" x14ac:dyDescent="0.35">
      <c r="A4316" s="77">
        <v>2.7397260273972601E-2</v>
      </c>
      <c r="B4316" s="19">
        <v>101516</v>
      </c>
      <c r="C4316" s="19" t="s">
        <v>6599</v>
      </c>
      <c r="D4316" s="19" t="s">
        <v>218</v>
      </c>
      <c r="E4316" s="19" t="s">
        <v>219</v>
      </c>
      <c r="F4316" s="19" t="s">
        <v>1372</v>
      </c>
      <c r="G4316" s="19" t="s">
        <v>1028</v>
      </c>
      <c r="H4316" s="19" t="s">
        <v>1020</v>
      </c>
      <c r="I4316" s="19" t="s">
        <v>1575</v>
      </c>
      <c r="J4316" s="20">
        <v>21</v>
      </c>
      <c r="K4316" t="s">
        <v>625</v>
      </c>
      <c r="L4316" t="s">
        <v>661</v>
      </c>
      <c r="M4316" t="s">
        <v>657</v>
      </c>
      <c r="N4316" t="s">
        <v>662</v>
      </c>
      <c r="O4316" t="s">
        <v>632</v>
      </c>
    </row>
    <row r="4317" spans="1:15" x14ac:dyDescent="0.35">
      <c r="A4317" s="77">
        <v>2.7397260273972601E-2</v>
      </c>
      <c r="B4317" s="19">
        <v>101517</v>
      </c>
      <c r="C4317" s="19" t="s">
        <v>6600</v>
      </c>
      <c r="D4317" s="19" t="s">
        <v>23</v>
      </c>
      <c r="E4317" s="19" t="s">
        <v>23</v>
      </c>
      <c r="F4317" s="19" t="s">
        <v>660</v>
      </c>
      <c r="G4317" s="19" t="s">
        <v>1019</v>
      </c>
      <c r="H4317" s="19" t="s">
        <v>1020</v>
      </c>
      <c r="I4317" s="19" t="s">
        <v>1599</v>
      </c>
      <c r="J4317" s="20">
        <v>20</v>
      </c>
      <c r="K4317" t="s">
        <v>631</v>
      </c>
      <c r="L4317" t="s">
        <v>661</v>
      </c>
      <c r="M4317" t="s">
        <v>657</v>
      </c>
      <c r="N4317" t="s">
        <v>662</v>
      </c>
      <c r="O4317" t="s">
        <v>632</v>
      </c>
    </row>
    <row r="4318" spans="1:15" x14ac:dyDescent="0.35">
      <c r="A4318" s="77">
        <v>2.7397260273972601E-2</v>
      </c>
      <c r="B4318" s="19">
        <v>101518</v>
      </c>
      <c r="C4318" s="19" t="s">
        <v>6601</v>
      </c>
      <c r="D4318" s="19" t="s">
        <v>278</v>
      </c>
      <c r="E4318" s="19" t="s">
        <v>279</v>
      </c>
      <c r="F4318" s="19" t="s">
        <v>1131</v>
      </c>
      <c r="G4318" s="19" t="s">
        <v>1028</v>
      </c>
      <c r="H4318" s="19" t="s">
        <v>1020</v>
      </c>
      <c r="I4318" s="19" t="s">
        <v>1599</v>
      </c>
      <c r="J4318" s="20">
        <v>19</v>
      </c>
      <c r="K4318" t="s">
        <v>625</v>
      </c>
      <c r="L4318" t="s">
        <v>661</v>
      </c>
      <c r="M4318" t="s">
        <v>657</v>
      </c>
      <c r="N4318" t="s">
        <v>662</v>
      </c>
      <c r="O4318" t="s">
        <v>632</v>
      </c>
    </row>
    <row r="4319" spans="1:15" x14ac:dyDescent="0.35">
      <c r="A4319" s="77">
        <v>2.7397260273972601E-2</v>
      </c>
      <c r="B4319" s="19">
        <v>101519</v>
      </c>
      <c r="C4319" s="19" t="s">
        <v>6602</v>
      </c>
      <c r="D4319" s="19" t="s">
        <v>211</v>
      </c>
      <c r="E4319" s="19" t="s">
        <v>212</v>
      </c>
      <c r="F4319" s="19" t="s">
        <v>1049</v>
      </c>
      <c r="G4319" s="19" t="s">
        <v>1028</v>
      </c>
      <c r="H4319" s="19" t="s">
        <v>1020</v>
      </c>
      <c r="I4319" s="19" t="s">
        <v>1575</v>
      </c>
      <c r="J4319" s="20">
        <v>20</v>
      </c>
      <c r="K4319" t="s">
        <v>654</v>
      </c>
      <c r="L4319" t="s">
        <v>691</v>
      </c>
      <c r="M4319" t="s">
        <v>657</v>
      </c>
      <c r="N4319" t="s">
        <v>658</v>
      </c>
      <c r="O4319" t="s">
        <v>632</v>
      </c>
    </row>
    <row r="4320" spans="1:15" x14ac:dyDescent="0.35">
      <c r="A4320" s="77">
        <v>2.7397260273972601E-2</v>
      </c>
      <c r="B4320" s="19">
        <v>101520</v>
      </c>
      <c r="C4320" s="19" t="s">
        <v>6603</v>
      </c>
      <c r="D4320" s="19" t="s">
        <v>421</v>
      </c>
      <c r="E4320" s="19" t="s">
        <v>421</v>
      </c>
      <c r="F4320" s="19" t="s">
        <v>698</v>
      </c>
      <c r="G4320" s="19" t="s">
        <v>1008</v>
      </c>
      <c r="H4320" s="19" t="s">
        <v>1001</v>
      </c>
      <c r="I4320" s="19" t="s">
        <v>1575</v>
      </c>
      <c r="J4320" s="20">
        <v>22</v>
      </c>
      <c r="K4320" t="s">
        <v>636</v>
      </c>
      <c r="L4320" t="s">
        <v>678</v>
      </c>
      <c r="M4320" t="s">
        <v>623</v>
      </c>
      <c r="N4320" t="s">
        <v>624</v>
      </c>
      <c r="O4320" t="s">
        <v>679</v>
      </c>
    </row>
    <row r="4321" spans="1:15" x14ac:dyDescent="0.35">
      <c r="A4321" s="77">
        <v>2.7397260273972601E-2</v>
      </c>
      <c r="B4321" s="19">
        <v>101521</v>
      </c>
      <c r="C4321" s="19" t="s">
        <v>6604</v>
      </c>
      <c r="D4321" s="19" t="s">
        <v>387</v>
      </c>
      <c r="E4321" s="19" t="s">
        <v>388</v>
      </c>
      <c r="F4321" s="19" t="s">
        <v>1142</v>
      </c>
      <c r="G4321" s="19" t="s">
        <v>1028</v>
      </c>
      <c r="H4321" s="19" t="s">
        <v>1020</v>
      </c>
      <c r="I4321" s="19" t="s">
        <v>1575</v>
      </c>
      <c r="J4321" s="20">
        <v>22</v>
      </c>
      <c r="K4321" t="s">
        <v>642</v>
      </c>
      <c r="L4321" t="s">
        <v>634</v>
      </c>
      <c r="M4321" t="s">
        <v>629</v>
      </c>
      <c r="N4321" t="s">
        <v>630</v>
      </c>
      <c r="O4321" t="s">
        <v>734</v>
      </c>
    </row>
    <row r="4322" spans="1:15" x14ac:dyDescent="0.35">
      <c r="A4322" s="77">
        <v>2.7397260273972601E-2</v>
      </c>
      <c r="B4322" s="19">
        <v>101522</v>
      </c>
      <c r="C4322" s="19" t="s">
        <v>6605</v>
      </c>
      <c r="D4322" s="19" t="s">
        <v>206</v>
      </c>
      <c r="E4322" s="19" t="s">
        <v>207</v>
      </c>
      <c r="F4322" s="19" t="s">
        <v>2447</v>
      </c>
      <c r="G4322" s="19" t="s">
        <v>1028</v>
      </c>
      <c r="H4322" s="19" t="s">
        <v>1020</v>
      </c>
      <c r="I4322" s="19" t="s">
        <v>1575</v>
      </c>
      <c r="J4322" s="20">
        <v>32</v>
      </c>
      <c r="K4322" t="s">
        <v>668</v>
      </c>
      <c r="L4322" t="s">
        <v>666</v>
      </c>
      <c r="M4322" t="s">
        <v>629</v>
      </c>
      <c r="N4322" t="s">
        <v>630</v>
      </c>
      <c r="O4322" t="s">
        <v>652</v>
      </c>
    </row>
    <row r="4323" spans="1:15" x14ac:dyDescent="0.35">
      <c r="A4323" s="77">
        <v>2.7397260273972601E-2</v>
      </c>
      <c r="B4323" s="19">
        <v>101523</v>
      </c>
      <c r="C4323" s="19" t="s">
        <v>6606</v>
      </c>
      <c r="D4323" s="19" t="s">
        <v>178</v>
      </c>
      <c r="E4323" s="19" t="s">
        <v>179</v>
      </c>
      <c r="F4323" s="19" t="s">
        <v>2407</v>
      </c>
      <c r="G4323" s="19" t="s">
        <v>1019</v>
      </c>
      <c r="H4323" s="19" t="s">
        <v>1020</v>
      </c>
      <c r="I4323" s="19" t="s">
        <v>1599</v>
      </c>
      <c r="J4323" s="20">
        <v>21</v>
      </c>
      <c r="K4323" t="s">
        <v>636</v>
      </c>
      <c r="L4323" t="s">
        <v>684</v>
      </c>
      <c r="M4323" t="s">
        <v>623</v>
      </c>
      <c r="N4323" t="s">
        <v>662</v>
      </c>
      <c r="O4323" t="s">
        <v>775</v>
      </c>
    </row>
    <row r="4324" spans="1:15" x14ac:dyDescent="0.35">
      <c r="A4324" s="77">
        <v>2.7397260273972601E-2</v>
      </c>
      <c r="B4324" s="19">
        <v>101525</v>
      </c>
      <c r="C4324" s="19" t="s">
        <v>6607</v>
      </c>
      <c r="D4324" s="19" t="s">
        <v>126</v>
      </c>
      <c r="E4324" s="19" t="s">
        <v>127</v>
      </c>
      <c r="F4324" s="19" t="s">
        <v>1152</v>
      </c>
      <c r="G4324" s="19" t="s">
        <v>1028</v>
      </c>
      <c r="H4324" s="19" t="s">
        <v>1020</v>
      </c>
      <c r="I4324" s="19" t="s">
        <v>1575</v>
      </c>
      <c r="J4324" s="20">
        <v>23</v>
      </c>
      <c r="K4324" t="s">
        <v>654</v>
      </c>
      <c r="L4324" t="s">
        <v>628</v>
      </c>
      <c r="M4324" t="s">
        <v>629</v>
      </c>
      <c r="N4324" t="s">
        <v>630</v>
      </c>
      <c r="O4324" t="s">
        <v>632</v>
      </c>
    </row>
    <row r="4325" spans="1:15" x14ac:dyDescent="0.35">
      <c r="A4325" s="77">
        <v>2.7397260273972601E-2</v>
      </c>
      <c r="B4325" s="19">
        <v>101526</v>
      </c>
      <c r="C4325" s="19" t="s">
        <v>6608</v>
      </c>
      <c r="D4325" s="19" t="s">
        <v>409</v>
      </c>
      <c r="E4325" s="19" t="s">
        <v>410</v>
      </c>
      <c r="F4325" s="19" t="s">
        <v>874</v>
      </c>
      <c r="G4325" s="19" t="s">
        <v>1019</v>
      </c>
      <c r="H4325" s="19" t="s">
        <v>1020</v>
      </c>
      <c r="I4325" s="19" t="s">
        <v>1575</v>
      </c>
      <c r="J4325" s="20">
        <v>25</v>
      </c>
      <c r="K4325" t="s">
        <v>631</v>
      </c>
      <c r="L4325" t="s">
        <v>666</v>
      </c>
      <c r="M4325" t="s">
        <v>629</v>
      </c>
      <c r="N4325" t="s">
        <v>635</v>
      </c>
      <c r="O4325" t="s">
        <v>637</v>
      </c>
    </row>
    <row r="4326" spans="1:15" x14ac:dyDescent="0.35">
      <c r="A4326" s="77">
        <v>2.7397260273972601E-2</v>
      </c>
      <c r="B4326" s="19">
        <v>101527</v>
      </c>
      <c r="C4326" s="19" t="s">
        <v>6609</v>
      </c>
      <c r="D4326" s="19" t="s">
        <v>247</v>
      </c>
      <c r="E4326" s="19" t="s">
        <v>248</v>
      </c>
      <c r="F4326" s="19" t="s">
        <v>1726</v>
      </c>
      <c r="G4326" s="19" t="s">
        <v>1028</v>
      </c>
      <c r="H4326" s="19" t="s">
        <v>1020</v>
      </c>
      <c r="I4326" s="19" t="s">
        <v>1575</v>
      </c>
      <c r="J4326" s="20">
        <v>20</v>
      </c>
      <c r="K4326" t="s">
        <v>668</v>
      </c>
      <c r="L4326" t="s">
        <v>634</v>
      </c>
      <c r="M4326" t="s">
        <v>629</v>
      </c>
      <c r="N4326" t="s">
        <v>635</v>
      </c>
      <c r="O4326" t="s">
        <v>637</v>
      </c>
    </row>
    <row r="4327" spans="1:15" x14ac:dyDescent="0.35">
      <c r="A4327" s="77">
        <v>2.7397260273972601E-2</v>
      </c>
      <c r="B4327" s="19">
        <v>101528</v>
      </c>
      <c r="C4327" s="19" t="s">
        <v>6610</v>
      </c>
      <c r="D4327" s="19" t="s">
        <v>347</v>
      </c>
      <c r="E4327" s="19" t="s">
        <v>348</v>
      </c>
      <c r="F4327" s="19" t="s">
        <v>910</v>
      </c>
      <c r="G4327" s="19" t="s">
        <v>1028</v>
      </c>
      <c r="H4327" s="19" t="s">
        <v>1020</v>
      </c>
      <c r="I4327" s="19" t="s">
        <v>1575</v>
      </c>
      <c r="J4327" s="20">
        <v>41</v>
      </c>
      <c r="K4327" t="s">
        <v>654</v>
      </c>
      <c r="L4327" t="s">
        <v>707</v>
      </c>
      <c r="M4327" t="s">
        <v>629</v>
      </c>
      <c r="N4327" t="s">
        <v>635</v>
      </c>
      <c r="O4327" t="s">
        <v>710</v>
      </c>
    </row>
    <row r="4328" spans="1:15" x14ac:dyDescent="0.35">
      <c r="A4328" s="77">
        <v>2.7397260273972601E-2</v>
      </c>
      <c r="B4328" s="19">
        <v>101530</v>
      </c>
      <c r="C4328" s="19" t="s">
        <v>6611</v>
      </c>
      <c r="D4328" s="19" t="s">
        <v>401</v>
      </c>
      <c r="E4328" s="19" t="s">
        <v>402</v>
      </c>
      <c r="F4328" s="19" t="s">
        <v>1314</v>
      </c>
      <c r="G4328" s="19" t="s">
        <v>1028</v>
      </c>
      <c r="H4328" s="19" t="s">
        <v>1020</v>
      </c>
      <c r="I4328" s="19" t="s">
        <v>1575</v>
      </c>
      <c r="J4328" s="20">
        <v>19</v>
      </c>
      <c r="K4328" t="s">
        <v>668</v>
      </c>
      <c r="L4328" t="s">
        <v>691</v>
      </c>
      <c r="M4328" t="s">
        <v>657</v>
      </c>
      <c r="N4328" t="s">
        <v>658</v>
      </c>
      <c r="O4328" t="s">
        <v>632</v>
      </c>
    </row>
    <row r="4329" spans="1:15" x14ac:dyDescent="0.35">
      <c r="A4329" s="77">
        <v>2.7397260273972601E-2</v>
      </c>
      <c r="B4329" s="19">
        <v>101531</v>
      </c>
      <c r="C4329" s="19" t="s">
        <v>6612</v>
      </c>
      <c r="D4329" s="19" t="s">
        <v>126</v>
      </c>
      <c r="E4329" s="19" t="s">
        <v>127</v>
      </c>
      <c r="F4329" s="19" t="s">
        <v>1152</v>
      </c>
      <c r="G4329" s="19" t="s">
        <v>1008</v>
      </c>
      <c r="H4329" s="19" t="s">
        <v>1001</v>
      </c>
      <c r="I4329" s="19" t="s">
        <v>1575</v>
      </c>
      <c r="J4329" s="20">
        <v>33</v>
      </c>
      <c r="K4329" t="s">
        <v>654</v>
      </c>
      <c r="L4329" t="s">
        <v>628</v>
      </c>
      <c r="M4329" t="s">
        <v>629</v>
      </c>
      <c r="N4329" t="s">
        <v>630</v>
      </c>
      <c r="O4329" t="s">
        <v>632</v>
      </c>
    </row>
    <row r="4330" spans="1:15" x14ac:dyDescent="0.35">
      <c r="A4330" s="77">
        <v>2.7397260273972601E-2</v>
      </c>
      <c r="B4330" s="19">
        <v>101532</v>
      </c>
      <c r="C4330" s="19" t="s">
        <v>6613</v>
      </c>
      <c r="D4330" s="19" t="s">
        <v>397</v>
      </c>
      <c r="E4330" s="19" t="s">
        <v>398</v>
      </c>
      <c r="F4330" s="19" t="s">
        <v>867</v>
      </c>
      <c r="G4330" s="19" t="s">
        <v>3508</v>
      </c>
      <c r="H4330" s="19" t="s">
        <v>1020</v>
      </c>
      <c r="I4330" s="19" t="s">
        <v>1575</v>
      </c>
      <c r="J4330" s="20">
        <v>16</v>
      </c>
      <c r="K4330" t="s">
        <v>625</v>
      </c>
      <c r="L4330" t="s">
        <v>634</v>
      </c>
      <c r="M4330" t="s">
        <v>629</v>
      </c>
      <c r="N4330" t="s">
        <v>635</v>
      </c>
      <c r="O4330" t="s">
        <v>637</v>
      </c>
    </row>
    <row r="4331" spans="1:15" x14ac:dyDescent="0.35">
      <c r="A4331" s="77">
        <v>2.7397260273972601E-2</v>
      </c>
      <c r="B4331" s="19">
        <v>101533</v>
      </c>
      <c r="C4331" s="19" t="s">
        <v>6614</v>
      </c>
      <c r="D4331" s="19" t="s">
        <v>379</v>
      </c>
      <c r="E4331" s="19" t="s">
        <v>380</v>
      </c>
      <c r="F4331" s="19" t="s">
        <v>381</v>
      </c>
      <c r="G4331" s="19" t="s">
        <v>1028</v>
      </c>
      <c r="H4331" s="19" t="s">
        <v>1020</v>
      </c>
      <c r="I4331" s="19" t="s">
        <v>1575</v>
      </c>
      <c r="J4331" s="20">
        <v>19</v>
      </c>
      <c r="K4331" t="s">
        <v>636</v>
      </c>
      <c r="L4331" t="s">
        <v>628</v>
      </c>
      <c r="M4331" t="s">
        <v>629</v>
      </c>
      <c r="N4331" t="s">
        <v>630</v>
      </c>
      <c r="O4331" t="s">
        <v>632</v>
      </c>
    </row>
    <row r="4332" spans="1:15" x14ac:dyDescent="0.35">
      <c r="A4332" s="77">
        <v>2.7397260273972601E-2</v>
      </c>
      <c r="B4332" s="19">
        <v>101534</v>
      </c>
      <c r="C4332" s="19" t="s">
        <v>6615</v>
      </c>
      <c r="D4332" s="19" t="s">
        <v>201</v>
      </c>
      <c r="E4332" s="19" t="s">
        <v>202</v>
      </c>
      <c r="F4332" s="19" t="s">
        <v>1061</v>
      </c>
      <c r="G4332" s="19" t="s">
        <v>1008</v>
      </c>
      <c r="H4332" s="19" t="s">
        <v>1001</v>
      </c>
      <c r="I4332" s="19" t="s">
        <v>1575</v>
      </c>
      <c r="J4332" s="20">
        <v>22</v>
      </c>
      <c r="K4332" t="s">
        <v>631</v>
      </c>
      <c r="L4332" t="s">
        <v>628</v>
      </c>
      <c r="M4332" t="s">
        <v>629</v>
      </c>
      <c r="N4332" t="s">
        <v>630</v>
      </c>
      <c r="O4332" t="s">
        <v>784</v>
      </c>
    </row>
    <row r="4333" spans="1:15" x14ac:dyDescent="0.35">
      <c r="A4333" s="77">
        <v>2.7397260273972601E-2</v>
      </c>
      <c r="B4333" s="19">
        <v>101535</v>
      </c>
      <c r="C4333" s="19" t="s">
        <v>6616</v>
      </c>
      <c r="D4333" s="19" t="s">
        <v>201</v>
      </c>
      <c r="E4333" s="19" t="s">
        <v>202</v>
      </c>
      <c r="F4333" s="19" t="s">
        <v>1061</v>
      </c>
      <c r="G4333" s="19" t="s">
        <v>1028</v>
      </c>
      <c r="H4333" s="19" t="s">
        <v>1020</v>
      </c>
      <c r="I4333" s="19" t="s">
        <v>1575</v>
      </c>
      <c r="J4333" s="20">
        <v>20</v>
      </c>
      <c r="K4333" t="s">
        <v>631</v>
      </c>
      <c r="L4333" t="s">
        <v>628</v>
      </c>
      <c r="M4333" t="s">
        <v>629</v>
      </c>
      <c r="N4333" t="s">
        <v>630</v>
      </c>
      <c r="O4333" t="s">
        <v>784</v>
      </c>
    </row>
    <row r="4334" spans="1:15" x14ac:dyDescent="0.35">
      <c r="A4334" s="77">
        <v>2.7397260273972601E-2</v>
      </c>
      <c r="B4334" s="19">
        <v>101536</v>
      </c>
      <c r="C4334" s="19" t="s">
        <v>1286</v>
      </c>
      <c r="D4334" s="19" t="s">
        <v>318</v>
      </c>
      <c r="E4334" s="19" t="s">
        <v>319</v>
      </c>
      <c r="F4334" s="19" t="s">
        <v>1266</v>
      </c>
      <c r="G4334" s="19" t="s">
        <v>1028</v>
      </c>
      <c r="H4334" s="19" t="s">
        <v>1020</v>
      </c>
      <c r="I4334" s="19" t="s">
        <v>1575</v>
      </c>
      <c r="J4334" s="20">
        <v>22</v>
      </c>
      <c r="K4334" t="s">
        <v>625</v>
      </c>
      <c r="L4334" t="s">
        <v>678</v>
      </c>
      <c r="M4334" t="s">
        <v>623</v>
      </c>
      <c r="N4334" t="s">
        <v>624</v>
      </c>
      <c r="O4334" t="s">
        <v>679</v>
      </c>
    </row>
    <row r="4335" spans="1:15" x14ac:dyDescent="0.35">
      <c r="A4335" s="77">
        <v>2.7397260273972601E-2</v>
      </c>
      <c r="B4335" s="19">
        <v>101537</v>
      </c>
      <c r="C4335" s="19" t="s">
        <v>6617</v>
      </c>
      <c r="D4335" s="19" t="s">
        <v>124</v>
      </c>
      <c r="E4335" s="19" t="s">
        <v>125</v>
      </c>
      <c r="F4335" s="19" t="s">
        <v>1398</v>
      </c>
      <c r="G4335" s="19" t="s">
        <v>1084</v>
      </c>
      <c r="H4335" s="19" t="s">
        <v>1020</v>
      </c>
      <c r="I4335" s="19" t="s">
        <v>1575</v>
      </c>
      <c r="J4335" s="20">
        <v>43</v>
      </c>
      <c r="K4335" t="s">
        <v>654</v>
      </c>
      <c r="L4335" t="s">
        <v>661</v>
      </c>
      <c r="M4335" t="s">
        <v>657</v>
      </c>
      <c r="N4335" t="s">
        <v>662</v>
      </c>
      <c r="O4335" t="s">
        <v>632</v>
      </c>
    </row>
    <row r="4336" spans="1:15" x14ac:dyDescent="0.35">
      <c r="A4336" s="77">
        <v>2.7397260273972601E-2</v>
      </c>
      <c r="B4336" s="19">
        <v>101538</v>
      </c>
      <c r="C4336" s="19" t="s">
        <v>6618</v>
      </c>
      <c r="D4336" s="19" t="s">
        <v>419</v>
      </c>
      <c r="E4336" s="19" t="s">
        <v>419</v>
      </c>
      <c r="F4336" s="19" t="s">
        <v>695</v>
      </c>
      <c r="G4336" s="19" t="s">
        <v>1028</v>
      </c>
      <c r="H4336" s="19" t="s">
        <v>1020</v>
      </c>
      <c r="I4336" s="19" t="s">
        <v>1575</v>
      </c>
      <c r="J4336" s="20">
        <v>19</v>
      </c>
      <c r="K4336" t="s">
        <v>654</v>
      </c>
      <c r="L4336" t="s">
        <v>628</v>
      </c>
      <c r="M4336" t="s">
        <v>629</v>
      </c>
      <c r="N4336" t="s">
        <v>630</v>
      </c>
      <c r="O4336" t="s">
        <v>632</v>
      </c>
    </row>
    <row r="4337" spans="1:15" x14ac:dyDescent="0.35">
      <c r="A4337" s="77">
        <v>2.7397260273972601E-2</v>
      </c>
      <c r="B4337" s="19">
        <v>101540</v>
      </c>
      <c r="C4337" s="19" t="s">
        <v>6619</v>
      </c>
      <c r="D4337" s="19" t="s">
        <v>8</v>
      </c>
      <c r="E4337" s="19" t="s">
        <v>8</v>
      </c>
      <c r="F4337" s="19" t="s">
        <v>1176</v>
      </c>
      <c r="G4337" s="19" t="s">
        <v>1028</v>
      </c>
      <c r="H4337" s="19" t="s">
        <v>1020</v>
      </c>
      <c r="I4337" s="19" t="s">
        <v>1575</v>
      </c>
      <c r="J4337" s="20">
        <v>19</v>
      </c>
      <c r="K4337" t="s">
        <v>625</v>
      </c>
      <c r="L4337" t="s">
        <v>622</v>
      </c>
      <c r="M4337" t="s">
        <v>623</v>
      </c>
      <c r="N4337" t="s">
        <v>624</v>
      </c>
      <c r="O4337" t="s">
        <v>626</v>
      </c>
    </row>
    <row r="4338" spans="1:15" x14ac:dyDescent="0.35">
      <c r="A4338" s="77">
        <v>2.7397260273972601E-2</v>
      </c>
      <c r="B4338" s="19">
        <v>101541</v>
      </c>
      <c r="C4338" s="19" t="s">
        <v>6620</v>
      </c>
      <c r="D4338" s="19" t="s">
        <v>208</v>
      </c>
      <c r="E4338" s="19" t="s">
        <v>209</v>
      </c>
      <c r="F4338" s="19" t="s">
        <v>1444</v>
      </c>
      <c r="G4338" s="19" t="s">
        <v>1008</v>
      </c>
      <c r="H4338" s="19" t="s">
        <v>1001</v>
      </c>
      <c r="I4338" s="19" t="s">
        <v>1575</v>
      </c>
      <c r="J4338" s="20">
        <v>19</v>
      </c>
      <c r="K4338" t="s">
        <v>636</v>
      </c>
      <c r="L4338" t="s">
        <v>640</v>
      </c>
      <c r="M4338" t="s">
        <v>623</v>
      </c>
      <c r="N4338" t="s">
        <v>624</v>
      </c>
      <c r="O4338" t="s">
        <v>787</v>
      </c>
    </row>
    <row r="4339" spans="1:15" x14ac:dyDescent="0.35">
      <c r="A4339" s="77">
        <v>2.7397260273972601E-2</v>
      </c>
      <c r="B4339" s="19">
        <v>101542</v>
      </c>
      <c r="C4339" s="19" t="s">
        <v>6621</v>
      </c>
      <c r="D4339" s="19" t="s">
        <v>165</v>
      </c>
      <c r="E4339" s="19" t="s">
        <v>166</v>
      </c>
      <c r="F4339" s="19" t="s">
        <v>1238</v>
      </c>
      <c r="G4339" s="19" t="s">
        <v>1028</v>
      </c>
      <c r="H4339" s="19" t="s">
        <v>1020</v>
      </c>
      <c r="I4339" s="19" t="s">
        <v>1575</v>
      </c>
      <c r="J4339" s="20">
        <v>21</v>
      </c>
      <c r="K4339" t="s">
        <v>636</v>
      </c>
      <c r="L4339" t="s">
        <v>648</v>
      </c>
      <c r="M4339" t="s">
        <v>623</v>
      </c>
      <c r="N4339" t="s">
        <v>624</v>
      </c>
      <c r="O4339" t="s">
        <v>649</v>
      </c>
    </row>
    <row r="4340" spans="1:15" x14ac:dyDescent="0.35">
      <c r="A4340" s="77">
        <v>2.7397260273972601E-2</v>
      </c>
      <c r="B4340" s="19">
        <v>101543</v>
      </c>
      <c r="C4340" s="19" t="s">
        <v>6622</v>
      </c>
      <c r="D4340" s="19" t="s">
        <v>252</v>
      </c>
      <c r="E4340" s="19" t="s">
        <v>253</v>
      </c>
      <c r="F4340" s="19" t="s">
        <v>914</v>
      </c>
      <c r="G4340" s="19" t="s">
        <v>1028</v>
      </c>
      <c r="H4340" s="19" t="s">
        <v>1020</v>
      </c>
      <c r="I4340" s="19" t="s">
        <v>1575</v>
      </c>
      <c r="J4340" s="20">
        <v>22</v>
      </c>
      <c r="K4340" t="s">
        <v>636</v>
      </c>
      <c r="L4340" t="s">
        <v>656</v>
      </c>
      <c r="M4340" t="s">
        <v>657</v>
      </c>
      <c r="N4340" t="s">
        <v>658</v>
      </c>
      <c r="O4340" t="s">
        <v>718</v>
      </c>
    </row>
    <row r="4341" spans="1:15" x14ac:dyDescent="0.35">
      <c r="A4341" s="77">
        <v>2.7397260273972601E-2</v>
      </c>
      <c r="B4341" s="19">
        <v>101544</v>
      </c>
      <c r="C4341" s="19" t="s">
        <v>6623</v>
      </c>
      <c r="D4341" s="19" t="s">
        <v>428</v>
      </c>
      <c r="E4341" s="19" t="s">
        <v>428</v>
      </c>
      <c r="F4341" s="19" t="s">
        <v>1063</v>
      </c>
      <c r="G4341" s="19" t="s">
        <v>1028</v>
      </c>
      <c r="H4341" s="19" t="s">
        <v>1020</v>
      </c>
      <c r="I4341" s="19" t="s">
        <v>1575</v>
      </c>
      <c r="J4341" s="20">
        <v>18</v>
      </c>
      <c r="K4341" t="s">
        <v>668</v>
      </c>
      <c r="L4341" t="s">
        <v>656</v>
      </c>
      <c r="M4341" t="s">
        <v>657</v>
      </c>
      <c r="N4341" t="s">
        <v>658</v>
      </c>
      <c r="O4341" t="s">
        <v>632</v>
      </c>
    </row>
    <row r="4342" spans="1:15" x14ac:dyDescent="0.35">
      <c r="A4342" s="77">
        <v>2.7397260273972601E-2</v>
      </c>
      <c r="B4342" s="19">
        <v>101545</v>
      </c>
      <c r="C4342" s="19" t="s">
        <v>6624</v>
      </c>
      <c r="D4342" s="19" t="s">
        <v>273</v>
      </c>
      <c r="E4342" s="19" t="s">
        <v>274</v>
      </c>
      <c r="F4342" s="19" t="s">
        <v>1093</v>
      </c>
      <c r="G4342" s="19" t="s">
        <v>1008</v>
      </c>
      <c r="H4342" s="19" t="s">
        <v>1001</v>
      </c>
      <c r="I4342" s="19" t="s">
        <v>1575</v>
      </c>
      <c r="J4342" s="20">
        <v>22</v>
      </c>
      <c r="K4342" t="s">
        <v>636</v>
      </c>
      <c r="L4342" t="s">
        <v>663</v>
      </c>
      <c r="M4342" t="s">
        <v>629</v>
      </c>
      <c r="N4342" t="s">
        <v>646</v>
      </c>
      <c r="O4342" t="s">
        <v>639</v>
      </c>
    </row>
    <row r="4343" spans="1:15" x14ac:dyDescent="0.35">
      <c r="A4343" s="77">
        <v>2.7397260273972601E-2</v>
      </c>
      <c r="B4343" s="19">
        <v>101546</v>
      </c>
      <c r="C4343" s="19" t="s">
        <v>6625</v>
      </c>
      <c r="D4343" s="19" t="s">
        <v>252</v>
      </c>
      <c r="E4343" s="19" t="s">
        <v>253</v>
      </c>
      <c r="F4343" s="19" t="s">
        <v>914</v>
      </c>
      <c r="G4343" s="19" t="s">
        <v>1028</v>
      </c>
      <c r="H4343" s="19" t="s">
        <v>1020</v>
      </c>
      <c r="I4343" s="19" t="s">
        <v>1599</v>
      </c>
      <c r="J4343" s="20">
        <v>19</v>
      </c>
      <c r="K4343" t="s">
        <v>636</v>
      </c>
      <c r="L4343" t="s">
        <v>656</v>
      </c>
      <c r="M4343" t="s">
        <v>657</v>
      </c>
      <c r="N4343" t="s">
        <v>658</v>
      </c>
      <c r="O4343" t="s">
        <v>718</v>
      </c>
    </row>
    <row r="4344" spans="1:15" x14ac:dyDescent="0.35">
      <c r="A4344" s="77">
        <v>2.7397260273972601E-2</v>
      </c>
      <c r="B4344" s="19">
        <v>101547</v>
      </c>
      <c r="C4344" s="19" t="s">
        <v>6626</v>
      </c>
      <c r="D4344" s="19" t="s">
        <v>49</v>
      </c>
      <c r="E4344" s="19" t="s">
        <v>50</v>
      </c>
      <c r="F4344" s="19" t="s">
        <v>1213</v>
      </c>
      <c r="G4344" s="19" t="s">
        <v>1028</v>
      </c>
      <c r="H4344" s="19" t="s">
        <v>1020</v>
      </c>
      <c r="I4344" s="19" t="s">
        <v>1575</v>
      </c>
      <c r="J4344" s="20">
        <v>19</v>
      </c>
      <c r="K4344" t="s">
        <v>625</v>
      </c>
      <c r="L4344" t="s">
        <v>648</v>
      </c>
      <c r="M4344" t="s">
        <v>623</v>
      </c>
      <c r="N4344" t="s">
        <v>624</v>
      </c>
      <c r="O4344" t="s">
        <v>649</v>
      </c>
    </row>
    <row r="4345" spans="1:15" x14ac:dyDescent="0.35">
      <c r="A4345" s="77">
        <v>2.7397260273972601E-2</v>
      </c>
      <c r="B4345" s="19">
        <v>101548</v>
      </c>
      <c r="C4345" s="19" t="s">
        <v>6627</v>
      </c>
      <c r="D4345" s="19" t="s">
        <v>307</v>
      </c>
      <c r="E4345" s="19" t="s">
        <v>308</v>
      </c>
      <c r="F4345" s="19" t="s">
        <v>1524</v>
      </c>
      <c r="G4345" s="19" t="s">
        <v>1028</v>
      </c>
      <c r="H4345" s="19" t="s">
        <v>1020</v>
      </c>
      <c r="I4345" s="19" t="s">
        <v>1599</v>
      </c>
      <c r="J4345" s="20">
        <v>19</v>
      </c>
      <c r="K4345" t="s">
        <v>668</v>
      </c>
      <c r="L4345" t="s">
        <v>656</v>
      </c>
      <c r="M4345" t="s">
        <v>657</v>
      </c>
      <c r="N4345" t="s">
        <v>658</v>
      </c>
      <c r="O4345" t="s">
        <v>718</v>
      </c>
    </row>
    <row r="4346" spans="1:15" x14ac:dyDescent="0.35">
      <c r="A4346" s="77">
        <v>2.4657534246575342E-2</v>
      </c>
      <c r="B4346" s="19">
        <v>101550</v>
      </c>
      <c r="C4346" s="19" t="s">
        <v>6628</v>
      </c>
      <c r="D4346" s="19" t="s">
        <v>93</v>
      </c>
      <c r="E4346" s="19" t="s">
        <v>94</v>
      </c>
      <c r="F4346" s="19" t="s">
        <v>919</v>
      </c>
      <c r="G4346" s="19" t="s">
        <v>1028</v>
      </c>
      <c r="H4346" s="19" t="s">
        <v>1020</v>
      </c>
      <c r="I4346" s="19" t="s">
        <v>1575</v>
      </c>
      <c r="J4346" s="20">
        <v>20</v>
      </c>
      <c r="K4346" t="s">
        <v>654</v>
      </c>
      <c r="L4346" t="s">
        <v>691</v>
      </c>
      <c r="M4346" t="s">
        <v>657</v>
      </c>
      <c r="N4346" t="s">
        <v>658</v>
      </c>
      <c r="O4346" t="s">
        <v>632</v>
      </c>
    </row>
    <row r="4347" spans="1:15" x14ac:dyDescent="0.35">
      <c r="A4347" s="77">
        <v>2.4657534246575342E-2</v>
      </c>
      <c r="B4347" s="19">
        <v>101551</v>
      </c>
      <c r="C4347" s="19" t="s">
        <v>6629</v>
      </c>
      <c r="D4347" s="19" t="s">
        <v>27</v>
      </c>
      <c r="E4347" s="19" t="s">
        <v>27</v>
      </c>
      <c r="F4347" s="19" t="s">
        <v>1250</v>
      </c>
      <c r="G4347" s="19" t="s">
        <v>1028</v>
      </c>
      <c r="H4347" s="19" t="s">
        <v>1020</v>
      </c>
      <c r="I4347" s="19" t="s">
        <v>1575</v>
      </c>
      <c r="J4347" s="20">
        <v>26</v>
      </c>
      <c r="K4347" t="s">
        <v>668</v>
      </c>
      <c r="L4347" t="s">
        <v>645</v>
      </c>
      <c r="M4347" t="s">
        <v>629</v>
      </c>
      <c r="N4347" t="s">
        <v>646</v>
      </c>
      <c r="O4347" t="s">
        <v>632</v>
      </c>
    </row>
    <row r="4348" spans="1:15" x14ac:dyDescent="0.35">
      <c r="A4348" s="77">
        <v>2.4657534246575342E-2</v>
      </c>
      <c r="B4348" s="19">
        <v>101552</v>
      </c>
      <c r="C4348" s="19" t="s">
        <v>6630</v>
      </c>
      <c r="D4348" s="19" t="s">
        <v>280</v>
      </c>
      <c r="E4348" s="19" t="s">
        <v>281</v>
      </c>
      <c r="F4348" s="19" t="s">
        <v>1223</v>
      </c>
      <c r="G4348" s="19" t="s">
        <v>1028</v>
      </c>
      <c r="H4348" s="19" t="s">
        <v>1020</v>
      </c>
      <c r="I4348" s="19" t="s">
        <v>1575</v>
      </c>
      <c r="J4348" s="20">
        <v>20</v>
      </c>
      <c r="K4348" t="s">
        <v>631</v>
      </c>
      <c r="L4348" t="s">
        <v>691</v>
      </c>
      <c r="M4348" t="s">
        <v>657</v>
      </c>
      <c r="N4348" t="s">
        <v>658</v>
      </c>
      <c r="O4348" t="s">
        <v>632</v>
      </c>
    </row>
    <row r="4349" spans="1:15" x14ac:dyDescent="0.35">
      <c r="A4349" s="77">
        <v>2.4657534246575342E-2</v>
      </c>
      <c r="B4349" s="19">
        <v>101553</v>
      </c>
      <c r="C4349" s="19" t="s">
        <v>6631</v>
      </c>
      <c r="D4349" s="19" t="s">
        <v>159</v>
      </c>
      <c r="E4349" s="19" t="s">
        <v>160</v>
      </c>
      <c r="F4349" s="19" t="s">
        <v>1488</v>
      </c>
      <c r="G4349" s="19" t="s">
        <v>1028</v>
      </c>
      <c r="H4349" s="19" t="s">
        <v>1020</v>
      </c>
      <c r="I4349" s="19" t="s">
        <v>1575</v>
      </c>
      <c r="J4349" s="20">
        <v>27</v>
      </c>
      <c r="K4349" t="s">
        <v>654</v>
      </c>
      <c r="L4349" t="s">
        <v>678</v>
      </c>
      <c r="M4349" t="s">
        <v>623</v>
      </c>
      <c r="N4349" t="s">
        <v>624</v>
      </c>
      <c r="O4349" t="s">
        <v>679</v>
      </c>
    </row>
    <row r="4350" spans="1:15" x14ac:dyDescent="0.35">
      <c r="A4350" s="77">
        <v>2.4657534246575342E-2</v>
      </c>
      <c r="B4350" s="19">
        <v>101554</v>
      </c>
      <c r="C4350" s="19" t="s">
        <v>6356</v>
      </c>
      <c r="D4350" s="19" t="s">
        <v>208</v>
      </c>
      <c r="E4350" s="19" t="s">
        <v>209</v>
      </c>
      <c r="F4350" s="19" t="s">
        <v>1444</v>
      </c>
      <c r="G4350" s="19" t="s">
        <v>1028</v>
      </c>
      <c r="H4350" s="19" t="s">
        <v>1020</v>
      </c>
      <c r="I4350" s="19" t="s">
        <v>1575</v>
      </c>
      <c r="J4350" s="20">
        <v>24</v>
      </c>
      <c r="K4350" t="s">
        <v>636</v>
      </c>
      <c r="L4350" t="s">
        <v>640</v>
      </c>
      <c r="M4350" t="s">
        <v>623</v>
      </c>
      <c r="N4350" t="s">
        <v>624</v>
      </c>
      <c r="O4350" t="s">
        <v>787</v>
      </c>
    </row>
    <row r="4351" spans="1:15" x14ac:dyDescent="0.35">
      <c r="A4351" s="77">
        <v>2.4657534246575342E-2</v>
      </c>
      <c r="B4351" s="19">
        <v>101555</v>
      </c>
      <c r="C4351" s="19" t="s">
        <v>6632</v>
      </c>
      <c r="D4351" s="19" t="s">
        <v>145</v>
      </c>
      <c r="E4351" s="19" t="s">
        <v>146</v>
      </c>
      <c r="F4351" s="19" t="s">
        <v>1015</v>
      </c>
      <c r="G4351" s="19" t="s">
        <v>1028</v>
      </c>
      <c r="H4351" s="19" t="s">
        <v>1020</v>
      </c>
      <c r="I4351" s="19" t="s">
        <v>1575</v>
      </c>
      <c r="J4351" s="20">
        <v>23</v>
      </c>
      <c r="K4351" t="s">
        <v>636</v>
      </c>
      <c r="L4351" t="s">
        <v>737</v>
      </c>
      <c r="M4351" t="s">
        <v>657</v>
      </c>
      <c r="N4351" t="s">
        <v>641</v>
      </c>
      <c r="O4351" t="s">
        <v>757</v>
      </c>
    </row>
    <row r="4352" spans="1:15" x14ac:dyDescent="0.35">
      <c r="A4352" s="77">
        <v>2.4657534246575342E-2</v>
      </c>
      <c r="B4352" s="19">
        <v>101556</v>
      </c>
      <c r="C4352" s="19" t="s">
        <v>6633</v>
      </c>
      <c r="D4352" s="19" t="s">
        <v>365</v>
      </c>
      <c r="E4352" s="19" t="s">
        <v>366</v>
      </c>
      <c r="F4352" s="19" t="s">
        <v>1117</v>
      </c>
      <c r="G4352" s="19" t="s">
        <v>1019</v>
      </c>
      <c r="H4352" s="19" t="s">
        <v>1020</v>
      </c>
      <c r="I4352" s="19" t="s">
        <v>1575</v>
      </c>
      <c r="J4352" s="20">
        <v>19</v>
      </c>
      <c r="K4352" t="s">
        <v>668</v>
      </c>
      <c r="L4352" t="s">
        <v>691</v>
      </c>
      <c r="M4352" t="s">
        <v>657</v>
      </c>
      <c r="N4352" t="s">
        <v>658</v>
      </c>
      <c r="O4352" t="s">
        <v>632</v>
      </c>
    </row>
    <row r="4353" spans="1:15" x14ac:dyDescent="0.35">
      <c r="A4353" s="77">
        <v>2.4657534246575342E-2</v>
      </c>
      <c r="B4353" s="19">
        <v>101558</v>
      </c>
      <c r="C4353" s="19" t="s">
        <v>6634</v>
      </c>
      <c r="D4353" s="19" t="s">
        <v>305</v>
      </c>
      <c r="E4353" s="19" t="s">
        <v>306</v>
      </c>
      <c r="F4353" s="19" t="s">
        <v>1086</v>
      </c>
      <c r="G4353" s="19" t="s">
        <v>1028</v>
      </c>
      <c r="H4353" s="19" t="s">
        <v>1020</v>
      </c>
      <c r="I4353" s="19" t="s">
        <v>1599</v>
      </c>
      <c r="J4353" s="20">
        <v>19</v>
      </c>
      <c r="K4353" t="s">
        <v>654</v>
      </c>
      <c r="L4353" t="s">
        <v>622</v>
      </c>
      <c r="M4353" t="s">
        <v>623</v>
      </c>
      <c r="N4353" t="s">
        <v>624</v>
      </c>
      <c r="O4353" t="s">
        <v>826</v>
      </c>
    </row>
    <row r="4354" spans="1:15" x14ac:dyDescent="0.35">
      <c r="A4354" s="77">
        <v>2.4657534246575342E-2</v>
      </c>
      <c r="B4354" s="19">
        <v>101559</v>
      </c>
      <c r="C4354" s="19" t="s">
        <v>6635</v>
      </c>
      <c r="D4354" s="19" t="s">
        <v>128</v>
      </c>
      <c r="E4354" s="19" t="s">
        <v>129</v>
      </c>
      <c r="F4354" s="19" t="s">
        <v>1075</v>
      </c>
      <c r="G4354" s="19" t="s">
        <v>1008</v>
      </c>
      <c r="H4354" s="19" t="s">
        <v>1001</v>
      </c>
      <c r="I4354" s="19" t="s">
        <v>1599</v>
      </c>
      <c r="J4354" s="20">
        <v>30</v>
      </c>
      <c r="K4354" t="s">
        <v>636</v>
      </c>
      <c r="L4354" t="s">
        <v>678</v>
      </c>
      <c r="M4354" t="s">
        <v>623</v>
      </c>
      <c r="N4354" t="s">
        <v>624</v>
      </c>
      <c r="O4354" t="s">
        <v>679</v>
      </c>
    </row>
    <row r="4355" spans="1:15" x14ac:dyDescent="0.35">
      <c r="A4355" s="77">
        <v>2.4657534246575342E-2</v>
      </c>
      <c r="B4355" s="19">
        <v>101560</v>
      </c>
      <c r="C4355" s="19" t="s">
        <v>6636</v>
      </c>
      <c r="D4355" s="19" t="s">
        <v>11</v>
      </c>
      <c r="E4355" s="19" t="s">
        <v>11</v>
      </c>
      <c r="F4355" s="19" t="s">
        <v>627</v>
      </c>
      <c r="G4355" s="19" t="s">
        <v>1028</v>
      </c>
      <c r="H4355" s="19" t="s">
        <v>1020</v>
      </c>
      <c r="I4355" s="19" t="s">
        <v>1575</v>
      </c>
      <c r="J4355" s="20">
        <v>19</v>
      </c>
      <c r="K4355" t="s">
        <v>631</v>
      </c>
      <c r="L4355" t="s">
        <v>628</v>
      </c>
      <c r="M4355" t="s">
        <v>629</v>
      </c>
      <c r="N4355" t="s">
        <v>630</v>
      </c>
      <c r="O4355" t="s">
        <v>632</v>
      </c>
    </row>
    <row r="4356" spans="1:15" x14ac:dyDescent="0.35">
      <c r="A4356" s="77">
        <v>2.4657534246575342E-2</v>
      </c>
      <c r="B4356" s="19">
        <v>101561</v>
      </c>
      <c r="C4356" s="19" t="s">
        <v>6637</v>
      </c>
      <c r="D4356" s="19" t="s">
        <v>318</v>
      </c>
      <c r="E4356" s="19" t="s">
        <v>319</v>
      </c>
      <c r="F4356" s="19" t="s">
        <v>1266</v>
      </c>
      <c r="G4356" s="19" t="s">
        <v>1008</v>
      </c>
      <c r="H4356" s="19" t="s">
        <v>1001</v>
      </c>
      <c r="I4356" s="19" t="s">
        <v>1575</v>
      </c>
      <c r="J4356" s="20">
        <v>19</v>
      </c>
      <c r="K4356" t="s">
        <v>625</v>
      </c>
      <c r="L4356" t="s">
        <v>678</v>
      </c>
      <c r="M4356" t="s">
        <v>623</v>
      </c>
      <c r="N4356" t="s">
        <v>624</v>
      </c>
      <c r="O4356" t="s">
        <v>679</v>
      </c>
    </row>
    <row r="4357" spans="1:15" x14ac:dyDescent="0.35">
      <c r="A4357" s="77">
        <v>2.4657534246575342E-2</v>
      </c>
      <c r="B4357" s="19">
        <v>101562</v>
      </c>
      <c r="C4357" s="19" t="s">
        <v>6638</v>
      </c>
      <c r="D4357" s="19" t="s">
        <v>241</v>
      </c>
      <c r="E4357" s="19" t="s">
        <v>242</v>
      </c>
      <c r="F4357" s="19" t="s">
        <v>1030</v>
      </c>
      <c r="G4357" s="19" t="s">
        <v>1028</v>
      </c>
      <c r="H4357" s="19" t="s">
        <v>1020</v>
      </c>
      <c r="I4357" s="19" t="s">
        <v>1575</v>
      </c>
      <c r="J4357" s="20">
        <v>21</v>
      </c>
      <c r="K4357" t="s">
        <v>668</v>
      </c>
      <c r="L4357" t="s">
        <v>622</v>
      </c>
      <c r="M4357" t="s">
        <v>623</v>
      </c>
      <c r="N4357" t="s">
        <v>624</v>
      </c>
      <c r="O4357" t="s">
        <v>800</v>
      </c>
    </row>
    <row r="4358" spans="1:15" x14ac:dyDescent="0.35">
      <c r="A4358" s="77">
        <v>2.4657534246575342E-2</v>
      </c>
      <c r="B4358" s="19">
        <v>101563</v>
      </c>
      <c r="C4358" s="19" t="s">
        <v>6639</v>
      </c>
      <c r="D4358" s="19" t="s">
        <v>151</v>
      </c>
      <c r="E4358" s="19" t="s">
        <v>152</v>
      </c>
      <c r="F4358" s="19" t="s">
        <v>1557</v>
      </c>
      <c r="G4358" s="19" t="s">
        <v>1028</v>
      </c>
      <c r="H4358" s="19" t="s">
        <v>1020</v>
      </c>
      <c r="I4358" s="19" t="s">
        <v>1575</v>
      </c>
      <c r="J4358" s="20">
        <v>18</v>
      </c>
      <c r="K4358" t="s">
        <v>654</v>
      </c>
      <c r="L4358" t="s">
        <v>691</v>
      </c>
      <c r="M4358" t="s">
        <v>657</v>
      </c>
      <c r="N4358" t="s">
        <v>658</v>
      </c>
      <c r="O4358" t="s">
        <v>632</v>
      </c>
    </row>
    <row r="4359" spans="1:15" x14ac:dyDescent="0.35">
      <c r="A4359" s="77">
        <v>2.4657534246575342E-2</v>
      </c>
      <c r="B4359" s="19">
        <v>101564</v>
      </c>
      <c r="C4359" s="19" t="s">
        <v>6640</v>
      </c>
      <c r="D4359" s="19" t="s">
        <v>105</v>
      </c>
      <c r="E4359" s="19" t="s">
        <v>106</v>
      </c>
      <c r="F4359" s="19" t="s">
        <v>1207</v>
      </c>
      <c r="G4359" s="19" t="s">
        <v>1028</v>
      </c>
      <c r="H4359" s="19" t="s">
        <v>1020</v>
      </c>
      <c r="I4359" s="19" t="s">
        <v>1599</v>
      </c>
      <c r="J4359" s="20">
        <v>18</v>
      </c>
      <c r="K4359" t="s">
        <v>654</v>
      </c>
      <c r="L4359" t="s">
        <v>622</v>
      </c>
      <c r="M4359" t="s">
        <v>623</v>
      </c>
      <c r="N4359" t="s">
        <v>624</v>
      </c>
      <c r="O4359" t="s">
        <v>626</v>
      </c>
    </row>
    <row r="4360" spans="1:15" x14ac:dyDescent="0.35">
      <c r="A4360" s="77">
        <v>2.4657534246575342E-2</v>
      </c>
      <c r="B4360" s="19">
        <v>101565</v>
      </c>
      <c r="C4360" s="19" t="s">
        <v>6641</v>
      </c>
      <c r="D4360" s="19" t="s">
        <v>278</v>
      </c>
      <c r="E4360" s="19" t="s">
        <v>279</v>
      </c>
      <c r="F4360" s="19" t="s">
        <v>1131</v>
      </c>
      <c r="G4360" s="19" t="s">
        <v>1008</v>
      </c>
      <c r="H4360" s="19" t="s">
        <v>1001</v>
      </c>
      <c r="I4360" s="19" t="s">
        <v>1575</v>
      </c>
      <c r="J4360" s="20">
        <v>21</v>
      </c>
      <c r="K4360" t="s">
        <v>625</v>
      </c>
      <c r="L4360" t="s">
        <v>661</v>
      </c>
      <c r="M4360" t="s">
        <v>657</v>
      </c>
      <c r="N4360" t="s">
        <v>662</v>
      </c>
      <c r="O4360" t="s">
        <v>632</v>
      </c>
    </row>
    <row r="4361" spans="1:15" x14ac:dyDescent="0.35">
      <c r="A4361" s="77">
        <v>2.4657534246575342E-2</v>
      </c>
      <c r="B4361" s="19">
        <v>101566</v>
      </c>
      <c r="C4361" s="19" t="s">
        <v>6642</v>
      </c>
      <c r="D4361" s="19" t="s">
        <v>95</v>
      </c>
      <c r="E4361" s="19" t="s">
        <v>96</v>
      </c>
      <c r="F4361" s="19" t="s">
        <v>1188</v>
      </c>
      <c r="G4361" s="19" t="s">
        <v>1028</v>
      </c>
      <c r="H4361" s="19" t="s">
        <v>1020</v>
      </c>
      <c r="I4361" s="19" t="s">
        <v>1599</v>
      </c>
      <c r="J4361" s="20">
        <v>21</v>
      </c>
      <c r="K4361" t="s">
        <v>636</v>
      </c>
      <c r="L4361" t="s">
        <v>737</v>
      </c>
      <c r="M4361" t="s">
        <v>657</v>
      </c>
      <c r="N4361" t="s">
        <v>641</v>
      </c>
      <c r="O4361" t="s">
        <v>738</v>
      </c>
    </row>
    <row r="4362" spans="1:15" x14ac:dyDescent="0.35">
      <c r="A4362" s="77">
        <v>2.4657534246575342E-2</v>
      </c>
      <c r="B4362" s="19">
        <v>101568</v>
      </c>
      <c r="C4362" s="19" t="s">
        <v>6643</v>
      </c>
      <c r="D4362" s="19" t="s">
        <v>147</v>
      </c>
      <c r="E4362" s="19" t="s">
        <v>148</v>
      </c>
      <c r="F4362" s="19" t="s">
        <v>1396</v>
      </c>
      <c r="G4362" s="19" t="s">
        <v>1028</v>
      </c>
      <c r="H4362" s="19" t="s">
        <v>1020</v>
      </c>
      <c r="I4362" s="19" t="s">
        <v>1575</v>
      </c>
      <c r="J4362" s="20">
        <v>21</v>
      </c>
      <c r="K4362" t="s">
        <v>636</v>
      </c>
      <c r="L4362" t="s">
        <v>661</v>
      </c>
      <c r="M4362" t="s">
        <v>657</v>
      </c>
      <c r="N4362" t="s">
        <v>662</v>
      </c>
      <c r="O4362" t="s">
        <v>632</v>
      </c>
    </row>
    <row r="4363" spans="1:15" x14ac:dyDescent="0.35">
      <c r="A4363" s="77">
        <v>2.4657534246575342E-2</v>
      </c>
      <c r="B4363" s="19">
        <v>101569</v>
      </c>
      <c r="C4363" s="19" t="s">
        <v>6644</v>
      </c>
      <c r="D4363" s="19" t="s">
        <v>97</v>
      </c>
      <c r="E4363" s="19" t="s">
        <v>98</v>
      </c>
      <c r="F4363" s="19" t="s">
        <v>2395</v>
      </c>
      <c r="G4363" s="19" t="s">
        <v>1028</v>
      </c>
      <c r="H4363" s="19" t="s">
        <v>1020</v>
      </c>
      <c r="I4363" s="19" t="s">
        <v>1575</v>
      </c>
      <c r="J4363" s="20">
        <v>19</v>
      </c>
      <c r="K4363" t="s">
        <v>654</v>
      </c>
      <c r="L4363" t="s">
        <v>666</v>
      </c>
      <c r="M4363" t="s">
        <v>629</v>
      </c>
      <c r="N4363" t="s">
        <v>635</v>
      </c>
      <c r="O4363" t="s">
        <v>739</v>
      </c>
    </row>
    <row r="4364" spans="1:15" x14ac:dyDescent="0.35">
      <c r="A4364" s="77">
        <v>2.1917808219178082E-2</v>
      </c>
      <c r="B4364" s="19">
        <v>101570</v>
      </c>
      <c r="C4364" s="19" t="s">
        <v>6645</v>
      </c>
      <c r="D4364" s="19" t="s">
        <v>427</v>
      </c>
      <c r="E4364" s="19" t="s">
        <v>427</v>
      </c>
      <c r="F4364" s="19" t="s">
        <v>1290</v>
      </c>
      <c r="G4364" s="19" t="s">
        <v>1028</v>
      </c>
      <c r="H4364" s="19" t="s">
        <v>1020</v>
      </c>
      <c r="I4364" s="19" t="s">
        <v>1599</v>
      </c>
      <c r="J4364" s="20">
        <v>19</v>
      </c>
      <c r="K4364" t="s">
        <v>654</v>
      </c>
      <c r="L4364" t="s">
        <v>651</v>
      </c>
      <c r="M4364" t="s">
        <v>629</v>
      </c>
      <c r="N4364" t="s">
        <v>630</v>
      </c>
      <c r="O4364" t="s">
        <v>652</v>
      </c>
    </row>
    <row r="4365" spans="1:15" x14ac:dyDescent="0.35">
      <c r="A4365" s="77">
        <v>2.1917808219178082E-2</v>
      </c>
      <c r="B4365" s="19">
        <v>101571</v>
      </c>
      <c r="C4365" s="19" t="s">
        <v>6646</v>
      </c>
      <c r="D4365" s="19" t="s">
        <v>8</v>
      </c>
      <c r="E4365" s="19" t="s">
        <v>8</v>
      </c>
      <c r="F4365" s="19" t="s">
        <v>1176</v>
      </c>
      <c r="G4365" s="19" t="s">
        <v>1008</v>
      </c>
      <c r="H4365" s="19" t="s">
        <v>1001</v>
      </c>
      <c r="I4365" s="19" t="s">
        <v>1575</v>
      </c>
      <c r="J4365" s="20">
        <v>42</v>
      </c>
      <c r="K4365" t="s">
        <v>625</v>
      </c>
      <c r="L4365" t="s">
        <v>622</v>
      </c>
      <c r="M4365" t="s">
        <v>623</v>
      </c>
      <c r="N4365" t="s">
        <v>624</v>
      </c>
      <c r="O4365" t="s">
        <v>626</v>
      </c>
    </row>
    <row r="4366" spans="1:15" x14ac:dyDescent="0.35">
      <c r="A4366" s="77">
        <v>2.1917808219178082E-2</v>
      </c>
      <c r="B4366" s="19">
        <v>101573</v>
      </c>
      <c r="C4366" s="19" t="s">
        <v>6647</v>
      </c>
      <c r="D4366" s="19" t="s">
        <v>8</v>
      </c>
      <c r="E4366" s="19" t="s">
        <v>8</v>
      </c>
      <c r="F4366" s="19" t="s">
        <v>1176</v>
      </c>
      <c r="G4366" s="19" t="s">
        <v>1008</v>
      </c>
      <c r="H4366" s="19" t="s">
        <v>1001</v>
      </c>
      <c r="I4366" s="19" t="s">
        <v>1575</v>
      </c>
      <c r="J4366" s="20">
        <v>28</v>
      </c>
      <c r="K4366" t="s">
        <v>625</v>
      </c>
      <c r="L4366" t="s">
        <v>622</v>
      </c>
      <c r="M4366" t="s">
        <v>623</v>
      </c>
      <c r="N4366" t="s">
        <v>624</v>
      </c>
      <c r="O4366" t="s">
        <v>626</v>
      </c>
    </row>
    <row r="4367" spans="1:15" x14ac:dyDescent="0.35">
      <c r="A4367" s="77">
        <v>2.1917808219178082E-2</v>
      </c>
      <c r="B4367" s="19">
        <v>101574</v>
      </c>
      <c r="C4367" s="19" t="s">
        <v>6648</v>
      </c>
      <c r="D4367" s="19" t="s">
        <v>45</v>
      </c>
      <c r="E4367" s="19" t="s">
        <v>46</v>
      </c>
      <c r="F4367" s="19" t="s">
        <v>1122</v>
      </c>
      <c r="G4367" s="19" t="s">
        <v>1008</v>
      </c>
      <c r="H4367" s="19" t="s">
        <v>1001</v>
      </c>
      <c r="I4367" s="19" t="s">
        <v>1599</v>
      </c>
      <c r="J4367" s="20">
        <v>19</v>
      </c>
      <c r="K4367" t="s">
        <v>631</v>
      </c>
      <c r="L4367" t="s">
        <v>651</v>
      </c>
      <c r="M4367" t="s">
        <v>629</v>
      </c>
      <c r="N4367" t="s">
        <v>630</v>
      </c>
      <c r="O4367" t="s">
        <v>705</v>
      </c>
    </row>
    <row r="4368" spans="1:15" x14ac:dyDescent="0.35">
      <c r="A4368" s="77">
        <v>2.7397260273972601E-2</v>
      </c>
      <c r="B4368" s="19">
        <v>101577</v>
      </c>
      <c r="C4368" s="19" t="s">
        <v>6649</v>
      </c>
      <c r="D4368" s="19" t="s">
        <v>181</v>
      </c>
      <c r="E4368" s="19" t="s">
        <v>182</v>
      </c>
      <c r="F4368" s="19" t="s">
        <v>1374</v>
      </c>
      <c r="G4368" s="19" t="s">
        <v>1028</v>
      </c>
      <c r="H4368" s="19" t="s">
        <v>1020</v>
      </c>
      <c r="I4368" s="19" t="s">
        <v>1575</v>
      </c>
      <c r="J4368" s="20">
        <v>22</v>
      </c>
      <c r="K4368" t="s">
        <v>625</v>
      </c>
      <c r="L4368" t="s">
        <v>678</v>
      </c>
      <c r="M4368" t="s">
        <v>623</v>
      </c>
      <c r="N4368" t="s">
        <v>624</v>
      </c>
      <c r="O4368" t="s">
        <v>679</v>
      </c>
    </row>
    <row r="4369" spans="1:15" x14ac:dyDescent="0.35">
      <c r="A4369" s="77">
        <v>2.1917808219178082E-2</v>
      </c>
      <c r="B4369" s="19">
        <v>101578</v>
      </c>
      <c r="C4369" s="19" t="s">
        <v>6650</v>
      </c>
      <c r="D4369" s="19" t="s">
        <v>411</v>
      </c>
      <c r="E4369" s="19" t="s">
        <v>412</v>
      </c>
      <c r="F4369" s="19" t="s">
        <v>1225</v>
      </c>
      <c r="G4369" s="19" t="s">
        <v>1008</v>
      </c>
      <c r="H4369" s="19" t="s">
        <v>1001</v>
      </c>
      <c r="I4369" s="19" t="s">
        <v>1575</v>
      </c>
      <c r="J4369" s="20">
        <v>21</v>
      </c>
      <c r="K4369" t="s">
        <v>636</v>
      </c>
      <c r="L4369" t="s">
        <v>691</v>
      </c>
      <c r="M4369" t="s">
        <v>657</v>
      </c>
      <c r="N4369" t="s">
        <v>658</v>
      </c>
      <c r="O4369" t="s">
        <v>632</v>
      </c>
    </row>
    <row r="4370" spans="1:15" x14ac:dyDescent="0.35">
      <c r="A4370" s="77">
        <v>2.4657534246575342E-2</v>
      </c>
      <c r="B4370" s="19">
        <v>101579</v>
      </c>
      <c r="C4370" s="19" t="s">
        <v>6651</v>
      </c>
      <c r="D4370" s="19" t="s">
        <v>42</v>
      </c>
      <c r="E4370" s="19" t="s">
        <v>42</v>
      </c>
      <c r="F4370" s="19" t="s">
        <v>1262</v>
      </c>
      <c r="G4370" s="19" t="s">
        <v>1008</v>
      </c>
      <c r="H4370" s="19" t="s">
        <v>1001</v>
      </c>
      <c r="I4370" s="19" t="s">
        <v>1599</v>
      </c>
      <c r="J4370" s="20">
        <v>20</v>
      </c>
      <c r="K4370" t="s">
        <v>625</v>
      </c>
      <c r="L4370" t="s">
        <v>628</v>
      </c>
      <c r="M4370" t="s">
        <v>629</v>
      </c>
      <c r="N4370" t="s">
        <v>630</v>
      </c>
      <c r="O4370" t="s">
        <v>632</v>
      </c>
    </row>
    <row r="4371" spans="1:15" x14ac:dyDescent="0.35">
      <c r="A4371" s="77">
        <v>2.4657534246575342E-2</v>
      </c>
      <c r="B4371" s="19">
        <v>101580</v>
      </c>
      <c r="C4371" s="19" t="s">
        <v>6652</v>
      </c>
      <c r="D4371" s="19" t="s">
        <v>42</v>
      </c>
      <c r="E4371" s="19" t="s">
        <v>42</v>
      </c>
      <c r="F4371" s="19" t="s">
        <v>1262</v>
      </c>
      <c r="G4371" s="19" t="s">
        <v>1008</v>
      </c>
      <c r="H4371" s="19" t="s">
        <v>1001</v>
      </c>
      <c r="I4371" s="19" t="s">
        <v>1599</v>
      </c>
      <c r="J4371" s="20">
        <v>22</v>
      </c>
      <c r="K4371" t="s">
        <v>625</v>
      </c>
      <c r="L4371" t="s">
        <v>628</v>
      </c>
      <c r="M4371" t="s">
        <v>629</v>
      </c>
      <c r="N4371" t="s">
        <v>630</v>
      </c>
      <c r="O4371" t="s">
        <v>632</v>
      </c>
    </row>
    <row r="4372" spans="1:15" x14ac:dyDescent="0.35">
      <c r="A4372" s="77">
        <v>2.4657534246575342E-2</v>
      </c>
      <c r="B4372" s="19">
        <v>101581</v>
      </c>
      <c r="C4372" s="19" t="s">
        <v>6653</v>
      </c>
      <c r="D4372" s="19" t="s">
        <v>42</v>
      </c>
      <c r="E4372" s="19" t="s">
        <v>42</v>
      </c>
      <c r="F4372" s="19" t="s">
        <v>1262</v>
      </c>
      <c r="G4372" s="19" t="s">
        <v>1008</v>
      </c>
      <c r="H4372" s="19" t="s">
        <v>1001</v>
      </c>
      <c r="I4372" s="19" t="s">
        <v>1575</v>
      </c>
      <c r="J4372" s="20">
        <v>20</v>
      </c>
      <c r="K4372" t="s">
        <v>625</v>
      </c>
      <c r="L4372" t="s">
        <v>628</v>
      </c>
      <c r="M4372" t="s">
        <v>629</v>
      </c>
      <c r="N4372" t="s">
        <v>630</v>
      </c>
      <c r="O4372" t="s">
        <v>632</v>
      </c>
    </row>
    <row r="4373" spans="1:15" x14ac:dyDescent="0.35">
      <c r="A4373" s="77">
        <v>2.4657534246575342E-2</v>
      </c>
      <c r="B4373" s="19">
        <v>101582</v>
      </c>
      <c r="C4373" s="19" t="s">
        <v>6654</v>
      </c>
      <c r="D4373" s="19" t="s">
        <v>42</v>
      </c>
      <c r="E4373" s="19" t="s">
        <v>42</v>
      </c>
      <c r="F4373" s="19" t="s">
        <v>1262</v>
      </c>
      <c r="G4373" s="19" t="s">
        <v>1008</v>
      </c>
      <c r="H4373" s="19" t="s">
        <v>1001</v>
      </c>
      <c r="I4373" s="19" t="s">
        <v>1575</v>
      </c>
      <c r="J4373" s="20">
        <v>19</v>
      </c>
      <c r="K4373" t="s">
        <v>625</v>
      </c>
      <c r="L4373" t="s">
        <v>628</v>
      </c>
      <c r="M4373" t="s">
        <v>629</v>
      </c>
      <c r="N4373" t="s">
        <v>630</v>
      </c>
      <c r="O4373" t="s">
        <v>632</v>
      </c>
    </row>
    <row r="4374" spans="1:15" x14ac:dyDescent="0.35">
      <c r="A4374" s="77">
        <v>2.1917808219178082E-2</v>
      </c>
      <c r="B4374" s="19">
        <v>101583</v>
      </c>
      <c r="C4374" s="19" t="s">
        <v>6655</v>
      </c>
      <c r="D4374" s="19" t="s">
        <v>42</v>
      </c>
      <c r="E4374" s="19" t="s">
        <v>42</v>
      </c>
      <c r="F4374" s="19" t="s">
        <v>1262</v>
      </c>
      <c r="G4374" s="19" t="s">
        <v>1008</v>
      </c>
      <c r="H4374" s="19" t="s">
        <v>1001</v>
      </c>
      <c r="I4374" s="19" t="s">
        <v>1575</v>
      </c>
      <c r="J4374" s="20">
        <v>21</v>
      </c>
      <c r="K4374" t="s">
        <v>625</v>
      </c>
      <c r="L4374" t="s">
        <v>628</v>
      </c>
      <c r="M4374" t="s">
        <v>629</v>
      </c>
      <c r="N4374" t="s">
        <v>630</v>
      </c>
      <c r="O4374" t="s">
        <v>632</v>
      </c>
    </row>
    <row r="4375" spans="1:15" x14ac:dyDescent="0.35">
      <c r="A4375" s="77">
        <v>2.1917808219178082E-2</v>
      </c>
      <c r="B4375" s="19">
        <v>101584</v>
      </c>
      <c r="C4375" s="19" t="s">
        <v>6656</v>
      </c>
      <c r="D4375" s="19" t="s">
        <v>264</v>
      </c>
      <c r="E4375" s="19" t="s">
        <v>265</v>
      </c>
      <c r="F4375" s="19" t="s">
        <v>2526</v>
      </c>
      <c r="G4375" s="19" t="s">
        <v>1008</v>
      </c>
      <c r="H4375" s="19" t="s">
        <v>1001</v>
      </c>
      <c r="I4375" s="19" t="s">
        <v>1575</v>
      </c>
      <c r="J4375" s="20">
        <v>19</v>
      </c>
      <c r="K4375" t="s">
        <v>654</v>
      </c>
      <c r="L4375" t="s">
        <v>678</v>
      </c>
      <c r="M4375" t="s">
        <v>623</v>
      </c>
      <c r="N4375" t="s">
        <v>624</v>
      </c>
      <c r="O4375" t="s">
        <v>689</v>
      </c>
    </row>
    <row r="4376" spans="1:15" x14ac:dyDescent="0.35">
      <c r="A4376" s="77">
        <v>2.1917808219178082E-2</v>
      </c>
      <c r="B4376" s="19">
        <v>101585</v>
      </c>
      <c r="C4376" s="19" t="s">
        <v>6657</v>
      </c>
      <c r="D4376" s="19" t="s">
        <v>60</v>
      </c>
      <c r="E4376" s="19" t="s">
        <v>61</v>
      </c>
      <c r="F4376" s="19" t="s">
        <v>1119</v>
      </c>
      <c r="G4376" s="19" t="s">
        <v>1008</v>
      </c>
      <c r="H4376" s="19" t="s">
        <v>1001</v>
      </c>
      <c r="I4376" s="19" t="s">
        <v>1599</v>
      </c>
      <c r="J4376" s="20">
        <v>18</v>
      </c>
      <c r="K4376" t="s">
        <v>654</v>
      </c>
      <c r="L4376" t="s">
        <v>651</v>
      </c>
      <c r="M4376" t="s">
        <v>629</v>
      </c>
      <c r="N4376" t="s">
        <v>630</v>
      </c>
      <c r="O4376" t="s">
        <v>705</v>
      </c>
    </row>
    <row r="4377" spans="1:15" x14ac:dyDescent="0.35">
      <c r="A4377" s="77">
        <v>2.1917808219178082E-2</v>
      </c>
      <c r="B4377" s="19">
        <v>101586</v>
      </c>
      <c r="C4377" s="19" t="s">
        <v>6658</v>
      </c>
      <c r="D4377" s="19" t="s">
        <v>60</v>
      </c>
      <c r="E4377" s="19" t="s">
        <v>61</v>
      </c>
      <c r="F4377" s="19" t="s">
        <v>1119</v>
      </c>
      <c r="G4377" s="19" t="s">
        <v>1008</v>
      </c>
      <c r="H4377" s="19" t="s">
        <v>1001</v>
      </c>
      <c r="I4377" s="19" t="s">
        <v>1599</v>
      </c>
      <c r="J4377" s="20">
        <v>20</v>
      </c>
      <c r="K4377" t="s">
        <v>654</v>
      </c>
      <c r="L4377" t="s">
        <v>651</v>
      </c>
      <c r="M4377" t="s">
        <v>629</v>
      </c>
      <c r="N4377" t="s">
        <v>630</v>
      </c>
      <c r="O4377" t="s">
        <v>705</v>
      </c>
    </row>
    <row r="4378" spans="1:15" x14ac:dyDescent="0.35">
      <c r="A4378" s="77">
        <v>2.1917808219178082E-2</v>
      </c>
      <c r="B4378" s="19">
        <v>101587</v>
      </c>
      <c r="C4378" s="19" t="s">
        <v>6659</v>
      </c>
      <c r="D4378" s="19" t="s">
        <v>18</v>
      </c>
      <c r="E4378" s="19" t="s">
        <v>18</v>
      </c>
      <c r="F4378" s="19" t="s">
        <v>650</v>
      </c>
      <c r="G4378" s="19" t="s">
        <v>1008</v>
      </c>
      <c r="H4378" s="19" t="s">
        <v>1001</v>
      </c>
      <c r="I4378" s="19" t="s">
        <v>1575</v>
      </c>
      <c r="J4378" s="20">
        <v>38</v>
      </c>
      <c r="K4378" t="s">
        <v>636</v>
      </c>
      <c r="L4378" t="s">
        <v>651</v>
      </c>
      <c r="M4378" t="s">
        <v>629</v>
      </c>
      <c r="N4378" t="s">
        <v>630</v>
      </c>
      <c r="O4378" t="s">
        <v>652</v>
      </c>
    </row>
    <row r="4379" spans="1:15" x14ac:dyDescent="0.35">
      <c r="A4379" s="77">
        <v>2.1917808219178082E-2</v>
      </c>
      <c r="B4379" s="19">
        <v>101588</v>
      </c>
      <c r="C4379" s="19" t="s">
        <v>6660</v>
      </c>
      <c r="D4379" s="19" t="s">
        <v>31</v>
      </c>
      <c r="E4379" s="19" t="s">
        <v>31</v>
      </c>
      <c r="F4379" s="19" t="s">
        <v>675</v>
      </c>
      <c r="G4379" s="19" t="s">
        <v>1028</v>
      </c>
      <c r="H4379" s="19" t="s">
        <v>1020</v>
      </c>
      <c r="I4379" s="19" t="s">
        <v>1575</v>
      </c>
      <c r="J4379" s="20">
        <v>20</v>
      </c>
      <c r="K4379" t="s">
        <v>654</v>
      </c>
      <c r="L4379" t="s">
        <v>670</v>
      </c>
      <c r="M4379" t="s">
        <v>657</v>
      </c>
      <c r="N4379" t="s">
        <v>641</v>
      </c>
      <c r="O4379" t="s">
        <v>676</v>
      </c>
    </row>
    <row r="4380" spans="1:15" x14ac:dyDescent="0.35">
      <c r="A4380" s="77">
        <v>2.1917808219178082E-2</v>
      </c>
      <c r="B4380" s="19">
        <v>101589</v>
      </c>
      <c r="C4380" s="19" t="s">
        <v>6661</v>
      </c>
      <c r="D4380" s="19" t="s">
        <v>31</v>
      </c>
      <c r="E4380" s="19" t="s">
        <v>31</v>
      </c>
      <c r="F4380" s="19" t="s">
        <v>675</v>
      </c>
      <c r="G4380" s="19" t="s">
        <v>1028</v>
      </c>
      <c r="H4380" s="19" t="s">
        <v>1020</v>
      </c>
      <c r="I4380" s="19" t="s">
        <v>1575</v>
      </c>
      <c r="J4380" s="20">
        <v>21</v>
      </c>
      <c r="K4380" t="s">
        <v>654</v>
      </c>
      <c r="L4380" t="s">
        <v>670</v>
      </c>
      <c r="M4380" t="s">
        <v>657</v>
      </c>
      <c r="N4380" t="s">
        <v>641</v>
      </c>
      <c r="O4380" t="s">
        <v>676</v>
      </c>
    </row>
    <row r="4381" spans="1:15" x14ac:dyDescent="0.35">
      <c r="A4381" s="77">
        <v>2.1917808219178082E-2</v>
      </c>
      <c r="B4381" s="19">
        <v>101590</v>
      </c>
      <c r="C4381" s="19" t="s">
        <v>6662</v>
      </c>
      <c r="D4381" s="19" t="s">
        <v>16</v>
      </c>
      <c r="E4381" s="19" t="s">
        <v>16</v>
      </c>
      <c r="F4381" s="19" t="s">
        <v>1211</v>
      </c>
      <c r="G4381" s="19" t="s">
        <v>1028</v>
      </c>
      <c r="H4381" s="19" t="s">
        <v>1020</v>
      </c>
      <c r="I4381" s="19" t="s">
        <v>1575</v>
      </c>
      <c r="J4381" s="20">
        <v>19</v>
      </c>
      <c r="K4381" t="s">
        <v>631</v>
      </c>
      <c r="L4381" t="s">
        <v>645</v>
      </c>
      <c r="M4381" t="s">
        <v>629</v>
      </c>
      <c r="N4381" t="s">
        <v>646</v>
      </c>
      <c r="O4381" t="s">
        <v>632</v>
      </c>
    </row>
    <row r="4382" spans="1:15" x14ac:dyDescent="0.35">
      <c r="A4382" s="77">
        <v>2.1917808219178082E-2</v>
      </c>
      <c r="B4382" s="19">
        <v>101591</v>
      </c>
      <c r="C4382" s="19" t="s">
        <v>6663</v>
      </c>
      <c r="D4382" s="19" t="s">
        <v>243</v>
      </c>
      <c r="E4382" s="19" t="s">
        <v>244</v>
      </c>
      <c r="F4382" s="19" t="s">
        <v>1318</v>
      </c>
      <c r="G4382" s="19" t="s">
        <v>1028</v>
      </c>
      <c r="H4382" s="19" t="s">
        <v>1020</v>
      </c>
      <c r="I4382" s="19" t="s">
        <v>1599</v>
      </c>
      <c r="J4382" s="20">
        <v>37</v>
      </c>
      <c r="K4382" t="s">
        <v>631</v>
      </c>
      <c r="L4382" t="s">
        <v>707</v>
      </c>
      <c r="M4382" t="s">
        <v>629</v>
      </c>
      <c r="N4382" t="s">
        <v>635</v>
      </c>
      <c r="O4382" t="s">
        <v>710</v>
      </c>
    </row>
    <row r="4383" spans="1:15" x14ac:dyDescent="0.35">
      <c r="A4383" s="77">
        <v>2.1917808219178082E-2</v>
      </c>
      <c r="B4383" s="19">
        <v>101592</v>
      </c>
      <c r="C4383" s="19" t="s">
        <v>6664</v>
      </c>
      <c r="D4383" s="19" t="s">
        <v>68</v>
      </c>
      <c r="E4383" s="19" t="s">
        <v>69</v>
      </c>
      <c r="F4383" s="19" t="s">
        <v>1078</v>
      </c>
      <c r="G4383" s="19" t="s">
        <v>1028</v>
      </c>
      <c r="H4383" s="19" t="s">
        <v>1020</v>
      </c>
      <c r="I4383" s="19" t="s">
        <v>1575</v>
      </c>
      <c r="J4383" s="20">
        <v>34</v>
      </c>
      <c r="K4383" t="s">
        <v>636</v>
      </c>
      <c r="L4383" t="s">
        <v>670</v>
      </c>
      <c r="M4383" t="s">
        <v>657</v>
      </c>
      <c r="N4383" t="s">
        <v>641</v>
      </c>
      <c r="O4383" t="s">
        <v>671</v>
      </c>
    </row>
    <row r="4384" spans="1:15" x14ac:dyDescent="0.35">
      <c r="A4384" s="77">
        <v>2.1917808219178082E-2</v>
      </c>
      <c r="B4384" s="19">
        <v>101593</v>
      </c>
      <c r="C4384" s="19" t="s">
        <v>6665</v>
      </c>
      <c r="D4384" s="19" t="s">
        <v>243</v>
      </c>
      <c r="E4384" s="19" t="s">
        <v>244</v>
      </c>
      <c r="F4384" s="19" t="s">
        <v>1318</v>
      </c>
      <c r="G4384" s="19" t="s">
        <v>1028</v>
      </c>
      <c r="H4384" s="19" t="s">
        <v>1020</v>
      </c>
      <c r="I4384" s="19" t="s">
        <v>1599</v>
      </c>
      <c r="J4384" s="20">
        <v>20</v>
      </c>
      <c r="K4384" t="s">
        <v>631</v>
      </c>
      <c r="L4384" t="s">
        <v>707</v>
      </c>
      <c r="M4384" t="s">
        <v>629</v>
      </c>
      <c r="N4384" t="s">
        <v>635</v>
      </c>
      <c r="O4384" t="s">
        <v>710</v>
      </c>
    </row>
    <row r="4385" spans="1:15" x14ac:dyDescent="0.35">
      <c r="A4385" s="77">
        <v>2.1917808219178082E-2</v>
      </c>
      <c r="B4385" s="19">
        <v>101594</v>
      </c>
      <c r="C4385" s="19" t="s">
        <v>6666</v>
      </c>
      <c r="D4385" s="19" t="s">
        <v>347</v>
      </c>
      <c r="E4385" s="19" t="s">
        <v>348</v>
      </c>
      <c r="F4385" s="19" t="s">
        <v>910</v>
      </c>
      <c r="G4385" s="19" t="s">
        <v>1057</v>
      </c>
      <c r="H4385" s="19" t="s">
        <v>1001</v>
      </c>
      <c r="I4385" s="19" t="s">
        <v>1575</v>
      </c>
      <c r="J4385" s="20">
        <v>45</v>
      </c>
      <c r="K4385" t="s">
        <v>654</v>
      </c>
      <c r="L4385" t="s">
        <v>707</v>
      </c>
      <c r="M4385" t="s">
        <v>629</v>
      </c>
      <c r="N4385" t="s">
        <v>635</v>
      </c>
      <c r="O4385" t="s">
        <v>710</v>
      </c>
    </row>
    <row r="4386" spans="1:15" x14ac:dyDescent="0.35">
      <c r="A4386" s="77">
        <v>2.1917808219178082E-2</v>
      </c>
      <c r="B4386" s="19">
        <v>101595</v>
      </c>
      <c r="C4386" s="19" t="s">
        <v>1346</v>
      </c>
      <c r="D4386" s="19" t="s">
        <v>243</v>
      </c>
      <c r="E4386" s="19" t="s">
        <v>244</v>
      </c>
      <c r="F4386" s="19" t="s">
        <v>1318</v>
      </c>
      <c r="G4386" s="19" t="s">
        <v>1028</v>
      </c>
      <c r="H4386" s="19" t="s">
        <v>1020</v>
      </c>
      <c r="I4386" s="19" t="s">
        <v>1575</v>
      </c>
      <c r="J4386" s="20">
        <v>19</v>
      </c>
      <c r="K4386" t="s">
        <v>631</v>
      </c>
      <c r="L4386" t="s">
        <v>707</v>
      </c>
      <c r="M4386" t="s">
        <v>629</v>
      </c>
      <c r="N4386" t="s">
        <v>635</v>
      </c>
      <c r="O4386" t="s">
        <v>710</v>
      </c>
    </row>
    <row r="4387" spans="1:15" x14ac:dyDescent="0.35">
      <c r="A4387" s="77">
        <v>2.1917808219178082E-2</v>
      </c>
      <c r="B4387" s="19">
        <v>101596</v>
      </c>
      <c r="C4387" s="19" t="s">
        <v>6667</v>
      </c>
      <c r="D4387" s="19" t="s">
        <v>235</v>
      </c>
      <c r="E4387" s="19" t="s">
        <v>236</v>
      </c>
      <c r="F4387" s="19" t="s">
        <v>1457</v>
      </c>
      <c r="G4387" s="19" t="s">
        <v>1008</v>
      </c>
      <c r="H4387" s="19" t="s">
        <v>1001</v>
      </c>
      <c r="I4387" s="19" t="s">
        <v>1575</v>
      </c>
      <c r="J4387" s="20">
        <v>36</v>
      </c>
      <c r="K4387" t="s">
        <v>654</v>
      </c>
      <c r="L4387" t="s">
        <v>707</v>
      </c>
      <c r="M4387" t="s">
        <v>629</v>
      </c>
      <c r="N4387" t="s">
        <v>635</v>
      </c>
      <c r="O4387" t="s">
        <v>710</v>
      </c>
    </row>
    <row r="4388" spans="1:15" x14ac:dyDescent="0.35">
      <c r="A4388" s="77">
        <v>2.1917808219178082E-2</v>
      </c>
      <c r="B4388" s="19">
        <v>101597</v>
      </c>
      <c r="C4388" s="19" t="s">
        <v>6668</v>
      </c>
      <c r="D4388" s="19" t="s">
        <v>243</v>
      </c>
      <c r="E4388" s="19" t="s">
        <v>244</v>
      </c>
      <c r="F4388" s="19" t="s">
        <v>1318</v>
      </c>
      <c r="G4388" s="19" t="s">
        <v>1028</v>
      </c>
      <c r="H4388" s="19" t="s">
        <v>1020</v>
      </c>
      <c r="I4388" s="19" t="s">
        <v>1575</v>
      </c>
      <c r="J4388" s="20">
        <v>18</v>
      </c>
      <c r="K4388" t="s">
        <v>631</v>
      </c>
      <c r="L4388" t="s">
        <v>707</v>
      </c>
      <c r="M4388" t="s">
        <v>629</v>
      </c>
      <c r="N4388" t="s">
        <v>635</v>
      </c>
      <c r="O4388" t="s">
        <v>710</v>
      </c>
    </row>
    <row r="4389" spans="1:15" x14ac:dyDescent="0.35">
      <c r="A4389" s="77">
        <v>2.1917808219178082E-2</v>
      </c>
      <c r="B4389" s="19">
        <v>101598</v>
      </c>
      <c r="C4389" s="19" t="s">
        <v>6669</v>
      </c>
      <c r="D4389" s="19" t="s">
        <v>243</v>
      </c>
      <c r="E4389" s="19" t="s">
        <v>244</v>
      </c>
      <c r="F4389" s="19" t="s">
        <v>1318</v>
      </c>
      <c r="G4389" s="19" t="s">
        <v>1028</v>
      </c>
      <c r="H4389" s="19" t="s">
        <v>1020</v>
      </c>
      <c r="I4389" s="19" t="s">
        <v>1575</v>
      </c>
      <c r="J4389" s="20">
        <v>24</v>
      </c>
      <c r="K4389" t="s">
        <v>631</v>
      </c>
      <c r="L4389" t="s">
        <v>707</v>
      </c>
      <c r="M4389" t="s">
        <v>629</v>
      </c>
      <c r="N4389" t="s">
        <v>635</v>
      </c>
      <c r="O4389" t="s">
        <v>710</v>
      </c>
    </row>
    <row r="4390" spans="1:15" x14ac:dyDescent="0.35">
      <c r="A4390" s="77">
        <v>2.1917808219178082E-2</v>
      </c>
      <c r="B4390" s="19">
        <v>101600</v>
      </c>
      <c r="C4390" s="19" t="s">
        <v>6670</v>
      </c>
      <c r="D4390" s="19" t="s">
        <v>18</v>
      </c>
      <c r="E4390" s="19" t="s">
        <v>18</v>
      </c>
      <c r="F4390" s="19" t="s">
        <v>650</v>
      </c>
      <c r="G4390" s="19" t="s">
        <v>1008</v>
      </c>
      <c r="H4390" s="19" t="s">
        <v>1001</v>
      </c>
      <c r="I4390" s="19" t="s">
        <v>1575</v>
      </c>
      <c r="J4390" s="20">
        <v>25</v>
      </c>
      <c r="K4390" t="s">
        <v>636</v>
      </c>
      <c r="L4390" t="s">
        <v>651</v>
      </c>
      <c r="M4390" t="s">
        <v>629</v>
      </c>
      <c r="N4390" t="s">
        <v>630</v>
      </c>
      <c r="O4390" t="s">
        <v>652</v>
      </c>
    </row>
    <row r="4391" spans="1:15" x14ac:dyDescent="0.35">
      <c r="A4391" s="77">
        <v>2.1917808219178082E-2</v>
      </c>
      <c r="B4391" s="19">
        <v>101602</v>
      </c>
      <c r="C4391" s="19" t="s">
        <v>6671</v>
      </c>
      <c r="D4391" s="19" t="s">
        <v>181</v>
      </c>
      <c r="E4391" s="19" t="s">
        <v>182</v>
      </c>
      <c r="F4391" s="19" t="s">
        <v>1374</v>
      </c>
      <c r="G4391" s="19" t="s">
        <v>1028</v>
      </c>
      <c r="H4391" s="19" t="s">
        <v>1020</v>
      </c>
      <c r="I4391" s="19" t="s">
        <v>1599</v>
      </c>
      <c r="J4391" s="20">
        <v>24</v>
      </c>
      <c r="K4391" t="s">
        <v>625</v>
      </c>
      <c r="L4391" t="s">
        <v>678</v>
      </c>
      <c r="M4391" t="s">
        <v>623</v>
      </c>
      <c r="N4391" t="s">
        <v>624</v>
      </c>
      <c r="O4391" t="s">
        <v>679</v>
      </c>
    </row>
    <row r="4392" spans="1:15" x14ac:dyDescent="0.35">
      <c r="A4392" s="77">
        <v>2.1917808219178082E-2</v>
      </c>
      <c r="B4392" s="19">
        <v>101603</v>
      </c>
      <c r="C4392" s="19" t="s">
        <v>6672</v>
      </c>
      <c r="D4392" s="19" t="s">
        <v>245</v>
      </c>
      <c r="E4392" s="19" t="s">
        <v>246</v>
      </c>
      <c r="F4392" s="19" t="s">
        <v>1365</v>
      </c>
      <c r="G4392" s="19" t="s">
        <v>1028</v>
      </c>
      <c r="H4392" s="19" t="s">
        <v>1020</v>
      </c>
      <c r="I4392" s="19" t="s">
        <v>1575</v>
      </c>
      <c r="J4392" s="20">
        <v>23</v>
      </c>
      <c r="K4392" t="s">
        <v>654</v>
      </c>
      <c r="L4392" t="s">
        <v>678</v>
      </c>
      <c r="M4392" t="s">
        <v>623</v>
      </c>
      <c r="N4392" t="s">
        <v>624</v>
      </c>
      <c r="O4392" t="s">
        <v>679</v>
      </c>
    </row>
    <row r="4393" spans="1:15" x14ac:dyDescent="0.35">
      <c r="A4393" s="77">
        <v>2.1917808219178082E-2</v>
      </c>
      <c r="B4393" s="19">
        <v>101605</v>
      </c>
      <c r="C4393" s="19" t="s">
        <v>6673</v>
      </c>
      <c r="D4393" s="19" t="s">
        <v>80</v>
      </c>
      <c r="E4393" s="19" t="s">
        <v>81</v>
      </c>
      <c r="F4393" s="19" t="s">
        <v>1022</v>
      </c>
      <c r="G4393" s="19" t="s">
        <v>1028</v>
      </c>
      <c r="H4393" s="19" t="s">
        <v>1020</v>
      </c>
      <c r="I4393" s="19" t="s">
        <v>1575</v>
      </c>
      <c r="J4393" s="20">
        <v>19</v>
      </c>
      <c r="K4393" t="s">
        <v>654</v>
      </c>
      <c r="L4393" t="s">
        <v>628</v>
      </c>
      <c r="M4393" t="s">
        <v>629</v>
      </c>
      <c r="N4393" t="s">
        <v>630</v>
      </c>
      <c r="O4393" t="s">
        <v>632</v>
      </c>
    </row>
    <row r="4394" spans="1:15" x14ac:dyDescent="0.35">
      <c r="A4394" s="77">
        <v>2.1917808219178082E-2</v>
      </c>
      <c r="B4394" s="19">
        <v>101606</v>
      </c>
      <c r="C4394" s="19" t="s">
        <v>6674</v>
      </c>
      <c r="D4394" s="19" t="s">
        <v>318</v>
      </c>
      <c r="E4394" s="19" t="s">
        <v>319</v>
      </c>
      <c r="F4394" s="19" t="s">
        <v>1266</v>
      </c>
      <c r="G4394" s="19" t="s">
        <v>1008</v>
      </c>
      <c r="H4394" s="19" t="s">
        <v>1001</v>
      </c>
      <c r="I4394" s="19" t="s">
        <v>1575</v>
      </c>
      <c r="J4394" s="20">
        <v>22</v>
      </c>
      <c r="K4394" t="s">
        <v>625</v>
      </c>
      <c r="L4394" t="s">
        <v>678</v>
      </c>
      <c r="M4394" t="s">
        <v>623</v>
      </c>
      <c r="N4394" t="s">
        <v>624</v>
      </c>
      <c r="O4394" t="s">
        <v>679</v>
      </c>
    </row>
    <row r="4395" spans="1:15" x14ac:dyDescent="0.35">
      <c r="A4395" s="77">
        <v>2.1917808219178082E-2</v>
      </c>
      <c r="B4395" s="19">
        <v>101607</v>
      </c>
      <c r="C4395" s="19" t="s">
        <v>6675</v>
      </c>
      <c r="D4395" s="19" t="s">
        <v>80</v>
      </c>
      <c r="E4395" s="19" t="s">
        <v>81</v>
      </c>
      <c r="F4395" s="19" t="s">
        <v>1022</v>
      </c>
      <c r="G4395" s="19" t="s">
        <v>1028</v>
      </c>
      <c r="H4395" s="19" t="s">
        <v>1020</v>
      </c>
      <c r="I4395" s="19" t="s">
        <v>1575</v>
      </c>
      <c r="J4395" s="20">
        <v>19</v>
      </c>
      <c r="K4395" t="s">
        <v>654</v>
      </c>
      <c r="L4395" t="s">
        <v>628</v>
      </c>
      <c r="M4395" t="s">
        <v>629</v>
      </c>
      <c r="N4395" t="s">
        <v>630</v>
      </c>
      <c r="O4395" t="s">
        <v>632</v>
      </c>
    </row>
    <row r="4396" spans="1:15" x14ac:dyDescent="0.35">
      <c r="A4396" s="77">
        <v>2.1917808219178082E-2</v>
      </c>
      <c r="B4396" s="19">
        <v>101608</v>
      </c>
      <c r="C4396" s="19" t="s">
        <v>6676</v>
      </c>
      <c r="D4396" s="19" t="s">
        <v>245</v>
      </c>
      <c r="E4396" s="19" t="s">
        <v>246</v>
      </c>
      <c r="F4396" s="19" t="s">
        <v>1365</v>
      </c>
      <c r="G4396" s="19" t="s">
        <v>1028</v>
      </c>
      <c r="H4396" s="19" t="s">
        <v>1020</v>
      </c>
      <c r="I4396" s="19" t="s">
        <v>1575</v>
      </c>
      <c r="J4396" s="20">
        <v>18</v>
      </c>
      <c r="K4396" t="s">
        <v>654</v>
      </c>
      <c r="L4396" t="s">
        <v>678</v>
      </c>
      <c r="M4396" t="s">
        <v>623</v>
      </c>
      <c r="N4396" t="s">
        <v>624</v>
      </c>
      <c r="O4396" t="s">
        <v>679</v>
      </c>
    </row>
    <row r="4397" spans="1:15" x14ac:dyDescent="0.35">
      <c r="A4397" s="77">
        <v>2.1917808219178082E-2</v>
      </c>
      <c r="B4397" s="19">
        <v>101609</v>
      </c>
      <c r="C4397" s="19" t="s">
        <v>6677</v>
      </c>
      <c r="D4397" s="19" t="s">
        <v>341</v>
      </c>
      <c r="E4397" s="19" t="s">
        <v>342</v>
      </c>
      <c r="F4397" s="19" t="s">
        <v>1264</v>
      </c>
      <c r="G4397" s="19" t="s">
        <v>1008</v>
      </c>
      <c r="H4397" s="19" t="s">
        <v>1001</v>
      </c>
      <c r="I4397" s="19" t="s">
        <v>1575</v>
      </c>
      <c r="J4397" s="20">
        <v>18</v>
      </c>
      <c r="K4397" t="s">
        <v>636</v>
      </c>
      <c r="L4397" t="s">
        <v>678</v>
      </c>
      <c r="M4397" t="s">
        <v>623</v>
      </c>
      <c r="N4397" t="s">
        <v>624</v>
      </c>
      <c r="O4397" t="s">
        <v>679</v>
      </c>
    </row>
    <row r="4398" spans="1:15" x14ac:dyDescent="0.35">
      <c r="A4398" s="77">
        <v>2.1917808219178082E-2</v>
      </c>
      <c r="B4398" s="19">
        <v>101611</v>
      </c>
      <c r="C4398" s="19" t="s">
        <v>6678</v>
      </c>
      <c r="D4398" s="19" t="s">
        <v>417</v>
      </c>
      <c r="E4398" s="19" t="s">
        <v>417</v>
      </c>
      <c r="F4398" s="19" t="s">
        <v>418</v>
      </c>
      <c r="G4398" s="19" t="s">
        <v>1028</v>
      </c>
      <c r="H4398" s="19" t="s">
        <v>1020</v>
      </c>
      <c r="I4398" s="19" t="s">
        <v>1575</v>
      </c>
      <c r="J4398" s="20">
        <v>23</v>
      </c>
      <c r="K4398" t="s">
        <v>654</v>
      </c>
      <c r="L4398" t="s">
        <v>684</v>
      </c>
      <c r="M4398" t="s">
        <v>623</v>
      </c>
      <c r="N4398" t="s">
        <v>662</v>
      </c>
      <c r="O4398" t="s">
        <v>687</v>
      </c>
    </row>
    <row r="4399" spans="1:15" x14ac:dyDescent="0.35">
      <c r="A4399" s="77">
        <v>2.1917808219178082E-2</v>
      </c>
      <c r="B4399" s="19">
        <v>101612</v>
      </c>
      <c r="C4399" s="19" t="s">
        <v>6679</v>
      </c>
      <c r="D4399" s="19" t="s">
        <v>16</v>
      </c>
      <c r="E4399" s="19" t="s">
        <v>16</v>
      </c>
      <c r="F4399" s="19" t="s">
        <v>1211</v>
      </c>
      <c r="G4399" s="19" t="s">
        <v>1028</v>
      </c>
      <c r="H4399" s="19" t="s">
        <v>1020</v>
      </c>
      <c r="I4399" s="19" t="s">
        <v>1575</v>
      </c>
      <c r="J4399" s="20">
        <v>19</v>
      </c>
      <c r="K4399" t="s">
        <v>631</v>
      </c>
      <c r="L4399" t="s">
        <v>645</v>
      </c>
      <c r="M4399" t="s">
        <v>629</v>
      </c>
      <c r="N4399" t="s">
        <v>646</v>
      </c>
      <c r="O4399" t="s">
        <v>632</v>
      </c>
    </row>
    <row r="4400" spans="1:15" x14ac:dyDescent="0.35">
      <c r="A4400" s="77">
        <v>2.1917808219178082E-2</v>
      </c>
      <c r="B4400" s="19">
        <v>101613</v>
      </c>
      <c r="C4400" s="19" t="s">
        <v>6680</v>
      </c>
      <c r="D4400" s="19" t="s">
        <v>318</v>
      </c>
      <c r="E4400" s="19" t="s">
        <v>319</v>
      </c>
      <c r="F4400" s="19" t="s">
        <v>1266</v>
      </c>
      <c r="G4400" s="19" t="s">
        <v>1028</v>
      </c>
      <c r="H4400" s="19" t="s">
        <v>1020</v>
      </c>
      <c r="I4400" s="19" t="s">
        <v>1575</v>
      </c>
      <c r="J4400" s="20">
        <v>24</v>
      </c>
      <c r="K4400" t="s">
        <v>625</v>
      </c>
      <c r="L4400" t="s">
        <v>678</v>
      </c>
      <c r="M4400" t="s">
        <v>623</v>
      </c>
      <c r="N4400" t="s">
        <v>624</v>
      </c>
      <c r="O4400" t="s">
        <v>679</v>
      </c>
    </row>
    <row r="4401" spans="1:15" x14ac:dyDescent="0.35">
      <c r="A4401" s="77">
        <v>2.1917808219178082E-2</v>
      </c>
      <c r="B4401" s="19">
        <v>101614</v>
      </c>
      <c r="C4401" s="19" t="s">
        <v>6681</v>
      </c>
      <c r="D4401" s="19" t="s">
        <v>161</v>
      </c>
      <c r="E4401" s="19" t="s">
        <v>162</v>
      </c>
      <c r="F4401" s="19" t="s">
        <v>1027</v>
      </c>
      <c r="G4401" s="19" t="s">
        <v>1008</v>
      </c>
      <c r="H4401" s="19" t="s">
        <v>1001</v>
      </c>
      <c r="I4401" s="19" t="s">
        <v>1575</v>
      </c>
      <c r="J4401" s="20">
        <v>18</v>
      </c>
      <c r="K4401" t="s">
        <v>654</v>
      </c>
      <c r="L4401" t="s">
        <v>622</v>
      </c>
      <c r="M4401" t="s">
        <v>623</v>
      </c>
      <c r="N4401" t="s">
        <v>624</v>
      </c>
      <c r="O4401" t="s">
        <v>649</v>
      </c>
    </row>
    <row r="4402" spans="1:15" x14ac:dyDescent="0.35">
      <c r="A4402" s="77">
        <v>2.1917808219178082E-2</v>
      </c>
      <c r="B4402" s="19">
        <v>101615</v>
      </c>
      <c r="C4402" s="19" t="s">
        <v>6682</v>
      </c>
      <c r="D4402" s="19" t="s">
        <v>173</v>
      </c>
      <c r="E4402" s="19" t="s">
        <v>174</v>
      </c>
      <c r="F4402" s="19" t="s">
        <v>901</v>
      </c>
      <c r="G4402" s="19" t="s">
        <v>1019</v>
      </c>
      <c r="H4402" s="19" t="s">
        <v>1020</v>
      </c>
      <c r="I4402" s="19" t="s">
        <v>1575</v>
      </c>
      <c r="J4402" s="20">
        <v>17</v>
      </c>
      <c r="K4402" t="s">
        <v>668</v>
      </c>
      <c r="L4402" t="s">
        <v>656</v>
      </c>
      <c r="M4402" t="s">
        <v>657</v>
      </c>
      <c r="N4402" t="s">
        <v>658</v>
      </c>
      <c r="O4402" t="s">
        <v>632</v>
      </c>
    </row>
    <row r="4403" spans="1:15" x14ac:dyDescent="0.35">
      <c r="A4403" s="77">
        <v>2.1917808219178082E-2</v>
      </c>
      <c r="B4403" s="19">
        <v>101616</v>
      </c>
      <c r="C4403" s="19" t="s">
        <v>6683</v>
      </c>
      <c r="D4403" s="19" t="s">
        <v>273</v>
      </c>
      <c r="E4403" s="19" t="s">
        <v>274</v>
      </c>
      <c r="F4403" s="19" t="s">
        <v>1093</v>
      </c>
      <c r="G4403" s="19" t="s">
        <v>1008</v>
      </c>
      <c r="H4403" s="19" t="s">
        <v>1001</v>
      </c>
      <c r="I4403" s="19" t="s">
        <v>1575</v>
      </c>
      <c r="J4403" s="20">
        <v>18</v>
      </c>
      <c r="K4403" t="s">
        <v>636</v>
      </c>
      <c r="L4403" t="s">
        <v>663</v>
      </c>
      <c r="M4403" t="s">
        <v>629</v>
      </c>
      <c r="N4403" t="s">
        <v>646</v>
      </c>
      <c r="O4403" t="s">
        <v>639</v>
      </c>
    </row>
    <row r="4404" spans="1:15" x14ac:dyDescent="0.35">
      <c r="A4404" s="77">
        <v>2.1917808219178082E-2</v>
      </c>
      <c r="B4404" s="19">
        <v>101617</v>
      </c>
      <c r="C4404" s="19" t="s">
        <v>6684</v>
      </c>
      <c r="D4404" s="19" t="s">
        <v>349</v>
      </c>
      <c r="E4404" s="19" t="s">
        <v>350</v>
      </c>
      <c r="F4404" s="19" t="s">
        <v>912</v>
      </c>
      <c r="G4404" s="19" t="s">
        <v>1028</v>
      </c>
      <c r="H4404" s="19" t="s">
        <v>1020</v>
      </c>
      <c r="I4404" s="19" t="s">
        <v>1575</v>
      </c>
      <c r="J4404" s="20">
        <v>29</v>
      </c>
      <c r="K4404" t="s">
        <v>625</v>
      </c>
      <c r="L4404" t="s">
        <v>648</v>
      </c>
      <c r="M4404" t="s">
        <v>623</v>
      </c>
      <c r="N4404" t="s">
        <v>624</v>
      </c>
      <c r="O4404" t="s">
        <v>649</v>
      </c>
    </row>
    <row r="4405" spans="1:15" x14ac:dyDescent="0.35">
      <c r="A4405" s="77">
        <v>2.1917808219178082E-2</v>
      </c>
      <c r="B4405" s="19">
        <v>101618</v>
      </c>
      <c r="C4405" s="19" t="s">
        <v>6685</v>
      </c>
      <c r="D4405" s="19" t="s">
        <v>173</v>
      </c>
      <c r="E4405" s="19" t="s">
        <v>174</v>
      </c>
      <c r="F4405" s="19" t="s">
        <v>901</v>
      </c>
      <c r="G4405" s="19" t="s">
        <v>1028</v>
      </c>
      <c r="H4405" s="19" t="s">
        <v>1020</v>
      </c>
      <c r="I4405" s="19" t="s">
        <v>1575</v>
      </c>
      <c r="J4405" s="20">
        <v>19</v>
      </c>
      <c r="K4405" t="s">
        <v>668</v>
      </c>
      <c r="L4405" t="s">
        <v>656</v>
      </c>
      <c r="M4405" t="s">
        <v>657</v>
      </c>
      <c r="N4405" t="s">
        <v>658</v>
      </c>
      <c r="O4405" t="s">
        <v>632</v>
      </c>
    </row>
    <row r="4406" spans="1:15" x14ac:dyDescent="0.35">
      <c r="A4406" s="77">
        <v>2.1917808219178082E-2</v>
      </c>
      <c r="B4406" s="19">
        <v>101619</v>
      </c>
      <c r="C4406" s="19" t="s">
        <v>6686</v>
      </c>
      <c r="D4406" s="19" t="s">
        <v>349</v>
      </c>
      <c r="E4406" s="19" t="s">
        <v>350</v>
      </c>
      <c r="F4406" s="19" t="s">
        <v>912</v>
      </c>
      <c r="G4406" s="19" t="s">
        <v>1008</v>
      </c>
      <c r="H4406" s="19" t="s">
        <v>1001</v>
      </c>
      <c r="I4406" s="19" t="s">
        <v>1599</v>
      </c>
      <c r="J4406" s="20">
        <v>22</v>
      </c>
      <c r="K4406" t="s">
        <v>625</v>
      </c>
      <c r="L4406" t="s">
        <v>648</v>
      </c>
      <c r="M4406" t="s">
        <v>623</v>
      </c>
      <c r="N4406" t="s">
        <v>624</v>
      </c>
      <c r="O4406" t="s">
        <v>649</v>
      </c>
    </row>
    <row r="4407" spans="1:15" x14ac:dyDescent="0.35">
      <c r="A4407" s="77">
        <v>2.1917808219178082E-2</v>
      </c>
      <c r="B4407" s="19">
        <v>101620</v>
      </c>
      <c r="C4407" s="19" t="s">
        <v>6687</v>
      </c>
      <c r="D4407" s="19" t="s">
        <v>290</v>
      </c>
      <c r="E4407" s="19" t="s">
        <v>291</v>
      </c>
      <c r="F4407" s="19" t="s">
        <v>1182</v>
      </c>
      <c r="G4407" s="19" t="s">
        <v>1028</v>
      </c>
      <c r="H4407" s="19" t="s">
        <v>1020</v>
      </c>
      <c r="I4407" s="19" t="s">
        <v>1575</v>
      </c>
      <c r="J4407" s="20">
        <v>27</v>
      </c>
      <c r="K4407" t="s">
        <v>668</v>
      </c>
      <c r="L4407" t="s">
        <v>663</v>
      </c>
      <c r="M4407" t="s">
        <v>629</v>
      </c>
      <c r="N4407" t="s">
        <v>646</v>
      </c>
      <c r="O4407" t="s">
        <v>639</v>
      </c>
    </row>
    <row r="4408" spans="1:15" x14ac:dyDescent="0.35">
      <c r="A4408" s="77">
        <v>2.1917808219178082E-2</v>
      </c>
      <c r="B4408" s="19">
        <v>101621</v>
      </c>
      <c r="C4408" s="19" t="s">
        <v>6688</v>
      </c>
      <c r="D4408" s="19" t="s">
        <v>273</v>
      </c>
      <c r="E4408" s="19" t="s">
        <v>274</v>
      </c>
      <c r="F4408" s="19" t="s">
        <v>1093</v>
      </c>
      <c r="G4408" s="19" t="s">
        <v>1008</v>
      </c>
      <c r="H4408" s="19" t="s">
        <v>1001</v>
      </c>
      <c r="I4408" s="19" t="s">
        <v>1575</v>
      </c>
      <c r="J4408" s="20">
        <v>22</v>
      </c>
      <c r="K4408" t="s">
        <v>636</v>
      </c>
      <c r="L4408" t="s">
        <v>663</v>
      </c>
      <c r="M4408" t="s">
        <v>629</v>
      </c>
      <c r="N4408" t="s">
        <v>646</v>
      </c>
      <c r="O4408" t="s">
        <v>639</v>
      </c>
    </row>
    <row r="4409" spans="1:15" x14ac:dyDescent="0.35">
      <c r="A4409" s="77">
        <v>2.1917808219178082E-2</v>
      </c>
      <c r="B4409" s="19">
        <v>101622</v>
      </c>
      <c r="C4409" s="19" t="s">
        <v>6689</v>
      </c>
      <c r="D4409" s="19" t="s">
        <v>362</v>
      </c>
      <c r="E4409" s="19" t="s">
        <v>363</v>
      </c>
      <c r="F4409" s="19" t="s">
        <v>1056</v>
      </c>
      <c r="G4409" s="19" t="s">
        <v>1008</v>
      </c>
      <c r="H4409" s="19" t="s">
        <v>1001</v>
      </c>
      <c r="I4409" s="19" t="s">
        <v>1575</v>
      </c>
      <c r="J4409" s="20">
        <v>23</v>
      </c>
      <c r="K4409" t="s">
        <v>654</v>
      </c>
      <c r="L4409" t="s">
        <v>663</v>
      </c>
      <c r="M4409" t="s">
        <v>629</v>
      </c>
      <c r="N4409" t="s">
        <v>646</v>
      </c>
      <c r="O4409" t="s">
        <v>810</v>
      </c>
    </row>
    <row r="4410" spans="1:15" x14ac:dyDescent="0.35">
      <c r="A4410" s="77">
        <v>2.1917808219178082E-2</v>
      </c>
      <c r="B4410" s="19">
        <v>101623</v>
      </c>
      <c r="C4410" s="19" t="s">
        <v>6690</v>
      </c>
      <c r="D4410" s="19" t="s">
        <v>245</v>
      </c>
      <c r="E4410" s="19" t="s">
        <v>246</v>
      </c>
      <c r="F4410" s="19" t="s">
        <v>1365</v>
      </c>
      <c r="G4410" s="19" t="s">
        <v>1028</v>
      </c>
      <c r="H4410" s="19" t="s">
        <v>1020</v>
      </c>
      <c r="I4410" s="19" t="s">
        <v>1575</v>
      </c>
      <c r="J4410" s="20">
        <v>21</v>
      </c>
      <c r="K4410" t="s">
        <v>654</v>
      </c>
      <c r="L4410" t="s">
        <v>678</v>
      </c>
      <c r="M4410" t="s">
        <v>623</v>
      </c>
      <c r="N4410" t="s">
        <v>624</v>
      </c>
      <c r="O4410" t="s">
        <v>679</v>
      </c>
    </row>
    <row r="4411" spans="1:15" x14ac:dyDescent="0.35">
      <c r="A4411" s="77">
        <v>2.1917808219178082E-2</v>
      </c>
      <c r="B4411" s="19">
        <v>101624</v>
      </c>
      <c r="C4411" s="19" t="s">
        <v>6691</v>
      </c>
      <c r="D4411" s="19" t="s">
        <v>215</v>
      </c>
      <c r="E4411" s="19" t="s">
        <v>216</v>
      </c>
      <c r="F4411" s="19" t="s">
        <v>1081</v>
      </c>
      <c r="G4411" s="19" t="s">
        <v>1019</v>
      </c>
      <c r="H4411" s="19" t="s">
        <v>1020</v>
      </c>
      <c r="I4411" s="19" t="s">
        <v>1575</v>
      </c>
      <c r="J4411" s="20">
        <v>19</v>
      </c>
      <c r="K4411" t="s">
        <v>654</v>
      </c>
      <c r="L4411" t="s">
        <v>640</v>
      </c>
      <c r="M4411" t="s">
        <v>623</v>
      </c>
      <c r="N4411" t="s">
        <v>624</v>
      </c>
      <c r="O4411" t="s">
        <v>789</v>
      </c>
    </row>
    <row r="4412" spans="1:15" x14ac:dyDescent="0.35">
      <c r="A4412" s="77">
        <v>1.3698630136986301E-2</v>
      </c>
      <c r="B4412" s="19">
        <v>101625</v>
      </c>
      <c r="C4412" s="19" t="s">
        <v>6692</v>
      </c>
      <c r="D4412" s="19" t="s">
        <v>64</v>
      </c>
      <c r="E4412" s="19" t="s">
        <v>65</v>
      </c>
      <c r="F4412" s="19" t="s">
        <v>1197</v>
      </c>
      <c r="G4412" s="19" t="s">
        <v>1057</v>
      </c>
      <c r="H4412" s="19" t="s">
        <v>1001</v>
      </c>
      <c r="I4412" s="19" t="s">
        <v>1599</v>
      </c>
      <c r="J4412" s="20">
        <v>22</v>
      </c>
      <c r="K4412" t="s">
        <v>654</v>
      </c>
      <c r="L4412" t="s">
        <v>651</v>
      </c>
      <c r="M4412" t="s">
        <v>629</v>
      </c>
      <c r="N4412" t="s">
        <v>630</v>
      </c>
      <c r="O4412" t="s">
        <v>705</v>
      </c>
    </row>
    <row r="4413" spans="1:15" x14ac:dyDescent="0.35">
      <c r="A4413" s="77">
        <v>1.643835616438356E-2</v>
      </c>
      <c r="B4413" s="19">
        <v>101626</v>
      </c>
      <c r="C4413" s="19" t="s">
        <v>6693</v>
      </c>
      <c r="D4413" s="19" t="s">
        <v>365</v>
      </c>
      <c r="E4413" s="19" t="s">
        <v>366</v>
      </c>
      <c r="F4413" s="19" t="s">
        <v>1117</v>
      </c>
      <c r="G4413" s="19" t="s">
        <v>1028</v>
      </c>
      <c r="H4413" s="19" t="s">
        <v>1020</v>
      </c>
      <c r="I4413" s="19" t="s">
        <v>1575</v>
      </c>
      <c r="J4413" s="20">
        <v>19</v>
      </c>
      <c r="K4413" t="s">
        <v>668</v>
      </c>
      <c r="L4413" t="s">
        <v>691</v>
      </c>
      <c r="M4413" t="s">
        <v>657</v>
      </c>
      <c r="N4413" t="s">
        <v>658</v>
      </c>
      <c r="O4413" t="s">
        <v>632</v>
      </c>
    </row>
    <row r="4414" spans="1:15" x14ac:dyDescent="0.35">
      <c r="A4414" s="77">
        <v>1.643835616438356E-2</v>
      </c>
      <c r="B4414" s="19">
        <v>101627</v>
      </c>
      <c r="C4414" s="19" t="s">
        <v>6694</v>
      </c>
      <c r="D4414" s="19" t="s">
        <v>407</v>
      </c>
      <c r="E4414" s="19" t="s">
        <v>408</v>
      </c>
      <c r="F4414" s="19" t="s">
        <v>1230</v>
      </c>
      <c r="G4414" s="19" t="s">
        <v>1028</v>
      </c>
      <c r="H4414" s="19" t="s">
        <v>1020</v>
      </c>
      <c r="I4414" s="19" t="s">
        <v>1575</v>
      </c>
      <c r="J4414" s="20">
        <v>23</v>
      </c>
      <c r="K4414" t="s">
        <v>636</v>
      </c>
      <c r="L4414" t="s">
        <v>622</v>
      </c>
      <c r="M4414" t="s">
        <v>623</v>
      </c>
      <c r="N4414" t="s">
        <v>624</v>
      </c>
      <c r="O4414" t="s">
        <v>730</v>
      </c>
    </row>
    <row r="4415" spans="1:15" x14ac:dyDescent="0.35">
      <c r="A4415" s="77">
        <v>2.1917808219178082E-2</v>
      </c>
      <c r="B4415" s="19">
        <v>101628</v>
      </c>
      <c r="C4415" s="19" t="s">
        <v>6695</v>
      </c>
      <c r="D4415" s="19" t="s">
        <v>266</v>
      </c>
      <c r="E4415" s="19" t="s">
        <v>267</v>
      </c>
      <c r="F4415" s="19" t="s">
        <v>2070</v>
      </c>
      <c r="G4415" s="19" t="s">
        <v>1028</v>
      </c>
      <c r="H4415" s="19" t="s">
        <v>1020</v>
      </c>
      <c r="I4415" s="19" t="s">
        <v>1575</v>
      </c>
      <c r="J4415" s="20">
        <v>21</v>
      </c>
      <c r="K4415" t="s">
        <v>636</v>
      </c>
      <c r="L4415" t="s">
        <v>634</v>
      </c>
      <c r="M4415" t="s">
        <v>629</v>
      </c>
      <c r="N4415" t="s">
        <v>635</v>
      </c>
      <c r="O4415" t="s">
        <v>637</v>
      </c>
    </row>
    <row r="4416" spans="1:15" x14ac:dyDescent="0.35">
      <c r="A4416" s="77">
        <v>1.643835616438356E-2</v>
      </c>
      <c r="B4416" s="19">
        <v>101629</v>
      </c>
      <c r="C4416" s="19" t="s">
        <v>6696</v>
      </c>
      <c r="D4416" s="19" t="s">
        <v>365</v>
      </c>
      <c r="E4416" s="19" t="s">
        <v>366</v>
      </c>
      <c r="F4416" s="19" t="s">
        <v>1117</v>
      </c>
      <c r="G4416" s="19" t="s">
        <v>1028</v>
      </c>
      <c r="H4416" s="19" t="s">
        <v>1020</v>
      </c>
      <c r="I4416" s="19" t="s">
        <v>1575</v>
      </c>
      <c r="J4416" s="20">
        <v>20</v>
      </c>
      <c r="K4416" t="s">
        <v>668</v>
      </c>
      <c r="L4416" t="s">
        <v>691</v>
      </c>
      <c r="M4416" t="s">
        <v>657</v>
      </c>
      <c r="N4416" t="s">
        <v>658</v>
      </c>
      <c r="O4416" t="s">
        <v>632</v>
      </c>
    </row>
    <row r="4417" spans="1:15" x14ac:dyDescent="0.35">
      <c r="A4417" s="77">
        <v>1.3698630136986301E-2</v>
      </c>
      <c r="B4417" s="19">
        <v>101631</v>
      </c>
      <c r="C4417" s="19" t="s">
        <v>6697</v>
      </c>
      <c r="D4417" s="19" t="s">
        <v>330</v>
      </c>
      <c r="E4417" s="19" t="s">
        <v>331</v>
      </c>
      <c r="F4417" s="19" t="s">
        <v>332</v>
      </c>
      <c r="G4417" s="19" t="s">
        <v>1028</v>
      </c>
      <c r="H4417" s="19" t="s">
        <v>1020</v>
      </c>
      <c r="I4417" s="19" t="s">
        <v>1575</v>
      </c>
      <c r="J4417" s="20">
        <v>21</v>
      </c>
      <c r="K4417" t="s">
        <v>636</v>
      </c>
      <c r="L4417" t="s">
        <v>762</v>
      </c>
      <c r="M4417" t="s">
        <v>629</v>
      </c>
      <c r="N4417" t="s">
        <v>646</v>
      </c>
      <c r="O4417" t="s">
        <v>839</v>
      </c>
    </row>
    <row r="4418" spans="1:15" x14ac:dyDescent="0.35">
      <c r="A4418" s="77">
        <v>1.3698630136986301E-2</v>
      </c>
      <c r="B4418" s="19">
        <v>101632</v>
      </c>
      <c r="C4418" s="19" t="s">
        <v>6698</v>
      </c>
      <c r="D4418" s="19" t="s">
        <v>355</v>
      </c>
      <c r="E4418" s="19" t="s">
        <v>356</v>
      </c>
      <c r="F4418" s="19" t="s">
        <v>1100</v>
      </c>
      <c r="G4418" s="19" t="s">
        <v>1008</v>
      </c>
      <c r="H4418" s="19" t="s">
        <v>1001</v>
      </c>
      <c r="I4418" s="19" t="s">
        <v>1575</v>
      </c>
      <c r="J4418" s="20">
        <v>21</v>
      </c>
      <c r="K4418" t="s">
        <v>625</v>
      </c>
      <c r="L4418" t="s">
        <v>622</v>
      </c>
      <c r="M4418" t="s">
        <v>623</v>
      </c>
      <c r="N4418" t="s">
        <v>624</v>
      </c>
      <c r="O4418" t="s">
        <v>649</v>
      </c>
    </row>
    <row r="4419" spans="1:15" x14ac:dyDescent="0.35">
      <c r="A4419" s="77">
        <v>1.3698630136986301E-2</v>
      </c>
      <c r="B4419" s="19">
        <v>101634</v>
      </c>
      <c r="C4419" s="19" t="s">
        <v>6699</v>
      </c>
      <c r="D4419" s="19" t="s">
        <v>349</v>
      </c>
      <c r="E4419" s="19" t="s">
        <v>350</v>
      </c>
      <c r="F4419" s="19" t="s">
        <v>912</v>
      </c>
      <c r="G4419" s="19" t="s">
        <v>1028</v>
      </c>
      <c r="H4419" s="19" t="s">
        <v>1020</v>
      </c>
      <c r="I4419" s="19" t="s">
        <v>1575</v>
      </c>
      <c r="J4419" s="20">
        <v>20</v>
      </c>
      <c r="K4419" t="s">
        <v>625</v>
      </c>
      <c r="L4419" t="s">
        <v>648</v>
      </c>
      <c r="M4419" t="s">
        <v>623</v>
      </c>
      <c r="N4419" t="s">
        <v>624</v>
      </c>
      <c r="O4419" t="s">
        <v>649</v>
      </c>
    </row>
    <row r="4420" spans="1:15" x14ac:dyDescent="0.35">
      <c r="A4420" s="77">
        <v>1.3698630136986301E-2</v>
      </c>
      <c r="B4420" s="19">
        <v>101635</v>
      </c>
      <c r="C4420" s="19" t="s">
        <v>6700</v>
      </c>
      <c r="D4420" s="19" t="s">
        <v>349</v>
      </c>
      <c r="E4420" s="19" t="s">
        <v>350</v>
      </c>
      <c r="F4420" s="19" t="s">
        <v>912</v>
      </c>
      <c r="G4420" s="19" t="s">
        <v>1057</v>
      </c>
      <c r="H4420" s="19" t="s">
        <v>1001</v>
      </c>
      <c r="I4420" s="19" t="s">
        <v>1575</v>
      </c>
      <c r="J4420" s="20">
        <v>23</v>
      </c>
      <c r="K4420" t="s">
        <v>625</v>
      </c>
      <c r="L4420" t="s">
        <v>648</v>
      </c>
      <c r="M4420" t="s">
        <v>623</v>
      </c>
      <c r="N4420" t="s">
        <v>624</v>
      </c>
      <c r="O4420" t="s">
        <v>649</v>
      </c>
    </row>
    <row r="4421" spans="1:15" x14ac:dyDescent="0.35">
      <c r="A4421" s="77">
        <v>1.3698630136986301E-2</v>
      </c>
      <c r="B4421" s="19">
        <v>101636</v>
      </c>
      <c r="C4421" s="19" t="s">
        <v>6701</v>
      </c>
      <c r="D4421" s="19" t="s">
        <v>161</v>
      </c>
      <c r="E4421" s="19" t="s">
        <v>162</v>
      </c>
      <c r="F4421" s="19" t="s">
        <v>1027</v>
      </c>
      <c r="G4421" s="19" t="s">
        <v>1028</v>
      </c>
      <c r="H4421" s="19" t="s">
        <v>1020</v>
      </c>
      <c r="I4421" s="19" t="s">
        <v>1575</v>
      </c>
      <c r="J4421" s="20">
        <v>19</v>
      </c>
      <c r="K4421" t="s">
        <v>654</v>
      </c>
      <c r="L4421" t="s">
        <v>622</v>
      </c>
      <c r="M4421" t="s">
        <v>623</v>
      </c>
      <c r="N4421" t="s">
        <v>624</v>
      </c>
      <c r="O4421" t="s">
        <v>649</v>
      </c>
    </row>
    <row r="4422" spans="1:15" x14ac:dyDescent="0.35">
      <c r="A4422" s="77">
        <v>2.1917808219178082E-2</v>
      </c>
      <c r="B4422" s="19">
        <v>101637</v>
      </c>
      <c r="C4422" s="19" t="s">
        <v>6702</v>
      </c>
      <c r="D4422" s="19" t="s">
        <v>42</v>
      </c>
      <c r="E4422" s="19" t="s">
        <v>42</v>
      </c>
      <c r="F4422" s="19" t="s">
        <v>1262</v>
      </c>
      <c r="G4422" s="19" t="s">
        <v>1008</v>
      </c>
      <c r="H4422" s="19" t="s">
        <v>1001</v>
      </c>
      <c r="I4422" s="19" t="s">
        <v>1575</v>
      </c>
      <c r="J4422" s="20">
        <v>20</v>
      </c>
      <c r="K4422" t="s">
        <v>625</v>
      </c>
      <c r="L4422" t="s">
        <v>628</v>
      </c>
      <c r="M4422" t="s">
        <v>629</v>
      </c>
      <c r="N4422" t="s">
        <v>630</v>
      </c>
      <c r="O4422" t="s">
        <v>632</v>
      </c>
    </row>
    <row r="4423" spans="1:15" x14ac:dyDescent="0.35">
      <c r="A4423" s="77">
        <v>1.9178082191780823E-2</v>
      </c>
      <c r="B4423" s="19">
        <v>101638</v>
      </c>
      <c r="C4423" s="19" t="s">
        <v>6703</v>
      </c>
      <c r="D4423" s="19" t="s">
        <v>367</v>
      </c>
      <c r="E4423" s="19" t="s">
        <v>368</v>
      </c>
      <c r="F4423" s="19" t="s">
        <v>1604</v>
      </c>
      <c r="G4423" s="19" t="s">
        <v>1008</v>
      </c>
      <c r="H4423" s="19" t="s">
        <v>1001</v>
      </c>
      <c r="I4423" s="19" t="s">
        <v>1575</v>
      </c>
      <c r="J4423" s="20">
        <v>20</v>
      </c>
      <c r="K4423" t="s">
        <v>636</v>
      </c>
      <c r="L4423" t="s">
        <v>737</v>
      </c>
      <c r="M4423" t="s">
        <v>657</v>
      </c>
      <c r="N4423" t="s">
        <v>641</v>
      </c>
      <c r="O4423" t="s">
        <v>738</v>
      </c>
    </row>
    <row r="4424" spans="1:15" x14ac:dyDescent="0.35">
      <c r="A4424" s="77">
        <v>2.4657534246575342E-2</v>
      </c>
      <c r="B4424" s="19">
        <v>101639</v>
      </c>
      <c r="C4424" s="19" t="s">
        <v>6704</v>
      </c>
      <c r="D4424" s="19" t="s">
        <v>165</v>
      </c>
      <c r="E4424" s="19" t="s">
        <v>166</v>
      </c>
      <c r="F4424" s="19" t="s">
        <v>1238</v>
      </c>
      <c r="G4424" s="19" t="s">
        <v>1008</v>
      </c>
      <c r="H4424" s="19" t="s">
        <v>1001</v>
      </c>
      <c r="I4424" s="19" t="s">
        <v>1599</v>
      </c>
      <c r="J4424" s="20">
        <v>20</v>
      </c>
      <c r="K4424" t="s">
        <v>636</v>
      </c>
      <c r="L4424" t="s">
        <v>648</v>
      </c>
      <c r="M4424" t="s">
        <v>623</v>
      </c>
      <c r="N4424" t="s">
        <v>624</v>
      </c>
      <c r="O4424" t="s">
        <v>649</v>
      </c>
    </row>
    <row r="4425" spans="1:15" x14ac:dyDescent="0.35">
      <c r="A4425" s="77">
        <v>2.4657534246575342E-2</v>
      </c>
      <c r="B4425" s="19">
        <v>101640</v>
      </c>
      <c r="C4425" s="19" t="s">
        <v>6705</v>
      </c>
      <c r="D4425" s="19" t="s">
        <v>165</v>
      </c>
      <c r="E4425" s="19" t="s">
        <v>166</v>
      </c>
      <c r="F4425" s="19" t="s">
        <v>1238</v>
      </c>
      <c r="G4425" s="19" t="s">
        <v>1008</v>
      </c>
      <c r="H4425" s="19" t="s">
        <v>1001</v>
      </c>
      <c r="I4425" s="19" t="s">
        <v>1575</v>
      </c>
      <c r="J4425" s="20">
        <v>20</v>
      </c>
      <c r="K4425" t="s">
        <v>636</v>
      </c>
      <c r="L4425" t="s">
        <v>648</v>
      </c>
      <c r="M4425" t="s">
        <v>623</v>
      </c>
      <c r="N4425" t="s">
        <v>624</v>
      </c>
      <c r="O4425" t="s">
        <v>649</v>
      </c>
    </row>
    <row r="4426" spans="1:15" x14ac:dyDescent="0.35">
      <c r="A4426" s="77">
        <v>2.4657534246575342E-2</v>
      </c>
      <c r="B4426" s="19">
        <v>101641</v>
      </c>
      <c r="C4426" s="19" t="s">
        <v>6706</v>
      </c>
      <c r="D4426" s="19" t="s">
        <v>307</v>
      </c>
      <c r="E4426" s="19" t="s">
        <v>308</v>
      </c>
      <c r="F4426" s="19" t="s">
        <v>1524</v>
      </c>
      <c r="G4426" s="19" t="s">
        <v>1028</v>
      </c>
      <c r="H4426" s="19" t="s">
        <v>1020</v>
      </c>
      <c r="I4426" s="19" t="s">
        <v>1575</v>
      </c>
      <c r="J4426" s="20">
        <v>19</v>
      </c>
      <c r="K4426" t="s">
        <v>668</v>
      </c>
      <c r="L4426" t="s">
        <v>656</v>
      </c>
      <c r="M4426" t="s">
        <v>657</v>
      </c>
      <c r="N4426" t="s">
        <v>658</v>
      </c>
      <c r="O4426" t="s">
        <v>718</v>
      </c>
    </row>
    <row r="4427" spans="1:15" x14ac:dyDescent="0.35">
      <c r="A4427" s="77">
        <v>2.1917808219178082E-2</v>
      </c>
      <c r="B4427" s="19">
        <v>101642</v>
      </c>
      <c r="C4427" s="19" t="s">
        <v>6707</v>
      </c>
      <c r="D4427" s="19" t="s">
        <v>21</v>
      </c>
      <c r="E4427" s="19" t="s">
        <v>21</v>
      </c>
      <c r="F4427" s="19" t="s">
        <v>22</v>
      </c>
      <c r="G4427" s="19" t="s">
        <v>1019</v>
      </c>
      <c r="H4427" s="19" t="s">
        <v>1020</v>
      </c>
      <c r="I4427" s="19" t="s">
        <v>1575</v>
      </c>
      <c r="J4427" s="20">
        <v>28</v>
      </c>
      <c r="K4427" t="s">
        <v>654</v>
      </c>
      <c r="L4427" t="s">
        <v>656</v>
      </c>
      <c r="M4427" t="s">
        <v>657</v>
      </c>
      <c r="N4427" t="s">
        <v>658</v>
      </c>
      <c r="O4427" t="s">
        <v>659</v>
      </c>
    </row>
    <row r="4428" spans="1:15" x14ac:dyDescent="0.35">
      <c r="A4428" s="77">
        <v>2.1917808219178082E-2</v>
      </c>
      <c r="B4428" s="19">
        <v>101643</v>
      </c>
      <c r="C4428" s="19" t="s">
        <v>6708</v>
      </c>
      <c r="D4428" s="19" t="s">
        <v>37</v>
      </c>
      <c r="E4428" s="19" t="s">
        <v>37</v>
      </c>
      <c r="F4428" s="19" t="s">
        <v>1480</v>
      </c>
      <c r="G4428" s="19" t="s">
        <v>1008</v>
      </c>
      <c r="H4428" s="19" t="s">
        <v>1001</v>
      </c>
      <c r="I4428" s="19" t="s">
        <v>1575</v>
      </c>
      <c r="J4428" s="20">
        <v>22</v>
      </c>
      <c r="K4428" t="s">
        <v>654</v>
      </c>
      <c r="L4428" t="s">
        <v>648</v>
      </c>
      <c r="M4428" t="s">
        <v>623</v>
      </c>
      <c r="N4428" t="s">
        <v>624</v>
      </c>
      <c r="O4428" t="s">
        <v>649</v>
      </c>
    </row>
    <row r="4429" spans="1:15" x14ac:dyDescent="0.35">
      <c r="A4429" s="77">
        <v>2.1917808219178082E-2</v>
      </c>
      <c r="B4429" s="19">
        <v>101644</v>
      </c>
      <c r="C4429" s="19" t="s">
        <v>6709</v>
      </c>
      <c r="D4429" s="19" t="s">
        <v>49</v>
      </c>
      <c r="E4429" s="19" t="s">
        <v>50</v>
      </c>
      <c r="F4429" s="19" t="s">
        <v>1213</v>
      </c>
      <c r="G4429" s="19" t="s">
        <v>1008</v>
      </c>
      <c r="H4429" s="19" t="s">
        <v>1001</v>
      </c>
      <c r="I4429" s="19" t="s">
        <v>1575</v>
      </c>
      <c r="J4429" s="20">
        <v>19</v>
      </c>
      <c r="K4429" t="s">
        <v>625</v>
      </c>
      <c r="L4429" t="s">
        <v>648</v>
      </c>
      <c r="M4429" t="s">
        <v>623</v>
      </c>
      <c r="N4429" t="s">
        <v>624</v>
      </c>
      <c r="O4429" t="s">
        <v>649</v>
      </c>
    </row>
    <row r="4430" spans="1:15" x14ac:dyDescent="0.35">
      <c r="A4430" s="77">
        <v>2.1917808219178082E-2</v>
      </c>
      <c r="B4430" s="19">
        <v>101645</v>
      </c>
      <c r="C4430" s="19" t="s">
        <v>6710</v>
      </c>
      <c r="D4430" s="19" t="s">
        <v>49</v>
      </c>
      <c r="E4430" s="19" t="s">
        <v>50</v>
      </c>
      <c r="F4430" s="19" t="s">
        <v>1213</v>
      </c>
      <c r="G4430" s="19" t="s">
        <v>1008</v>
      </c>
      <c r="H4430" s="19" t="s">
        <v>1001</v>
      </c>
      <c r="I4430" s="19" t="s">
        <v>1599</v>
      </c>
      <c r="J4430" s="20">
        <v>22</v>
      </c>
      <c r="K4430" t="s">
        <v>625</v>
      </c>
      <c r="L4430" t="s">
        <v>648</v>
      </c>
      <c r="M4430" t="s">
        <v>623</v>
      </c>
      <c r="N4430" t="s">
        <v>624</v>
      </c>
      <c r="O4430" t="s">
        <v>649</v>
      </c>
    </row>
    <row r="4431" spans="1:15" x14ac:dyDescent="0.35">
      <c r="A4431" s="77">
        <v>1.9178082191780823E-2</v>
      </c>
      <c r="B4431" s="19">
        <v>101646</v>
      </c>
      <c r="C4431" s="19" t="s">
        <v>6711</v>
      </c>
      <c r="D4431" s="19" t="s">
        <v>145</v>
      </c>
      <c r="E4431" s="19" t="s">
        <v>146</v>
      </c>
      <c r="F4431" s="19" t="s">
        <v>1015</v>
      </c>
      <c r="G4431" s="19" t="s">
        <v>1008</v>
      </c>
      <c r="H4431" s="19" t="s">
        <v>1001</v>
      </c>
      <c r="I4431" s="19" t="s">
        <v>1575</v>
      </c>
      <c r="J4431" s="20">
        <v>34</v>
      </c>
      <c r="K4431" t="s">
        <v>636</v>
      </c>
      <c r="L4431" t="s">
        <v>737</v>
      </c>
      <c r="M4431" t="s">
        <v>657</v>
      </c>
      <c r="N4431" t="s">
        <v>641</v>
      </c>
      <c r="O4431" t="s">
        <v>757</v>
      </c>
    </row>
    <row r="4432" spans="1:15" x14ac:dyDescent="0.35">
      <c r="A4432" s="77">
        <v>2.1917808219178082E-2</v>
      </c>
      <c r="B4432" s="19">
        <v>101647</v>
      </c>
      <c r="C4432" s="19" t="s">
        <v>6712</v>
      </c>
      <c r="D4432" s="19" t="s">
        <v>49</v>
      </c>
      <c r="E4432" s="19" t="s">
        <v>50</v>
      </c>
      <c r="F4432" s="19" t="s">
        <v>1213</v>
      </c>
      <c r="G4432" s="19" t="s">
        <v>1008</v>
      </c>
      <c r="H4432" s="19" t="s">
        <v>1001</v>
      </c>
      <c r="I4432" s="19" t="s">
        <v>1575</v>
      </c>
      <c r="J4432" s="20">
        <v>20</v>
      </c>
      <c r="K4432" t="s">
        <v>625</v>
      </c>
      <c r="L4432" t="s">
        <v>648</v>
      </c>
      <c r="M4432" t="s">
        <v>623</v>
      </c>
      <c r="N4432" t="s">
        <v>624</v>
      </c>
      <c r="O4432" t="s">
        <v>649</v>
      </c>
    </row>
    <row r="4433" spans="1:15" x14ac:dyDescent="0.35">
      <c r="A4433" s="77">
        <v>2.1917808219178082E-2</v>
      </c>
      <c r="B4433" s="19">
        <v>101648</v>
      </c>
      <c r="C4433" s="19" t="s">
        <v>6713</v>
      </c>
      <c r="D4433" s="19" t="s">
        <v>73</v>
      </c>
      <c r="E4433" s="19" t="s">
        <v>74</v>
      </c>
      <c r="F4433" s="19" t="s">
        <v>1178</v>
      </c>
      <c r="G4433" s="19" t="s">
        <v>1008</v>
      </c>
      <c r="H4433" s="19" t="s">
        <v>1001</v>
      </c>
      <c r="I4433" s="19" t="s">
        <v>1575</v>
      </c>
      <c r="J4433" s="20">
        <v>21</v>
      </c>
      <c r="K4433" t="s">
        <v>654</v>
      </c>
      <c r="L4433" t="s">
        <v>648</v>
      </c>
      <c r="M4433" t="s">
        <v>623</v>
      </c>
      <c r="N4433" t="s">
        <v>624</v>
      </c>
      <c r="O4433" t="s">
        <v>725</v>
      </c>
    </row>
    <row r="4434" spans="1:15" x14ac:dyDescent="0.35">
      <c r="A4434" s="77">
        <v>2.1917808219178082E-2</v>
      </c>
      <c r="B4434" s="19">
        <v>101649</v>
      </c>
      <c r="C4434" s="19" t="s">
        <v>6714</v>
      </c>
      <c r="D4434" s="19" t="s">
        <v>73</v>
      </c>
      <c r="E4434" s="19" t="s">
        <v>74</v>
      </c>
      <c r="F4434" s="19" t="s">
        <v>1178</v>
      </c>
      <c r="G4434" s="19" t="s">
        <v>1008</v>
      </c>
      <c r="H4434" s="19" t="s">
        <v>1001</v>
      </c>
      <c r="I4434" s="19" t="s">
        <v>1599</v>
      </c>
      <c r="J4434" s="20">
        <v>20</v>
      </c>
      <c r="K4434" t="s">
        <v>654</v>
      </c>
      <c r="L4434" t="s">
        <v>648</v>
      </c>
      <c r="M4434" t="s">
        <v>623</v>
      </c>
      <c r="N4434" t="s">
        <v>624</v>
      </c>
      <c r="O4434" t="s">
        <v>725</v>
      </c>
    </row>
    <row r="4435" spans="1:15" x14ac:dyDescent="0.35">
      <c r="A4435" s="77">
        <v>2.1917808219178082E-2</v>
      </c>
      <c r="B4435" s="19">
        <v>101650</v>
      </c>
      <c r="C4435" s="19" t="s">
        <v>6715</v>
      </c>
      <c r="D4435" s="19" t="s">
        <v>149</v>
      </c>
      <c r="E4435" s="19" t="s">
        <v>150</v>
      </c>
      <c r="F4435" s="19" t="s">
        <v>1548</v>
      </c>
      <c r="G4435" s="19" t="s">
        <v>1008</v>
      </c>
      <c r="H4435" s="19" t="s">
        <v>1001</v>
      </c>
      <c r="I4435" s="19" t="s">
        <v>1575</v>
      </c>
      <c r="J4435" s="20">
        <v>19</v>
      </c>
      <c r="K4435" t="s">
        <v>654</v>
      </c>
      <c r="L4435" t="s">
        <v>648</v>
      </c>
      <c r="M4435" t="s">
        <v>623</v>
      </c>
      <c r="N4435" t="s">
        <v>624</v>
      </c>
      <c r="O4435" t="s">
        <v>725</v>
      </c>
    </row>
    <row r="4436" spans="1:15" x14ac:dyDescent="0.35">
      <c r="A4436" s="77">
        <v>2.1917808219178082E-2</v>
      </c>
      <c r="B4436" s="19">
        <v>101651</v>
      </c>
      <c r="C4436" s="19" t="s">
        <v>6716</v>
      </c>
      <c r="D4436" s="19" t="s">
        <v>149</v>
      </c>
      <c r="E4436" s="19" t="s">
        <v>150</v>
      </c>
      <c r="F4436" s="19" t="s">
        <v>1548</v>
      </c>
      <c r="G4436" s="19" t="s">
        <v>1028</v>
      </c>
      <c r="H4436" s="19" t="s">
        <v>1020</v>
      </c>
      <c r="I4436" s="19" t="s">
        <v>1575</v>
      </c>
      <c r="J4436" s="20">
        <v>19</v>
      </c>
      <c r="K4436" t="s">
        <v>654</v>
      </c>
      <c r="L4436" t="s">
        <v>648</v>
      </c>
      <c r="M4436" t="s">
        <v>623</v>
      </c>
      <c r="N4436" t="s">
        <v>624</v>
      </c>
      <c r="O4436" t="s">
        <v>725</v>
      </c>
    </row>
    <row r="4437" spans="1:15" x14ac:dyDescent="0.35">
      <c r="A4437" s="77">
        <v>2.1917808219178082E-2</v>
      </c>
      <c r="B4437" s="19">
        <v>101652</v>
      </c>
      <c r="C4437" s="19" t="s">
        <v>6717</v>
      </c>
      <c r="D4437" s="19" t="s">
        <v>149</v>
      </c>
      <c r="E4437" s="19" t="s">
        <v>150</v>
      </c>
      <c r="F4437" s="19" t="s">
        <v>1548</v>
      </c>
      <c r="G4437" s="19" t="s">
        <v>1008</v>
      </c>
      <c r="H4437" s="19" t="s">
        <v>1001</v>
      </c>
      <c r="I4437" s="19" t="s">
        <v>1575</v>
      </c>
      <c r="J4437" s="20">
        <v>19</v>
      </c>
      <c r="K4437" t="s">
        <v>654</v>
      </c>
      <c r="L4437" t="s">
        <v>648</v>
      </c>
      <c r="M4437" t="s">
        <v>623</v>
      </c>
      <c r="N4437" t="s">
        <v>624</v>
      </c>
      <c r="O4437" t="s">
        <v>725</v>
      </c>
    </row>
    <row r="4438" spans="1:15" x14ac:dyDescent="0.35">
      <c r="A4438" s="77">
        <v>2.1917808219178082E-2</v>
      </c>
      <c r="B4438" s="19">
        <v>101653</v>
      </c>
      <c r="C4438" s="19" t="s">
        <v>6718</v>
      </c>
      <c r="D4438" s="19" t="s">
        <v>183</v>
      </c>
      <c r="E4438" s="19" t="s">
        <v>184</v>
      </c>
      <c r="F4438" s="19" t="s">
        <v>1532</v>
      </c>
      <c r="G4438" s="19" t="s">
        <v>1008</v>
      </c>
      <c r="H4438" s="19" t="s">
        <v>1001</v>
      </c>
      <c r="I4438" s="19" t="s">
        <v>1575</v>
      </c>
      <c r="J4438" s="20">
        <v>22</v>
      </c>
      <c r="K4438" t="s">
        <v>654</v>
      </c>
      <c r="L4438" t="s">
        <v>648</v>
      </c>
      <c r="M4438" t="s">
        <v>623</v>
      </c>
      <c r="N4438" t="s">
        <v>624</v>
      </c>
      <c r="O4438" t="s">
        <v>725</v>
      </c>
    </row>
    <row r="4439" spans="1:15" x14ac:dyDescent="0.35">
      <c r="A4439" s="77">
        <v>2.1917808219178082E-2</v>
      </c>
      <c r="B4439" s="19">
        <v>101654</v>
      </c>
      <c r="C4439" s="19" t="s">
        <v>6719</v>
      </c>
      <c r="D4439" s="19" t="s">
        <v>183</v>
      </c>
      <c r="E4439" s="19" t="s">
        <v>184</v>
      </c>
      <c r="F4439" s="19" t="s">
        <v>1532</v>
      </c>
      <c r="G4439" s="19" t="s">
        <v>1008</v>
      </c>
      <c r="H4439" s="19" t="s">
        <v>1001</v>
      </c>
      <c r="I4439" s="19" t="s">
        <v>1575</v>
      </c>
      <c r="J4439" s="20">
        <v>25</v>
      </c>
      <c r="K4439" t="s">
        <v>654</v>
      </c>
      <c r="L4439" t="s">
        <v>648</v>
      </c>
      <c r="M4439" t="s">
        <v>623</v>
      </c>
      <c r="N4439" t="s">
        <v>624</v>
      </c>
      <c r="O4439" t="s">
        <v>725</v>
      </c>
    </row>
    <row r="4440" spans="1:15" x14ac:dyDescent="0.35">
      <c r="A4440" s="77">
        <v>2.1917808219178082E-2</v>
      </c>
      <c r="B4440" s="19">
        <v>101655</v>
      </c>
      <c r="C4440" s="19" t="s">
        <v>6720</v>
      </c>
      <c r="D4440" s="19" t="s">
        <v>326</v>
      </c>
      <c r="E4440" s="19" t="s">
        <v>327</v>
      </c>
      <c r="F4440" s="19" t="s">
        <v>1051</v>
      </c>
      <c r="G4440" s="19" t="s">
        <v>1008</v>
      </c>
      <c r="H4440" s="19" t="s">
        <v>1001</v>
      </c>
      <c r="I4440" s="19" t="s">
        <v>1575</v>
      </c>
      <c r="J4440" s="20">
        <v>26</v>
      </c>
      <c r="K4440" t="s">
        <v>631</v>
      </c>
      <c r="L4440" t="s">
        <v>648</v>
      </c>
      <c r="M4440" t="s">
        <v>623</v>
      </c>
      <c r="N4440" t="s">
        <v>624</v>
      </c>
      <c r="O4440" t="s">
        <v>837</v>
      </c>
    </row>
    <row r="4441" spans="1:15" x14ac:dyDescent="0.35">
      <c r="A4441" s="77">
        <v>2.1917808219178082E-2</v>
      </c>
      <c r="B4441" s="19">
        <v>101656</v>
      </c>
      <c r="C4441" s="19" t="s">
        <v>6721</v>
      </c>
      <c r="D4441" s="19" t="s">
        <v>326</v>
      </c>
      <c r="E4441" s="19" t="s">
        <v>327</v>
      </c>
      <c r="F4441" s="19" t="s">
        <v>1051</v>
      </c>
      <c r="G4441" s="19" t="s">
        <v>1008</v>
      </c>
      <c r="H4441" s="19" t="s">
        <v>1001</v>
      </c>
      <c r="I4441" s="19" t="s">
        <v>1599</v>
      </c>
      <c r="J4441" s="20">
        <v>18</v>
      </c>
      <c r="K4441" t="s">
        <v>631</v>
      </c>
      <c r="L4441" t="s">
        <v>648</v>
      </c>
      <c r="M4441" t="s">
        <v>623</v>
      </c>
      <c r="N4441" t="s">
        <v>624</v>
      </c>
      <c r="O4441" t="s">
        <v>837</v>
      </c>
    </row>
    <row r="4442" spans="1:15" x14ac:dyDescent="0.35">
      <c r="A4442" s="77">
        <v>2.1917808219178082E-2</v>
      </c>
      <c r="B4442" s="19">
        <v>101657</v>
      </c>
      <c r="C4442" s="19" t="s">
        <v>6722</v>
      </c>
      <c r="D4442" s="19" t="s">
        <v>326</v>
      </c>
      <c r="E4442" s="19" t="s">
        <v>327</v>
      </c>
      <c r="F4442" s="19" t="s">
        <v>1051</v>
      </c>
      <c r="G4442" s="19" t="s">
        <v>1008</v>
      </c>
      <c r="H4442" s="19" t="s">
        <v>1001</v>
      </c>
      <c r="I4442" s="19" t="s">
        <v>1599</v>
      </c>
      <c r="J4442" s="20">
        <v>22</v>
      </c>
      <c r="K4442" t="s">
        <v>631</v>
      </c>
      <c r="L4442" t="s">
        <v>648</v>
      </c>
      <c r="M4442" t="s">
        <v>623</v>
      </c>
      <c r="N4442" t="s">
        <v>624</v>
      </c>
      <c r="O4442" t="s">
        <v>837</v>
      </c>
    </row>
    <row r="4443" spans="1:15" x14ac:dyDescent="0.35">
      <c r="A4443" s="77">
        <v>2.1917808219178082E-2</v>
      </c>
      <c r="B4443" s="19">
        <v>101658</v>
      </c>
      <c r="C4443" s="19" t="s">
        <v>6723</v>
      </c>
      <c r="D4443" s="19" t="s">
        <v>326</v>
      </c>
      <c r="E4443" s="19" t="s">
        <v>327</v>
      </c>
      <c r="F4443" s="19" t="s">
        <v>1051</v>
      </c>
      <c r="G4443" s="19" t="s">
        <v>1008</v>
      </c>
      <c r="H4443" s="19" t="s">
        <v>1001</v>
      </c>
      <c r="I4443" s="19" t="s">
        <v>1599</v>
      </c>
      <c r="J4443" s="20">
        <v>19</v>
      </c>
      <c r="K4443" t="s">
        <v>631</v>
      </c>
      <c r="L4443" t="s">
        <v>648</v>
      </c>
      <c r="M4443" t="s">
        <v>623</v>
      </c>
      <c r="N4443" t="s">
        <v>624</v>
      </c>
      <c r="O4443" t="s">
        <v>837</v>
      </c>
    </row>
    <row r="4444" spans="1:15" x14ac:dyDescent="0.35">
      <c r="A4444" s="77">
        <v>2.1917808219178082E-2</v>
      </c>
      <c r="B4444" s="19">
        <v>101659</v>
      </c>
      <c r="C4444" s="19" t="s">
        <v>6724</v>
      </c>
      <c r="D4444" s="19" t="s">
        <v>335</v>
      </c>
      <c r="E4444" s="19" t="s">
        <v>336</v>
      </c>
      <c r="F4444" s="19" t="s">
        <v>841</v>
      </c>
      <c r="G4444" s="19" t="s">
        <v>1008</v>
      </c>
      <c r="H4444" s="19" t="s">
        <v>1001</v>
      </c>
      <c r="I4444" s="19" t="s">
        <v>1575</v>
      </c>
      <c r="J4444" s="20">
        <v>20</v>
      </c>
      <c r="K4444" t="s">
        <v>636</v>
      </c>
      <c r="L4444" t="s">
        <v>622</v>
      </c>
      <c r="M4444" t="s">
        <v>623</v>
      </c>
      <c r="N4444" t="s">
        <v>624</v>
      </c>
      <c r="O4444" t="s">
        <v>649</v>
      </c>
    </row>
    <row r="4445" spans="1:15" x14ac:dyDescent="0.35">
      <c r="A4445" s="77">
        <v>2.1917808219178082E-2</v>
      </c>
      <c r="B4445" s="19">
        <v>101660</v>
      </c>
      <c r="C4445" s="19" t="s">
        <v>6725</v>
      </c>
      <c r="D4445" s="19" t="s">
        <v>335</v>
      </c>
      <c r="E4445" s="19" t="s">
        <v>336</v>
      </c>
      <c r="F4445" s="19" t="s">
        <v>841</v>
      </c>
      <c r="G4445" s="19" t="s">
        <v>1028</v>
      </c>
      <c r="H4445" s="19" t="s">
        <v>1020</v>
      </c>
      <c r="I4445" s="19" t="s">
        <v>1575</v>
      </c>
      <c r="J4445" s="20">
        <v>22</v>
      </c>
      <c r="K4445" t="s">
        <v>636</v>
      </c>
      <c r="L4445" t="s">
        <v>622</v>
      </c>
      <c r="M4445" t="s">
        <v>623</v>
      </c>
      <c r="N4445" t="s">
        <v>624</v>
      </c>
      <c r="O4445" t="s">
        <v>649</v>
      </c>
    </row>
    <row r="4446" spans="1:15" x14ac:dyDescent="0.35">
      <c r="A4446" s="77">
        <v>2.1917808219178082E-2</v>
      </c>
      <c r="B4446" s="19">
        <v>101661</v>
      </c>
      <c r="C4446" s="19" t="s">
        <v>6726</v>
      </c>
      <c r="D4446" s="19" t="s">
        <v>335</v>
      </c>
      <c r="E4446" s="19" t="s">
        <v>336</v>
      </c>
      <c r="F4446" s="19" t="s">
        <v>841</v>
      </c>
      <c r="G4446" s="19" t="s">
        <v>1028</v>
      </c>
      <c r="H4446" s="19" t="s">
        <v>1020</v>
      </c>
      <c r="I4446" s="19" t="s">
        <v>1575</v>
      </c>
      <c r="J4446" s="20">
        <v>22</v>
      </c>
      <c r="K4446" t="s">
        <v>636</v>
      </c>
      <c r="L4446" t="s">
        <v>622</v>
      </c>
      <c r="M4446" t="s">
        <v>623</v>
      </c>
      <c r="N4446" t="s">
        <v>624</v>
      </c>
      <c r="O4446" t="s">
        <v>649</v>
      </c>
    </row>
    <row r="4447" spans="1:15" x14ac:dyDescent="0.35">
      <c r="A4447" s="77">
        <v>2.1917808219178082E-2</v>
      </c>
      <c r="B4447" s="19">
        <v>101662</v>
      </c>
      <c r="C4447" s="19" t="s">
        <v>6727</v>
      </c>
      <c r="D4447" s="19" t="s">
        <v>349</v>
      </c>
      <c r="E4447" s="19" t="s">
        <v>350</v>
      </c>
      <c r="F4447" s="19" t="s">
        <v>912</v>
      </c>
      <c r="G4447" s="19" t="s">
        <v>1008</v>
      </c>
      <c r="H4447" s="19" t="s">
        <v>1001</v>
      </c>
      <c r="I4447" s="19" t="s">
        <v>1575</v>
      </c>
      <c r="J4447" s="20">
        <v>18</v>
      </c>
      <c r="K4447" t="s">
        <v>625</v>
      </c>
      <c r="L4447" t="s">
        <v>648</v>
      </c>
      <c r="M4447" t="s">
        <v>623</v>
      </c>
      <c r="N4447" t="s">
        <v>624</v>
      </c>
      <c r="O4447" t="s">
        <v>649</v>
      </c>
    </row>
    <row r="4448" spans="1:15" x14ac:dyDescent="0.35">
      <c r="A4448" s="77">
        <v>2.1917808219178082E-2</v>
      </c>
      <c r="B4448" s="19">
        <v>101663</v>
      </c>
      <c r="C4448" s="19" t="s">
        <v>6728</v>
      </c>
      <c r="D4448" s="19" t="s">
        <v>385</v>
      </c>
      <c r="E4448" s="19" t="s">
        <v>386</v>
      </c>
      <c r="F4448" s="19" t="s">
        <v>1059</v>
      </c>
      <c r="G4448" s="19" t="s">
        <v>1008</v>
      </c>
      <c r="H4448" s="19" t="s">
        <v>1001</v>
      </c>
      <c r="I4448" s="19" t="s">
        <v>1575</v>
      </c>
      <c r="J4448" s="20">
        <v>24</v>
      </c>
      <c r="K4448" t="s">
        <v>631</v>
      </c>
      <c r="L4448" t="s">
        <v>663</v>
      </c>
      <c r="M4448" t="s">
        <v>629</v>
      </c>
      <c r="N4448" t="s">
        <v>646</v>
      </c>
      <c r="O4448" t="s">
        <v>810</v>
      </c>
    </row>
    <row r="4449" spans="1:15" x14ac:dyDescent="0.35">
      <c r="A4449" s="77">
        <v>2.1917808219178082E-2</v>
      </c>
      <c r="B4449" s="19">
        <v>101664</v>
      </c>
      <c r="C4449" s="19" t="s">
        <v>6729</v>
      </c>
      <c r="D4449" s="19" t="s">
        <v>385</v>
      </c>
      <c r="E4449" s="19" t="s">
        <v>386</v>
      </c>
      <c r="F4449" s="19" t="s">
        <v>1059</v>
      </c>
      <c r="G4449" s="19" t="s">
        <v>1008</v>
      </c>
      <c r="H4449" s="19" t="s">
        <v>1001</v>
      </c>
      <c r="I4449" s="19" t="s">
        <v>1575</v>
      </c>
      <c r="J4449" s="20">
        <v>19</v>
      </c>
      <c r="K4449" t="s">
        <v>631</v>
      </c>
      <c r="L4449" t="s">
        <v>663</v>
      </c>
      <c r="M4449" t="s">
        <v>629</v>
      </c>
      <c r="N4449" t="s">
        <v>646</v>
      </c>
      <c r="O4449" t="s">
        <v>810</v>
      </c>
    </row>
    <row r="4450" spans="1:15" x14ac:dyDescent="0.35">
      <c r="A4450" s="77">
        <v>1.9178082191780823E-2</v>
      </c>
      <c r="B4450" s="19">
        <v>101665</v>
      </c>
      <c r="C4450" s="19" t="s">
        <v>6730</v>
      </c>
      <c r="D4450" s="19" t="s">
        <v>34</v>
      </c>
      <c r="E4450" s="19" t="s">
        <v>34</v>
      </c>
      <c r="F4450" s="19" t="s">
        <v>1066</v>
      </c>
      <c r="G4450" s="19" t="s">
        <v>1008</v>
      </c>
      <c r="H4450" s="19" t="s">
        <v>1001</v>
      </c>
      <c r="I4450" s="19" t="s">
        <v>1575</v>
      </c>
      <c r="J4450" s="20">
        <v>18</v>
      </c>
      <c r="K4450" t="s">
        <v>654</v>
      </c>
      <c r="L4450" t="s">
        <v>656</v>
      </c>
      <c r="M4450" t="s">
        <v>657</v>
      </c>
      <c r="N4450" t="s">
        <v>658</v>
      </c>
      <c r="O4450" t="s">
        <v>632</v>
      </c>
    </row>
    <row r="4451" spans="1:15" x14ac:dyDescent="0.35">
      <c r="A4451" s="77">
        <v>1.9178082191780823E-2</v>
      </c>
      <c r="B4451" s="19">
        <v>101666</v>
      </c>
      <c r="C4451" s="19" t="s">
        <v>6731</v>
      </c>
      <c r="D4451" s="19" t="s">
        <v>34</v>
      </c>
      <c r="E4451" s="19" t="s">
        <v>34</v>
      </c>
      <c r="F4451" s="19" t="s">
        <v>1066</v>
      </c>
      <c r="G4451" s="19" t="s">
        <v>1008</v>
      </c>
      <c r="H4451" s="19" t="s">
        <v>1001</v>
      </c>
      <c r="I4451" s="19" t="s">
        <v>1599</v>
      </c>
      <c r="J4451" s="20">
        <v>18</v>
      </c>
      <c r="K4451" t="s">
        <v>654</v>
      </c>
      <c r="L4451" t="s">
        <v>656</v>
      </c>
      <c r="M4451" t="s">
        <v>657</v>
      </c>
      <c r="N4451" t="s">
        <v>658</v>
      </c>
      <c r="O4451" t="s">
        <v>632</v>
      </c>
    </row>
    <row r="4452" spans="1:15" x14ac:dyDescent="0.35">
      <c r="A4452" s="77">
        <v>1.9178082191780823E-2</v>
      </c>
      <c r="B4452" s="19">
        <v>101667</v>
      </c>
      <c r="C4452" s="19" t="s">
        <v>6732</v>
      </c>
      <c r="D4452" s="19" t="s">
        <v>428</v>
      </c>
      <c r="E4452" s="19" t="s">
        <v>428</v>
      </c>
      <c r="F4452" s="19" t="s">
        <v>1063</v>
      </c>
      <c r="G4452" s="19" t="s">
        <v>1008</v>
      </c>
      <c r="H4452" s="19" t="s">
        <v>1001</v>
      </c>
      <c r="I4452" s="19" t="s">
        <v>1575</v>
      </c>
      <c r="J4452" s="20">
        <v>24</v>
      </c>
      <c r="K4452" t="s">
        <v>668</v>
      </c>
      <c r="L4452" t="s">
        <v>656</v>
      </c>
      <c r="M4452" t="s">
        <v>657</v>
      </c>
      <c r="N4452" t="s">
        <v>658</v>
      </c>
      <c r="O4452" t="s">
        <v>632</v>
      </c>
    </row>
    <row r="4453" spans="1:15" x14ac:dyDescent="0.35">
      <c r="A4453" s="77">
        <v>1.9178082191780823E-2</v>
      </c>
      <c r="B4453" s="19">
        <v>101668</v>
      </c>
      <c r="C4453" s="19" t="s">
        <v>6733</v>
      </c>
      <c r="D4453" s="19" t="s">
        <v>51</v>
      </c>
      <c r="E4453" s="19" t="s">
        <v>52</v>
      </c>
      <c r="F4453" s="19" t="s">
        <v>921</v>
      </c>
      <c r="G4453" s="19" t="s">
        <v>1008</v>
      </c>
      <c r="H4453" s="19" t="s">
        <v>1001</v>
      </c>
      <c r="I4453" s="19" t="s">
        <v>1575</v>
      </c>
      <c r="J4453" s="20">
        <v>20</v>
      </c>
      <c r="K4453" t="s">
        <v>636</v>
      </c>
      <c r="L4453" t="s">
        <v>656</v>
      </c>
      <c r="M4453" t="s">
        <v>657</v>
      </c>
      <c r="N4453" t="s">
        <v>658</v>
      </c>
      <c r="O4453" t="s">
        <v>718</v>
      </c>
    </row>
    <row r="4454" spans="1:15" x14ac:dyDescent="0.35">
      <c r="A4454" s="77">
        <v>1.9178082191780823E-2</v>
      </c>
      <c r="B4454" s="19">
        <v>101669</v>
      </c>
      <c r="C4454" s="19" t="s">
        <v>6734</v>
      </c>
      <c r="D4454" s="19" t="s">
        <v>51</v>
      </c>
      <c r="E4454" s="19" t="s">
        <v>52</v>
      </c>
      <c r="F4454" s="19" t="s">
        <v>921</v>
      </c>
      <c r="G4454" s="19" t="s">
        <v>1008</v>
      </c>
      <c r="H4454" s="19" t="s">
        <v>1001</v>
      </c>
      <c r="I4454" s="19" t="s">
        <v>1575</v>
      </c>
      <c r="J4454" s="20">
        <v>21</v>
      </c>
      <c r="K4454" t="s">
        <v>636</v>
      </c>
      <c r="L4454" t="s">
        <v>656</v>
      </c>
      <c r="M4454" t="s">
        <v>657</v>
      </c>
      <c r="N4454" t="s">
        <v>658</v>
      </c>
      <c r="O4454" t="s">
        <v>718</v>
      </c>
    </row>
    <row r="4455" spans="1:15" x14ac:dyDescent="0.35">
      <c r="A4455" s="77">
        <v>1.9178082191780823E-2</v>
      </c>
      <c r="B4455" s="19">
        <v>101670</v>
      </c>
      <c r="C4455" s="19" t="s">
        <v>6735</v>
      </c>
      <c r="D4455" s="19" t="s">
        <v>51</v>
      </c>
      <c r="E4455" s="19" t="s">
        <v>52</v>
      </c>
      <c r="F4455" s="19" t="s">
        <v>921</v>
      </c>
      <c r="G4455" s="19" t="s">
        <v>1008</v>
      </c>
      <c r="H4455" s="19" t="s">
        <v>1001</v>
      </c>
      <c r="I4455" s="19" t="s">
        <v>1575</v>
      </c>
      <c r="J4455" s="20">
        <v>24</v>
      </c>
      <c r="K4455" t="s">
        <v>636</v>
      </c>
      <c r="L4455" t="s">
        <v>656</v>
      </c>
      <c r="M4455" t="s">
        <v>657</v>
      </c>
      <c r="N4455" t="s">
        <v>658</v>
      </c>
      <c r="O4455" t="s">
        <v>718</v>
      </c>
    </row>
    <row r="4456" spans="1:15" x14ac:dyDescent="0.35">
      <c r="A4456" s="77">
        <v>1.9178082191780823E-2</v>
      </c>
      <c r="B4456" s="19">
        <v>101671</v>
      </c>
      <c r="C4456" s="19" t="s">
        <v>6736</v>
      </c>
      <c r="D4456" s="19" t="s">
        <v>362</v>
      </c>
      <c r="E4456" s="19" t="s">
        <v>363</v>
      </c>
      <c r="F4456" s="19" t="s">
        <v>1056</v>
      </c>
      <c r="G4456" s="19" t="s">
        <v>1008</v>
      </c>
      <c r="H4456" s="19" t="s">
        <v>1001</v>
      </c>
      <c r="I4456" s="19" t="s">
        <v>1575</v>
      </c>
      <c r="J4456" s="20">
        <v>23</v>
      </c>
      <c r="K4456" t="s">
        <v>654</v>
      </c>
      <c r="L4456" t="s">
        <v>663</v>
      </c>
      <c r="M4456" t="s">
        <v>629</v>
      </c>
      <c r="N4456" t="s">
        <v>646</v>
      </c>
      <c r="O4456" t="s">
        <v>810</v>
      </c>
    </row>
    <row r="4457" spans="1:15" x14ac:dyDescent="0.35">
      <c r="A4457" s="77">
        <v>1.643835616438356E-2</v>
      </c>
      <c r="B4457" s="19">
        <v>101672</v>
      </c>
      <c r="C4457" s="19" t="s">
        <v>6737</v>
      </c>
      <c r="D4457" s="19" t="s">
        <v>183</v>
      </c>
      <c r="E4457" s="19" t="s">
        <v>184</v>
      </c>
      <c r="F4457" s="19" t="s">
        <v>1532</v>
      </c>
      <c r="G4457" s="19" t="s">
        <v>1008</v>
      </c>
      <c r="H4457" s="19" t="s">
        <v>1001</v>
      </c>
      <c r="I4457" s="19" t="s">
        <v>1599</v>
      </c>
      <c r="J4457" s="20">
        <v>22</v>
      </c>
      <c r="K4457" t="s">
        <v>654</v>
      </c>
      <c r="L4457" t="s">
        <v>648</v>
      </c>
      <c r="M4457" t="s">
        <v>623</v>
      </c>
      <c r="N4457" t="s">
        <v>624</v>
      </c>
      <c r="O4457" t="s">
        <v>725</v>
      </c>
    </row>
    <row r="4458" spans="1:15" x14ac:dyDescent="0.35">
      <c r="A4458" s="77">
        <v>1.3698630136986301E-2</v>
      </c>
      <c r="B4458" s="19">
        <v>101673</v>
      </c>
      <c r="C4458" s="19" t="s">
        <v>6738</v>
      </c>
      <c r="D4458" s="19" t="s">
        <v>161</v>
      </c>
      <c r="E4458" s="19" t="s">
        <v>162</v>
      </c>
      <c r="F4458" s="19" t="s">
        <v>1027</v>
      </c>
      <c r="G4458" s="19" t="s">
        <v>1008</v>
      </c>
      <c r="H4458" s="19" t="s">
        <v>1001</v>
      </c>
      <c r="I4458" s="19" t="s">
        <v>1575</v>
      </c>
      <c r="J4458" s="20">
        <v>23</v>
      </c>
      <c r="K4458" t="s">
        <v>654</v>
      </c>
      <c r="L4458" t="s">
        <v>622</v>
      </c>
      <c r="M4458" t="s">
        <v>623</v>
      </c>
      <c r="N4458" t="s">
        <v>624</v>
      </c>
      <c r="O4458" t="s">
        <v>649</v>
      </c>
    </row>
    <row r="4459" spans="1:15" x14ac:dyDescent="0.35">
      <c r="A4459" s="77">
        <v>1.9178082191780823E-2</v>
      </c>
      <c r="B4459" s="19">
        <v>101674</v>
      </c>
      <c r="C4459" s="19" t="s">
        <v>6739</v>
      </c>
      <c r="D4459" s="19" t="s">
        <v>145</v>
      </c>
      <c r="E4459" s="19" t="s">
        <v>146</v>
      </c>
      <c r="F4459" s="19" t="s">
        <v>1015</v>
      </c>
      <c r="G4459" s="19" t="s">
        <v>1008</v>
      </c>
      <c r="H4459" s="19" t="s">
        <v>1001</v>
      </c>
      <c r="I4459" s="19" t="s">
        <v>1599</v>
      </c>
      <c r="J4459" s="20">
        <v>19</v>
      </c>
      <c r="K4459" t="s">
        <v>636</v>
      </c>
      <c r="L4459" t="s">
        <v>737</v>
      </c>
      <c r="M4459" t="s">
        <v>657</v>
      </c>
      <c r="N4459" t="s">
        <v>641</v>
      </c>
      <c r="O4459" t="s">
        <v>757</v>
      </c>
    </row>
    <row r="4460" spans="1:15" x14ac:dyDescent="0.35">
      <c r="A4460" s="77">
        <v>2.1917808219178082E-2</v>
      </c>
      <c r="B4460" s="19">
        <v>101675</v>
      </c>
      <c r="C4460" s="19" t="s">
        <v>6740</v>
      </c>
      <c r="D4460" s="19" t="s">
        <v>199</v>
      </c>
      <c r="E4460" s="19" t="s">
        <v>200</v>
      </c>
      <c r="F4460" s="19" t="s">
        <v>1496</v>
      </c>
      <c r="G4460" s="19" t="s">
        <v>1008</v>
      </c>
      <c r="H4460" s="19" t="s">
        <v>1001</v>
      </c>
      <c r="I4460" s="19" t="s">
        <v>1575</v>
      </c>
      <c r="J4460" s="20">
        <v>25</v>
      </c>
      <c r="K4460" t="s">
        <v>654</v>
      </c>
      <c r="L4460" t="s">
        <v>737</v>
      </c>
      <c r="M4460" t="s">
        <v>657</v>
      </c>
      <c r="N4460" t="s">
        <v>641</v>
      </c>
      <c r="O4460" t="s">
        <v>738</v>
      </c>
    </row>
    <row r="4461" spans="1:15" x14ac:dyDescent="0.35">
      <c r="A4461" s="77">
        <v>2.1917808219178082E-2</v>
      </c>
      <c r="B4461" s="19">
        <v>101676</v>
      </c>
      <c r="C4461" s="19" t="s">
        <v>6741</v>
      </c>
      <c r="D4461" s="19" t="s">
        <v>181</v>
      </c>
      <c r="E4461" s="19" t="s">
        <v>182</v>
      </c>
      <c r="F4461" s="19" t="s">
        <v>1374</v>
      </c>
      <c r="G4461" s="19" t="s">
        <v>1008</v>
      </c>
      <c r="H4461" s="19" t="s">
        <v>1001</v>
      </c>
      <c r="I4461" s="19" t="s">
        <v>1575</v>
      </c>
      <c r="J4461" s="20">
        <v>35</v>
      </c>
      <c r="K4461" t="s">
        <v>625</v>
      </c>
      <c r="L4461" t="s">
        <v>678</v>
      </c>
      <c r="M4461" t="s">
        <v>623</v>
      </c>
      <c r="N4461" t="s">
        <v>624</v>
      </c>
      <c r="O4461" t="s">
        <v>679</v>
      </c>
    </row>
    <row r="4462" spans="1:15" x14ac:dyDescent="0.35">
      <c r="A4462" s="77">
        <v>2.1917808219178082E-2</v>
      </c>
      <c r="B4462" s="19">
        <v>101678</v>
      </c>
      <c r="C4462" s="19" t="s">
        <v>6742</v>
      </c>
      <c r="D4462" s="19" t="s">
        <v>201</v>
      </c>
      <c r="E4462" s="19" t="s">
        <v>202</v>
      </c>
      <c r="F4462" s="19" t="s">
        <v>1061</v>
      </c>
      <c r="G4462" s="19" t="s">
        <v>1008</v>
      </c>
      <c r="H4462" s="19" t="s">
        <v>1001</v>
      </c>
      <c r="I4462" s="19" t="s">
        <v>1575</v>
      </c>
      <c r="J4462" s="20">
        <v>19</v>
      </c>
      <c r="K4462" t="s">
        <v>631</v>
      </c>
      <c r="L4462" t="s">
        <v>628</v>
      </c>
      <c r="M4462" t="s">
        <v>629</v>
      </c>
      <c r="N4462" t="s">
        <v>630</v>
      </c>
      <c r="O4462" t="s">
        <v>784</v>
      </c>
    </row>
    <row r="4463" spans="1:15" x14ac:dyDescent="0.35">
      <c r="A4463" s="77">
        <v>2.1917808219178082E-2</v>
      </c>
      <c r="B4463" s="19">
        <v>101679</v>
      </c>
      <c r="C4463" s="19" t="s">
        <v>6743</v>
      </c>
      <c r="D4463" s="19" t="s">
        <v>268</v>
      </c>
      <c r="E4463" s="19" t="s">
        <v>269</v>
      </c>
      <c r="F4463" s="19" t="s">
        <v>2161</v>
      </c>
      <c r="G4463" s="19" t="s">
        <v>1028</v>
      </c>
      <c r="H4463" s="19" t="s">
        <v>1020</v>
      </c>
      <c r="I4463" s="19" t="s">
        <v>1575</v>
      </c>
      <c r="J4463" s="20">
        <v>22</v>
      </c>
      <c r="K4463" t="s">
        <v>654</v>
      </c>
      <c r="L4463" t="s">
        <v>666</v>
      </c>
      <c r="M4463" t="s">
        <v>629</v>
      </c>
      <c r="N4463" t="s">
        <v>635</v>
      </c>
      <c r="O4463" t="s">
        <v>637</v>
      </c>
    </row>
    <row r="4464" spans="1:15" x14ac:dyDescent="0.35">
      <c r="A4464" s="77">
        <v>2.1917808219178082E-2</v>
      </c>
      <c r="B4464" s="19">
        <v>101680</v>
      </c>
      <c r="C4464" s="19" t="s">
        <v>6744</v>
      </c>
      <c r="D4464" s="19" t="s">
        <v>268</v>
      </c>
      <c r="E4464" s="19" t="s">
        <v>269</v>
      </c>
      <c r="F4464" s="19" t="s">
        <v>2161</v>
      </c>
      <c r="G4464" s="19" t="s">
        <v>1008</v>
      </c>
      <c r="H4464" s="19" t="s">
        <v>1001</v>
      </c>
      <c r="I4464" s="19" t="s">
        <v>1575</v>
      </c>
      <c r="J4464" s="20">
        <v>26</v>
      </c>
      <c r="K4464" t="s">
        <v>654</v>
      </c>
      <c r="L4464" t="s">
        <v>666</v>
      </c>
      <c r="M4464" t="s">
        <v>629</v>
      </c>
      <c r="N4464" t="s">
        <v>635</v>
      </c>
      <c r="O4464" t="s">
        <v>637</v>
      </c>
    </row>
    <row r="4465" spans="1:15" x14ac:dyDescent="0.35">
      <c r="A4465" s="77">
        <v>2.4657534246575342E-2</v>
      </c>
      <c r="B4465" s="19">
        <v>101681</v>
      </c>
      <c r="C4465" s="19" t="s">
        <v>6745</v>
      </c>
      <c r="D4465" s="19" t="s">
        <v>163</v>
      </c>
      <c r="E4465" s="19" t="s">
        <v>164</v>
      </c>
      <c r="F4465" s="19" t="s">
        <v>1174</v>
      </c>
      <c r="G4465" s="19" t="s">
        <v>1008</v>
      </c>
      <c r="H4465" s="19" t="s">
        <v>1001</v>
      </c>
      <c r="I4465" s="19" t="s">
        <v>1599</v>
      </c>
      <c r="J4465" s="20">
        <v>23</v>
      </c>
      <c r="K4465" t="s">
        <v>654</v>
      </c>
      <c r="L4465" t="s">
        <v>634</v>
      </c>
      <c r="M4465" t="s">
        <v>629</v>
      </c>
      <c r="N4465" t="s">
        <v>635</v>
      </c>
      <c r="O4465" t="s">
        <v>637</v>
      </c>
    </row>
    <row r="4466" spans="1:15" x14ac:dyDescent="0.35">
      <c r="A4466" s="77">
        <v>2.4657534246575342E-2</v>
      </c>
      <c r="B4466" s="19">
        <v>101682</v>
      </c>
      <c r="C4466" s="19" t="s">
        <v>6746</v>
      </c>
      <c r="D4466" s="19" t="s">
        <v>163</v>
      </c>
      <c r="E4466" s="19" t="s">
        <v>164</v>
      </c>
      <c r="F4466" s="19" t="s">
        <v>1174</v>
      </c>
      <c r="G4466" s="19" t="s">
        <v>1008</v>
      </c>
      <c r="H4466" s="19" t="s">
        <v>1001</v>
      </c>
      <c r="I4466" s="19" t="s">
        <v>1575</v>
      </c>
      <c r="J4466" s="20">
        <v>23</v>
      </c>
      <c r="K4466" t="s">
        <v>654</v>
      </c>
      <c r="L4466" t="s">
        <v>634</v>
      </c>
      <c r="M4466" t="s">
        <v>629</v>
      </c>
      <c r="N4466" t="s">
        <v>635</v>
      </c>
      <c r="O4466" t="s">
        <v>637</v>
      </c>
    </row>
    <row r="4467" spans="1:15" x14ac:dyDescent="0.35">
      <c r="A4467" s="77">
        <v>2.4657534246575342E-2</v>
      </c>
      <c r="B4467" s="19">
        <v>101683</v>
      </c>
      <c r="C4467" s="19" t="s">
        <v>6747</v>
      </c>
      <c r="D4467" s="19" t="s">
        <v>97</v>
      </c>
      <c r="E4467" s="19" t="s">
        <v>98</v>
      </c>
      <c r="F4467" s="19" t="s">
        <v>2395</v>
      </c>
      <c r="G4467" s="19" t="s">
        <v>1008</v>
      </c>
      <c r="H4467" s="19" t="s">
        <v>1001</v>
      </c>
      <c r="I4467" s="19" t="s">
        <v>1575</v>
      </c>
      <c r="J4467" s="20">
        <v>27</v>
      </c>
      <c r="K4467" t="s">
        <v>654</v>
      </c>
      <c r="L4467" t="s">
        <v>666</v>
      </c>
      <c r="M4467" t="s">
        <v>629</v>
      </c>
      <c r="N4467" t="s">
        <v>635</v>
      </c>
      <c r="O4467" t="s">
        <v>739</v>
      </c>
    </row>
    <row r="4468" spans="1:15" x14ac:dyDescent="0.35">
      <c r="A4468" s="77">
        <v>1.9178082191780823E-2</v>
      </c>
      <c r="B4468" s="19">
        <v>101684</v>
      </c>
      <c r="C4468" s="19" t="s">
        <v>6748</v>
      </c>
      <c r="D4468" s="19" t="s">
        <v>43</v>
      </c>
      <c r="E4468" s="19" t="s">
        <v>44</v>
      </c>
      <c r="F4468" s="19" t="s">
        <v>2355</v>
      </c>
      <c r="G4468" s="19" t="s">
        <v>1008</v>
      </c>
      <c r="H4468" s="19" t="s">
        <v>1001</v>
      </c>
      <c r="I4468" s="19" t="s">
        <v>1575</v>
      </c>
      <c r="J4468" s="20">
        <v>25</v>
      </c>
      <c r="K4468" t="s">
        <v>654</v>
      </c>
      <c r="L4468" t="s">
        <v>634</v>
      </c>
      <c r="M4468" t="s">
        <v>629</v>
      </c>
      <c r="N4468" t="s">
        <v>635</v>
      </c>
      <c r="O4468" t="s">
        <v>637</v>
      </c>
    </row>
    <row r="4469" spans="1:15" x14ac:dyDescent="0.35">
      <c r="A4469" s="77">
        <v>1.9178082191780823E-2</v>
      </c>
      <c r="B4469" s="19">
        <v>101685</v>
      </c>
      <c r="C4469" s="19" t="s">
        <v>6749</v>
      </c>
      <c r="D4469" s="19" t="s">
        <v>12</v>
      </c>
      <c r="E4469" s="19" t="s">
        <v>12</v>
      </c>
      <c r="F4469" s="19" t="s">
        <v>1145</v>
      </c>
      <c r="G4469" s="19" t="s">
        <v>1008</v>
      </c>
      <c r="H4469" s="19" t="s">
        <v>1001</v>
      </c>
      <c r="I4469" s="19" t="s">
        <v>1575</v>
      </c>
      <c r="J4469" s="20">
        <v>18</v>
      </c>
      <c r="K4469" t="s">
        <v>636</v>
      </c>
      <c r="L4469" t="s">
        <v>634</v>
      </c>
      <c r="M4469" t="s">
        <v>629</v>
      </c>
      <c r="N4469" t="s">
        <v>635</v>
      </c>
      <c r="O4469" t="s">
        <v>637</v>
      </c>
    </row>
    <row r="4470" spans="1:15" x14ac:dyDescent="0.35">
      <c r="A4470" s="77">
        <v>1.9178082191780823E-2</v>
      </c>
      <c r="B4470" s="19">
        <v>101686</v>
      </c>
      <c r="C4470" s="19" t="s">
        <v>6750</v>
      </c>
      <c r="D4470" s="19" t="s">
        <v>12</v>
      </c>
      <c r="E4470" s="19" t="s">
        <v>12</v>
      </c>
      <c r="F4470" s="19" t="s">
        <v>1145</v>
      </c>
      <c r="G4470" s="19" t="s">
        <v>1008</v>
      </c>
      <c r="H4470" s="19" t="s">
        <v>1001</v>
      </c>
      <c r="I4470" s="19" t="s">
        <v>1575</v>
      </c>
      <c r="J4470" s="20">
        <v>19</v>
      </c>
      <c r="K4470" t="s">
        <v>636</v>
      </c>
      <c r="L4470" t="s">
        <v>634</v>
      </c>
      <c r="M4470" t="s">
        <v>629</v>
      </c>
      <c r="N4470" t="s">
        <v>635</v>
      </c>
      <c r="O4470" t="s">
        <v>637</v>
      </c>
    </row>
    <row r="4471" spans="1:15" x14ac:dyDescent="0.35">
      <c r="A4471" s="77">
        <v>2.1917808219178082E-2</v>
      </c>
      <c r="B4471" s="19">
        <v>101687</v>
      </c>
      <c r="C4471" s="19" t="s">
        <v>6751</v>
      </c>
      <c r="D4471" s="19" t="s">
        <v>163</v>
      </c>
      <c r="E4471" s="19" t="s">
        <v>164</v>
      </c>
      <c r="F4471" s="19" t="s">
        <v>1174</v>
      </c>
      <c r="G4471" s="19" t="s">
        <v>1008</v>
      </c>
      <c r="H4471" s="19" t="s">
        <v>1001</v>
      </c>
      <c r="I4471" s="19" t="s">
        <v>1575</v>
      </c>
      <c r="J4471" s="20">
        <v>23</v>
      </c>
      <c r="K4471" t="s">
        <v>654</v>
      </c>
      <c r="L4471" t="s">
        <v>634</v>
      </c>
      <c r="M4471" t="s">
        <v>629</v>
      </c>
      <c r="N4471" t="s">
        <v>635</v>
      </c>
      <c r="O4471" t="s">
        <v>637</v>
      </c>
    </row>
    <row r="4472" spans="1:15" x14ac:dyDescent="0.35">
      <c r="A4472" s="77">
        <v>2.1917808219178082E-2</v>
      </c>
      <c r="B4472" s="19">
        <v>101688</v>
      </c>
      <c r="C4472" s="19" t="s">
        <v>6752</v>
      </c>
      <c r="D4472" s="19" t="s">
        <v>397</v>
      </c>
      <c r="E4472" s="19" t="s">
        <v>398</v>
      </c>
      <c r="F4472" s="19" t="s">
        <v>867</v>
      </c>
      <c r="G4472" s="19" t="s">
        <v>1028</v>
      </c>
      <c r="H4472" s="19" t="s">
        <v>1020</v>
      </c>
      <c r="I4472" s="19" t="s">
        <v>1575</v>
      </c>
      <c r="J4472" s="20">
        <v>21</v>
      </c>
      <c r="K4472" t="s">
        <v>625</v>
      </c>
      <c r="L4472" t="s">
        <v>634</v>
      </c>
      <c r="M4472" t="s">
        <v>629</v>
      </c>
      <c r="N4472" t="s">
        <v>635</v>
      </c>
      <c r="O4472" t="s">
        <v>637</v>
      </c>
    </row>
    <row r="4473" spans="1:15" x14ac:dyDescent="0.35">
      <c r="A4473" s="77">
        <v>2.1917808219178082E-2</v>
      </c>
      <c r="B4473" s="19">
        <v>101689</v>
      </c>
      <c r="C4473" s="19" t="s">
        <v>6753</v>
      </c>
      <c r="D4473" s="19" t="s">
        <v>397</v>
      </c>
      <c r="E4473" s="19" t="s">
        <v>398</v>
      </c>
      <c r="F4473" s="19" t="s">
        <v>867</v>
      </c>
      <c r="G4473" s="19" t="s">
        <v>1028</v>
      </c>
      <c r="H4473" s="19" t="s">
        <v>1020</v>
      </c>
      <c r="I4473" s="19" t="s">
        <v>1575</v>
      </c>
      <c r="J4473" s="20">
        <v>20</v>
      </c>
      <c r="K4473" t="s">
        <v>625</v>
      </c>
      <c r="L4473" t="s">
        <v>634</v>
      </c>
      <c r="M4473" t="s">
        <v>629</v>
      </c>
      <c r="N4473" t="s">
        <v>635</v>
      </c>
      <c r="O4473" t="s">
        <v>637</v>
      </c>
    </row>
    <row r="4474" spans="1:15" x14ac:dyDescent="0.35">
      <c r="A4474" s="77">
        <v>2.1917808219178082E-2</v>
      </c>
      <c r="B4474" s="19">
        <v>101690</v>
      </c>
      <c r="C4474" s="19" t="s">
        <v>6754</v>
      </c>
      <c r="D4474" s="19" t="s">
        <v>20</v>
      </c>
      <c r="E4474" s="19" t="s">
        <v>20</v>
      </c>
      <c r="F4474" s="19" t="s">
        <v>1133</v>
      </c>
      <c r="G4474" s="19" t="s">
        <v>1008</v>
      </c>
      <c r="H4474" s="19" t="s">
        <v>1001</v>
      </c>
      <c r="I4474" s="19" t="s">
        <v>1575</v>
      </c>
      <c r="J4474" s="20">
        <v>18</v>
      </c>
      <c r="K4474" t="s">
        <v>654</v>
      </c>
      <c r="L4474" t="s">
        <v>634</v>
      </c>
      <c r="M4474" t="s">
        <v>629</v>
      </c>
      <c r="N4474" t="s">
        <v>635</v>
      </c>
      <c r="O4474" t="s">
        <v>637</v>
      </c>
    </row>
    <row r="4475" spans="1:15" x14ac:dyDescent="0.35">
      <c r="A4475" s="77">
        <v>2.1917808219178082E-2</v>
      </c>
      <c r="B4475" s="19">
        <v>101691</v>
      </c>
      <c r="C4475" s="19" t="s">
        <v>6755</v>
      </c>
      <c r="D4475" s="19" t="s">
        <v>271</v>
      </c>
      <c r="E4475" s="19" t="s">
        <v>272</v>
      </c>
      <c r="F4475" s="19" t="s">
        <v>2611</v>
      </c>
      <c r="G4475" s="19" t="s">
        <v>1008</v>
      </c>
      <c r="H4475" s="19" t="s">
        <v>1001</v>
      </c>
      <c r="I4475" s="19" t="s">
        <v>1575</v>
      </c>
      <c r="J4475" s="20">
        <v>19</v>
      </c>
      <c r="K4475" t="s">
        <v>654</v>
      </c>
      <c r="L4475" t="s">
        <v>666</v>
      </c>
      <c r="M4475" t="s">
        <v>629</v>
      </c>
      <c r="N4475" t="s">
        <v>635</v>
      </c>
      <c r="O4475" t="s">
        <v>739</v>
      </c>
    </row>
    <row r="4476" spans="1:15" x14ac:dyDescent="0.35">
      <c r="A4476" s="77">
        <v>2.1917808219178082E-2</v>
      </c>
      <c r="B4476" s="19">
        <v>101692</v>
      </c>
      <c r="C4476" s="19" t="s">
        <v>6756</v>
      </c>
      <c r="D4476" s="19" t="s">
        <v>271</v>
      </c>
      <c r="E4476" s="19" t="s">
        <v>272</v>
      </c>
      <c r="F4476" s="19" t="s">
        <v>2611</v>
      </c>
      <c r="G4476" s="19" t="s">
        <v>1008</v>
      </c>
      <c r="H4476" s="19" t="s">
        <v>1001</v>
      </c>
      <c r="I4476" s="19" t="s">
        <v>1575</v>
      </c>
      <c r="J4476" s="20">
        <v>20</v>
      </c>
      <c r="K4476" t="s">
        <v>654</v>
      </c>
      <c r="L4476" t="s">
        <v>666</v>
      </c>
      <c r="M4476" t="s">
        <v>629</v>
      </c>
      <c r="N4476" t="s">
        <v>635</v>
      </c>
      <c r="O4476" t="s">
        <v>739</v>
      </c>
    </row>
    <row r="4477" spans="1:15" x14ac:dyDescent="0.35">
      <c r="A4477" s="77">
        <v>2.1917808219178082E-2</v>
      </c>
      <c r="B4477" s="19">
        <v>101693</v>
      </c>
      <c r="C4477" s="19" t="s">
        <v>6757</v>
      </c>
      <c r="D4477" s="19" t="s">
        <v>26</v>
      </c>
      <c r="E4477" s="19" t="s">
        <v>26</v>
      </c>
      <c r="F4477" s="19" t="s">
        <v>1124</v>
      </c>
      <c r="G4477" s="19" t="s">
        <v>1008</v>
      </c>
      <c r="H4477" s="19" t="s">
        <v>1001</v>
      </c>
      <c r="I4477" s="19" t="s">
        <v>1575</v>
      </c>
      <c r="J4477" s="20">
        <v>40</v>
      </c>
      <c r="K4477" t="s">
        <v>636</v>
      </c>
      <c r="L4477" t="s">
        <v>666</v>
      </c>
      <c r="M4477" t="s">
        <v>629</v>
      </c>
      <c r="N4477" t="s">
        <v>635</v>
      </c>
      <c r="O4477" t="s">
        <v>637</v>
      </c>
    </row>
    <row r="4478" spans="1:15" x14ac:dyDescent="0.35">
      <c r="A4478" s="77">
        <v>1.9178082191780823E-2</v>
      </c>
      <c r="B4478" s="19">
        <v>101695</v>
      </c>
      <c r="C4478" s="19" t="s">
        <v>6758</v>
      </c>
      <c r="D4478" s="19" t="s">
        <v>145</v>
      </c>
      <c r="E4478" s="19" t="s">
        <v>146</v>
      </c>
      <c r="F4478" s="19" t="s">
        <v>1015</v>
      </c>
      <c r="G4478" s="19" t="s">
        <v>1008</v>
      </c>
      <c r="H4478" s="19" t="s">
        <v>1001</v>
      </c>
      <c r="I4478" s="19" t="s">
        <v>1599</v>
      </c>
      <c r="J4478" s="20">
        <v>22</v>
      </c>
      <c r="K4478" t="s">
        <v>636</v>
      </c>
      <c r="L4478" t="s">
        <v>737</v>
      </c>
      <c r="M4478" t="s">
        <v>657</v>
      </c>
      <c r="N4478" t="s">
        <v>641</v>
      </c>
      <c r="O4478" t="s">
        <v>757</v>
      </c>
    </row>
    <row r="4479" spans="1:15" x14ac:dyDescent="0.35">
      <c r="A4479" s="77">
        <v>1.9178082191780823E-2</v>
      </c>
      <c r="B4479" s="19">
        <v>101696</v>
      </c>
      <c r="C4479" s="19" t="s">
        <v>6759</v>
      </c>
      <c r="D4479" s="19" t="s">
        <v>313</v>
      </c>
      <c r="E4479" s="19" t="s">
        <v>314</v>
      </c>
      <c r="F4479" s="19" t="s">
        <v>1401</v>
      </c>
      <c r="G4479" s="19" t="s">
        <v>1008</v>
      </c>
      <c r="H4479" s="19" t="s">
        <v>1001</v>
      </c>
      <c r="I4479" s="19" t="s">
        <v>1575</v>
      </c>
      <c r="J4479" s="20">
        <v>18</v>
      </c>
      <c r="K4479" t="s">
        <v>654</v>
      </c>
      <c r="L4479" t="s">
        <v>666</v>
      </c>
      <c r="M4479" t="s">
        <v>629</v>
      </c>
      <c r="N4479" t="s">
        <v>635</v>
      </c>
      <c r="O4479" t="s">
        <v>637</v>
      </c>
    </row>
    <row r="4480" spans="1:15" x14ac:dyDescent="0.35">
      <c r="A4480" s="77">
        <v>1.9178082191780823E-2</v>
      </c>
      <c r="B4480" s="19">
        <v>101697</v>
      </c>
      <c r="C4480" s="19" t="s">
        <v>6760</v>
      </c>
      <c r="D4480" s="19" t="s">
        <v>425</v>
      </c>
      <c r="E4480" s="19" t="s">
        <v>425</v>
      </c>
      <c r="F4480" s="19" t="s">
        <v>1330</v>
      </c>
      <c r="G4480" s="19" t="s">
        <v>1008</v>
      </c>
      <c r="H4480" s="19" t="s">
        <v>1001</v>
      </c>
      <c r="I4480" s="19" t="s">
        <v>1575</v>
      </c>
      <c r="J4480" s="20">
        <v>27</v>
      </c>
      <c r="K4480" t="s">
        <v>654</v>
      </c>
      <c r="L4480" t="s">
        <v>678</v>
      </c>
      <c r="M4480" t="s">
        <v>623</v>
      </c>
      <c r="N4480" t="s">
        <v>624</v>
      </c>
      <c r="O4480" t="s">
        <v>689</v>
      </c>
    </row>
    <row r="4481" spans="1:15" x14ac:dyDescent="0.35">
      <c r="A4481" s="77">
        <v>2.4657534246575342E-2</v>
      </c>
      <c r="B4481" s="19">
        <v>101698</v>
      </c>
      <c r="C4481" s="19" t="s">
        <v>6761</v>
      </c>
      <c r="D4481" s="19" t="s">
        <v>243</v>
      </c>
      <c r="E4481" s="19" t="s">
        <v>244</v>
      </c>
      <c r="F4481" s="19" t="s">
        <v>1318</v>
      </c>
      <c r="G4481" s="19" t="s">
        <v>1008</v>
      </c>
      <c r="H4481" s="19" t="s">
        <v>1001</v>
      </c>
      <c r="I4481" s="19" t="s">
        <v>1575</v>
      </c>
      <c r="J4481" s="20">
        <v>20</v>
      </c>
      <c r="K4481" t="s">
        <v>631</v>
      </c>
      <c r="L4481" t="s">
        <v>707</v>
      </c>
      <c r="M4481" t="s">
        <v>629</v>
      </c>
      <c r="N4481" t="s">
        <v>635</v>
      </c>
      <c r="O4481" t="s">
        <v>710</v>
      </c>
    </row>
    <row r="4482" spans="1:15" x14ac:dyDescent="0.35">
      <c r="A4482" s="77">
        <v>2.4657534246575342E-2</v>
      </c>
      <c r="B4482" s="19">
        <v>101699</v>
      </c>
      <c r="C4482" s="19" t="s">
        <v>6762</v>
      </c>
      <c r="D4482" s="19" t="s">
        <v>243</v>
      </c>
      <c r="E4482" s="19" t="s">
        <v>244</v>
      </c>
      <c r="F4482" s="19" t="s">
        <v>1318</v>
      </c>
      <c r="G4482" s="19" t="s">
        <v>1008</v>
      </c>
      <c r="H4482" s="19" t="s">
        <v>1001</v>
      </c>
      <c r="I4482" s="19" t="s">
        <v>1575</v>
      </c>
      <c r="J4482" s="20">
        <v>20</v>
      </c>
      <c r="K4482" t="s">
        <v>631</v>
      </c>
      <c r="L4482" t="s">
        <v>707</v>
      </c>
      <c r="M4482" t="s">
        <v>629</v>
      </c>
      <c r="N4482" t="s">
        <v>635</v>
      </c>
      <c r="O4482" t="s">
        <v>710</v>
      </c>
    </row>
    <row r="4483" spans="1:15" x14ac:dyDescent="0.35">
      <c r="A4483" s="77">
        <v>2.4657534246575342E-2</v>
      </c>
      <c r="B4483" s="19">
        <v>101700</v>
      </c>
      <c r="C4483" s="19" t="s">
        <v>6763</v>
      </c>
      <c r="D4483" s="19" t="s">
        <v>243</v>
      </c>
      <c r="E4483" s="19" t="s">
        <v>244</v>
      </c>
      <c r="F4483" s="19" t="s">
        <v>1318</v>
      </c>
      <c r="G4483" s="19" t="s">
        <v>1008</v>
      </c>
      <c r="H4483" s="19" t="s">
        <v>1001</v>
      </c>
      <c r="I4483" s="19" t="s">
        <v>1575</v>
      </c>
      <c r="J4483" s="20">
        <v>38</v>
      </c>
      <c r="K4483" t="s">
        <v>631</v>
      </c>
      <c r="L4483" t="s">
        <v>707</v>
      </c>
      <c r="M4483" t="s">
        <v>629</v>
      </c>
      <c r="N4483" t="s">
        <v>635</v>
      </c>
      <c r="O4483" t="s">
        <v>710</v>
      </c>
    </row>
    <row r="4484" spans="1:15" x14ac:dyDescent="0.35">
      <c r="A4484" s="77">
        <v>2.4657534246575342E-2</v>
      </c>
      <c r="B4484" s="19">
        <v>101701</v>
      </c>
      <c r="C4484" s="19" t="s">
        <v>6764</v>
      </c>
      <c r="D4484" s="19" t="s">
        <v>243</v>
      </c>
      <c r="E4484" s="19" t="s">
        <v>244</v>
      </c>
      <c r="F4484" s="19" t="s">
        <v>1318</v>
      </c>
      <c r="G4484" s="19" t="s">
        <v>1008</v>
      </c>
      <c r="H4484" s="19" t="s">
        <v>1001</v>
      </c>
      <c r="I4484" s="19" t="s">
        <v>1575</v>
      </c>
      <c r="J4484" s="20">
        <v>22</v>
      </c>
      <c r="K4484" t="s">
        <v>631</v>
      </c>
      <c r="L4484" t="s">
        <v>707</v>
      </c>
      <c r="M4484" t="s">
        <v>629</v>
      </c>
      <c r="N4484" t="s">
        <v>635</v>
      </c>
      <c r="O4484" t="s">
        <v>710</v>
      </c>
    </row>
    <row r="4485" spans="1:15" x14ac:dyDescent="0.35">
      <c r="A4485" s="77">
        <v>2.4657534246575342E-2</v>
      </c>
      <c r="B4485" s="19">
        <v>101702</v>
      </c>
      <c r="C4485" s="19" t="s">
        <v>6765</v>
      </c>
      <c r="D4485" s="19" t="s">
        <v>243</v>
      </c>
      <c r="E4485" s="19" t="s">
        <v>244</v>
      </c>
      <c r="F4485" s="19" t="s">
        <v>1318</v>
      </c>
      <c r="G4485" s="19" t="s">
        <v>1008</v>
      </c>
      <c r="H4485" s="19" t="s">
        <v>1001</v>
      </c>
      <c r="I4485" s="19" t="s">
        <v>1575</v>
      </c>
      <c r="J4485" s="20">
        <v>19</v>
      </c>
      <c r="K4485" t="s">
        <v>631</v>
      </c>
      <c r="L4485" t="s">
        <v>707</v>
      </c>
      <c r="M4485" t="s">
        <v>629</v>
      </c>
      <c r="N4485" t="s">
        <v>635</v>
      </c>
      <c r="O4485" t="s">
        <v>710</v>
      </c>
    </row>
    <row r="4486" spans="1:15" x14ac:dyDescent="0.35">
      <c r="A4486" s="77">
        <v>2.1917808219178082E-2</v>
      </c>
      <c r="B4486" s="19">
        <v>101703</v>
      </c>
      <c r="C4486" s="19" t="s">
        <v>6766</v>
      </c>
      <c r="D4486" s="19" t="s">
        <v>115</v>
      </c>
      <c r="E4486" s="19" t="s">
        <v>116</v>
      </c>
      <c r="F4486" s="19" t="s">
        <v>1383</v>
      </c>
      <c r="G4486" s="19" t="s">
        <v>1008</v>
      </c>
      <c r="H4486" s="19" t="s">
        <v>1001</v>
      </c>
      <c r="I4486" s="19" t="s">
        <v>1575</v>
      </c>
      <c r="J4486" s="20">
        <v>22</v>
      </c>
      <c r="K4486" t="s">
        <v>631</v>
      </c>
      <c r="L4486" t="s">
        <v>670</v>
      </c>
      <c r="M4486" t="s">
        <v>657</v>
      </c>
      <c r="N4486" t="s">
        <v>641</v>
      </c>
      <c r="O4486" t="s">
        <v>671</v>
      </c>
    </row>
    <row r="4487" spans="1:15" x14ac:dyDescent="0.35">
      <c r="A4487" s="77">
        <v>2.4657534246575342E-2</v>
      </c>
      <c r="B4487" s="19">
        <v>101704</v>
      </c>
      <c r="C4487" s="19" t="s">
        <v>6767</v>
      </c>
      <c r="D4487" s="19" t="s">
        <v>239</v>
      </c>
      <c r="E4487" s="19" t="s">
        <v>240</v>
      </c>
      <c r="F4487" s="19" t="s">
        <v>798</v>
      </c>
      <c r="G4487" s="19" t="s">
        <v>1028</v>
      </c>
      <c r="H4487" s="19" t="s">
        <v>1020</v>
      </c>
      <c r="I4487" s="19" t="s">
        <v>1575</v>
      </c>
      <c r="J4487" s="20">
        <v>20</v>
      </c>
      <c r="K4487" t="s">
        <v>636</v>
      </c>
      <c r="L4487" t="s">
        <v>628</v>
      </c>
      <c r="M4487" t="s">
        <v>629</v>
      </c>
      <c r="N4487" t="s">
        <v>646</v>
      </c>
      <c r="O4487" t="s">
        <v>632</v>
      </c>
    </row>
    <row r="4488" spans="1:15" x14ac:dyDescent="0.35">
      <c r="A4488" s="77">
        <v>2.4657534246575342E-2</v>
      </c>
      <c r="B4488" s="19">
        <v>101705</v>
      </c>
      <c r="C4488" s="19" t="s">
        <v>6768</v>
      </c>
      <c r="D4488" s="19" t="s">
        <v>239</v>
      </c>
      <c r="E4488" s="19" t="s">
        <v>240</v>
      </c>
      <c r="F4488" s="19" t="s">
        <v>798</v>
      </c>
      <c r="G4488" s="19" t="s">
        <v>1008</v>
      </c>
      <c r="H4488" s="19" t="s">
        <v>1001</v>
      </c>
      <c r="I4488" s="19" t="s">
        <v>1599</v>
      </c>
      <c r="J4488" s="20">
        <v>19</v>
      </c>
      <c r="K4488" t="s">
        <v>636</v>
      </c>
      <c r="L4488" t="s">
        <v>628</v>
      </c>
      <c r="M4488" t="s">
        <v>629</v>
      </c>
      <c r="N4488" t="s">
        <v>646</v>
      </c>
      <c r="O4488" t="s">
        <v>632</v>
      </c>
    </row>
    <row r="4489" spans="1:15" x14ac:dyDescent="0.35">
      <c r="A4489" s="77">
        <v>2.4657534246575342E-2</v>
      </c>
      <c r="B4489" s="19">
        <v>101706</v>
      </c>
      <c r="C4489" s="19" t="s">
        <v>6769</v>
      </c>
      <c r="D4489" s="19" t="s">
        <v>169</v>
      </c>
      <c r="E4489" s="19" t="s">
        <v>170</v>
      </c>
      <c r="F4489" s="19" t="s">
        <v>1274</v>
      </c>
      <c r="G4489" s="19" t="s">
        <v>1008</v>
      </c>
      <c r="H4489" s="19" t="s">
        <v>1001</v>
      </c>
      <c r="I4489" s="19" t="s">
        <v>1575</v>
      </c>
      <c r="J4489" s="20">
        <v>29</v>
      </c>
      <c r="K4489" t="s">
        <v>631</v>
      </c>
      <c r="L4489" t="s">
        <v>670</v>
      </c>
      <c r="M4489" t="s">
        <v>657</v>
      </c>
      <c r="N4489" t="s">
        <v>641</v>
      </c>
      <c r="O4489" t="s">
        <v>772</v>
      </c>
    </row>
    <row r="4490" spans="1:15" x14ac:dyDescent="0.35">
      <c r="A4490" s="77">
        <v>2.4657534246575342E-2</v>
      </c>
      <c r="B4490" s="19">
        <v>101707</v>
      </c>
      <c r="C4490" s="19" t="s">
        <v>6770</v>
      </c>
      <c r="D4490" s="19" t="s">
        <v>169</v>
      </c>
      <c r="E4490" s="19" t="s">
        <v>170</v>
      </c>
      <c r="F4490" s="19" t="s">
        <v>1274</v>
      </c>
      <c r="G4490" s="19" t="s">
        <v>1008</v>
      </c>
      <c r="H4490" s="19" t="s">
        <v>1001</v>
      </c>
      <c r="I4490" s="19" t="s">
        <v>1599</v>
      </c>
      <c r="J4490" s="20">
        <v>23</v>
      </c>
      <c r="K4490" t="s">
        <v>631</v>
      </c>
      <c r="L4490" t="s">
        <v>670</v>
      </c>
      <c r="M4490" t="s">
        <v>657</v>
      </c>
      <c r="N4490" t="s">
        <v>641</v>
      </c>
      <c r="O4490" t="s">
        <v>772</v>
      </c>
    </row>
    <row r="4491" spans="1:15" x14ac:dyDescent="0.35">
      <c r="A4491" s="77">
        <v>2.4657534246575342E-2</v>
      </c>
      <c r="B4491" s="19">
        <v>101708</v>
      </c>
      <c r="C4491" s="19" t="s">
        <v>6771</v>
      </c>
      <c r="D4491" s="19" t="s">
        <v>169</v>
      </c>
      <c r="E4491" s="19" t="s">
        <v>170</v>
      </c>
      <c r="F4491" s="19" t="s">
        <v>1274</v>
      </c>
      <c r="G4491" s="19" t="s">
        <v>1008</v>
      </c>
      <c r="H4491" s="19" t="s">
        <v>1001</v>
      </c>
      <c r="I4491" s="19" t="s">
        <v>1575</v>
      </c>
      <c r="J4491" s="20">
        <v>20</v>
      </c>
      <c r="K4491" t="s">
        <v>631</v>
      </c>
      <c r="L4491" t="s">
        <v>670</v>
      </c>
      <c r="M4491" t="s">
        <v>657</v>
      </c>
      <c r="N4491" t="s">
        <v>641</v>
      </c>
      <c r="O4491" t="s">
        <v>772</v>
      </c>
    </row>
    <row r="4492" spans="1:15" x14ac:dyDescent="0.35">
      <c r="A4492" s="77">
        <v>2.1917808219178082E-2</v>
      </c>
      <c r="B4492" s="19">
        <v>101709</v>
      </c>
      <c r="C4492" s="19" t="s">
        <v>6772</v>
      </c>
      <c r="D4492" s="19" t="s">
        <v>320</v>
      </c>
      <c r="E4492" s="19" t="s">
        <v>321</v>
      </c>
      <c r="F4492" s="19" t="s">
        <v>1205</v>
      </c>
      <c r="G4492" s="19" t="s">
        <v>1008</v>
      </c>
      <c r="H4492" s="19" t="s">
        <v>1001</v>
      </c>
      <c r="I4492" s="19" t="s">
        <v>1575</v>
      </c>
      <c r="J4492" s="20">
        <v>18</v>
      </c>
      <c r="K4492" t="s">
        <v>668</v>
      </c>
      <c r="L4492" t="s">
        <v>707</v>
      </c>
      <c r="M4492" t="s">
        <v>629</v>
      </c>
      <c r="N4492" t="s">
        <v>635</v>
      </c>
      <c r="O4492" t="s">
        <v>708</v>
      </c>
    </row>
    <row r="4493" spans="1:15" x14ac:dyDescent="0.35">
      <c r="A4493" s="77">
        <v>1.9178082191780823E-2</v>
      </c>
      <c r="B4493" s="19">
        <v>101710</v>
      </c>
      <c r="C4493" s="19" t="s">
        <v>6773</v>
      </c>
      <c r="D4493" s="19" t="s">
        <v>95</v>
      </c>
      <c r="E4493" s="19" t="s">
        <v>96</v>
      </c>
      <c r="F4493" s="19" t="s">
        <v>1188</v>
      </c>
      <c r="G4493" s="19" t="s">
        <v>1008</v>
      </c>
      <c r="H4493" s="19" t="s">
        <v>1001</v>
      </c>
      <c r="I4493" s="19" t="s">
        <v>1575</v>
      </c>
      <c r="J4493" s="20">
        <v>43</v>
      </c>
      <c r="K4493" t="s">
        <v>636</v>
      </c>
      <c r="L4493" t="s">
        <v>737</v>
      </c>
      <c r="M4493" t="s">
        <v>657</v>
      </c>
      <c r="N4493" t="s">
        <v>641</v>
      </c>
      <c r="O4493" t="s">
        <v>738</v>
      </c>
    </row>
    <row r="4494" spans="1:15" x14ac:dyDescent="0.35">
      <c r="A4494" s="77">
        <v>1.9178082191780823E-2</v>
      </c>
      <c r="B4494" s="19">
        <v>101711</v>
      </c>
      <c r="C4494" s="19" t="s">
        <v>6774</v>
      </c>
      <c r="D4494" s="19" t="s">
        <v>95</v>
      </c>
      <c r="E4494" s="19" t="s">
        <v>96</v>
      </c>
      <c r="F4494" s="19" t="s">
        <v>1188</v>
      </c>
      <c r="G4494" s="19" t="s">
        <v>1008</v>
      </c>
      <c r="H4494" s="19" t="s">
        <v>1001</v>
      </c>
      <c r="I4494" s="19" t="s">
        <v>1575</v>
      </c>
      <c r="J4494" s="20">
        <v>19</v>
      </c>
      <c r="K4494" t="s">
        <v>636</v>
      </c>
      <c r="L4494" t="s">
        <v>737</v>
      </c>
      <c r="M4494" t="s">
        <v>657</v>
      </c>
      <c r="N4494" t="s">
        <v>641</v>
      </c>
      <c r="O4494" t="s">
        <v>738</v>
      </c>
    </row>
    <row r="4495" spans="1:15" x14ac:dyDescent="0.35">
      <c r="A4495" s="77">
        <v>1.9178082191780823E-2</v>
      </c>
      <c r="B4495" s="19">
        <v>101712</v>
      </c>
      <c r="C4495" s="19" t="s">
        <v>6775</v>
      </c>
      <c r="D4495" s="19" t="s">
        <v>130</v>
      </c>
      <c r="E4495" s="19" t="s">
        <v>131</v>
      </c>
      <c r="F4495" s="19" t="s">
        <v>1693</v>
      </c>
      <c r="G4495" s="19" t="s">
        <v>1008</v>
      </c>
      <c r="H4495" s="19" t="s">
        <v>1001</v>
      </c>
      <c r="I4495" s="19" t="s">
        <v>1575</v>
      </c>
      <c r="J4495" s="20">
        <v>24</v>
      </c>
      <c r="K4495" t="s">
        <v>654</v>
      </c>
      <c r="L4495" t="s">
        <v>670</v>
      </c>
      <c r="M4495" t="s">
        <v>657</v>
      </c>
      <c r="N4495" t="s">
        <v>641</v>
      </c>
      <c r="O4495" t="s">
        <v>752</v>
      </c>
    </row>
    <row r="4496" spans="1:15" x14ac:dyDescent="0.35">
      <c r="A4496" s="77">
        <v>2.1917808219178082E-2</v>
      </c>
      <c r="B4496" s="19">
        <v>101713</v>
      </c>
      <c r="C4496" s="19" t="s">
        <v>6776</v>
      </c>
      <c r="D4496" s="19" t="s">
        <v>115</v>
      </c>
      <c r="E4496" s="19" t="s">
        <v>116</v>
      </c>
      <c r="F4496" s="19" t="s">
        <v>1383</v>
      </c>
      <c r="G4496" s="19" t="s">
        <v>1008</v>
      </c>
      <c r="H4496" s="19" t="s">
        <v>1001</v>
      </c>
      <c r="I4496" s="19" t="s">
        <v>1575</v>
      </c>
      <c r="J4496" s="20">
        <v>21</v>
      </c>
      <c r="K4496" t="s">
        <v>631</v>
      </c>
      <c r="L4496" t="s">
        <v>670</v>
      </c>
      <c r="M4496" t="s">
        <v>657</v>
      </c>
      <c r="N4496" t="s">
        <v>641</v>
      </c>
      <c r="O4496" t="s">
        <v>671</v>
      </c>
    </row>
    <row r="4497" spans="1:15" x14ac:dyDescent="0.35">
      <c r="A4497" s="77">
        <v>2.1917808219178082E-2</v>
      </c>
      <c r="B4497" s="19">
        <v>101714</v>
      </c>
      <c r="C4497" s="19" t="s">
        <v>6777</v>
      </c>
      <c r="D4497" s="19" t="s">
        <v>31</v>
      </c>
      <c r="E4497" s="19" t="s">
        <v>31</v>
      </c>
      <c r="F4497" s="19" t="s">
        <v>675</v>
      </c>
      <c r="G4497" s="19" t="s">
        <v>1008</v>
      </c>
      <c r="H4497" s="19" t="s">
        <v>1001</v>
      </c>
      <c r="I4497" s="19" t="s">
        <v>1599</v>
      </c>
      <c r="J4497" s="20">
        <v>19</v>
      </c>
      <c r="K4497" t="s">
        <v>654</v>
      </c>
      <c r="L4497" t="s">
        <v>670</v>
      </c>
      <c r="M4497" t="s">
        <v>657</v>
      </c>
      <c r="N4497" t="s">
        <v>641</v>
      </c>
      <c r="O4497" t="s">
        <v>676</v>
      </c>
    </row>
    <row r="4498" spans="1:15" x14ac:dyDescent="0.35">
      <c r="A4498" s="77">
        <v>2.1917808219178082E-2</v>
      </c>
      <c r="B4498" s="19">
        <v>101715</v>
      </c>
      <c r="C4498" s="19" t="s">
        <v>6778</v>
      </c>
      <c r="D4498" s="19" t="s">
        <v>432</v>
      </c>
      <c r="E4498" s="19" t="e">
        <v>#N/A</v>
      </c>
      <c r="F4498" s="19" t="s">
        <v>1037</v>
      </c>
      <c r="G4498" s="19" t="s">
        <v>1008</v>
      </c>
      <c r="H4498" s="19" t="s">
        <v>1001</v>
      </c>
      <c r="I4498" s="19" t="s">
        <v>1599</v>
      </c>
      <c r="J4498" s="20">
        <v>25</v>
      </c>
      <c r="K4498" t="s">
        <v>668</v>
      </c>
      <c r="L4498" t="s">
        <v>707</v>
      </c>
      <c r="M4498" t="s">
        <v>629</v>
      </c>
      <c r="N4498" t="s">
        <v>635</v>
      </c>
      <c r="O4498" t="s">
        <v>708</v>
      </c>
    </row>
    <row r="4499" spans="1:15" x14ac:dyDescent="0.35">
      <c r="A4499" s="77">
        <v>2.1917808219178082E-2</v>
      </c>
      <c r="B4499" s="19">
        <v>101716</v>
      </c>
      <c r="C4499" s="19" t="s">
        <v>6779</v>
      </c>
      <c r="D4499" s="19" t="s">
        <v>432</v>
      </c>
      <c r="E4499" s="19" t="e">
        <v>#N/A</v>
      </c>
      <c r="F4499" s="19" t="s">
        <v>1037</v>
      </c>
      <c r="G4499" s="19" t="s">
        <v>1008</v>
      </c>
      <c r="H4499" s="19" t="s">
        <v>1001</v>
      </c>
      <c r="I4499" s="19" t="s">
        <v>1575</v>
      </c>
      <c r="J4499" s="20">
        <v>26</v>
      </c>
      <c r="K4499" t="s">
        <v>668</v>
      </c>
      <c r="L4499" t="s">
        <v>707</v>
      </c>
      <c r="M4499" t="s">
        <v>629</v>
      </c>
      <c r="N4499" t="s">
        <v>635</v>
      </c>
      <c r="O4499" t="s">
        <v>708</v>
      </c>
    </row>
    <row r="4500" spans="1:15" x14ac:dyDescent="0.35">
      <c r="A4500" s="77">
        <v>2.1917808219178082E-2</v>
      </c>
      <c r="B4500" s="19">
        <v>101717</v>
      </c>
      <c r="C4500" s="19" t="s">
        <v>6780</v>
      </c>
      <c r="D4500" s="19" t="s">
        <v>55</v>
      </c>
      <c r="E4500" s="19" t="s">
        <v>56</v>
      </c>
      <c r="F4500" s="19" t="s">
        <v>1684</v>
      </c>
      <c r="G4500" s="19" t="s">
        <v>1028</v>
      </c>
      <c r="H4500" s="19" t="s">
        <v>1020</v>
      </c>
      <c r="I4500" s="19" t="s">
        <v>1575</v>
      </c>
      <c r="J4500" s="20">
        <v>21</v>
      </c>
      <c r="K4500" t="s">
        <v>668</v>
      </c>
      <c r="L4500" t="s">
        <v>707</v>
      </c>
      <c r="M4500" t="s">
        <v>629</v>
      </c>
      <c r="N4500" t="s">
        <v>635</v>
      </c>
      <c r="O4500" t="s">
        <v>708</v>
      </c>
    </row>
    <row r="4501" spans="1:15" x14ac:dyDescent="0.35">
      <c r="A4501" s="77">
        <v>2.1917808219178082E-2</v>
      </c>
      <c r="B4501" s="19">
        <v>101718</v>
      </c>
      <c r="C4501" s="19" t="s">
        <v>6781</v>
      </c>
      <c r="D4501" s="19" t="s">
        <v>191</v>
      </c>
      <c r="E4501" s="19" t="s">
        <v>192</v>
      </c>
      <c r="F4501" s="19" t="s">
        <v>1626</v>
      </c>
      <c r="G4501" s="19" t="s">
        <v>1008</v>
      </c>
      <c r="H4501" s="19" t="s">
        <v>1001</v>
      </c>
      <c r="I4501" s="19" t="s">
        <v>1575</v>
      </c>
      <c r="J4501" s="20">
        <v>23</v>
      </c>
      <c r="K4501" t="s">
        <v>654</v>
      </c>
      <c r="L4501" t="s">
        <v>673</v>
      </c>
      <c r="M4501" t="s">
        <v>623</v>
      </c>
      <c r="N4501" t="s">
        <v>641</v>
      </c>
      <c r="O4501" t="s">
        <v>779</v>
      </c>
    </row>
    <row r="4502" spans="1:15" x14ac:dyDescent="0.35">
      <c r="A4502" s="77">
        <v>2.1917808219178082E-2</v>
      </c>
      <c r="B4502" s="19">
        <v>101719</v>
      </c>
      <c r="C4502" s="19" t="s">
        <v>6782</v>
      </c>
      <c r="D4502" s="19" t="s">
        <v>102</v>
      </c>
      <c r="E4502" s="19" t="s">
        <v>103</v>
      </c>
      <c r="F4502" s="19" t="s">
        <v>1306</v>
      </c>
      <c r="G4502" s="19" t="s">
        <v>1028</v>
      </c>
      <c r="H4502" s="19" t="s">
        <v>1020</v>
      </c>
      <c r="I4502" s="19" t="s">
        <v>1575</v>
      </c>
      <c r="J4502" s="20">
        <v>36</v>
      </c>
      <c r="K4502" t="s">
        <v>654</v>
      </c>
      <c r="L4502" t="s">
        <v>707</v>
      </c>
      <c r="M4502" t="s">
        <v>629</v>
      </c>
      <c r="N4502" t="s">
        <v>635</v>
      </c>
      <c r="O4502" t="s">
        <v>708</v>
      </c>
    </row>
    <row r="4503" spans="1:15" x14ac:dyDescent="0.35">
      <c r="A4503" s="77">
        <v>2.1917808219178082E-2</v>
      </c>
      <c r="B4503" s="19">
        <v>101720</v>
      </c>
      <c r="C4503" s="19" t="s">
        <v>6783</v>
      </c>
      <c r="D4503" s="19" t="s">
        <v>102</v>
      </c>
      <c r="E4503" s="19" t="s">
        <v>103</v>
      </c>
      <c r="F4503" s="19" t="s">
        <v>1306</v>
      </c>
      <c r="G4503" s="19" t="s">
        <v>1008</v>
      </c>
      <c r="H4503" s="19" t="s">
        <v>1001</v>
      </c>
      <c r="I4503" s="19" t="s">
        <v>1575</v>
      </c>
      <c r="J4503" s="20">
        <v>21</v>
      </c>
      <c r="K4503" t="s">
        <v>654</v>
      </c>
      <c r="L4503" t="s">
        <v>707</v>
      </c>
      <c r="M4503" t="s">
        <v>629</v>
      </c>
      <c r="N4503" t="s">
        <v>635</v>
      </c>
      <c r="O4503" t="s">
        <v>708</v>
      </c>
    </row>
    <row r="4504" spans="1:15" x14ac:dyDescent="0.35">
      <c r="A4504" s="77">
        <v>2.1917808219178082E-2</v>
      </c>
      <c r="B4504" s="19">
        <v>101721</v>
      </c>
      <c r="C4504" s="19" t="s">
        <v>6784</v>
      </c>
      <c r="D4504" s="19" t="s">
        <v>102</v>
      </c>
      <c r="E4504" s="19" t="s">
        <v>103</v>
      </c>
      <c r="F4504" s="19" t="s">
        <v>1306</v>
      </c>
      <c r="G4504" s="19" t="s">
        <v>1008</v>
      </c>
      <c r="H4504" s="19" t="s">
        <v>1001</v>
      </c>
      <c r="I4504" s="19" t="s">
        <v>1575</v>
      </c>
      <c r="J4504" s="20">
        <v>19</v>
      </c>
      <c r="K4504" t="s">
        <v>654</v>
      </c>
      <c r="L4504" t="s">
        <v>707</v>
      </c>
      <c r="M4504" t="s">
        <v>629</v>
      </c>
      <c r="N4504" t="s">
        <v>635</v>
      </c>
      <c r="O4504" t="s">
        <v>708</v>
      </c>
    </row>
    <row r="4505" spans="1:15" x14ac:dyDescent="0.35">
      <c r="A4505" s="77">
        <v>1.9178082191780823E-2</v>
      </c>
      <c r="B4505" s="19">
        <v>101722</v>
      </c>
      <c r="C4505" s="19" t="s">
        <v>6785</v>
      </c>
      <c r="D4505" s="19" t="s">
        <v>68</v>
      </c>
      <c r="E4505" s="19" t="s">
        <v>69</v>
      </c>
      <c r="F4505" s="19" t="s">
        <v>1078</v>
      </c>
      <c r="G4505" s="19" t="s">
        <v>1028</v>
      </c>
      <c r="H4505" s="19" t="s">
        <v>1020</v>
      </c>
      <c r="I4505" s="19" t="s">
        <v>1575</v>
      </c>
      <c r="J4505" s="20">
        <v>18</v>
      </c>
      <c r="K4505" t="s">
        <v>636</v>
      </c>
      <c r="L4505" t="s">
        <v>670</v>
      </c>
      <c r="M4505" t="s">
        <v>657</v>
      </c>
      <c r="N4505" t="s">
        <v>641</v>
      </c>
      <c r="O4505" t="s">
        <v>671</v>
      </c>
    </row>
    <row r="4506" spans="1:15" x14ac:dyDescent="0.35">
      <c r="A4506" s="77">
        <v>2.1917808219178082E-2</v>
      </c>
      <c r="B4506" s="19">
        <v>101723</v>
      </c>
      <c r="C4506" s="19" t="s">
        <v>6786</v>
      </c>
      <c r="D4506" s="19" t="s">
        <v>157</v>
      </c>
      <c r="E4506" s="19" t="s">
        <v>158</v>
      </c>
      <c r="F4506" s="19" t="s">
        <v>1012</v>
      </c>
      <c r="G4506" s="19" t="s">
        <v>1028</v>
      </c>
      <c r="H4506" s="19" t="s">
        <v>1020</v>
      </c>
      <c r="I4506" s="19" t="s">
        <v>1599</v>
      </c>
      <c r="J4506" s="20">
        <v>18</v>
      </c>
      <c r="K4506" t="s">
        <v>668</v>
      </c>
      <c r="L4506" t="s">
        <v>670</v>
      </c>
      <c r="M4506" t="s">
        <v>657</v>
      </c>
      <c r="N4506" t="s">
        <v>641</v>
      </c>
      <c r="O4506" t="s">
        <v>671</v>
      </c>
    </row>
    <row r="4507" spans="1:15" x14ac:dyDescent="0.35">
      <c r="A4507" s="77">
        <v>2.1917808219178082E-2</v>
      </c>
      <c r="B4507" s="19">
        <v>101724</v>
      </c>
      <c r="C4507" s="19" t="s">
        <v>6787</v>
      </c>
      <c r="D4507" s="19" t="s">
        <v>76</v>
      </c>
      <c r="E4507" s="19" t="s">
        <v>77</v>
      </c>
      <c r="F4507" s="19" t="s">
        <v>899</v>
      </c>
      <c r="G4507" s="19" t="s">
        <v>1028</v>
      </c>
      <c r="H4507" s="19" t="s">
        <v>1020</v>
      </c>
      <c r="I4507" s="19" t="s">
        <v>1575</v>
      </c>
      <c r="J4507" s="20">
        <v>18</v>
      </c>
      <c r="K4507" t="s">
        <v>636</v>
      </c>
      <c r="L4507" t="s">
        <v>645</v>
      </c>
      <c r="M4507" t="s">
        <v>629</v>
      </c>
      <c r="N4507" t="s">
        <v>646</v>
      </c>
      <c r="O4507" t="s">
        <v>632</v>
      </c>
    </row>
    <row r="4508" spans="1:15" x14ac:dyDescent="0.35">
      <c r="A4508" s="77">
        <v>2.1917808219178082E-2</v>
      </c>
      <c r="B4508" s="19">
        <v>101725</v>
      </c>
      <c r="C4508" s="19" t="s">
        <v>6788</v>
      </c>
      <c r="D4508" s="19" t="s">
        <v>76</v>
      </c>
      <c r="E4508" s="19" t="s">
        <v>77</v>
      </c>
      <c r="F4508" s="19" t="s">
        <v>899</v>
      </c>
      <c r="G4508" s="19" t="s">
        <v>1028</v>
      </c>
      <c r="H4508" s="19" t="s">
        <v>1020</v>
      </c>
      <c r="I4508" s="19" t="s">
        <v>1575</v>
      </c>
      <c r="J4508" s="20">
        <v>18</v>
      </c>
      <c r="K4508" t="s">
        <v>636</v>
      </c>
      <c r="L4508" t="s">
        <v>645</v>
      </c>
      <c r="M4508" t="s">
        <v>629</v>
      </c>
      <c r="N4508" t="s">
        <v>646</v>
      </c>
      <c r="O4508" t="s">
        <v>632</v>
      </c>
    </row>
    <row r="4509" spans="1:15" x14ac:dyDescent="0.35">
      <c r="A4509" s="77">
        <v>2.1917808219178082E-2</v>
      </c>
      <c r="B4509" s="19">
        <v>101726</v>
      </c>
      <c r="C4509" s="19" t="s">
        <v>6789</v>
      </c>
      <c r="D4509" s="19" t="s">
        <v>76</v>
      </c>
      <c r="E4509" s="19" t="s">
        <v>77</v>
      </c>
      <c r="F4509" s="19" t="s">
        <v>899</v>
      </c>
      <c r="G4509" s="19" t="s">
        <v>1028</v>
      </c>
      <c r="H4509" s="19" t="s">
        <v>1020</v>
      </c>
      <c r="I4509" s="19" t="s">
        <v>1599</v>
      </c>
      <c r="J4509" s="20">
        <v>19</v>
      </c>
      <c r="K4509" t="s">
        <v>636</v>
      </c>
      <c r="L4509" t="s">
        <v>645</v>
      </c>
      <c r="M4509" t="s">
        <v>629</v>
      </c>
      <c r="N4509" t="s">
        <v>646</v>
      </c>
      <c r="O4509" t="s">
        <v>632</v>
      </c>
    </row>
    <row r="4510" spans="1:15" x14ac:dyDescent="0.35">
      <c r="A4510" s="77">
        <v>2.1917808219178082E-2</v>
      </c>
      <c r="B4510" s="19">
        <v>101727</v>
      </c>
      <c r="C4510" s="19" t="s">
        <v>6790</v>
      </c>
      <c r="D4510" s="19" t="s">
        <v>62</v>
      </c>
      <c r="E4510" s="19" t="s">
        <v>63</v>
      </c>
      <c r="F4510" s="19" t="s">
        <v>1228</v>
      </c>
      <c r="G4510" s="19" t="s">
        <v>1008</v>
      </c>
      <c r="H4510" s="19" t="s">
        <v>1001</v>
      </c>
      <c r="I4510" s="19" t="s">
        <v>1575</v>
      </c>
      <c r="J4510" s="20">
        <v>20</v>
      </c>
      <c r="K4510" t="s">
        <v>636</v>
      </c>
      <c r="L4510" t="s">
        <v>645</v>
      </c>
      <c r="M4510" t="s">
        <v>629</v>
      </c>
      <c r="N4510" t="s">
        <v>646</v>
      </c>
      <c r="O4510" t="s">
        <v>632</v>
      </c>
    </row>
    <row r="4511" spans="1:15" x14ac:dyDescent="0.35">
      <c r="A4511" s="77">
        <v>2.1917808219178082E-2</v>
      </c>
      <c r="B4511" s="19">
        <v>101728</v>
      </c>
      <c r="C4511" s="19" t="s">
        <v>6791</v>
      </c>
      <c r="D4511" s="19" t="s">
        <v>62</v>
      </c>
      <c r="E4511" s="19" t="s">
        <v>63</v>
      </c>
      <c r="F4511" s="19" t="s">
        <v>1228</v>
      </c>
      <c r="G4511" s="19" t="s">
        <v>1008</v>
      </c>
      <c r="H4511" s="19" t="s">
        <v>1001</v>
      </c>
      <c r="I4511" s="19" t="s">
        <v>1575</v>
      </c>
      <c r="J4511" s="20">
        <v>21</v>
      </c>
      <c r="K4511" t="s">
        <v>636</v>
      </c>
      <c r="L4511" t="s">
        <v>645</v>
      </c>
      <c r="M4511" t="s">
        <v>629</v>
      </c>
      <c r="N4511" t="s">
        <v>646</v>
      </c>
      <c r="O4511" t="s">
        <v>632</v>
      </c>
    </row>
    <row r="4512" spans="1:15" x14ac:dyDescent="0.35">
      <c r="A4512" s="77">
        <v>2.1917808219178082E-2</v>
      </c>
      <c r="B4512" s="19">
        <v>101729</v>
      </c>
      <c r="C4512" s="19" t="s">
        <v>6792</v>
      </c>
      <c r="D4512" s="19" t="s">
        <v>191</v>
      </c>
      <c r="E4512" s="19" t="s">
        <v>192</v>
      </c>
      <c r="F4512" s="19" t="s">
        <v>1626</v>
      </c>
      <c r="G4512" s="19" t="s">
        <v>1008</v>
      </c>
      <c r="H4512" s="19" t="s">
        <v>1001</v>
      </c>
      <c r="I4512" s="19" t="s">
        <v>1599</v>
      </c>
      <c r="J4512" s="20">
        <v>21</v>
      </c>
      <c r="K4512" t="s">
        <v>654</v>
      </c>
      <c r="L4512" t="s">
        <v>673</v>
      </c>
      <c r="M4512" t="s">
        <v>623</v>
      </c>
      <c r="N4512" t="s">
        <v>641</v>
      </c>
      <c r="O4512" t="s">
        <v>779</v>
      </c>
    </row>
    <row r="4513" spans="1:15" x14ac:dyDescent="0.35">
      <c r="A4513" s="77">
        <v>2.1917808219178082E-2</v>
      </c>
      <c r="B4513" s="19">
        <v>101730</v>
      </c>
      <c r="C4513" s="19" t="s">
        <v>6793</v>
      </c>
      <c r="D4513" s="19" t="s">
        <v>191</v>
      </c>
      <c r="E4513" s="19" t="s">
        <v>192</v>
      </c>
      <c r="F4513" s="19" t="s">
        <v>1626</v>
      </c>
      <c r="G4513" s="19" t="s">
        <v>1008</v>
      </c>
      <c r="H4513" s="19" t="s">
        <v>1001</v>
      </c>
      <c r="I4513" s="19" t="s">
        <v>1599</v>
      </c>
      <c r="J4513" s="20">
        <v>22</v>
      </c>
      <c r="K4513" t="s">
        <v>654</v>
      </c>
      <c r="L4513" t="s">
        <v>673</v>
      </c>
      <c r="M4513" t="s">
        <v>623</v>
      </c>
      <c r="N4513" t="s">
        <v>641</v>
      </c>
      <c r="O4513" t="s">
        <v>779</v>
      </c>
    </row>
    <row r="4514" spans="1:15" x14ac:dyDescent="0.35">
      <c r="A4514" s="77">
        <v>1.9178082191780823E-2</v>
      </c>
      <c r="B4514" s="19">
        <v>101731</v>
      </c>
      <c r="C4514" s="19" t="s">
        <v>6794</v>
      </c>
      <c r="D4514" s="19" t="s">
        <v>300</v>
      </c>
      <c r="E4514" s="19" t="s">
        <v>301</v>
      </c>
      <c r="F4514" s="19" t="s">
        <v>1719</v>
      </c>
      <c r="G4514" s="19" t="s">
        <v>1008</v>
      </c>
      <c r="H4514" s="19" t="s">
        <v>1001</v>
      </c>
      <c r="I4514" s="19" t="s">
        <v>1575</v>
      </c>
      <c r="J4514" s="20">
        <v>21</v>
      </c>
      <c r="K4514" t="s">
        <v>668</v>
      </c>
      <c r="L4514" t="s">
        <v>737</v>
      </c>
      <c r="M4514" t="s">
        <v>657</v>
      </c>
      <c r="N4514" t="s">
        <v>641</v>
      </c>
      <c r="O4514" t="s">
        <v>738</v>
      </c>
    </row>
    <row r="4515" spans="1:15" x14ac:dyDescent="0.35">
      <c r="A4515" s="77">
        <v>2.1917808219178082E-2</v>
      </c>
      <c r="B4515" s="19">
        <v>101732</v>
      </c>
      <c r="C4515" s="19" t="s">
        <v>6795</v>
      </c>
      <c r="D4515" s="19" t="s">
        <v>235</v>
      </c>
      <c r="E4515" s="19" t="s">
        <v>236</v>
      </c>
      <c r="F4515" s="19" t="s">
        <v>1457</v>
      </c>
      <c r="G4515" s="19" t="s">
        <v>1008</v>
      </c>
      <c r="H4515" s="19" t="s">
        <v>1001</v>
      </c>
      <c r="I4515" s="19" t="s">
        <v>1575</v>
      </c>
      <c r="J4515" s="20">
        <v>20</v>
      </c>
      <c r="K4515" t="s">
        <v>654</v>
      </c>
      <c r="L4515" t="s">
        <v>707</v>
      </c>
      <c r="M4515" t="s">
        <v>629</v>
      </c>
      <c r="N4515" t="s">
        <v>635</v>
      </c>
      <c r="O4515" t="s">
        <v>710</v>
      </c>
    </row>
    <row r="4516" spans="1:15" x14ac:dyDescent="0.35">
      <c r="A4516" s="77">
        <v>2.4657534246575342E-2</v>
      </c>
      <c r="B4516" s="19">
        <v>101733</v>
      </c>
      <c r="C4516" s="19" t="s">
        <v>6796</v>
      </c>
      <c r="D4516" s="19" t="s">
        <v>195</v>
      </c>
      <c r="E4516" s="19" t="s">
        <v>196</v>
      </c>
      <c r="F4516" s="19" t="s">
        <v>908</v>
      </c>
      <c r="G4516" s="19" t="s">
        <v>1028</v>
      </c>
      <c r="H4516" s="19" t="s">
        <v>1020</v>
      </c>
      <c r="I4516" s="19" t="s">
        <v>1575</v>
      </c>
      <c r="J4516" s="20">
        <v>18</v>
      </c>
      <c r="K4516" t="s">
        <v>636</v>
      </c>
      <c r="L4516" t="s">
        <v>670</v>
      </c>
      <c r="M4516" t="s">
        <v>657</v>
      </c>
      <c r="N4516" t="s">
        <v>641</v>
      </c>
      <c r="O4516" t="s">
        <v>676</v>
      </c>
    </row>
    <row r="4517" spans="1:15" x14ac:dyDescent="0.35">
      <c r="A4517" s="77">
        <v>2.1917808219178082E-2</v>
      </c>
      <c r="B4517" s="19">
        <v>101734</v>
      </c>
      <c r="C4517" s="19" t="s">
        <v>6797</v>
      </c>
      <c r="D4517" s="19" t="s">
        <v>31</v>
      </c>
      <c r="E4517" s="19" t="s">
        <v>31</v>
      </c>
      <c r="F4517" s="19" t="s">
        <v>675</v>
      </c>
      <c r="G4517" s="19" t="s">
        <v>1008</v>
      </c>
      <c r="H4517" s="19" t="s">
        <v>1001</v>
      </c>
      <c r="I4517" s="19" t="s">
        <v>1599</v>
      </c>
      <c r="J4517" s="20">
        <v>23</v>
      </c>
      <c r="K4517" t="s">
        <v>654</v>
      </c>
      <c r="L4517" t="s">
        <v>670</v>
      </c>
      <c r="M4517" t="s">
        <v>657</v>
      </c>
      <c r="N4517" t="s">
        <v>641</v>
      </c>
      <c r="O4517" t="s">
        <v>676</v>
      </c>
    </row>
    <row r="4518" spans="1:15" x14ac:dyDescent="0.35">
      <c r="A4518" s="77">
        <v>2.1917808219178082E-2</v>
      </c>
      <c r="B4518" s="19">
        <v>101735</v>
      </c>
      <c r="C4518" s="19" t="s">
        <v>6798</v>
      </c>
      <c r="D4518" s="19" t="s">
        <v>191</v>
      </c>
      <c r="E4518" s="19" t="s">
        <v>192</v>
      </c>
      <c r="F4518" s="19" t="s">
        <v>1626</v>
      </c>
      <c r="G4518" s="19" t="s">
        <v>1008</v>
      </c>
      <c r="H4518" s="19" t="s">
        <v>1001</v>
      </c>
      <c r="I4518" s="19" t="s">
        <v>1599</v>
      </c>
      <c r="J4518" s="20">
        <v>19</v>
      </c>
      <c r="K4518" t="s">
        <v>654</v>
      </c>
      <c r="L4518" t="s">
        <v>673</v>
      </c>
      <c r="M4518" t="s">
        <v>623</v>
      </c>
      <c r="N4518" t="s">
        <v>641</v>
      </c>
      <c r="O4518" t="s">
        <v>779</v>
      </c>
    </row>
    <row r="4519" spans="1:15" x14ac:dyDescent="0.35">
      <c r="A4519" s="77">
        <v>2.1917808219178082E-2</v>
      </c>
      <c r="B4519" s="19">
        <v>101736</v>
      </c>
      <c r="C4519" s="19" t="s">
        <v>6799</v>
      </c>
      <c r="D4519" s="19" t="s">
        <v>360</v>
      </c>
      <c r="E4519" s="19" t="s">
        <v>361</v>
      </c>
      <c r="F4519" s="19" t="s">
        <v>2312</v>
      </c>
      <c r="G4519" s="19" t="s">
        <v>1028</v>
      </c>
      <c r="H4519" s="19" t="s">
        <v>1020</v>
      </c>
      <c r="I4519" s="19" t="s">
        <v>1575</v>
      </c>
      <c r="J4519" s="20">
        <v>20</v>
      </c>
      <c r="K4519" t="s">
        <v>642</v>
      </c>
      <c r="L4519" t="s">
        <v>670</v>
      </c>
      <c r="M4519" t="s">
        <v>657</v>
      </c>
      <c r="N4519" t="s">
        <v>641</v>
      </c>
      <c r="O4519" t="s">
        <v>671</v>
      </c>
    </row>
    <row r="4520" spans="1:15" x14ac:dyDescent="0.35">
      <c r="A4520" s="77">
        <v>2.1917808219178082E-2</v>
      </c>
      <c r="B4520" s="19">
        <v>101737</v>
      </c>
      <c r="C4520" s="19" t="s">
        <v>6800</v>
      </c>
      <c r="D4520" s="19" t="s">
        <v>431</v>
      </c>
      <c r="E4520" s="19" t="e">
        <v>#N/A</v>
      </c>
      <c r="F4520" s="19" t="s">
        <v>709</v>
      </c>
      <c r="G4520" s="19" t="s">
        <v>1028</v>
      </c>
      <c r="H4520" s="19" t="s">
        <v>1020</v>
      </c>
      <c r="I4520" s="19" t="s">
        <v>1575</v>
      </c>
      <c r="J4520" s="20">
        <v>26</v>
      </c>
      <c r="K4520" t="s">
        <v>654</v>
      </c>
      <c r="L4520" t="s">
        <v>707</v>
      </c>
      <c r="M4520" t="s">
        <v>629</v>
      </c>
      <c r="N4520" t="s">
        <v>635</v>
      </c>
      <c r="O4520" t="s">
        <v>710</v>
      </c>
    </row>
    <row r="4521" spans="1:15" x14ac:dyDescent="0.35">
      <c r="A4521" s="77">
        <v>2.1917808219178082E-2</v>
      </c>
      <c r="B4521" s="19">
        <v>101738</v>
      </c>
      <c r="C4521" s="19" t="s">
        <v>6801</v>
      </c>
      <c r="D4521" s="19" t="s">
        <v>235</v>
      </c>
      <c r="E4521" s="19" t="s">
        <v>236</v>
      </c>
      <c r="F4521" s="19" t="s">
        <v>1457</v>
      </c>
      <c r="G4521" s="19" t="s">
        <v>1028</v>
      </c>
      <c r="H4521" s="19" t="s">
        <v>1020</v>
      </c>
      <c r="I4521" s="19" t="s">
        <v>1575</v>
      </c>
      <c r="J4521" s="20">
        <v>35</v>
      </c>
      <c r="K4521" t="s">
        <v>654</v>
      </c>
      <c r="L4521" t="s">
        <v>707</v>
      </c>
      <c r="M4521" t="s">
        <v>629</v>
      </c>
      <c r="N4521" t="s">
        <v>635</v>
      </c>
      <c r="O4521" t="s">
        <v>710</v>
      </c>
    </row>
    <row r="4522" spans="1:15" x14ac:dyDescent="0.35">
      <c r="A4522" s="77">
        <v>2.1917808219178082E-2</v>
      </c>
      <c r="B4522" s="19">
        <v>101739</v>
      </c>
      <c r="C4522" s="19" t="s">
        <v>6802</v>
      </c>
      <c r="D4522" s="19" t="s">
        <v>320</v>
      </c>
      <c r="E4522" s="19" t="s">
        <v>321</v>
      </c>
      <c r="F4522" s="19" t="s">
        <v>1205</v>
      </c>
      <c r="G4522" s="19" t="s">
        <v>1008</v>
      </c>
      <c r="H4522" s="19" t="s">
        <v>1001</v>
      </c>
      <c r="I4522" s="19" t="s">
        <v>1575</v>
      </c>
      <c r="J4522" s="20">
        <v>18</v>
      </c>
      <c r="K4522" t="s">
        <v>668</v>
      </c>
      <c r="L4522" t="s">
        <v>707</v>
      </c>
      <c r="M4522" t="s">
        <v>629</v>
      </c>
      <c r="N4522" t="s">
        <v>635</v>
      </c>
      <c r="O4522" t="s">
        <v>708</v>
      </c>
    </row>
    <row r="4523" spans="1:15" x14ac:dyDescent="0.35">
      <c r="A4523" s="77">
        <v>2.1917808219178082E-2</v>
      </c>
      <c r="B4523" s="19">
        <v>101740</v>
      </c>
      <c r="C4523" s="19" t="s">
        <v>6803</v>
      </c>
      <c r="D4523" s="19" t="s">
        <v>311</v>
      </c>
      <c r="E4523" s="19" t="s">
        <v>312</v>
      </c>
      <c r="F4523" s="19" t="s">
        <v>1140</v>
      </c>
      <c r="G4523" s="19" t="s">
        <v>1008</v>
      </c>
      <c r="H4523" s="19" t="s">
        <v>1001</v>
      </c>
      <c r="I4523" s="19" t="s">
        <v>1575</v>
      </c>
      <c r="J4523" s="20">
        <v>21</v>
      </c>
      <c r="K4523" t="s">
        <v>631</v>
      </c>
      <c r="L4523" t="s">
        <v>628</v>
      </c>
      <c r="M4523" t="s">
        <v>629</v>
      </c>
      <c r="N4523" t="s">
        <v>630</v>
      </c>
      <c r="O4523" t="s">
        <v>632</v>
      </c>
    </row>
    <row r="4524" spans="1:15" x14ac:dyDescent="0.35">
      <c r="A4524" s="77">
        <v>2.4657534246575342E-2</v>
      </c>
      <c r="B4524" s="19">
        <v>101741</v>
      </c>
      <c r="C4524" s="19" t="s">
        <v>6804</v>
      </c>
      <c r="D4524" s="19" t="s">
        <v>280</v>
      </c>
      <c r="E4524" s="19" t="s">
        <v>281</v>
      </c>
      <c r="F4524" s="19" t="s">
        <v>1223</v>
      </c>
      <c r="G4524" s="19" t="s">
        <v>1008</v>
      </c>
      <c r="H4524" s="19" t="s">
        <v>1001</v>
      </c>
      <c r="I4524" s="19" t="s">
        <v>1599</v>
      </c>
      <c r="J4524" s="20">
        <v>20</v>
      </c>
      <c r="K4524" t="s">
        <v>631</v>
      </c>
      <c r="L4524" t="s">
        <v>691</v>
      </c>
      <c r="M4524" t="s">
        <v>657</v>
      </c>
      <c r="N4524" t="s">
        <v>658</v>
      </c>
      <c r="O4524" t="s">
        <v>632</v>
      </c>
    </row>
    <row r="4525" spans="1:15" x14ac:dyDescent="0.35">
      <c r="A4525" s="77">
        <v>2.1917808219178082E-2</v>
      </c>
      <c r="B4525" s="19">
        <v>101742</v>
      </c>
      <c r="C4525" s="19" t="s">
        <v>6805</v>
      </c>
      <c r="D4525" s="19" t="s">
        <v>311</v>
      </c>
      <c r="E4525" s="19" t="s">
        <v>312</v>
      </c>
      <c r="F4525" s="19" t="s">
        <v>1140</v>
      </c>
      <c r="G4525" s="19" t="s">
        <v>1008</v>
      </c>
      <c r="H4525" s="19" t="s">
        <v>1001</v>
      </c>
      <c r="I4525" s="19" t="s">
        <v>1575</v>
      </c>
      <c r="J4525" s="20">
        <v>19</v>
      </c>
      <c r="K4525" t="s">
        <v>631</v>
      </c>
      <c r="L4525" t="s">
        <v>628</v>
      </c>
      <c r="M4525" t="s">
        <v>629</v>
      </c>
      <c r="N4525" t="s">
        <v>630</v>
      </c>
      <c r="O4525" t="s">
        <v>632</v>
      </c>
    </row>
    <row r="4526" spans="1:15" x14ac:dyDescent="0.35">
      <c r="A4526" s="77">
        <v>2.4657534246575342E-2</v>
      </c>
      <c r="B4526" s="19">
        <v>101743</v>
      </c>
      <c r="C4526" s="19" t="s">
        <v>6806</v>
      </c>
      <c r="D4526" s="19" t="s">
        <v>280</v>
      </c>
      <c r="E4526" s="19" t="s">
        <v>281</v>
      </c>
      <c r="F4526" s="19" t="s">
        <v>1223</v>
      </c>
      <c r="G4526" s="19" t="s">
        <v>1008</v>
      </c>
      <c r="H4526" s="19" t="s">
        <v>1001</v>
      </c>
      <c r="I4526" s="19" t="s">
        <v>1575</v>
      </c>
      <c r="J4526" s="20">
        <v>19</v>
      </c>
      <c r="K4526" t="s">
        <v>631</v>
      </c>
      <c r="L4526" t="s">
        <v>691</v>
      </c>
      <c r="M4526" t="s">
        <v>657</v>
      </c>
      <c r="N4526" t="s">
        <v>658</v>
      </c>
      <c r="O4526" t="s">
        <v>632</v>
      </c>
    </row>
    <row r="4527" spans="1:15" x14ac:dyDescent="0.35">
      <c r="A4527" s="77">
        <v>1.9178082191780823E-2</v>
      </c>
      <c r="B4527" s="19">
        <v>101744</v>
      </c>
      <c r="C4527" s="19" t="s">
        <v>6807</v>
      </c>
      <c r="D4527" s="19" t="s">
        <v>300</v>
      </c>
      <c r="E4527" s="19" t="s">
        <v>301</v>
      </c>
      <c r="F4527" s="19" t="s">
        <v>1719</v>
      </c>
      <c r="G4527" s="19" t="s">
        <v>1008</v>
      </c>
      <c r="H4527" s="19" t="s">
        <v>1001</v>
      </c>
      <c r="I4527" s="19" t="s">
        <v>1575</v>
      </c>
      <c r="J4527" s="20">
        <v>22</v>
      </c>
      <c r="K4527" t="s">
        <v>668</v>
      </c>
      <c r="L4527" t="s">
        <v>737</v>
      </c>
      <c r="M4527" t="s">
        <v>657</v>
      </c>
      <c r="N4527" t="s">
        <v>641</v>
      </c>
      <c r="O4527" t="s">
        <v>738</v>
      </c>
    </row>
    <row r="4528" spans="1:15" x14ac:dyDescent="0.35">
      <c r="A4528" s="77">
        <v>1.9178082191780823E-2</v>
      </c>
      <c r="B4528" s="19">
        <v>101745</v>
      </c>
      <c r="C4528" s="19" t="s">
        <v>2228</v>
      </c>
      <c r="D4528" s="19" t="s">
        <v>80</v>
      </c>
      <c r="E4528" s="19" t="s">
        <v>81</v>
      </c>
      <c r="F4528" s="19" t="s">
        <v>1022</v>
      </c>
      <c r="G4528" s="19" t="s">
        <v>1008</v>
      </c>
      <c r="H4528" s="19" t="s">
        <v>1001</v>
      </c>
      <c r="I4528" s="19" t="s">
        <v>1575</v>
      </c>
      <c r="J4528" s="20">
        <v>24</v>
      </c>
      <c r="K4528" t="s">
        <v>654</v>
      </c>
      <c r="L4528" t="s">
        <v>628</v>
      </c>
      <c r="M4528" t="s">
        <v>629</v>
      </c>
      <c r="N4528" t="s">
        <v>630</v>
      </c>
      <c r="O4528" t="s">
        <v>632</v>
      </c>
    </row>
    <row r="4529" spans="1:15" x14ac:dyDescent="0.35">
      <c r="A4529" s="77">
        <v>1.9178082191780823E-2</v>
      </c>
      <c r="B4529" s="19">
        <v>101746</v>
      </c>
      <c r="C4529" s="19" t="s">
        <v>6808</v>
      </c>
      <c r="D4529" s="19" t="s">
        <v>80</v>
      </c>
      <c r="E4529" s="19" t="s">
        <v>81</v>
      </c>
      <c r="F4529" s="19" t="s">
        <v>1022</v>
      </c>
      <c r="G4529" s="19" t="s">
        <v>1008</v>
      </c>
      <c r="H4529" s="19" t="s">
        <v>1001</v>
      </c>
      <c r="I4529" s="19" t="s">
        <v>1575</v>
      </c>
      <c r="J4529" s="20">
        <v>22</v>
      </c>
      <c r="K4529" t="s">
        <v>654</v>
      </c>
      <c r="L4529" t="s">
        <v>628</v>
      </c>
      <c r="M4529" t="s">
        <v>629</v>
      </c>
      <c r="N4529" t="s">
        <v>630</v>
      </c>
      <c r="O4529" t="s">
        <v>632</v>
      </c>
    </row>
    <row r="4530" spans="1:15" x14ac:dyDescent="0.35">
      <c r="A4530" s="77">
        <v>2.1917808219178082E-2</v>
      </c>
      <c r="B4530" s="19">
        <v>101747</v>
      </c>
      <c r="C4530" s="19" t="s">
        <v>6809</v>
      </c>
      <c r="D4530" s="19" t="s">
        <v>235</v>
      </c>
      <c r="E4530" s="19" t="s">
        <v>236</v>
      </c>
      <c r="F4530" s="19" t="s">
        <v>1457</v>
      </c>
      <c r="G4530" s="19" t="s">
        <v>1008</v>
      </c>
      <c r="H4530" s="19" t="s">
        <v>1001</v>
      </c>
      <c r="I4530" s="19" t="s">
        <v>1575</v>
      </c>
      <c r="J4530" s="20">
        <v>43</v>
      </c>
      <c r="K4530" t="s">
        <v>654</v>
      </c>
      <c r="L4530" t="s">
        <v>707</v>
      </c>
      <c r="M4530" t="s">
        <v>629</v>
      </c>
      <c r="N4530" t="s">
        <v>635</v>
      </c>
      <c r="O4530" t="s">
        <v>710</v>
      </c>
    </row>
    <row r="4531" spans="1:15" x14ac:dyDescent="0.35">
      <c r="A4531" s="77">
        <v>2.4657534246575342E-2</v>
      </c>
      <c r="B4531" s="19">
        <v>101748</v>
      </c>
      <c r="C4531" s="19" t="s">
        <v>6810</v>
      </c>
      <c r="D4531" s="19" t="s">
        <v>280</v>
      </c>
      <c r="E4531" s="19" t="s">
        <v>281</v>
      </c>
      <c r="F4531" s="19" t="s">
        <v>1223</v>
      </c>
      <c r="G4531" s="19" t="s">
        <v>1008</v>
      </c>
      <c r="H4531" s="19" t="s">
        <v>1001</v>
      </c>
      <c r="I4531" s="19" t="s">
        <v>1575</v>
      </c>
      <c r="J4531" s="20">
        <v>18</v>
      </c>
      <c r="K4531" t="s">
        <v>631</v>
      </c>
      <c r="L4531" t="s">
        <v>691</v>
      </c>
      <c r="M4531" t="s">
        <v>657</v>
      </c>
      <c r="N4531" t="s">
        <v>658</v>
      </c>
      <c r="O4531" t="s">
        <v>632</v>
      </c>
    </row>
    <row r="4532" spans="1:15" x14ac:dyDescent="0.35">
      <c r="A4532" s="77">
        <v>2.1917808219178082E-2</v>
      </c>
      <c r="B4532" s="19">
        <v>101749</v>
      </c>
      <c r="C4532" s="19" t="s">
        <v>6811</v>
      </c>
      <c r="D4532" s="19" t="s">
        <v>239</v>
      </c>
      <c r="E4532" s="19" t="s">
        <v>240</v>
      </c>
      <c r="F4532" s="19" t="s">
        <v>798</v>
      </c>
      <c r="G4532" s="19" t="s">
        <v>1008</v>
      </c>
      <c r="H4532" s="19" t="s">
        <v>1001</v>
      </c>
      <c r="I4532" s="19" t="s">
        <v>1575</v>
      </c>
      <c r="J4532" s="20">
        <v>19</v>
      </c>
      <c r="K4532" t="s">
        <v>636</v>
      </c>
      <c r="L4532" t="s">
        <v>628</v>
      </c>
      <c r="M4532" t="s">
        <v>629</v>
      </c>
      <c r="N4532" t="s">
        <v>646</v>
      </c>
      <c r="O4532" t="s">
        <v>632</v>
      </c>
    </row>
    <row r="4533" spans="1:15" x14ac:dyDescent="0.35">
      <c r="A4533" s="77">
        <v>1.3698630136986301E-2</v>
      </c>
      <c r="B4533" s="19">
        <v>101750</v>
      </c>
      <c r="C4533" s="19" t="s">
        <v>6812</v>
      </c>
      <c r="D4533" s="19" t="s">
        <v>369</v>
      </c>
      <c r="E4533" s="19" t="s">
        <v>370</v>
      </c>
      <c r="F4533" s="19" t="s">
        <v>856</v>
      </c>
      <c r="G4533" s="19" t="s">
        <v>1028</v>
      </c>
      <c r="H4533" s="19" t="s">
        <v>1020</v>
      </c>
      <c r="I4533" s="19" t="s">
        <v>1575</v>
      </c>
      <c r="J4533" s="20">
        <v>23</v>
      </c>
      <c r="K4533" t="s">
        <v>654</v>
      </c>
      <c r="L4533" t="s">
        <v>684</v>
      </c>
      <c r="M4533" t="s">
        <v>623</v>
      </c>
      <c r="N4533" t="s">
        <v>662</v>
      </c>
      <c r="O4533" t="s">
        <v>857</v>
      </c>
    </row>
    <row r="4534" spans="1:15" x14ac:dyDescent="0.35">
      <c r="A4534" s="77">
        <v>1.643835616438356E-2</v>
      </c>
      <c r="B4534" s="19">
        <v>101751</v>
      </c>
      <c r="C4534" s="19" t="s">
        <v>6813</v>
      </c>
      <c r="D4534" s="19" t="s">
        <v>111</v>
      </c>
      <c r="E4534" s="19" t="s">
        <v>112</v>
      </c>
      <c r="F4534" s="19" t="s">
        <v>1083</v>
      </c>
      <c r="G4534" s="19" t="s">
        <v>1008</v>
      </c>
      <c r="H4534" s="19" t="s">
        <v>1001</v>
      </c>
      <c r="I4534" s="19" t="s">
        <v>1575</v>
      </c>
      <c r="J4534" s="20">
        <v>20</v>
      </c>
      <c r="K4534" t="s">
        <v>654</v>
      </c>
      <c r="L4534" t="s">
        <v>651</v>
      </c>
      <c r="M4534" t="s">
        <v>629</v>
      </c>
      <c r="N4534" t="s">
        <v>630</v>
      </c>
      <c r="O4534" t="s">
        <v>652</v>
      </c>
    </row>
    <row r="4535" spans="1:15" x14ac:dyDescent="0.35">
      <c r="A4535" s="77">
        <v>1.9178082191780823E-2</v>
      </c>
      <c r="B4535" s="19">
        <v>101752</v>
      </c>
      <c r="C4535" s="19" t="s">
        <v>6814</v>
      </c>
      <c r="D4535" s="19" t="s">
        <v>111</v>
      </c>
      <c r="E4535" s="19" t="s">
        <v>112</v>
      </c>
      <c r="F4535" s="19" t="s">
        <v>1083</v>
      </c>
      <c r="G4535" s="19" t="s">
        <v>1008</v>
      </c>
      <c r="H4535" s="19" t="s">
        <v>1001</v>
      </c>
      <c r="I4535" s="19" t="s">
        <v>1575</v>
      </c>
      <c r="J4535" s="20">
        <v>21</v>
      </c>
      <c r="K4535" t="s">
        <v>654</v>
      </c>
      <c r="L4535" t="s">
        <v>651</v>
      </c>
      <c r="M4535" t="s">
        <v>629</v>
      </c>
      <c r="N4535" t="s">
        <v>630</v>
      </c>
      <c r="O4535" t="s">
        <v>652</v>
      </c>
    </row>
    <row r="4536" spans="1:15" x14ac:dyDescent="0.35">
      <c r="A4536" s="77">
        <v>2.4657534246575342E-2</v>
      </c>
      <c r="B4536" s="19">
        <v>101753</v>
      </c>
      <c r="C4536" s="19" t="s">
        <v>6815</v>
      </c>
      <c r="D4536" s="19" t="s">
        <v>311</v>
      </c>
      <c r="E4536" s="19" t="s">
        <v>312</v>
      </c>
      <c r="F4536" s="19" t="s">
        <v>1140</v>
      </c>
      <c r="G4536" s="19" t="s">
        <v>1008</v>
      </c>
      <c r="H4536" s="19" t="s">
        <v>1001</v>
      </c>
      <c r="I4536" s="19" t="s">
        <v>1575</v>
      </c>
      <c r="J4536" s="20">
        <v>20</v>
      </c>
      <c r="K4536" t="s">
        <v>631</v>
      </c>
      <c r="L4536" t="s">
        <v>628</v>
      </c>
      <c r="M4536" t="s">
        <v>629</v>
      </c>
      <c r="N4536" t="s">
        <v>630</v>
      </c>
      <c r="O4536" t="s">
        <v>632</v>
      </c>
    </row>
    <row r="4537" spans="1:15" x14ac:dyDescent="0.35">
      <c r="A4537" s="77">
        <v>2.4657534246575342E-2</v>
      </c>
      <c r="B4537" s="19">
        <v>101754</v>
      </c>
      <c r="C4537" s="19" t="s">
        <v>6816</v>
      </c>
      <c r="D4537" s="19" t="s">
        <v>311</v>
      </c>
      <c r="E4537" s="19" t="s">
        <v>312</v>
      </c>
      <c r="F4537" s="19" t="s">
        <v>1140</v>
      </c>
      <c r="G4537" s="19" t="s">
        <v>1008</v>
      </c>
      <c r="H4537" s="19" t="s">
        <v>1001</v>
      </c>
      <c r="I4537" s="19" t="s">
        <v>1575</v>
      </c>
      <c r="J4537" s="20">
        <v>19</v>
      </c>
      <c r="K4537" t="s">
        <v>631</v>
      </c>
      <c r="L4537" t="s">
        <v>628</v>
      </c>
      <c r="M4537" t="s">
        <v>629</v>
      </c>
      <c r="N4537" t="s">
        <v>630</v>
      </c>
      <c r="O4537" t="s">
        <v>632</v>
      </c>
    </row>
    <row r="4538" spans="1:15" x14ac:dyDescent="0.35">
      <c r="A4538" s="77">
        <v>2.4657534246575342E-2</v>
      </c>
      <c r="B4538" s="19">
        <v>101755</v>
      </c>
      <c r="C4538" s="19" t="s">
        <v>6817</v>
      </c>
      <c r="D4538" s="19" t="s">
        <v>311</v>
      </c>
      <c r="E4538" s="19" t="s">
        <v>312</v>
      </c>
      <c r="F4538" s="19" t="s">
        <v>1140</v>
      </c>
      <c r="G4538" s="19" t="s">
        <v>1008</v>
      </c>
      <c r="H4538" s="19" t="s">
        <v>1001</v>
      </c>
      <c r="I4538" s="19" t="s">
        <v>1575</v>
      </c>
      <c r="J4538" s="20">
        <v>21</v>
      </c>
      <c r="K4538" t="s">
        <v>631</v>
      </c>
      <c r="L4538" t="s">
        <v>628</v>
      </c>
      <c r="M4538" t="s">
        <v>629</v>
      </c>
      <c r="N4538" t="s">
        <v>630</v>
      </c>
      <c r="O4538" t="s">
        <v>632</v>
      </c>
    </row>
    <row r="4539" spans="1:15" x14ac:dyDescent="0.35">
      <c r="A4539" s="77">
        <v>2.4657534246575342E-2</v>
      </c>
      <c r="B4539" s="19">
        <v>101756</v>
      </c>
      <c r="C4539" s="19" t="s">
        <v>6818</v>
      </c>
      <c r="D4539" s="19" t="s">
        <v>311</v>
      </c>
      <c r="E4539" s="19" t="s">
        <v>312</v>
      </c>
      <c r="F4539" s="19" t="s">
        <v>1140</v>
      </c>
      <c r="G4539" s="19" t="s">
        <v>1008</v>
      </c>
      <c r="H4539" s="19" t="s">
        <v>1001</v>
      </c>
      <c r="I4539" s="19" t="s">
        <v>1575</v>
      </c>
      <c r="J4539" s="20">
        <v>18</v>
      </c>
      <c r="K4539" t="s">
        <v>631</v>
      </c>
      <c r="L4539" t="s">
        <v>628</v>
      </c>
      <c r="M4539" t="s">
        <v>629</v>
      </c>
      <c r="N4539" t="s">
        <v>630</v>
      </c>
      <c r="O4539" t="s">
        <v>632</v>
      </c>
    </row>
    <row r="4540" spans="1:15" x14ac:dyDescent="0.35">
      <c r="A4540" s="77">
        <v>2.4657534246575342E-2</v>
      </c>
      <c r="B4540" s="19">
        <v>101757</v>
      </c>
      <c r="C4540" s="19" t="s">
        <v>6819</v>
      </c>
      <c r="D4540" s="19" t="s">
        <v>311</v>
      </c>
      <c r="E4540" s="19" t="s">
        <v>312</v>
      </c>
      <c r="F4540" s="19" t="s">
        <v>1140</v>
      </c>
      <c r="G4540" s="19" t="s">
        <v>1008</v>
      </c>
      <c r="H4540" s="19" t="s">
        <v>1001</v>
      </c>
      <c r="I4540" s="19" t="s">
        <v>1575</v>
      </c>
      <c r="J4540" s="20">
        <v>18</v>
      </c>
      <c r="K4540" t="s">
        <v>631</v>
      </c>
      <c r="L4540" t="s">
        <v>628</v>
      </c>
      <c r="M4540" t="s">
        <v>629</v>
      </c>
      <c r="N4540" t="s">
        <v>630</v>
      </c>
      <c r="O4540" t="s">
        <v>632</v>
      </c>
    </row>
    <row r="4541" spans="1:15" x14ac:dyDescent="0.35">
      <c r="A4541" s="77">
        <v>4.3835616438356165E-2</v>
      </c>
      <c r="B4541" s="19">
        <v>101770</v>
      </c>
      <c r="C4541" s="19" t="s">
        <v>6820</v>
      </c>
      <c r="D4541" s="19" t="s">
        <v>362</v>
      </c>
      <c r="E4541" s="19" t="s">
        <v>363</v>
      </c>
      <c r="F4541" s="19" t="s">
        <v>1056</v>
      </c>
      <c r="G4541" s="19" t="s">
        <v>1008</v>
      </c>
      <c r="H4541" s="19" t="s">
        <v>1001</v>
      </c>
      <c r="I4541" s="19" t="s">
        <v>1575</v>
      </c>
      <c r="J4541" s="20">
        <v>20</v>
      </c>
      <c r="K4541" t="s">
        <v>654</v>
      </c>
      <c r="L4541" t="s">
        <v>663</v>
      </c>
      <c r="M4541" t="s">
        <v>629</v>
      </c>
      <c r="N4541" t="s">
        <v>646</v>
      </c>
      <c r="O4541" t="s">
        <v>810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79F91-8288-496F-BD27-6F2B50AC3612}">
  <dimension ref="A1:AU213"/>
  <sheetViews>
    <sheetView zoomScale="80" zoomScaleNormal="80" workbookViewId="0">
      <pane ySplit="2" topLeftCell="A112" activePane="bottomLeft" state="frozen"/>
      <selection pane="bottomLeft" activeCell="I126" sqref="I126"/>
    </sheetView>
  </sheetViews>
  <sheetFormatPr defaultRowHeight="14.5" x14ac:dyDescent="0.35"/>
  <cols>
    <col min="1" max="1" width="17" bestFit="1" customWidth="1"/>
    <col min="2" max="2" width="21.08984375" bestFit="1" customWidth="1"/>
    <col min="3" max="3" width="21" bestFit="1" customWidth="1"/>
    <col min="4" max="4" width="17.08984375" bestFit="1" customWidth="1"/>
    <col min="5" max="5" width="12.36328125" customWidth="1"/>
    <col min="6" max="6" width="17.453125" bestFit="1" customWidth="1"/>
    <col min="7" max="7" width="17.453125" customWidth="1"/>
    <col min="8" max="8" width="14.1796875" bestFit="1" customWidth="1"/>
    <col min="9" max="12" width="13" customWidth="1"/>
    <col min="13" max="13" width="17.6328125" bestFit="1" customWidth="1"/>
    <col min="14" max="14" width="25.36328125" bestFit="1" customWidth="1"/>
    <col min="15" max="15" width="18.26953125" bestFit="1" customWidth="1"/>
    <col min="16" max="16" width="17.6328125" customWidth="1"/>
    <col min="17" max="17" width="25.36328125" customWidth="1"/>
    <col min="18" max="18" width="18.26953125" customWidth="1"/>
    <col min="19" max="19" width="17.6328125" customWidth="1"/>
    <col min="20" max="20" width="25.36328125" customWidth="1"/>
    <col min="21" max="21" width="18.26953125" customWidth="1"/>
    <col min="22" max="22" width="23.6328125" bestFit="1" customWidth="1"/>
    <col min="23" max="23" width="27.1796875" bestFit="1" customWidth="1"/>
    <col min="24" max="24" width="24.6328125" bestFit="1" customWidth="1"/>
    <col min="25" max="25" width="24" bestFit="1" customWidth="1"/>
    <col min="26" max="26" width="27.6328125" style="40" bestFit="1" customWidth="1"/>
    <col min="27" max="27" width="24.1796875" bestFit="1" customWidth="1"/>
    <col min="28" max="33" width="24.1796875" customWidth="1"/>
    <col min="34" max="34" width="17.7265625" customWidth="1"/>
    <col min="35" max="35" width="21" customWidth="1"/>
    <col min="36" max="36" width="18.26953125" customWidth="1"/>
    <col min="37" max="37" width="17.7265625" customWidth="1"/>
    <col min="38" max="38" width="21" customWidth="1"/>
    <col min="39" max="39" width="18.26953125" customWidth="1"/>
    <col min="40" max="40" width="23.6328125" bestFit="1" customWidth="1"/>
    <col min="41" max="41" width="27.1796875" bestFit="1" customWidth="1"/>
    <col min="42" max="42" width="23.81640625" bestFit="1" customWidth="1"/>
    <col min="43" max="43" width="31.81640625" bestFit="1" customWidth="1"/>
    <col min="44" max="44" width="27.6328125" bestFit="1" customWidth="1"/>
    <col min="45" max="45" width="28.1796875" bestFit="1" customWidth="1"/>
  </cols>
  <sheetData>
    <row r="1" spans="1:47" x14ac:dyDescent="0.35">
      <c r="A1" s="27"/>
      <c r="B1" s="27"/>
      <c r="C1" s="27"/>
      <c r="D1" s="27"/>
      <c r="E1" s="27"/>
      <c r="F1" s="27"/>
      <c r="G1" s="27"/>
      <c r="H1" s="27"/>
      <c r="I1" s="27"/>
      <c r="J1" s="68" t="s">
        <v>948</v>
      </c>
      <c r="K1" s="68"/>
      <c r="L1" s="68"/>
      <c r="M1" s="70" t="s">
        <v>939</v>
      </c>
      <c r="N1" s="70"/>
      <c r="O1" s="70"/>
      <c r="P1" s="70" t="s">
        <v>931</v>
      </c>
      <c r="Q1" s="70"/>
      <c r="R1" s="70"/>
      <c r="S1" s="70" t="s">
        <v>923</v>
      </c>
      <c r="T1" s="70"/>
      <c r="U1" s="70"/>
      <c r="V1" s="70" t="s">
        <v>882</v>
      </c>
      <c r="W1" s="70"/>
      <c r="X1" s="70"/>
      <c r="Y1" s="71" t="s">
        <v>883</v>
      </c>
      <c r="Z1" s="71"/>
      <c r="AA1" s="71"/>
      <c r="AB1" s="68" t="s">
        <v>947</v>
      </c>
      <c r="AC1" s="68"/>
      <c r="AD1" s="68"/>
      <c r="AE1" s="69" t="s">
        <v>943</v>
      </c>
      <c r="AF1" s="69"/>
      <c r="AG1" s="69"/>
      <c r="AH1" s="69" t="s">
        <v>935</v>
      </c>
      <c r="AI1" s="69"/>
      <c r="AJ1" s="69"/>
      <c r="AK1" s="69" t="s">
        <v>927</v>
      </c>
      <c r="AL1" s="69"/>
      <c r="AM1" s="69"/>
      <c r="AN1" s="68" t="s">
        <v>884</v>
      </c>
      <c r="AO1" s="68"/>
      <c r="AP1" s="68"/>
      <c r="AQ1" s="69" t="s">
        <v>885</v>
      </c>
      <c r="AR1" s="69"/>
      <c r="AS1" s="69"/>
    </row>
    <row r="2" spans="1:47" s="19" customFormat="1" x14ac:dyDescent="0.35">
      <c r="A2" s="28"/>
      <c r="B2" s="28"/>
      <c r="C2" s="28"/>
      <c r="D2" s="28"/>
      <c r="E2" s="28"/>
      <c r="F2" s="28"/>
      <c r="G2" s="28"/>
      <c r="H2" s="28"/>
      <c r="I2" s="28"/>
      <c r="J2" s="28">
        <f>SUBTOTAL(9,J4:J213)</f>
        <v>313</v>
      </c>
      <c r="K2" s="34">
        <f>SUBTOTAL(9,K4:K213)</f>
        <v>3839</v>
      </c>
      <c r="L2" s="35">
        <f>J2/K2</f>
        <v>8.1531648866892417E-2</v>
      </c>
      <c r="M2" s="29">
        <v>277</v>
      </c>
      <c r="N2" s="29">
        <v>3985.5</v>
      </c>
      <c r="O2" s="30">
        <v>6.9501944548990086E-2</v>
      </c>
      <c r="P2" s="29">
        <f t="shared" ref="P2" si="0">SUBTOTAL(9,P4:P213)</f>
        <v>295</v>
      </c>
      <c r="Q2" s="29">
        <f>SUBTOTAL(9,Q4:Q213)</f>
        <v>3987</v>
      </c>
      <c r="R2" s="30">
        <f>P2/Q2</f>
        <v>7.399046902432907E-2</v>
      </c>
      <c r="S2" s="29">
        <f>SUBTOTAL(9,S4:S209)</f>
        <v>312</v>
      </c>
      <c r="T2" s="29">
        <f>SUBTOTAL(9,T4:T209)</f>
        <v>4012.5</v>
      </c>
      <c r="U2" s="30">
        <f>S2/T2</f>
        <v>7.7757009345794395E-2</v>
      </c>
      <c r="V2" s="29">
        <f>SUBTOTAL(9,V4:V209)</f>
        <v>410</v>
      </c>
      <c r="W2" s="29">
        <f>SUBTOTAL(9,W4:W209)</f>
        <v>4078</v>
      </c>
      <c r="X2" s="30">
        <f>V2/W2</f>
        <v>0.10053948013732222</v>
      </c>
      <c r="Y2" s="31">
        <f>SUBTOTAL(9,Y4:Y213)</f>
        <v>1608</v>
      </c>
      <c r="Z2" s="32">
        <f>SUBTOTAL(9,Z4:Z213)</f>
        <v>4080.5</v>
      </c>
      <c r="AA2" s="33">
        <f>Y2/Z2</f>
        <v>0.39406935424580319</v>
      </c>
      <c r="AB2" s="28">
        <f>SUBTOTAL(9,AB4:AB213)</f>
        <v>313</v>
      </c>
      <c r="AC2" s="34">
        <f>SUBTOTAL(9,AC4:AC213)</f>
        <v>4404</v>
      </c>
      <c r="AD2" s="35">
        <f>AB2/AC2</f>
        <v>7.1071752951861938E-2</v>
      </c>
      <c r="AE2" s="36">
        <v>301</v>
      </c>
      <c r="AF2" s="37">
        <v>4301.5</v>
      </c>
      <c r="AG2" s="38">
        <v>6.9975589910496336E-2</v>
      </c>
      <c r="AH2" s="36">
        <f>SUBTOTAL(9,AH4:AH213)</f>
        <v>320</v>
      </c>
      <c r="AI2" s="37">
        <f>SUBTOTAL(9,AI4:AI213)</f>
        <v>4281.5</v>
      </c>
      <c r="AJ2" s="38">
        <f>AH2/AI2</f>
        <v>7.4740161158472498E-2</v>
      </c>
      <c r="AK2" s="36">
        <f>SUBTOTAL(9,AK4:AK213)</f>
        <v>357</v>
      </c>
      <c r="AL2" s="37">
        <f>SUBTOTAL(9,AL4:AL213)</f>
        <v>4174.5</v>
      </c>
      <c r="AM2" s="38">
        <f>AK2/AL2</f>
        <v>8.5519223859144802E-2</v>
      </c>
      <c r="AN2" s="28">
        <f>SUBTOTAL(9,AN4:AN213)</f>
        <v>360</v>
      </c>
      <c r="AO2" s="34">
        <f>SUBTOTAL(9,AO4:AO213)</f>
        <v>4097</v>
      </c>
      <c r="AP2" s="35">
        <f>AN2/AO2</f>
        <v>8.786917256529167E-2</v>
      </c>
      <c r="AQ2" s="36">
        <f>SUBTOTAL(9,AQ4:AQ213)</f>
        <v>1651</v>
      </c>
      <c r="AR2" s="37">
        <f>SUBTOTAL(9,AR4:AR213)</f>
        <v>4280</v>
      </c>
      <c r="AS2" s="38">
        <f>AQ2/AR2</f>
        <v>0.38574766355140189</v>
      </c>
    </row>
    <row r="3" spans="1:47" s="19" customFormat="1" x14ac:dyDescent="0.35">
      <c r="A3" s="19" t="s">
        <v>602</v>
      </c>
      <c r="B3" s="19" t="s">
        <v>603</v>
      </c>
      <c r="C3" s="19" t="s">
        <v>604</v>
      </c>
      <c r="D3" s="19" t="s">
        <v>605</v>
      </c>
      <c r="E3" s="19" t="s">
        <v>606</v>
      </c>
      <c r="F3" s="19" t="s">
        <v>607</v>
      </c>
      <c r="G3" s="19" t="s">
        <v>1568</v>
      </c>
      <c r="H3" s="19" t="s">
        <v>608</v>
      </c>
      <c r="I3" s="19" t="s">
        <v>609</v>
      </c>
      <c r="J3" s="19" t="s">
        <v>610</v>
      </c>
      <c r="K3" s="19" t="s">
        <v>611</v>
      </c>
      <c r="L3" s="19" t="s">
        <v>924</v>
      </c>
      <c r="M3" s="19" t="s">
        <v>949</v>
      </c>
      <c r="N3" s="19" t="s">
        <v>950</v>
      </c>
      <c r="O3" s="19" t="s">
        <v>951</v>
      </c>
      <c r="P3" s="19" t="s">
        <v>940</v>
      </c>
      <c r="Q3" s="19" t="s">
        <v>941</v>
      </c>
      <c r="R3" s="19" t="s">
        <v>942</v>
      </c>
      <c r="S3" s="19" t="s">
        <v>932</v>
      </c>
      <c r="T3" s="19" t="s">
        <v>933</v>
      </c>
      <c r="U3" s="19" t="s">
        <v>934</v>
      </c>
      <c r="V3" s="19" t="s">
        <v>925</v>
      </c>
      <c r="W3" s="19" t="s">
        <v>926</v>
      </c>
      <c r="X3" s="19" t="s">
        <v>612</v>
      </c>
      <c r="Y3" s="19" t="s">
        <v>613</v>
      </c>
      <c r="Z3" s="20" t="s">
        <v>614</v>
      </c>
      <c r="AA3" s="19" t="s">
        <v>615</v>
      </c>
      <c r="AB3" s="19" t="s">
        <v>952</v>
      </c>
      <c r="AC3" s="19" t="s">
        <v>953</v>
      </c>
      <c r="AD3" s="19" t="s">
        <v>954</v>
      </c>
      <c r="AE3" s="19" t="s">
        <v>616</v>
      </c>
      <c r="AF3" s="19" t="s">
        <v>617</v>
      </c>
      <c r="AG3" s="19" t="s">
        <v>618</v>
      </c>
      <c r="AH3" s="19" t="s">
        <v>944</v>
      </c>
      <c r="AI3" s="19" t="s">
        <v>945</v>
      </c>
      <c r="AJ3" s="19" t="s">
        <v>946</v>
      </c>
      <c r="AK3" s="19" t="s">
        <v>936</v>
      </c>
      <c r="AL3" s="19" t="s">
        <v>937</v>
      </c>
      <c r="AM3" s="19" t="s">
        <v>938</v>
      </c>
      <c r="AN3" s="19" t="s">
        <v>928</v>
      </c>
      <c r="AO3" s="19" t="s">
        <v>929</v>
      </c>
      <c r="AP3" s="19" t="s">
        <v>930</v>
      </c>
      <c r="AQ3" s="19" t="s">
        <v>619</v>
      </c>
      <c r="AR3" s="19" t="s">
        <v>620</v>
      </c>
      <c r="AS3" s="19" t="s">
        <v>621</v>
      </c>
    </row>
    <row r="4" spans="1:47" x14ac:dyDescent="0.35">
      <c r="A4" s="21" t="s">
        <v>8</v>
      </c>
      <c r="B4" s="22" t="s">
        <v>8</v>
      </c>
      <c r="C4" s="21" t="s">
        <v>9</v>
      </c>
      <c r="D4" s="22" t="s">
        <v>622</v>
      </c>
      <c r="E4" s="22" t="s">
        <v>623</v>
      </c>
      <c r="F4" s="22" t="s">
        <v>624</v>
      </c>
      <c r="G4" s="22" t="s">
        <v>624</v>
      </c>
      <c r="H4" s="22" t="s">
        <v>625</v>
      </c>
      <c r="I4" s="22" t="s">
        <v>626</v>
      </c>
      <c r="J4" s="22">
        <v>4</v>
      </c>
      <c r="K4" s="22">
        <v>36.5</v>
      </c>
      <c r="L4" s="24">
        <v>0.1095890410958904</v>
      </c>
      <c r="M4" s="22">
        <v>3</v>
      </c>
      <c r="N4" s="23">
        <v>38</v>
      </c>
      <c r="O4" s="24">
        <v>7.8947368421052627E-2</v>
      </c>
      <c r="P4" s="22">
        <v>2</v>
      </c>
      <c r="Q4" s="23">
        <v>37.5</v>
      </c>
      <c r="R4" s="24">
        <v>5.3333333333333337E-2</v>
      </c>
      <c r="S4" s="21">
        <v>3</v>
      </c>
      <c r="T4" s="23">
        <v>35.5</v>
      </c>
      <c r="U4" s="24">
        <v>8.4507042253521125E-2</v>
      </c>
      <c r="V4" s="21">
        <v>1</v>
      </c>
      <c r="W4" s="23">
        <v>38</v>
      </c>
      <c r="X4" s="24">
        <v>2.6315789473684209E-2</v>
      </c>
      <c r="Y4" s="25">
        <v>13</v>
      </c>
      <c r="Z4" s="25">
        <v>38.5</v>
      </c>
      <c r="AA4" s="24">
        <v>0.33766233766233766</v>
      </c>
      <c r="AB4" s="22">
        <v>1</v>
      </c>
      <c r="AC4" s="22">
        <v>41</v>
      </c>
      <c r="AD4" s="24">
        <f>Table13[[#This Row],[Gönüllü Çıkış Sayısı]]/Table13[[#This Row],[Ortalama Çalışan Sayısı]]</f>
        <v>0.1095890410958904</v>
      </c>
      <c r="AE4" s="26">
        <v>5</v>
      </c>
      <c r="AF4" s="25">
        <v>39.5</v>
      </c>
      <c r="AG4" s="24">
        <v>0.12658227848101267</v>
      </c>
      <c r="AH4" s="26">
        <v>1</v>
      </c>
      <c r="AI4" s="25">
        <v>41</v>
      </c>
      <c r="AJ4" s="24">
        <v>2.4390243902439025E-2</v>
      </c>
      <c r="AK4" s="26">
        <v>4</v>
      </c>
      <c r="AL4" s="25">
        <v>41</v>
      </c>
      <c r="AM4" s="24">
        <v>9.7560975609756101E-2</v>
      </c>
      <c r="AN4" s="26">
        <v>2</v>
      </c>
      <c r="AO4" s="25">
        <v>37.5</v>
      </c>
      <c r="AP4" s="24">
        <v>5.3333333333333337E-2</v>
      </c>
      <c r="AQ4" s="26">
        <v>13</v>
      </c>
      <c r="AR4" s="25">
        <v>38.5</v>
      </c>
      <c r="AS4" s="24">
        <v>0.33766233766233766</v>
      </c>
    </row>
    <row r="5" spans="1:47" x14ac:dyDescent="0.35">
      <c r="A5" s="21" t="s">
        <v>11</v>
      </c>
      <c r="B5" s="22" t="s">
        <v>11</v>
      </c>
      <c r="C5" s="21" t="s">
        <v>627</v>
      </c>
      <c r="D5" s="22" t="s">
        <v>628</v>
      </c>
      <c r="E5" s="22" t="s">
        <v>629</v>
      </c>
      <c r="F5" s="22" t="s">
        <v>630</v>
      </c>
      <c r="G5" s="22" t="s">
        <v>1569</v>
      </c>
      <c r="H5" s="22" t="s">
        <v>631</v>
      </c>
      <c r="I5" s="22" t="s">
        <v>632</v>
      </c>
      <c r="J5" s="22">
        <v>7</v>
      </c>
      <c r="K5" s="22">
        <v>24.5</v>
      </c>
      <c r="L5" s="24">
        <v>0.2857142857142857</v>
      </c>
      <c r="M5" s="22">
        <v>2</v>
      </c>
      <c r="N5" s="23">
        <v>24.5</v>
      </c>
      <c r="O5" s="24">
        <v>8.1632653061224483E-2</v>
      </c>
      <c r="P5" s="22">
        <v>1</v>
      </c>
      <c r="Q5" s="23">
        <v>25.5</v>
      </c>
      <c r="R5" s="24">
        <v>3.9215686274509803E-2</v>
      </c>
      <c r="S5" s="21">
        <v>3</v>
      </c>
      <c r="T5" s="23">
        <v>27</v>
      </c>
      <c r="U5" s="24">
        <v>0.1111111111111111</v>
      </c>
      <c r="V5" s="21">
        <v>4</v>
      </c>
      <c r="W5" s="23">
        <v>27</v>
      </c>
      <c r="X5" s="24">
        <v>0.14814814814814814</v>
      </c>
      <c r="Y5" s="25">
        <v>17</v>
      </c>
      <c r="Z5" s="25">
        <v>25.5</v>
      </c>
      <c r="AA5" s="24">
        <v>0.66666666666666663</v>
      </c>
      <c r="AB5" s="22">
        <v>1</v>
      </c>
      <c r="AC5" s="22">
        <v>31.5</v>
      </c>
      <c r="AD5" s="24">
        <f>Table13[[#This Row],[Gönüllü Çıkış Sayısı]]/Table13[[#This Row],[Ortalama Çalışan Sayısı]]</f>
        <v>0.2857142857142857</v>
      </c>
      <c r="AE5" s="26">
        <v>4</v>
      </c>
      <c r="AF5" s="25">
        <v>31</v>
      </c>
      <c r="AG5" s="24">
        <v>0.12903225806451613</v>
      </c>
      <c r="AH5" s="26">
        <v>2</v>
      </c>
      <c r="AI5" s="25">
        <v>30.5</v>
      </c>
      <c r="AJ5" s="24">
        <v>6.5573770491803282E-2</v>
      </c>
      <c r="AK5" s="26">
        <v>1</v>
      </c>
      <c r="AL5" s="25">
        <v>31.5</v>
      </c>
      <c r="AM5" s="24">
        <v>3.1746031746031744E-2</v>
      </c>
      <c r="AN5" s="26">
        <v>2</v>
      </c>
      <c r="AO5" s="25">
        <v>32</v>
      </c>
      <c r="AP5" s="24">
        <v>6.25E-2</v>
      </c>
      <c r="AQ5" s="26">
        <v>10</v>
      </c>
      <c r="AR5" s="25">
        <v>31.5</v>
      </c>
      <c r="AS5" s="24">
        <v>0.31746031746031744</v>
      </c>
    </row>
    <row r="6" spans="1:47" x14ac:dyDescent="0.35">
      <c r="A6" s="21" t="s">
        <v>12</v>
      </c>
      <c r="B6" s="22" t="s">
        <v>12</v>
      </c>
      <c r="C6" s="21" t="s">
        <v>633</v>
      </c>
      <c r="D6" s="22" t="s">
        <v>634</v>
      </c>
      <c r="E6" s="22" t="s">
        <v>629</v>
      </c>
      <c r="F6" s="22" t="s">
        <v>635</v>
      </c>
      <c r="G6" s="22" t="s">
        <v>635</v>
      </c>
      <c r="H6" s="22" t="s">
        <v>636</v>
      </c>
      <c r="I6" s="22" t="s">
        <v>637</v>
      </c>
      <c r="J6" s="22">
        <v>1</v>
      </c>
      <c r="K6" s="22">
        <v>19</v>
      </c>
      <c r="L6" s="24">
        <v>5.2631578947368418E-2</v>
      </c>
      <c r="M6" s="22">
        <v>0</v>
      </c>
      <c r="N6" s="23">
        <v>19</v>
      </c>
      <c r="O6" s="24">
        <v>0</v>
      </c>
      <c r="P6" s="22">
        <v>1</v>
      </c>
      <c r="Q6" s="23">
        <v>17.5</v>
      </c>
      <c r="R6" s="24">
        <v>5.7142857142857141E-2</v>
      </c>
      <c r="S6" s="21">
        <v>0</v>
      </c>
      <c r="T6" s="23">
        <v>19</v>
      </c>
      <c r="U6" s="24">
        <v>0</v>
      </c>
      <c r="V6" s="21">
        <v>3</v>
      </c>
      <c r="W6" s="23">
        <v>19</v>
      </c>
      <c r="X6" s="24">
        <v>0.15789473684210525</v>
      </c>
      <c r="Y6" s="25">
        <v>5</v>
      </c>
      <c r="Z6" s="25">
        <v>18.5</v>
      </c>
      <c r="AA6" s="24">
        <v>0.27027027027027029</v>
      </c>
      <c r="AB6" s="22">
        <v>2</v>
      </c>
      <c r="AC6" s="22">
        <v>22</v>
      </c>
      <c r="AD6" s="24">
        <f>Table13[[#This Row],[Gönüllü Çıkış Sayısı]]/Table13[[#This Row],[Ortalama Çalışan Sayısı]]</f>
        <v>5.2631578947368418E-2</v>
      </c>
      <c r="AE6" s="26">
        <v>0</v>
      </c>
      <c r="AF6" s="25">
        <v>21.5</v>
      </c>
      <c r="AG6" s="24">
        <v>0</v>
      </c>
      <c r="AH6" s="26">
        <v>1</v>
      </c>
      <c r="AI6" s="25">
        <v>22</v>
      </c>
      <c r="AJ6" s="24">
        <v>4.5454545454545456E-2</v>
      </c>
      <c r="AK6" s="26">
        <v>0</v>
      </c>
      <c r="AL6" s="25">
        <v>22</v>
      </c>
      <c r="AM6" s="24">
        <v>0</v>
      </c>
      <c r="AN6" s="26">
        <v>2</v>
      </c>
      <c r="AO6" s="25">
        <v>21.5</v>
      </c>
      <c r="AP6" s="24">
        <v>9.3023255813953487E-2</v>
      </c>
      <c r="AQ6" s="26">
        <v>5</v>
      </c>
      <c r="AR6" s="25">
        <v>22</v>
      </c>
      <c r="AS6" s="24">
        <v>0.22727272727272727</v>
      </c>
    </row>
    <row r="7" spans="1:47" x14ac:dyDescent="0.35">
      <c r="A7" s="21" t="s">
        <v>13</v>
      </c>
      <c r="B7" s="22" t="s">
        <v>13</v>
      </c>
      <c r="C7" s="21" t="s">
        <v>638</v>
      </c>
      <c r="D7" s="22" t="s">
        <v>628</v>
      </c>
      <c r="E7" s="22" t="s">
        <v>629</v>
      </c>
      <c r="F7" s="22" t="s">
        <v>630</v>
      </c>
      <c r="G7" s="22" t="s">
        <v>1569</v>
      </c>
      <c r="H7" s="22" t="s">
        <v>631</v>
      </c>
      <c r="I7" s="22" t="s">
        <v>639</v>
      </c>
      <c r="J7" s="22">
        <v>3</v>
      </c>
      <c r="K7" s="22">
        <v>22.5</v>
      </c>
      <c r="L7" s="24">
        <v>0.13333333333333333</v>
      </c>
      <c r="M7" s="22">
        <v>5</v>
      </c>
      <c r="N7" s="23">
        <v>27</v>
      </c>
      <c r="O7" s="24">
        <v>0.18518518518518517</v>
      </c>
      <c r="P7" s="22">
        <v>10</v>
      </c>
      <c r="Q7" s="23">
        <v>26.5</v>
      </c>
      <c r="R7" s="24">
        <v>0.37735849056603776</v>
      </c>
      <c r="S7" s="21">
        <v>4</v>
      </c>
      <c r="T7" s="23">
        <v>26</v>
      </c>
      <c r="U7" s="24">
        <v>0.15384615384615385</v>
      </c>
      <c r="V7" s="21">
        <v>2</v>
      </c>
      <c r="W7" s="23">
        <v>27</v>
      </c>
      <c r="X7" s="24">
        <v>7.407407407407407E-2</v>
      </c>
      <c r="Y7" s="25">
        <v>24</v>
      </c>
      <c r="Z7" s="25">
        <v>25</v>
      </c>
      <c r="AA7" s="24">
        <v>0.96</v>
      </c>
      <c r="AB7" s="22">
        <v>6</v>
      </c>
      <c r="AC7" s="22">
        <v>29</v>
      </c>
      <c r="AD7" s="24">
        <f>Table13[[#This Row],[Gönüllü Çıkış Sayısı]]/Table13[[#This Row],[Ortalama Çalışan Sayısı]]</f>
        <v>0.13333333333333333</v>
      </c>
      <c r="AE7" s="26">
        <v>9</v>
      </c>
      <c r="AF7" s="25">
        <v>28</v>
      </c>
      <c r="AG7" s="24">
        <v>0.32142857142857145</v>
      </c>
      <c r="AH7" s="26">
        <v>8</v>
      </c>
      <c r="AI7" s="25">
        <v>27.5</v>
      </c>
      <c r="AJ7" s="24">
        <v>0.29090909090909089</v>
      </c>
      <c r="AK7" s="26">
        <v>7</v>
      </c>
      <c r="AL7" s="25">
        <v>27.5</v>
      </c>
      <c r="AM7" s="24">
        <v>0.25454545454545452</v>
      </c>
      <c r="AN7" s="26">
        <v>3</v>
      </c>
      <c r="AO7" s="25">
        <v>28</v>
      </c>
      <c r="AP7" s="24">
        <v>0.10714285714285714</v>
      </c>
      <c r="AQ7" s="26">
        <v>33</v>
      </c>
      <c r="AR7" s="25">
        <v>29</v>
      </c>
      <c r="AS7" s="24">
        <v>1.1379310344827587</v>
      </c>
    </row>
    <row r="8" spans="1:47" x14ac:dyDescent="0.35">
      <c r="A8" s="21" t="s">
        <v>14</v>
      </c>
      <c r="B8" s="22" t="s">
        <v>14</v>
      </c>
      <c r="C8" s="21" t="s">
        <v>15</v>
      </c>
      <c r="D8" s="22" t="s">
        <v>640</v>
      </c>
      <c r="E8" s="22" t="s">
        <v>623</v>
      </c>
      <c r="F8" s="22" t="s">
        <v>641</v>
      </c>
      <c r="G8" s="22" t="s">
        <v>641</v>
      </c>
      <c r="H8" s="22" t="s">
        <v>642</v>
      </c>
      <c r="I8" s="22" t="s">
        <v>643</v>
      </c>
      <c r="J8" s="22">
        <v>0</v>
      </c>
      <c r="K8" s="22">
        <v>11</v>
      </c>
      <c r="L8" s="24">
        <v>0</v>
      </c>
      <c r="M8" s="22">
        <v>1</v>
      </c>
      <c r="N8" s="23">
        <v>10.5</v>
      </c>
      <c r="O8" s="24">
        <v>9.5238095238095233E-2</v>
      </c>
      <c r="P8" s="22">
        <v>0</v>
      </c>
      <c r="Q8" s="23">
        <v>11</v>
      </c>
      <c r="R8" s="24">
        <v>0</v>
      </c>
      <c r="S8" s="21">
        <v>1</v>
      </c>
      <c r="T8" s="23">
        <v>10.5</v>
      </c>
      <c r="U8" s="24">
        <v>9.5238095238095233E-2</v>
      </c>
      <c r="V8" s="21">
        <v>2</v>
      </c>
      <c r="W8" s="23">
        <v>9.5</v>
      </c>
      <c r="X8" s="24">
        <v>0.21052631578947367</v>
      </c>
      <c r="Y8" s="25">
        <v>4</v>
      </c>
      <c r="Z8" s="25">
        <v>10</v>
      </c>
      <c r="AA8" s="24">
        <v>0.4</v>
      </c>
      <c r="AB8" s="22">
        <v>1</v>
      </c>
      <c r="AC8" s="22">
        <v>10</v>
      </c>
      <c r="AD8" s="24">
        <f>Table13[[#This Row],[Gönüllü Çıkış Sayısı]]/Table13[[#This Row],[Ortalama Çalışan Sayısı]]</f>
        <v>0</v>
      </c>
      <c r="AE8" s="26">
        <v>0</v>
      </c>
      <c r="AF8" s="25">
        <v>10</v>
      </c>
      <c r="AG8" s="24">
        <v>0</v>
      </c>
      <c r="AH8" s="26">
        <v>0</v>
      </c>
      <c r="AI8" s="25">
        <v>10</v>
      </c>
      <c r="AJ8" s="24">
        <v>0</v>
      </c>
      <c r="AK8" s="26">
        <v>1</v>
      </c>
      <c r="AL8" s="25">
        <v>9.5</v>
      </c>
      <c r="AM8" s="24">
        <v>0.10526315789473684</v>
      </c>
      <c r="AN8" s="26">
        <v>0</v>
      </c>
      <c r="AO8" s="25">
        <v>10</v>
      </c>
      <c r="AP8" s="24">
        <v>0</v>
      </c>
      <c r="AQ8" s="26">
        <v>2</v>
      </c>
      <c r="AR8" s="25">
        <v>10</v>
      </c>
      <c r="AS8" s="24">
        <v>0.2</v>
      </c>
    </row>
    <row r="9" spans="1:47" x14ac:dyDescent="0.35">
      <c r="A9" s="21" t="s">
        <v>16</v>
      </c>
      <c r="B9" s="22" t="s">
        <v>16</v>
      </c>
      <c r="C9" s="21" t="s">
        <v>644</v>
      </c>
      <c r="D9" s="22" t="s">
        <v>645</v>
      </c>
      <c r="E9" s="22" t="s">
        <v>629</v>
      </c>
      <c r="F9" s="22" t="s">
        <v>646</v>
      </c>
      <c r="G9" s="22" t="s">
        <v>646</v>
      </c>
      <c r="H9" s="22" t="s">
        <v>631</v>
      </c>
      <c r="I9" s="22" t="s">
        <v>632</v>
      </c>
      <c r="J9" s="22">
        <v>1</v>
      </c>
      <c r="K9" s="22">
        <v>25</v>
      </c>
      <c r="L9" s="24">
        <v>0.04</v>
      </c>
      <c r="M9" s="22">
        <v>3</v>
      </c>
      <c r="N9" s="23">
        <v>26.5</v>
      </c>
      <c r="O9" s="24">
        <v>0.11320754716981132</v>
      </c>
      <c r="P9" s="22">
        <v>3</v>
      </c>
      <c r="Q9" s="23">
        <v>28.5</v>
      </c>
      <c r="R9" s="24">
        <v>0.10526315789473684</v>
      </c>
      <c r="S9" s="21">
        <v>2</v>
      </c>
      <c r="T9" s="23">
        <v>28</v>
      </c>
      <c r="U9" s="24">
        <v>7.1428571428571425E-2</v>
      </c>
      <c r="V9" s="21">
        <v>3</v>
      </c>
      <c r="W9" s="23">
        <v>30</v>
      </c>
      <c r="X9" s="24">
        <v>0.1</v>
      </c>
      <c r="Y9" s="25">
        <v>12</v>
      </c>
      <c r="Z9" s="25">
        <v>28.5</v>
      </c>
      <c r="AA9" s="24">
        <v>0.42105263157894735</v>
      </c>
      <c r="AB9" s="22">
        <v>0</v>
      </c>
      <c r="AC9" s="22">
        <v>29</v>
      </c>
      <c r="AD9" s="24">
        <f>Table13[[#This Row],[Gönüllü Çıkış Sayısı]]/Table13[[#This Row],[Ortalama Çalışan Sayısı]]</f>
        <v>0.04</v>
      </c>
      <c r="AE9" s="26">
        <v>1</v>
      </c>
      <c r="AF9" s="25">
        <v>29.5</v>
      </c>
      <c r="AG9" s="24">
        <v>3.3898305084745763E-2</v>
      </c>
      <c r="AH9" s="26">
        <v>3</v>
      </c>
      <c r="AI9" s="25">
        <v>31</v>
      </c>
      <c r="AJ9" s="24">
        <v>9.6774193548387094E-2</v>
      </c>
      <c r="AK9" s="26">
        <v>4</v>
      </c>
      <c r="AL9" s="25">
        <v>30</v>
      </c>
      <c r="AM9" s="24">
        <v>0.13333333333333333</v>
      </c>
      <c r="AN9" s="26">
        <v>6</v>
      </c>
      <c r="AO9" s="25">
        <v>29</v>
      </c>
      <c r="AP9" s="24">
        <v>0.20689655172413793</v>
      </c>
      <c r="AQ9" s="26">
        <v>14</v>
      </c>
      <c r="AR9" s="25">
        <v>29.5</v>
      </c>
      <c r="AS9" s="24">
        <v>0.47457627118644069</v>
      </c>
    </row>
    <row r="10" spans="1:47" x14ac:dyDescent="0.35">
      <c r="A10" s="21" t="s">
        <v>17</v>
      </c>
      <c r="B10" s="22" t="s">
        <v>17</v>
      </c>
      <c r="C10" s="21" t="s">
        <v>647</v>
      </c>
      <c r="D10" s="22" t="s">
        <v>648</v>
      </c>
      <c r="E10" s="22" t="s">
        <v>623</v>
      </c>
      <c r="F10" s="22" t="s">
        <v>624</v>
      </c>
      <c r="G10" s="22" t="s">
        <v>624</v>
      </c>
      <c r="H10" s="22" t="s">
        <v>636</v>
      </c>
      <c r="I10" s="22" t="s">
        <v>649</v>
      </c>
      <c r="J10" s="22">
        <v>0</v>
      </c>
      <c r="K10" s="22">
        <v>22</v>
      </c>
      <c r="L10" s="24">
        <v>0</v>
      </c>
      <c r="M10" s="22">
        <v>4</v>
      </c>
      <c r="N10" s="23">
        <v>22</v>
      </c>
      <c r="O10" s="24">
        <v>0.18181818181818182</v>
      </c>
      <c r="P10" s="22">
        <v>4</v>
      </c>
      <c r="Q10" s="23">
        <v>19.5</v>
      </c>
      <c r="R10" s="24">
        <v>0.20512820512820512</v>
      </c>
      <c r="S10" s="21">
        <v>2</v>
      </c>
      <c r="T10" s="23">
        <v>20.5</v>
      </c>
      <c r="U10" s="24">
        <v>9.7560975609756101E-2</v>
      </c>
      <c r="V10" s="21">
        <v>5</v>
      </c>
      <c r="W10" s="23">
        <v>21</v>
      </c>
      <c r="X10" s="24">
        <v>0.23809523809523808</v>
      </c>
      <c r="Y10" s="25">
        <v>15</v>
      </c>
      <c r="Z10" s="25">
        <v>21.5</v>
      </c>
      <c r="AA10" s="24">
        <v>0.69767441860465118</v>
      </c>
      <c r="AB10" s="22">
        <v>4</v>
      </c>
      <c r="AC10" s="22">
        <v>28</v>
      </c>
      <c r="AD10" s="24">
        <f>Table13[[#This Row],[Gönüllü Çıkış Sayısı]]/Table13[[#This Row],[Ortalama Çalışan Sayısı]]</f>
        <v>0</v>
      </c>
      <c r="AE10" s="26">
        <v>7</v>
      </c>
      <c r="AF10" s="25">
        <v>25.5</v>
      </c>
      <c r="AG10" s="24">
        <v>0.27450980392156865</v>
      </c>
      <c r="AH10" s="26">
        <v>4</v>
      </c>
      <c r="AI10" s="25">
        <v>24</v>
      </c>
      <c r="AJ10" s="24">
        <v>0.16666666666666666</v>
      </c>
      <c r="AK10" s="26">
        <v>5</v>
      </c>
      <c r="AL10" s="25">
        <v>23.5</v>
      </c>
      <c r="AM10" s="24">
        <v>0.21276595744680851</v>
      </c>
      <c r="AN10" s="26">
        <v>3</v>
      </c>
      <c r="AO10" s="25">
        <v>23.5</v>
      </c>
      <c r="AP10" s="24">
        <v>0.1276595744680851</v>
      </c>
      <c r="AQ10" s="26">
        <v>23</v>
      </c>
      <c r="AR10" s="25">
        <v>26</v>
      </c>
      <c r="AS10" s="24">
        <v>0.88461538461538458</v>
      </c>
    </row>
    <row r="11" spans="1:47" x14ac:dyDescent="0.35">
      <c r="A11" s="21" t="s">
        <v>18</v>
      </c>
      <c r="B11" s="22" t="s">
        <v>18</v>
      </c>
      <c r="C11" s="21" t="s">
        <v>650</v>
      </c>
      <c r="D11" s="22" t="s">
        <v>651</v>
      </c>
      <c r="E11" s="22" t="s">
        <v>629</v>
      </c>
      <c r="F11" s="22" t="s">
        <v>630</v>
      </c>
      <c r="G11" s="22" t="s">
        <v>1569</v>
      </c>
      <c r="H11" s="22" t="s">
        <v>636</v>
      </c>
      <c r="I11" s="22" t="s">
        <v>652</v>
      </c>
      <c r="J11" s="22">
        <v>1</v>
      </c>
      <c r="K11" s="22">
        <v>18</v>
      </c>
      <c r="L11" s="24">
        <v>5.5555555555555552E-2</v>
      </c>
      <c r="M11" s="22">
        <v>0</v>
      </c>
      <c r="N11" s="23">
        <v>19</v>
      </c>
      <c r="O11" s="24">
        <v>0</v>
      </c>
      <c r="P11" s="22">
        <v>3</v>
      </c>
      <c r="Q11" s="23">
        <v>17</v>
      </c>
      <c r="R11" s="24">
        <v>0.17647058823529413</v>
      </c>
      <c r="S11" s="21">
        <v>1</v>
      </c>
      <c r="T11" s="23">
        <v>17.5</v>
      </c>
      <c r="U11" s="24">
        <v>5.7142857142857141E-2</v>
      </c>
      <c r="V11" s="21">
        <v>0</v>
      </c>
      <c r="W11" s="23">
        <v>18</v>
      </c>
      <c r="X11" s="24">
        <v>0</v>
      </c>
      <c r="Y11" s="25">
        <v>5</v>
      </c>
      <c r="Z11" s="25">
        <v>18.5</v>
      </c>
      <c r="AA11" s="24">
        <v>0.27027027027027029</v>
      </c>
      <c r="AB11" s="22">
        <v>0</v>
      </c>
      <c r="AC11" s="22">
        <v>19</v>
      </c>
      <c r="AD11" s="24">
        <f>Table13[[#This Row],[Gönüllü Çıkış Sayısı]]/Table13[[#This Row],[Ortalama Çalışan Sayısı]]</f>
        <v>5.5555555555555552E-2</v>
      </c>
      <c r="AE11" s="26">
        <v>1</v>
      </c>
      <c r="AF11" s="25">
        <v>18.5</v>
      </c>
      <c r="AG11" s="24">
        <v>5.4054054054054057E-2</v>
      </c>
      <c r="AH11" s="26">
        <v>1</v>
      </c>
      <c r="AI11" s="25">
        <v>18</v>
      </c>
      <c r="AJ11" s="24">
        <v>5.5555555555555552E-2</v>
      </c>
      <c r="AK11" s="26">
        <v>0</v>
      </c>
      <c r="AL11" s="25">
        <v>18.5</v>
      </c>
      <c r="AM11" s="24">
        <v>0</v>
      </c>
      <c r="AN11" s="26">
        <v>3</v>
      </c>
      <c r="AO11" s="25">
        <v>19</v>
      </c>
      <c r="AP11" s="24">
        <v>0.15789473684210525</v>
      </c>
      <c r="AQ11" s="26">
        <v>5</v>
      </c>
      <c r="AR11" s="25">
        <v>19.5</v>
      </c>
      <c r="AS11" s="24">
        <v>0.25641025641025639</v>
      </c>
      <c r="AU11" s="39"/>
    </row>
    <row r="12" spans="1:47" x14ac:dyDescent="0.35">
      <c r="A12" s="21" t="s">
        <v>19</v>
      </c>
      <c r="B12" s="22" t="s">
        <v>19</v>
      </c>
      <c r="C12" s="21" t="s">
        <v>653</v>
      </c>
      <c r="D12" s="22" t="s">
        <v>645</v>
      </c>
      <c r="E12" s="22" t="s">
        <v>629</v>
      </c>
      <c r="F12" s="22" t="s">
        <v>646</v>
      </c>
      <c r="G12" s="22" t="s">
        <v>646</v>
      </c>
      <c r="H12" s="22" t="s">
        <v>654</v>
      </c>
      <c r="I12" s="22" t="s">
        <v>632</v>
      </c>
      <c r="J12" s="22">
        <v>2</v>
      </c>
      <c r="K12" s="22">
        <v>15</v>
      </c>
      <c r="L12" s="24">
        <v>0.13333333333333333</v>
      </c>
      <c r="M12" s="22">
        <v>2</v>
      </c>
      <c r="N12" s="23">
        <v>15.5</v>
      </c>
      <c r="O12" s="24">
        <v>0.12903225806451613</v>
      </c>
      <c r="P12" s="22">
        <v>3</v>
      </c>
      <c r="Q12" s="23">
        <v>16</v>
      </c>
      <c r="R12" s="24">
        <v>0.1875</v>
      </c>
      <c r="S12" s="21">
        <v>3</v>
      </c>
      <c r="T12" s="23">
        <v>18.5</v>
      </c>
      <c r="U12" s="24">
        <v>0.16216216216216217</v>
      </c>
      <c r="V12" s="21">
        <v>1</v>
      </c>
      <c r="W12" s="23">
        <v>19</v>
      </c>
      <c r="X12" s="24">
        <v>5.2631578947368418E-2</v>
      </c>
      <c r="Y12" s="25">
        <v>11</v>
      </c>
      <c r="Z12" s="25">
        <v>17</v>
      </c>
      <c r="AA12" s="24">
        <v>0.6470588235294118</v>
      </c>
      <c r="AB12" s="22">
        <v>1</v>
      </c>
      <c r="AC12" s="22">
        <v>22</v>
      </c>
      <c r="AD12" s="24">
        <f>Table13[[#This Row],[Gönüllü Çıkış Sayısı]]/Table13[[#This Row],[Ortalama Çalışan Sayısı]]</f>
        <v>0.13333333333333333</v>
      </c>
      <c r="AE12" s="26">
        <v>0</v>
      </c>
      <c r="AF12" s="25">
        <v>22</v>
      </c>
      <c r="AG12" s="24">
        <v>0</v>
      </c>
      <c r="AH12" s="26">
        <v>0</v>
      </c>
      <c r="AI12" s="25">
        <v>22</v>
      </c>
      <c r="AJ12" s="24">
        <v>0</v>
      </c>
      <c r="AK12" s="26">
        <v>1</v>
      </c>
      <c r="AL12" s="25">
        <v>21.5</v>
      </c>
      <c r="AM12" s="24">
        <v>4.6511627906976744E-2</v>
      </c>
      <c r="AN12" s="26">
        <v>0</v>
      </c>
      <c r="AO12" s="25">
        <v>21</v>
      </c>
      <c r="AP12" s="24">
        <v>0</v>
      </c>
      <c r="AQ12" s="26">
        <v>2</v>
      </c>
      <c r="AR12" s="25">
        <v>21.5</v>
      </c>
      <c r="AS12" s="24">
        <v>9.3023255813953487E-2</v>
      </c>
    </row>
    <row r="13" spans="1:47" x14ac:dyDescent="0.35">
      <c r="A13" s="21" t="s">
        <v>20</v>
      </c>
      <c r="B13" s="22" t="s">
        <v>20</v>
      </c>
      <c r="C13" s="21" t="s">
        <v>655</v>
      </c>
      <c r="D13" s="22" t="s">
        <v>634</v>
      </c>
      <c r="E13" s="22" t="s">
        <v>629</v>
      </c>
      <c r="F13" s="22" t="s">
        <v>635</v>
      </c>
      <c r="G13" s="22" t="s">
        <v>635</v>
      </c>
      <c r="H13" s="22" t="s">
        <v>654</v>
      </c>
      <c r="I13" s="22" t="s">
        <v>637</v>
      </c>
      <c r="J13" s="22">
        <v>0</v>
      </c>
      <c r="K13" s="22">
        <v>15</v>
      </c>
      <c r="L13" s="24">
        <v>0</v>
      </c>
      <c r="M13" s="22">
        <v>0</v>
      </c>
      <c r="N13" s="23">
        <v>16</v>
      </c>
      <c r="O13" s="24">
        <v>0</v>
      </c>
      <c r="P13" s="22">
        <v>1</v>
      </c>
      <c r="Q13" s="23">
        <v>15.5</v>
      </c>
      <c r="R13" s="24">
        <v>6.4516129032258063E-2</v>
      </c>
      <c r="S13" s="21">
        <v>0</v>
      </c>
      <c r="T13" s="23">
        <v>15</v>
      </c>
      <c r="U13" s="24">
        <v>0</v>
      </c>
      <c r="V13" s="21">
        <v>2</v>
      </c>
      <c r="W13" s="23">
        <v>15</v>
      </c>
      <c r="X13" s="24">
        <v>0.13333333333333333</v>
      </c>
      <c r="Y13" s="25">
        <v>3</v>
      </c>
      <c r="Z13" s="25">
        <v>15</v>
      </c>
      <c r="AA13" s="24">
        <v>0.2</v>
      </c>
      <c r="AB13" s="22">
        <v>2</v>
      </c>
      <c r="AC13" s="22">
        <v>15</v>
      </c>
      <c r="AD13" s="24">
        <f>Table13[[#This Row],[Gönüllü Çıkış Sayısı]]/Table13[[#This Row],[Ortalama Çalışan Sayısı]]</f>
        <v>0</v>
      </c>
      <c r="AE13" s="26">
        <v>2</v>
      </c>
      <c r="AF13" s="25">
        <v>14.5</v>
      </c>
      <c r="AG13" s="24">
        <v>0.13793103448275862</v>
      </c>
      <c r="AH13" s="26">
        <v>4</v>
      </c>
      <c r="AI13" s="25">
        <v>16</v>
      </c>
      <c r="AJ13" s="24">
        <v>0.25</v>
      </c>
      <c r="AK13" s="26">
        <v>2</v>
      </c>
      <c r="AL13" s="25">
        <v>17</v>
      </c>
      <c r="AM13" s="24">
        <v>0.11764705882352941</v>
      </c>
      <c r="AN13" s="26">
        <v>1</v>
      </c>
      <c r="AO13" s="25">
        <v>17</v>
      </c>
      <c r="AP13" s="24">
        <v>5.8823529411764705E-2</v>
      </c>
      <c r="AQ13" s="26">
        <v>11</v>
      </c>
      <c r="AR13" s="25">
        <v>16.5</v>
      </c>
      <c r="AS13" s="24">
        <v>0.66666666666666663</v>
      </c>
    </row>
    <row r="14" spans="1:47" x14ac:dyDescent="0.35">
      <c r="A14" s="21" t="s">
        <v>21</v>
      </c>
      <c r="B14" s="22" t="s">
        <v>21</v>
      </c>
      <c r="C14" s="21" t="s">
        <v>22</v>
      </c>
      <c r="D14" s="22" t="s">
        <v>656</v>
      </c>
      <c r="E14" s="22" t="s">
        <v>657</v>
      </c>
      <c r="F14" s="22" t="s">
        <v>658</v>
      </c>
      <c r="G14" s="22" t="s">
        <v>1570</v>
      </c>
      <c r="H14" s="22" t="s">
        <v>654</v>
      </c>
      <c r="I14" s="22" t="s">
        <v>659</v>
      </c>
      <c r="J14" s="22">
        <v>0</v>
      </c>
      <c r="K14" s="22">
        <v>11.5</v>
      </c>
      <c r="L14" s="24">
        <v>0</v>
      </c>
      <c r="M14" s="22">
        <v>0</v>
      </c>
      <c r="N14" s="23">
        <v>14</v>
      </c>
      <c r="O14" s="24">
        <v>0</v>
      </c>
      <c r="P14" s="22">
        <v>2</v>
      </c>
      <c r="Q14" s="23">
        <v>14</v>
      </c>
      <c r="R14" s="24">
        <v>0.14285714285714285</v>
      </c>
      <c r="S14" s="21">
        <v>1</v>
      </c>
      <c r="T14" s="23">
        <v>14.5</v>
      </c>
      <c r="U14" s="24">
        <v>6.8965517241379309E-2</v>
      </c>
      <c r="V14" s="21">
        <v>2</v>
      </c>
      <c r="W14" s="23">
        <v>16.5</v>
      </c>
      <c r="X14" s="24">
        <v>0.12121212121212122</v>
      </c>
      <c r="Y14" s="25">
        <v>5</v>
      </c>
      <c r="Z14" s="25">
        <v>15.5</v>
      </c>
      <c r="AA14" s="24">
        <v>0.32258064516129031</v>
      </c>
      <c r="AB14" s="22">
        <v>0</v>
      </c>
      <c r="AC14" s="22">
        <v>13.5</v>
      </c>
      <c r="AD14" s="24">
        <f>Table13[[#This Row],[Gönüllü Çıkış Sayısı]]/Table13[[#This Row],[Ortalama Çalışan Sayısı]]</f>
        <v>0</v>
      </c>
      <c r="AE14" s="26">
        <v>4</v>
      </c>
      <c r="AF14" s="25">
        <v>16</v>
      </c>
      <c r="AG14" s="24">
        <v>0.25</v>
      </c>
      <c r="AH14" s="26">
        <v>0</v>
      </c>
      <c r="AI14" s="25">
        <v>18.5</v>
      </c>
      <c r="AJ14" s="24">
        <v>0</v>
      </c>
      <c r="AK14" s="26">
        <v>6</v>
      </c>
      <c r="AL14" s="25">
        <v>16.5</v>
      </c>
      <c r="AM14" s="24">
        <v>0.36363636363636365</v>
      </c>
      <c r="AN14" s="26">
        <v>5</v>
      </c>
      <c r="AO14" s="25">
        <v>15</v>
      </c>
      <c r="AP14" s="24">
        <v>0.33333333333333331</v>
      </c>
      <c r="AQ14" s="26">
        <v>15</v>
      </c>
      <c r="AR14" s="25">
        <v>14</v>
      </c>
      <c r="AS14" s="24">
        <v>1.0714285714285714</v>
      </c>
    </row>
    <row r="15" spans="1:47" x14ac:dyDescent="0.35">
      <c r="A15" s="21" t="s">
        <v>23</v>
      </c>
      <c r="B15" s="22" t="s">
        <v>23</v>
      </c>
      <c r="C15" s="21" t="s">
        <v>660</v>
      </c>
      <c r="D15" s="22" t="s">
        <v>661</v>
      </c>
      <c r="E15" s="22" t="s">
        <v>657</v>
      </c>
      <c r="F15" s="22" t="s">
        <v>662</v>
      </c>
      <c r="G15" s="22" t="s">
        <v>662</v>
      </c>
      <c r="H15" s="22" t="s">
        <v>631</v>
      </c>
      <c r="I15" s="22" t="s">
        <v>632</v>
      </c>
      <c r="J15" s="22">
        <v>1</v>
      </c>
      <c r="K15" s="22">
        <v>38</v>
      </c>
      <c r="L15" s="24">
        <v>2.6315789473684209E-2</v>
      </c>
      <c r="M15" s="22">
        <v>2</v>
      </c>
      <c r="N15" s="23">
        <v>36.5</v>
      </c>
      <c r="O15" s="24">
        <v>5.4794520547945202E-2</v>
      </c>
      <c r="P15" s="22">
        <v>2</v>
      </c>
      <c r="Q15" s="23">
        <v>34.5</v>
      </c>
      <c r="R15" s="24">
        <v>5.7971014492753624E-2</v>
      </c>
      <c r="S15" s="21">
        <v>3</v>
      </c>
      <c r="T15" s="23">
        <v>33</v>
      </c>
      <c r="U15" s="24">
        <v>9.0909090909090912E-2</v>
      </c>
      <c r="V15" s="21">
        <v>5</v>
      </c>
      <c r="W15" s="23">
        <v>32.5</v>
      </c>
      <c r="X15" s="24">
        <v>0.15384615384615385</v>
      </c>
      <c r="Y15" s="25">
        <v>13</v>
      </c>
      <c r="Z15" s="25">
        <v>35.5</v>
      </c>
      <c r="AA15" s="24">
        <v>0.36619718309859156</v>
      </c>
      <c r="AB15" s="22">
        <v>3</v>
      </c>
      <c r="AC15" s="22">
        <v>49</v>
      </c>
      <c r="AD15" s="24">
        <f>Table13[[#This Row],[Gönüllü Çıkış Sayısı]]/Table13[[#This Row],[Ortalama Çalışan Sayısı]]</f>
        <v>2.6315789473684209E-2</v>
      </c>
      <c r="AE15" s="26">
        <v>0</v>
      </c>
      <c r="AF15" s="25">
        <v>47.5</v>
      </c>
      <c r="AG15" s="24">
        <v>0</v>
      </c>
      <c r="AH15" s="26">
        <v>3</v>
      </c>
      <c r="AI15" s="25">
        <v>48</v>
      </c>
      <c r="AJ15" s="24">
        <v>6.25E-2</v>
      </c>
      <c r="AK15" s="26">
        <v>2</v>
      </c>
      <c r="AL15" s="25">
        <v>46</v>
      </c>
      <c r="AM15" s="24">
        <v>4.3478260869565216E-2</v>
      </c>
      <c r="AN15" s="26">
        <v>4</v>
      </c>
      <c r="AO15" s="25">
        <v>45</v>
      </c>
      <c r="AP15" s="24">
        <v>8.8888888888888892E-2</v>
      </c>
      <c r="AQ15" s="26">
        <v>12</v>
      </c>
      <c r="AR15" s="25">
        <v>48</v>
      </c>
      <c r="AS15" s="24">
        <v>0.25</v>
      </c>
    </row>
    <row r="16" spans="1:47" x14ac:dyDescent="0.35">
      <c r="A16" s="21" t="s">
        <v>24</v>
      </c>
      <c r="B16" s="22" t="s">
        <v>24</v>
      </c>
      <c r="C16" s="21" t="s">
        <v>25</v>
      </c>
      <c r="D16" s="22" t="s">
        <v>663</v>
      </c>
      <c r="E16" s="22" t="s">
        <v>629</v>
      </c>
      <c r="F16" s="22" t="s">
        <v>646</v>
      </c>
      <c r="G16" s="22" t="s">
        <v>646</v>
      </c>
      <c r="H16" s="22" t="s">
        <v>664</v>
      </c>
      <c r="I16" s="22" t="s">
        <v>639</v>
      </c>
      <c r="J16" s="22">
        <v>1</v>
      </c>
      <c r="K16" s="22">
        <v>9</v>
      </c>
      <c r="L16" s="24">
        <v>0.1111111111111111</v>
      </c>
      <c r="M16" s="22">
        <v>0</v>
      </c>
      <c r="N16" s="23">
        <v>9</v>
      </c>
      <c r="O16" s="24">
        <v>0</v>
      </c>
      <c r="P16" s="22">
        <v>1</v>
      </c>
      <c r="Q16" s="23">
        <v>9.5</v>
      </c>
      <c r="R16" s="24">
        <v>0.10526315789473684</v>
      </c>
      <c r="S16" s="21">
        <v>1</v>
      </c>
      <c r="T16" s="23">
        <v>9</v>
      </c>
      <c r="U16" s="24">
        <v>0.1111111111111111</v>
      </c>
      <c r="V16" s="21">
        <v>0</v>
      </c>
      <c r="W16" s="23">
        <v>9.5</v>
      </c>
      <c r="X16" s="24">
        <v>0</v>
      </c>
      <c r="Y16" s="25">
        <v>3</v>
      </c>
      <c r="Z16" s="25">
        <v>10</v>
      </c>
      <c r="AA16" s="24">
        <v>0.3</v>
      </c>
      <c r="AB16" s="22">
        <v>0</v>
      </c>
      <c r="AC16" s="22">
        <v>9</v>
      </c>
      <c r="AD16" s="24">
        <f>Table13[[#This Row],[Gönüllü Çıkış Sayısı]]/Table13[[#This Row],[Ortalama Çalışan Sayısı]]</f>
        <v>0.1111111111111111</v>
      </c>
      <c r="AE16" s="26">
        <v>1</v>
      </c>
      <c r="AF16" s="25">
        <v>9.5</v>
      </c>
      <c r="AG16" s="24">
        <v>0.10526315789473684</v>
      </c>
      <c r="AH16" s="26">
        <v>0</v>
      </c>
      <c r="AI16" s="25">
        <v>10.5</v>
      </c>
      <c r="AJ16" s="24">
        <v>0</v>
      </c>
      <c r="AK16" s="26">
        <v>1</v>
      </c>
      <c r="AL16" s="25">
        <v>10.5</v>
      </c>
      <c r="AM16" s="24">
        <v>9.5238095238095233E-2</v>
      </c>
      <c r="AN16" s="26">
        <v>1</v>
      </c>
      <c r="AO16" s="25">
        <v>10</v>
      </c>
      <c r="AP16" s="24">
        <v>0.1</v>
      </c>
      <c r="AQ16" s="26">
        <v>3</v>
      </c>
      <c r="AR16" s="25">
        <v>9.5</v>
      </c>
      <c r="AS16" s="24">
        <v>0.31578947368421051</v>
      </c>
    </row>
    <row r="17" spans="1:45" x14ac:dyDescent="0.35">
      <c r="A17" s="21" t="s">
        <v>26</v>
      </c>
      <c r="B17" s="22" t="s">
        <v>26</v>
      </c>
      <c r="C17" s="21" t="s">
        <v>665</v>
      </c>
      <c r="D17" s="22" t="s">
        <v>666</v>
      </c>
      <c r="E17" s="22" t="s">
        <v>629</v>
      </c>
      <c r="F17" s="22" t="s">
        <v>635</v>
      </c>
      <c r="G17" s="22" t="s">
        <v>635</v>
      </c>
      <c r="H17" s="22" t="s">
        <v>636</v>
      </c>
      <c r="I17" s="22" t="s">
        <v>637</v>
      </c>
      <c r="J17" s="22">
        <v>1</v>
      </c>
      <c r="K17" s="22">
        <v>16</v>
      </c>
      <c r="L17" s="24">
        <v>6.25E-2</v>
      </c>
      <c r="M17" s="22">
        <v>1</v>
      </c>
      <c r="N17" s="23">
        <v>18</v>
      </c>
      <c r="O17" s="24">
        <v>5.5555555555555552E-2</v>
      </c>
      <c r="P17" s="22">
        <v>2</v>
      </c>
      <c r="Q17" s="23">
        <v>17</v>
      </c>
      <c r="R17" s="24">
        <v>0.11764705882352941</v>
      </c>
      <c r="S17" s="21">
        <v>1</v>
      </c>
      <c r="T17" s="23">
        <v>15.5</v>
      </c>
      <c r="U17" s="24">
        <v>6.4516129032258063E-2</v>
      </c>
      <c r="V17" s="21">
        <v>3</v>
      </c>
      <c r="W17" s="23">
        <v>16</v>
      </c>
      <c r="X17" s="24">
        <v>0.1875</v>
      </c>
      <c r="Y17" s="25">
        <v>8</v>
      </c>
      <c r="Z17" s="25">
        <v>16</v>
      </c>
      <c r="AA17" s="24">
        <v>0.5</v>
      </c>
      <c r="AB17" s="22">
        <v>1</v>
      </c>
      <c r="AC17" s="22">
        <v>23.5</v>
      </c>
      <c r="AD17" s="24">
        <f>Table13[[#This Row],[Gönüllü Çıkış Sayısı]]/Table13[[#This Row],[Ortalama Çalışan Sayısı]]</f>
        <v>6.25E-2</v>
      </c>
      <c r="AE17" s="26">
        <v>0</v>
      </c>
      <c r="AF17" s="25">
        <v>23</v>
      </c>
      <c r="AG17" s="24">
        <v>0</v>
      </c>
      <c r="AH17" s="26">
        <v>1</v>
      </c>
      <c r="AI17" s="25">
        <v>22</v>
      </c>
      <c r="AJ17" s="24">
        <v>4.5454545454545456E-2</v>
      </c>
      <c r="AK17" s="26">
        <v>2</v>
      </c>
      <c r="AL17" s="25">
        <v>21.5</v>
      </c>
      <c r="AM17" s="24">
        <v>9.3023255813953487E-2</v>
      </c>
      <c r="AN17" s="26">
        <v>3</v>
      </c>
      <c r="AO17" s="25">
        <v>22</v>
      </c>
      <c r="AP17" s="24">
        <v>0.13636363636363635</v>
      </c>
      <c r="AQ17" s="26">
        <v>7</v>
      </c>
      <c r="AR17" s="25">
        <v>22.5</v>
      </c>
      <c r="AS17" s="24">
        <v>0.31111111111111112</v>
      </c>
    </row>
    <row r="18" spans="1:45" x14ac:dyDescent="0.35">
      <c r="A18" s="21" t="s">
        <v>27</v>
      </c>
      <c r="B18" s="22" t="s">
        <v>27</v>
      </c>
      <c r="C18" s="21" t="s">
        <v>667</v>
      </c>
      <c r="D18" s="22" t="s">
        <v>645</v>
      </c>
      <c r="E18" s="22" t="s">
        <v>629</v>
      </c>
      <c r="F18" s="22" t="s">
        <v>646</v>
      </c>
      <c r="G18" s="22" t="s">
        <v>646</v>
      </c>
      <c r="H18" s="22" t="s">
        <v>668</v>
      </c>
      <c r="I18" s="22" t="s">
        <v>632</v>
      </c>
      <c r="J18" s="22">
        <v>2</v>
      </c>
      <c r="K18" s="22">
        <v>12.5</v>
      </c>
      <c r="L18" s="24">
        <v>0.16</v>
      </c>
      <c r="M18" s="22">
        <v>2</v>
      </c>
      <c r="N18" s="23">
        <v>14</v>
      </c>
      <c r="O18" s="24">
        <v>0.14285714285714285</v>
      </c>
      <c r="P18" s="22">
        <v>1</v>
      </c>
      <c r="Q18" s="23">
        <v>13</v>
      </c>
      <c r="R18" s="24">
        <v>7.6923076923076927E-2</v>
      </c>
      <c r="S18" s="21">
        <v>3</v>
      </c>
      <c r="T18" s="23">
        <v>13.5</v>
      </c>
      <c r="U18" s="24">
        <v>0.22222222222222221</v>
      </c>
      <c r="V18" s="21">
        <v>2</v>
      </c>
      <c r="W18" s="23">
        <v>13.5</v>
      </c>
      <c r="X18" s="24">
        <v>0.14814814814814814</v>
      </c>
      <c r="Y18" s="25">
        <v>10</v>
      </c>
      <c r="Z18" s="25">
        <v>14</v>
      </c>
      <c r="AA18" s="24">
        <v>0.7142857142857143</v>
      </c>
      <c r="AB18" s="22">
        <v>2</v>
      </c>
      <c r="AC18" s="22">
        <v>14</v>
      </c>
      <c r="AD18" s="24">
        <f>Table13[[#This Row],[Gönüllü Çıkış Sayısı]]/Table13[[#This Row],[Ortalama Çalışan Sayısı]]</f>
        <v>0.16</v>
      </c>
      <c r="AE18" s="26">
        <v>0</v>
      </c>
      <c r="AF18" s="25">
        <v>14</v>
      </c>
      <c r="AG18" s="24">
        <v>0</v>
      </c>
      <c r="AH18" s="26">
        <v>1</v>
      </c>
      <c r="AI18" s="25">
        <v>14.5</v>
      </c>
      <c r="AJ18" s="24">
        <v>6.8965517241379309E-2</v>
      </c>
      <c r="AK18" s="26">
        <v>1</v>
      </c>
      <c r="AL18" s="25">
        <v>14.5</v>
      </c>
      <c r="AM18" s="24">
        <v>6.8965517241379309E-2</v>
      </c>
      <c r="AN18" s="26">
        <v>2</v>
      </c>
      <c r="AO18" s="25">
        <v>15</v>
      </c>
      <c r="AP18" s="24">
        <v>0.13333333333333333</v>
      </c>
      <c r="AQ18" s="26">
        <v>6</v>
      </c>
      <c r="AR18" s="25">
        <v>15</v>
      </c>
      <c r="AS18" s="24">
        <v>0.4</v>
      </c>
    </row>
    <row r="19" spans="1:45" x14ac:dyDescent="0.35">
      <c r="A19" s="21" t="s">
        <v>28</v>
      </c>
      <c r="B19" s="22" t="s">
        <v>28</v>
      </c>
      <c r="C19" s="21" t="s">
        <v>669</v>
      </c>
      <c r="D19" s="22" t="s">
        <v>670</v>
      </c>
      <c r="E19" s="22" t="s">
        <v>657</v>
      </c>
      <c r="F19" s="22" t="s">
        <v>641</v>
      </c>
      <c r="G19" s="22" t="s">
        <v>641</v>
      </c>
      <c r="H19" s="22" t="s">
        <v>654</v>
      </c>
      <c r="I19" s="22" t="s">
        <v>671</v>
      </c>
      <c r="J19" s="22">
        <v>1</v>
      </c>
      <c r="K19" s="22">
        <v>12</v>
      </c>
      <c r="L19" s="24">
        <v>8.3333333333333329E-2</v>
      </c>
      <c r="M19" s="22">
        <v>2</v>
      </c>
      <c r="N19" s="23">
        <v>14.5</v>
      </c>
      <c r="O19" s="24">
        <v>0.13793103448275862</v>
      </c>
      <c r="P19" s="22">
        <v>1</v>
      </c>
      <c r="Q19" s="23">
        <v>17</v>
      </c>
      <c r="R19" s="24">
        <v>5.8823529411764705E-2</v>
      </c>
      <c r="S19" s="21">
        <v>0</v>
      </c>
      <c r="T19" s="23">
        <v>17.5</v>
      </c>
      <c r="U19" s="24">
        <v>0</v>
      </c>
      <c r="V19" s="21">
        <v>2</v>
      </c>
      <c r="W19" s="23">
        <v>18.5</v>
      </c>
      <c r="X19" s="24">
        <v>0.10810810810810811</v>
      </c>
      <c r="Y19" s="25">
        <v>6</v>
      </c>
      <c r="Z19" s="25">
        <v>16.5</v>
      </c>
      <c r="AA19" s="24">
        <v>0.36363636363636365</v>
      </c>
      <c r="AB19" s="22">
        <v>2</v>
      </c>
      <c r="AC19" s="22">
        <v>14.5</v>
      </c>
      <c r="AD19" s="24">
        <f>Table13[[#This Row],[Gönüllü Çıkış Sayısı]]/Table13[[#This Row],[Ortalama Çalışan Sayısı]]</f>
        <v>8.3333333333333329E-2</v>
      </c>
      <c r="AE19" s="26">
        <v>0</v>
      </c>
      <c r="AF19" s="25">
        <v>14</v>
      </c>
      <c r="AG19" s="24">
        <v>0</v>
      </c>
      <c r="AH19" s="26">
        <v>1</v>
      </c>
      <c r="AI19" s="25">
        <v>13.5</v>
      </c>
      <c r="AJ19" s="24">
        <v>7.407407407407407E-2</v>
      </c>
      <c r="AK19" s="26">
        <v>0</v>
      </c>
      <c r="AL19" s="25">
        <v>13</v>
      </c>
      <c r="AM19" s="24">
        <v>0</v>
      </c>
      <c r="AN19" s="26">
        <v>0</v>
      </c>
      <c r="AO19" s="25">
        <v>13</v>
      </c>
      <c r="AP19" s="24">
        <v>0</v>
      </c>
      <c r="AQ19" s="26">
        <v>3</v>
      </c>
      <c r="AR19" s="25">
        <v>14</v>
      </c>
      <c r="AS19" s="24">
        <v>0.21428571428571427</v>
      </c>
    </row>
    <row r="20" spans="1:45" x14ac:dyDescent="0.35">
      <c r="A20" s="21" t="s">
        <v>30</v>
      </c>
      <c r="B20" s="22" t="s">
        <v>30</v>
      </c>
      <c r="C20" s="21" t="s">
        <v>672</v>
      </c>
      <c r="D20" s="22" t="s">
        <v>673</v>
      </c>
      <c r="E20" s="22" t="s">
        <v>623</v>
      </c>
      <c r="F20" s="22" t="s">
        <v>641</v>
      </c>
      <c r="G20" s="22" t="s">
        <v>641</v>
      </c>
      <c r="H20" s="22" t="s">
        <v>636</v>
      </c>
      <c r="I20" s="22" t="s">
        <v>674</v>
      </c>
      <c r="J20" s="22">
        <v>1</v>
      </c>
      <c r="K20" s="22">
        <v>17</v>
      </c>
      <c r="L20" s="24">
        <v>5.8823529411764705E-2</v>
      </c>
      <c r="M20" s="22">
        <v>1</v>
      </c>
      <c r="N20" s="23">
        <v>8.5</v>
      </c>
      <c r="O20" s="24">
        <v>0.11764705882352941</v>
      </c>
      <c r="P20" s="22">
        <v>1</v>
      </c>
      <c r="Q20" s="23">
        <v>7.5</v>
      </c>
      <c r="R20" s="24">
        <v>0.13333333333333333</v>
      </c>
      <c r="S20" s="21">
        <v>1</v>
      </c>
      <c r="T20" s="23">
        <v>19</v>
      </c>
      <c r="U20" s="24">
        <v>5.2631578947368418E-2</v>
      </c>
      <c r="V20" s="21">
        <v>1</v>
      </c>
      <c r="W20" s="23">
        <v>22</v>
      </c>
      <c r="X20" s="24">
        <v>4.5454545454545456E-2</v>
      </c>
      <c r="Y20" s="25">
        <v>7</v>
      </c>
      <c r="Z20" s="25">
        <v>20</v>
      </c>
      <c r="AA20" s="24">
        <v>0.35</v>
      </c>
      <c r="AB20" s="22">
        <v>0</v>
      </c>
      <c r="AC20" s="22">
        <v>18</v>
      </c>
      <c r="AD20" s="24">
        <f>Table13[[#This Row],[Gönüllü Çıkış Sayısı]]/Table13[[#This Row],[Ortalama Çalışan Sayısı]]</f>
        <v>5.8823529411764705E-2</v>
      </c>
      <c r="AE20" s="26">
        <v>0</v>
      </c>
      <c r="AF20" s="25">
        <v>11</v>
      </c>
      <c r="AG20" s="24">
        <v>0</v>
      </c>
      <c r="AH20" s="26">
        <v>1</v>
      </c>
      <c r="AI20" s="25">
        <v>10.5</v>
      </c>
      <c r="AJ20" s="24">
        <v>9.5238095238095233E-2</v>
      </c>
      <c r="AK20" s="26">
        <v>1</v>
      </c>
      <c r="AL20" s="25">
        <v>19.5</v>
      </c>
      <c r="AM20" s="24">
        <v>5.128205128205128E-2</v>
      </c>
      <c r="AN20" s="26">
        <v>1</v>
      </c>
      <c r="AO20" s="25">
        <v>18</v>
      </c>
      <c r="AP20" s="24">
        <v>5.5555555555555552E-2</v>
      </c>
      <c r="AQ20" s="26">
        <v>6</v>
      </c>
      <c r="AR20" s="25">
        <v>17.5</v>
      </c>
      <c r="AS20" s="24">
        <v>0.34285714285714286</v>
      </c>
    </row>
    <row r="21" spans="1:45" x14ac:dyDescent="0.35">
      <c r="A21" s="21" t="s">
        <v>31</v>
      </c>
      <c r="B21" s="22" t="s">
        <v>31</v>
      </c>
      <c r="C21" s="21" t="s">
        <v>675</v>
      </c>
      <c r="D21" s="22" t="s">
        <v>670</v>
      </c>
      <c r="E21" s="22" t="s">
        <v>657</v>
      </c>
      <c r="F21" s="22" t="s">
        <v>641</v>
      </c>
      <c r="G21" s="22" t="s">
        <v>641</v>
      </c>
      <c r="H21" s="22" t="s">
        <v>654</v>
      </c>
      <c r="I21" s="22" t="s">
        <v>676</v>
      </c>
      <c r="J21" s="22">
        <v>2</v>
      </c>
      <c r="K21" s="22">
        <v>14</v>
      </c>
      <c r="L21" s="24">
        <v>0.14285714285714285</v>
      </c>
      <c r="M21" s="22">
        <v>2</v>
      </c>
      <c r="N21" s="23">
        <v>18</v>
      </c>
      <c r="O21" s="24">
        <v>0.1111111111111111</v>
      </c>
      <c r="P21" s="22">
        <v>2</v>
      </c>
      <c r="Q21" s="23">
        <v>16.5</v>
      </c>
      <c r="R21" s="24">
        <v>0.12121212121212122</v>
      </c>
      <c r="S21" s="21">
        <v>0</v>
      </c>
      <c r="T21" s="23">
        <v>13.5</v>
      </c>
      <c r="U21" s="24">
        <v>0</v>
      </c>
      <c r="V21" s="21">
        <v>1</v>
      </c>
      <c r="W21" s="23">
        <v>15</v>
      </c>
      <c r="X21" s="24">
        <v>6.6666666666666666E-2</v>
      </c>
      <c r="Y21" s="25">
        <v>5</v>
      </c>
      <c r="Z21" s="25">
        <v>15.5</v>
      </c>
      <c r="AA21" s="24">
        <v>0.32258064516129031</v>
      </c>
      <c r="AB21" s="22">
        <v>0</v>
      </c>
      <c r="AC21" s="22">
        <v>16</v>
      </c>
      <c r="AD21" s="24">
        <f>Table13[[#This Row],[Gönüllü Çıkış Sayısı]]/Table13[[#This Row],[Ortalama Çalışan Sayısı]]</f>
        <v>0.14285714285714285</v>
      </c>
      <c r="AE21" s="26">
        <v>3</v>
      </c>
      <c r="AF21" s="25">
        <v>17.5</v>
      </c>
      <c r="AG21" s="24">
        <v>0.17142857142857143</v>
      </c>
      <c r="AH21" s="26">
        <v>1</v>
      </c>
      <c r="AI21" s="25">
        <v>18.5</v>
      </c>
      <c r="AJ21" s="24">
        <v>5.4054054054054057E-2</v>
      </c>
      <c r="AK21" s="26">
        <v>1</v>
      </c>
      <c r="AL21" s="25">
        <v>17.5</v>
      </c>
      <c r="AM21" s="24">
        <v>5.7142857142857141E-2</v>
      </c>
      <c r="AN21" s="26">
        <v>0</v>
      </c>
      <c r="AO21" s="25">
        <v>17</v>
      </c>
      <c r="AP21" s="24">
        <v>0</v>
      </c>
      <c r="AQ21" s="26">
        <v>2</v>
      </c>
      <c r="AR21" s="25">
        <v>16.5</v>
      </c>
      <c r="AS21" s="24">
        <v>0.12121212121212122</v>
      </c>
    </row>
    <row r="22" spans="1:45" x14ac:dyDescent="0.35">
      <c r="A22" s="21" t="s">
        <v>429</v>
      </c>
      <c r="B22" s="22" t="s">
        <v>429</v>
      </c>
      <c r="C22" s="21" t="s">
        <v>677</v>
      </c>
      <c r="D22" s="22" t="s">
        <v>678</v>
      </c>
      <c r="E22" s="22" t="s">
        <v>623</v>
      </c>
      <c r="F22" s="22" t="s">
        <v>624</v>
      </c>
      <c r="G22" s="22" t="s">
        <v>624</v>
      </c>
      <c r="H22" s="22" t="s">
        <v>654</v>
      </c>
      <c r="I22" s="22" t="s">
        <v>679</v>
      </c>
      <c r="J22" s="22">
        <v>0</v>
      </c>
      <c r="K22" s="22">
        <v>12.5</v>
      </c>
      <c r="L22" s="24">
        <v>0</v>
      </c>
      <c r="M22" s="22">
        <v>0</v>
      </c>
      <c r="N22" s="23">
        <v>13</v>
      </c>
      <c r="O22" s="24">
        <v>0</v>
      </c>
      <c r="P22" s="22">
        <v>2</v>
      </c>
      <c r="Q22" s="23">
        <v>13.5</v>
      </c>
      <c r="R22" s="24">
        <v>0.14814814814814814</v>
      </c>
      <c r="S22" s="21">
        <v>4</v>
      </c>
      <c r="T22" s="23">
        <v>13</v>
      </c>
      <c r="U22" s="24">
        <v>0.30769230769230771</v>
      </c>
      <c r="V22" s="21">
        <v>2</v>
      </c>
      <c r="W22" s="23">
        <v>12.5</v>
      </c>
      <c r="X22" s="24">
        <v>0.16</v>
      </c>
      <c r="Y22" s="25">
        <v>7</v>
      </c>
      <c r="Z22" s="25">
        <v>12.5</v>
      </c>
      <c r="AA22" s="24">
        <v>0.56000000000000005</v>
      </c>
      <c r="AB22" s="22">
        <v>1</v>
      </c>
      <c r="AC22" s="22">
        <v>14</v>
      </c>
      <c r="AD22" s="24">
        <f>Table13[[#This Row],[Gönüllü Çıkış Sayısı]]/Table13[[#This Row],[Ortalama Çalışan Sayısı]]</f>
        <v>0</v>
      </c>
      <c r="AE22" s="26">
        <v>0</v>
      </c>
      <c r="AF22" s="25">
        <v>16.5</v>
      </c>
      <c r="AG22" s="24">
        <v>0</v>
      </c>
      <c r="AH22" s="26">
        <v>1</v>
      </c>
      <c r="AI22" s="25">
        <v>17</v>
      </c>
      <c r="AJ22" s="24">
        <v>5.8823529411764705E-2</v>
      </c>
      <c r="AK22" s="26">
        <v>3</v>
      </c>
      <c r="AL22" s="25">
        <v>12.5</v>
      </c>
      <c r="AM22" s="24">
        <v>0.24</v>
      </c>
      <c r="AN22" s="26">
        <v>1</v>
      </c>
      <c r="AO22" s="25">
        <v>13</v>
      </c>
      <c r="AP22" s="24">
        <v>7.6923076923076927E-2</v>
      </c>
      <c r="AQ22" s="26">
        <v>5</v>
      </c>
      <c r="AR22" s="25">
        <v>14.5</v>
      </c>
      <c r="AS22" s="24">
        <v>0.34482758620689657</v>
      </c>
    </row>
    <row r="23" spans="1:45" x14ac:dyDescent="0.35">
      <c r="A23" s="21" t="s">
        <v>32</v>
      </c>
      <c r="B23" s="22" t="s">
        <v>33</v>
      </c>
      <c r="C23" s="21" t="s">
        <v>680</v>
      </c>
      <c r="D23" s="22" t="s">
        <v>622</v>
      </c>
      <c r="E23" s="22" t="s">
        <v>623</v>
      </c>
      <c r="F23" s="22" t="s">
        <v>624</v>
      </c>
      <c r="G23" s="22" t="s">
        <v>624</v>
      </c>
      <c r="H23" s="22" t="s">
        <v>654</v>
      </c>
      <c r="I23" s="22" t="s">
        <v>681</v>
      </c>
      <c r="J23" s="22">
        <v>3</v>
      </c>
      <c r="K23" s="22">
        <v>14</v>
      </c>
      <c r="L23" s="24">
        <v>0.21428571428571427</v>
      </c>
      <c r="M23" s="22">
        <v>0</v>
      </c>
      <c r="N23" s="23">
        <v>14.5</v>
      </c>
      <c r="O23" s="24">
        <v>0</v>
      </c>
      <c r="P23" s="22">
        <v>1</v>
      </c>
      <c r="Q23" s="23">
        <v>14.5</v>
      </c>
      <c r="R23" s="24">
        <v>6.8965517241379309E-2</v>
      </c>
      <c r="S23" s="21">
        <v>0</v>
      </c>
      <c r="T23" s="23">
        <v>17</v>
      </c>
      <c r="U23" s="24">
        <v>0</v>
      </c>
      <c r="V23" s="21">
        <v>3</v>
      </c>
      <c r="W23" s="23">
        <v>15.5</v>
      </c>
      <c r="X23" s="24">
        <v>0.19354838709677419</v>
      </c>
      <c r="Y23" s="25">
        <v>8</v>
      </c>
      <c r="Z23" s="25">
        <v>15</v>
      </c>
      <c r="AA23" s="24">
        <v>0.53333333333333333</v>
      </c>
      <c r="AB23" s="22">
        <v>1</v>
      </c>
      <c r="AC23" s="22">
        <v>18.5</v>
      </c>
      <c r="AD23" s="24">
        <f>Table13[[#This Row],[Gönüllü Çıkış Sayısı]]/Table13[[#This Row],[Ortalama Çalışan Sayısı]]</f>
        <v>0.21428571428571427</v>
      </c>
      <c r="AE23" s="26">
        <v>0</v>
      </c>
      <c r="AF23" s="25">
        <v>14</v>
      </c>
      <c r="AG23" s="24">
        <v>0</v>
      </c>
      <c r="AH23" s="26">
        <v>0</v>
      </c>
      <c r="AI23" s="25">
        <v>14</v>
      </c>
      <c r="AJ23" s="24">
        <v>0</v>
      </c>
      <c r="AK23" s="26">
        <v>2</v>
      </c>
      <c r="AL23" s="25">
        <v>16</v>
      </c>
      <c r="AM23" s="24">
        <v>0.125</v>
      </c>
      <c r="AN23" s="26">
        <v>5</v>
      </c>
      <c r="AO23" s="25">
        <v>16</v>
      </c>
      <c r="AP23" s="24">
        <v>0.3125</v>
      </c>
      <c r="AQ23" s="26">
        <v>12</v>
      </c>
      <c r="AR23" s="25">
        <v>17.5</v>
      </c>
      <c r="AS23" s="24">
        <v>0.68571428571428572</v>
      </c>
    </row>
    <row r="24" spans="1:45" x14ac:dyDescent="0.35">
      <c r="A24" s="21" t="s">
        <v>34</v>
      </c>
      <c r="B24" s="22" t="s">
        <v>34</v>
      </c>
      <c r="C24" s="21" t="s">
        <v>682</v>
      </c>
      <c r="D24" s="22" t="s">
        <v>656</v>
      </c>
      <c r="E24" s="22" t="s">
        <v>657</v>
      </c>
      <c r="F24" s="22" t="s">
        <v>658</v>
      </c>
      <c r="G24" s="22" t="s">
        <v>1570</v>
      </c>
      <c r="H24" s="22" t="s">
        <v>654</v>
      </c>
      <c r="I24" s="22" t="s">
        <v>632</v>
      </c>
      <c r="J24" s="22">
        <v>1</v>
      </c>
      <c r="K24" s="22">
        <v>13.5</v>
      </c>
      <c r="L24" s="24">
        <v>7.407407407407407E-2</v>
      </c>
      <c r="M24" s="22">
        <v>2</v>
      </c>
      <c r="N24" s="23">
        <v>14.5</v>
      </c>
      <c r="O24" s="24">
        <v>0.13793103448275862</v>
      </c>
      <c r="P24" s="22">
        <v>0</v>
      </c>
      <c r="Q24" s="23">
        <v>16</v>
      </c>
      <c r="R24" s="24">
        <v>0</v>
      </c>
      <c r="S24" s="21">
        <v>2</v>
      </c>
      <c r="T24" s="23">
        <v>15</v>
      </c>
      <c r="U24" s="24">
        <v>0.13333333333333333</v>
      </c>
      <c r="V24" s="21">
        <v>2</v>
      </c>
      <c r="W24" s="23">
        <v>16</v>
      </c>
      <c r="X24" s="24">
        <v>0.125</v>
      </c>
      <c r="Y24" s="25">
        <v>6</v>
      </c>
      <c r="Z24" s="25">
        <v>16</v>
      </c>
      <c r="AA24" s="24">
        <v>0.375</v>
      </c>
      <c r="AB24" s="22">
        <v>1</v>
      </c>
      <c r="AC24" s="22">
        <v>16.5</v>
      </c>
      <c r="AD24" s="24">
        <f>Table13[[#This Row],[Gönüllü Çıkış Sayısı]]/Table13[[#This Row],[Ortalama Çalışan Sayısı]]</f>
        <v>7.407407407407407E-2</v>
      </c>
      <c r="AE24" s="26">
        <v>1</v>
      </c>
      <c r="AF24" s="25">
        <v>17.5</v>
      </c>
      <c r="AG24" s="24">
        <v>5.7142857142857141E-2</v>
      </c>
      <c r="AH24" s="26">
        <v>3</v>
      </c>
      <c r="AI24" s="25">
        <v>16.5</v>
      </c>
      <c r="AJ24" s="24">
        <v>0.18181818181818182</v>
      </c>
      <c r="AK24" s="26">
        <v>1</v>
      </c>
      <c r="AL24" s="25">
        <v>17.5</v>
      </c>
      <c r="AM24" s="24">
        <v>5.7142857142857141E-2</v>
      </c>
      <c r="AN24" s="26">
        <v>2</v>
      </c>
      <c r="AO24" s="25">
        <v>17</v>
      </c>
      <c r="AP24" s="24">
        <v>0.11764705882352941</v>
      </c>
      <c r="AQ24" s="26">
        <v>6</v>
      </c>
      <c r="AR24" s="25">
        <v>17</v>
      </c>
      <c r="AS24" s="24">
        <v>0.35294117647058826</v>
      </c>
    </row>
    <row r="25" spans="1:45" x14ac:dyDescent="0.35">
      <c r="A25" s="21" t="s">
        <v>35</v>
      </c>
      <c r="B25" s="22" t="s">
        <v>35</v>
      </c>
      <c r="C25" s="21" t="s">
        <v>683</v>
      </c>
      <c r="D25" s="22" t="s">
        <v>684</v>
      </c>
      <c r="E25" s="22" t="s">
        <v>623</v>
      </c>
      <c r="F25" s="22" t="s">
        <v>662</v>
      </c>
      <c r="G25" s="22" t="s">
        <v>662</v>
      </c>
      <c r="H25" s="22" t="s">
        <v>654</v>
      </c>
      <c r="I25" s="22" t="s">
        <v>685</v>
      </c>
      <c r="J25" s="22">
        <v>0</v>
      </c>
      <c r="K25" s="22">
        <v>15</v>
      </c>
      <c r="L25" s="24">
        <v>0</v>
      </c>
      <c r="M25" s="22">
        <v>1</v>
      </c>
      <c r="N25" s="23">
        <v>14</v>
      </c>
      <c r="O25" s="24">
        <v>7.1428571428571425E-2</v>
      </c>
      <c r="P25" s="22">
        <v>0</v>
      </c>
      <c r="Q25" s="23">
        <v>14</v>
      </c>
      <c r="R25" s="24">
        <v>0</v>
      </c>
      <c r="S25" s="21">
        <v>1</v>
      </c>
      <c r="T25" s="23">
        <v>15.5</v>
      </c>
      <c r="U25" s="24">
        <v>6.4516129032258063E-2</v>
      </c>
      <c r="V25" s="21">
        <v>0</v>
      </c>
      <c r="W25" s="23">
        <v>16.5</v>
      </c>
      <c r="X25" s="24">
        <v>0</v>
      </c>
      <c r="Y25" s="25">
        <v>1</v>
      </c>
      <c r="Z25" s="25">
        <v>16</v>
      </c>
      <c r="AA25" s="24">
        <v>6.25E-2</v>
      </c>
      <c r="AB25" s="22">
        <v>0</v>
      </c>
      <c r="AC25" s="22">
        <v>16.5</v>
      </c>
      <c r="AD25" s="24">
        <f>Table13[[#This Row],[Gönüllü Çıkış Sayısı]]/Table13[[#This Row],[Ortalama Çalışan Sayısı]]</f>
        <v>0</v>
      </c>
      <c r="AE25" s="26">
        <v>1</v>
      </c>
      <c r="AF25" s="25">
        <v>16.5</v>
      </c>
      <c r="AG25" s="24">
        <v>6.0606060606060608E-2</v>
      </c>
      <c r="AH25" s="26">
        <v>1</v>
      </c>
      <c r="AI25" s="25">
        <v>17</v>
      </c>
      <c r="AJ25" s="24">
        <v>5.8823529411764705E-2</v>
      </c>
      <c r="AK25" s="26">
        <v>1</v>
      </c>
      <c r="AL25" s="25">
        <v>19</v>
      </c>
      <c r="AM25" s="24">
        <v>5.2631578947368418E-2</v>
      </c>
      <c r="AN25" s="26">
        <v>2</v>
      </c>
      <c r="AO25" s="25">
        <v>18.5</v>
      </c>
      <c r="AP25" s="24">
        <v>0.10810810810810811</v>
      </c>
      <c r="AQ25" s="26">
        <v>3</v>
      </c>
      <c r="AR25" s="25">
        <v>17.5</v>
      </c>
      <c r="AS25" s="24">
        <v>0.17142857142857143</v>
      </c>
    </row>
    <row r="26" spans="1:45" x14ac:dyDescent="0.35">
      <c r="A26" s="21" t="s">
        <v>420</v>
      </c>
      <c r="B26" s="22" t="s">
        <v>420</v>
      </c>
      <c r="C26" s="21" t="s">
        <v>686</v>
      </c>
      <c r="D26" s="22" t="s">
        <v>634</v>
      </c>
      <c r="E26" s="22" t="s">
        <v>629</v>
      </c>
      <c r="F26" s="22" t="s">
        <v>635</v>
      </c>
      <c r="G26" s="22" t="s">
        <v>635</v>
      </c>
      <c r="H26" s="22" t="s">
        <v>631</v>
      </c>
      <c r="I26" s="22" t="s">
        <v>637</v>
      </c>
      <c r="J26" s="22">
        <v>0</v>
      </c>
      <c r="K26" s="22">
        <v>26</v>
      </c>
      <c r="L26" s="24">
        <v>0</v>
      </c>
      <c r="M26" s="22">
        <v>0</v>
      </c>
      <c r="N26" s="23">
        <v>15</v>
      </c>
      <c r="O26" s="24">
        <v>0</v>
      </c>
      <c r="P26" s="22">
        <v>0</v>
      </c>
      <c r="Q26" s="23">
        <v>16</v>
      </c>
      <c r="R26" s="24">
        <v>0</v>
      </c>
      <c r="S26" s="21">
        <v>1</v>
      </c>
      <c r="T26" s="23">
        <v>29.5</v>
      </c>
      <c r="U26" s="24">
        <v>3.3898305084745763E-2</v>
      </c>
      <c r="V26" s="21">
        <v>4</v>
      </c>
      <c r="W26" s="23">
        <v>27.5</v>
      </c>
      <c r="X26" s="24">
        <v>0.14545454545454545</v>
      </c>
      <c r="Y26" s="25">
        <v>5</v>
      </c>
      <c r="Z26" s="25">
        <v>27.5</v>
      </c>
      <c r="AA26" s="24">
        <v>0.18181818181818182</v>
      </c>
      <c r="AB26" s="22">
        <v>1</v>
      </c>
      <c r="AC26" s="22">
        <v>28</v>
      </c>
      <c r="AD26" s="24">
        <f>Table13[[#This Row],[Gönüllü Çıkış Sayısı]]/Table13[[#This Row],[Ortalama Çalışan Sayısı]]</f>
        <v>0</v>
      </c>
      <c r="AE26" s="26">
        <v>0</v>
      </c>
      <c r="AF26" s="25">
        <v>18</v>
      </c>
      <c r="AG26" s="24">
        <v>0</v>
      </c>
      <c r="AH26" s="26">
        <v>0</v>
      </c>
      <c r="AI26" s="25">
        <v>19</v>
      </c>
      <c r="AJ26" s="24">
        <v>0</v>
      </c>
      <c r="AK26" s="26">
        <v>3</v>
      </c>
      <c r="AL26" s="25">
        <v>28.5</v>
      </c>
      <c r="AM26" s="24">
        <v>0.10526315789473684</v>
      </c>
      <c r="AN26" s="26">
        <v>4</v>
      </c>
      <c r="AO26" s="25">
        <v>27.5</v>
      </c>
      <c r="AP26" s="24">
        <v>0.14545454545454545</v>
      </c>
      <c r="AQ26" s="26">
        <v>12</v>
      </c>
      <c r="AR26" s="25">
        <v>27.5</v>
      </c>
      <c r="AS26" s="24">
        <v>0.43636363636363634</v>
      </c>
    </row>
    <row r="27" spans="1:45" x14ac:dyDescent="0.35">
      <c r="A27" s="21" t="s">
        <v>417</v>
      </c>
      <c r="B27" s="22" t="s">
        <v>417</v>
      </c>
      <c r="C27" s="21" t="s">
        <v>418</v>
      </c>
      <c r="D27" s="22" t="s">
        <v>684</v>
      </c>
      <c r="E27" s="22" t="s">
        <v>623</v>
      </c>
      <c r="F27" s="22" t="s">
        <v>662</v>
      </c>
      <c r="G27" s="22" t="s">
        <v>662</v>
      </c>
      <c r="H27" s="22" t="s">
        <v>654</v>
      </c>
      <c r="I27" s="22" t="s">
        <v>687</v>
      </c>
      <c r="J27" s="22">
        <v>0</v>
      </c>
      <c r="K27" s="22">
        <v>17.5</v>
      </c>
      <c r="L27" s="24">
        <v>0</v>
      </c>
      <c r="M27" s="22">
        <v>0</v>
      </c>
      <c r="N27" s="23">
        <v>27</v>
      </c>
      <c r="O27" s="24">
        <v>0</v>
      </c>
      <c r="P27" s="22">
        <v>0</v>
      </c>
      <c r="Q27" s="23">
        <v>27</v>
      </c>
      <c r="R27" s="24">
        <v>0</v>
      </c>
      <c r="S27" s="21">
        <v>0</v>
      </c>
      <c r="T27" s="23">
        <v>16.5</v>
      </c>
      <c r="U27" s="24">
        <v>0</v>
      </c>
      <c r="V27" s="21">
        <v>0</v>
      </c>
      <c r="W27" s="23">
        <v>17</v>
      </c>
      <c r="X27" s="24">
        <v>0</v>
      </c>
      <c r="Y27" s="25">
        <v>1</v>
      </c>
      <c r="Z27" s="25">
        <v>18</v>
      </c>
      <c r="AA27" s="24">
        <v>5.5555555555555552E-2</v>
      </c>
      <c r="AB27" s="22">
        <v>0</v>
      </c>
      <c r="AC27" s="22">
        <v>20</v>
      </c>
      <c r="AD27" s="24">
        <f>Table13[[#This Row],[Gönüllü Çıkış Sayısı]]/Table13[[#This Row],[Ortalama Çalışan Sayısı]]</f>
        <v>0</v>
      </c>
      <c r="AE27" s="26">
        <v>2</v>
      </c>
      <c r="AF27" s="25">
        <v>28</v>
      </c>
      <c r="AG27" s="24">
        <v>7.1428571428571425E-2</v>
      </c>
      <c r="AH27" s="26">
        <v>2</v>
      </c>
      <c r="AI27" s="25">
        <v>28.5</v>
      </c>
      <c r="AJ27" s="24">
        <v>7.0175438596491224E-2</v>
      </c>
      <c r="AK27" s="26">
        <v>0</v>
      </c>
      <c r="AL27" s="25">
        <v>20</v>
      </c>
      <c r="AM27" s="24">
        <v>0</v>
      </c>
      <c r="AN27" s="26">
        <v>1</v>
      </c>
      <c r="AO27" s="25">
        <v>19.5</v>
      </c>
      <c r="AP27" s="24">
        <v>5.128205128205128E-2</v>
      </c>
      <c r="AQ27" s="26">
        <v>1</v>
      </c>
      <c r="AR27" s="25">
        <v>19.5</v>
      </c>
      <c r="AS27" s="24">
        <v>5.128205128205128E-2</v>
      </c>
    </row>
    <row r="28" spans="1:45" x14ac:dyDescent="0.35">
      <c r="A28" s="21" t="s">
        <v>425</v>
      </c>
      <c r="B28" s="22" t="s">
        <v>425</v>
      </c>
      <c r="C28" s="21" t="s">
        <v>688</v>
      </c>
      <c r="D28" s="22" t="s">
        <v>678</v>
      </c>
      <c r="E28" s="22" t="s">
        <v>623</v>
      </c>
      <c r="F28" s="22" t="s">
        <v>624</v>
      </c>
      <c r="G28" s="22" t="s">
        <v>624</v>
      </c>
      <c r="H28" s="22" t="s">
        <v>654</v>
      </c>
      <c r="I28" s="22" t="s">
        <v>689</v>
      </c>
      <c r="J28" s="22">
        <v>3</v>
      </c>
      <c r="K28" s="22">
        <v>18.5</v>
      </c>
      <c r="L28" s="24">
        <v>0.16216216216216217</v>
      </c>
      <c r="M28" s="22">
        <v>0</v>
      </c>
      <c r="N28" s="23">
        <v>18.5</v>
      </c>
      <c r="O28" s="24">
        <v>0</v>
      </c>
      <c r="P28" s="22">
        <v>1</v>
      </c>
      <c r="Q28" s="23">
        <v>17.5</v>
      </c>
      <c r="R28" s="24">
        <v>5.7142857142857141E-2</v>
      </c>
      <c r="S28" s="21">
        <v>1</v>
      </c>
      <c r="T28" s="23">
        <v>20</v>
      </c>
      <c r="U28" s="24">
        <v>0.05</v>
      </c>
      <c r="V28" s="21">
        <v>1</v>
      </c>
      <c r="W28" s="23">
        <v>19.5</v>
      </c>
      <c r="X28" s="24">
        <v>5.128205128205128E-2</v>
      </c>
      <c r="Y28" s="25">
        <v>6</v>
      </c>
      <c r="Z28" s="25">
        <v>19.5</v>
      </c>
      <c r="AA28" s="24">
        <v>0.30769230769230771</v>
      </c>
      <c r="AB28" s="22">
        <v>1</v>
      </c>
      <c r="AC28" s="22">
        <v>19</v>
      </c>
      <c r="AD28" s="24">
        <f>Table13[[#This Row],[Gönüllü Çıkış Sayısı]]/Table13[[#This Row],[Ortalama Çalışan Sayısı]]</f>
        <v>0.16216216216216217</v>
      </c>
      <c r="AE28" s="26">
        <v>0</v>
      </c>
      <c r="AF28" s="25">
        <v>20</v>
      </c>
      <c r="AG28" s="24">
        <v>0</v>
      </c>
      <c r="AH28" s="26">
        <v>0</v>
      </c>
      <c r="AI28" s="25">
        <v>20</v>
      </c>
      <c r="AJ28" s="24">
        <v>0</v>
      </c>
      <c r="AK28" s="26">
        <v>0</v>
      </c>
      <c r="AL28" s="25">
        <v>18</v>
      </c>
      <c r="AM28" s="24">
        <v>0</v>
      </c>
      <c r="AN28" s="26">
        <v>1</v>
      </c>
      <c r="AO28" s="25">
        <v>17.5</v>
      </c>
      <c r="AP28" s="24">
        <v>5.7142857142857141E-2</v>
      </c>
      <c r="AQ28" s="26">
        <v>3</v>
      </c>
      <c r="AR28" s="25">
        <v>18</v>
      </c>
      <c r="AS28" s="24">
        <v>0.16666666666666666</v>
      </c>
    </row>
    <row r="29" spans="1:45" x14ac:dyDescent="0.35">
      <c r="A29" s="21" t="s">
        <v>36</v>
      </c>
      <c r="B29" s="22" t="s">
        <v>36</v>
      </c>
      <c r="C29" s="21" t="s">
        <v>690</v>
      </c>
      <c r="D29" s="22" t="s">
        <v>691</v>
      </c>
      <c r="E29" s="22" t="s">
        <v>657</v>
      </c>
      <c r="F29" s="22" t="s">
        <v>658</v>
      </c>
      <c r="G29" s="22" t="s">
        <v>662</v>
      </c>
      <c r="H29" s="22" t="s">
        <v>668</v>
      </c>
      <c r="I29" s="22" t="s">
        <v>632</v>
      </c>
      <c r="J29" s="22">
        <v>3</v>
      </c>
      <c r="K29" s="22">
        <v>13.5</v>
      </c>
      <c r="L29" s="24">
        <v>0.22222222222222221</v>
      </c>
      <c r="M29" s="22">
        <v>0</v>
      </c>
      <c r="N29" s="23">
        <v>20</v>
      </c>
      <c r="O29" s="24">
        <v>0</v>
      </c>
      <c r="P29" s="22">
        <v>1</v>
      </c>
      <c r="Q29" s="23">
        <v>20</v>
      </c>
      <c r="R29" s="24">
        <v>0.05</v>
      </c>
      <c r="S29" s="21">
        <v>0</v>
      </c>
      <c r="T29" s="23">
        <v>15.5</v>
      </c>
      <c r="U29" s="24">
        <v>0</v>
      </c>
      <c r="V29" s="21">
        <v>1</v>
      </c>
      <c r="W29" s="23">
        <v>16.5</v>
      </c>
      <c r="X29" s="24">
        <v>6.0606060606060608E-2</v>
      </c>
      <c r="Y29" s="25">
        <v>5</v>
      </c>
      <c r="Z29" s="25">
        <v>16</v>
      </c>
      <c r="AA29" s="24">
        <v>0.3125</v>
      </c>
      <c r="AB29" s="22">
        <v>0</v>
      </c>
      <c r="AC29" s="22">
        <v>18</v>
      </c>
      <c r="AD29" s="24">
        <f>Table13[[#This Row],[Gönüllü Çıkış Sayısı]]/Table13[[#This Row],[Ortalama Çalışan Sayısı]]</f>
        <v>0.22222222222222221</v>
      </c>
      <c r="AE29" s="26">
        <v>0</v>
      </c>
      <c r="AF29" s="25">
        <v>19</v>
      </c>
      <c r="AG29" s="24">
        <v>0</v>
      </c>
      <c r="AH29" s="26">
        <v>1</v>
      </c>
      <c r="AI29" s="25">
        <v>18.5</v>
      </c>
      <c r="AJ29" s="24">
        <v>5.4054054054054057E-2</v>
      </c>
      <c r="AK29" s="26">
        <v>0</v>
      </c>
      <c r="AL29" s="25">
        <v>17</v>
      </c>
      <c r="AM29" s="24">
        <v>0</v>
      </c>
      <c r="AN29" s="26">
        <v>1</v>
      </c>
      <c r="AO29" s="25">
        <v>16.5</v>
      </c>
      <c r="AP29" s="24">
        <v>6.0606060606060608E-2</v>
      </c>
      <c r="AQ29" s="26">
        <v>4</v>
      </c>
      <c r="AR29" s="25">
        <v>17</v>
      </c>
      <c r="AS29" s="24">
        <v>0.23529411764705882</v>
      </c>
    </row>
    <row r="30" spans="1:45" x14ac:dyDescent="0.35">
      <c r="A30" s="21" t="s">
        <v>37</v>
      </c>
      <c r="B30" s="22" t="s">
        <v>37</v>
      </c>
      <c r="C30" s="21" t="s">
        <v>692</v>
      </c>
      <c r="D30" s="22" t="s">
        <v>648</v>
      </c>
      <c r="E30" s="22" t="s">
        <v>623</v>
      </c>
      <c r="F30" s="22" t="s">
        <v>624</v>
      </c>
      <c r="G30" s="22" t="s">
        <v>624</v>
      </c>
      <c r="H30" s="22" t="s">
        <v>654</v>
      </c>
      <c r="I30" s="22" t="s">
        <v>649</v>
      </c>
      <c r="J30" s="22">
        <v>0</v>
      </c>
      <c r="K30" s="22">
        <v>15</v>
      </c>
      <c r="L30" s="24">
        <v>0</v>
      </c>
      <c r="M30" s="22">
        <v>0</v>
      </c>
      <c r="N30" s="23">
        <v>13</v>
      </c>
      <c r="O30" s="24">
        <v>0</v>
      </c>
      <c r="P30" s="22">
        <v>1</v>
      </c>
      <c r="Q30" s="23">
        <v>14</v>
      </c>
      <c r="R30" s="24">
        <v>7.1428571428571425E-2</v>
      </c>
      <c r="S30" s="21">
        <v>2</v>
      </c>
      <c r="T30" s="23">
        <v>14</v>
      </c>
      <c r="U30" s="24">
        <v>0.14285714285714285</v>
      </c>
      <c r="V30" s="21">
        <v>1</v>
      </c>
      <c r="W30" s="23">
        <v>14.5</v>
      </c>
      <c r="X30" s="24">
        <v>6.8965517241379309E-2</v>
      </c>
      <c r="Y30" s="25">
        <v>5</v>
      </c>
      <c r="Z30" s="25">
        <v>14.5</v>
      </c>
      <c r="AA30" s="24">
        <v>0.34482758620689657</v>
      </c>
      <c r="AB30" s="22">
        <v>0</v>
      </c>
      <c r="AC30" s="22">
        <v>18</v>
      </c>
      <c r="AD30" s="24">
        <f>Table13[[#This Row],[Gönüllü Çıkış Sayısı]]/Table13[[#This Row],[Ortalama Çalışan Sayısı]]</f>
        <v>0</v>
      </c>
      <c r="AE30" s="26">
        <v>0</v>
      </c>
      <c r="AF30" s="25">
        <v>17.5</v>
      </c>
      <c r="AG30" s="24">
        <v>0</v>
      </c>
      <c r="AH30" s="26">
        <v>3</v>
      </c>
      <c r="AI30" s="25">
        <v>17.5</v>
      </c>
      <c r="AJ30" s="24">
        <v>0.17142857142857143</v>
      </c>
      <c r="AK30" s="26">
        <v>0</v>
      </c>
      <c r="AL30" s="25">
        <v>18</v>
      </c>
      <c r="AM30" s="24">
        <v>0</v>
      </c>
      <c r="AN30" s="26">
        <v>0</v>
      </c>
      <c r="AO30" s="25">
        <v>15</v>
      </c>
      <c r="AP30" s="24">
        <v>0</v>
      </c>
      <c r="AQ30" s="26">
        <v>1</v>
      </c>
      <c r="AR30" s="25">
        <v>16.5</v>
      </c>
      <c r="AS30" s="24">
        <v>6.0606060606060608E-2</v>
      </c>
    </row>
    <row r="31" spans="1:45" x14ac:dyDescent="0.35">
      <c r="A31" s="21" t="s">
        <v>39</v>
      </c>
      <c r="B31" s="22" t="s">
        <v>39</v>
      </c>
      <c r="C31" s="21" t="s">
        <v>40</v>
      </c>
      <c r="D31" s="22" t="s">
        <v>661</v>
      </c>
      <c r="E31" s="22" t="s">
        <v>657</v>
      </c>
      <c r="F31" s="22" t="s">
        <v>662</v>
      </c>
      <c r="G31" s="22" t="s">
        <v>662</v>
      </c>
      <c r="H31" s="22" t="s">
        <v>636</v>
      </c>
      <c r="I31" s="22" t="s">
        <v>632</v>
      </c>
      <c r="J31" s="22">
        <v>1</v>
      </c>
      <c r="K31" s="22">
        <v>21</v>
      </c>
      <c r="L31" s="24">
        <v>4.7619047619047616E-2</v>
      </c>
      <c r="M31" s="22">
        <v>1</v>
      </c>
      <c r="N31" s="23">
        <v>15.5</v>
      </c>
      <c r="O31" s="24">
        <v>6.4516129032258063E-2</v>
      </c>
      <c r="P31" s="22">
        <v>1</v>
      </c>
      <c r="Q31" s="23">
        <v>14</v>
      </c>
      <c r="R31" s="24">
        <v>7.1428571428571425E-2</v>
      </c>
      <c r="S31" s="21">
        <v>0</v>
      </c>
      <c r="T31" s="23">
        <v>22.5</v>
      </c>
      <c r="U31" s="24">
        <v>0</v>
      </c>
      <c r="V31" s="21">
        <v>1</v>
      </c>
      <c r="W31" s="23">
        <v>23</v>
      </c>
      <c r="X31" s="24">
        <v>4.3478260869565216E-2</v>
      </c>
      <c r="Y31" s="25">
        <v>10</v>
      </c>
      <c r="Z31" s="25">
        <v>22.5</v>
      </c>
      <c r="AA31" s="24">
        <v>0.44444444444444442</v>
      </c>
      <c r="AB31" s="22">
        <v>0</v>
      </c>
      <c r="AC31" s="22">
        <v>29</v>
      </c>
      <c r="AD31" s="24">
        <f>Table13[[#This Row],[Gönüllü Çıkış Sayısı]]/Table13[[#This Row],[Ortalama Çalışan Sayısı]]</f>
        <v>4.7619047619047616E-2</v>
      </c>
      <c r="AE31" s="26">
        <v>0</v>
      </c>
      <c r="AF31" s="25">
        <v>18.5</v>
      </c>
      <c r="AG31" s="24">
        <v>0</v>
      </c>
      <c r="AH31" s="26">
        <v>1</v>
      </c>
      <c r="AI31" s="25">
        <v>18.5</v>
      </c>
      <c r="AJ31" s="24">
        <v>5.4054054054054057E-2</v>
      </c>
      <c r="AK31" s="26">
        <v>5</v>
      </c>
      <c r="AL31" s="25">
        <v>26</v>
      </c>
      <c r="AM31" s="24">
        <v>0.19230769230769232</v>
      </c>
      <c r="AN31" s="26">
        <v>3</v>
      </c>
      <c r="AO31" s="25">
        <v>25.5</v>
      </c>
      <c r="AP31" s="24">
        <v>0.11764705882352941</v>
      </c>
      <c r="AQ31" s="26">
        <v>11</v>
      </c>
      <c r="AR31" s="25">
        <v>27.5</v>
      </c>
      <c r="AS31" s="24">
        <v>0.4</v>
      </c>
    </row>
    <row r="32" spans="1:45" x14ac:dyDescent="0.35">
      <c r="A32" s="21" t="s">
        <v>41</v>
      </c>
      <c r="B32" s="22" t="s">
        <v>41</v>
      </c>
      <c r="C32" s="21" t="s">
        <v>693</v>
      </c>
      <c r="D32" s="22" t="s">
        <v>691</v>
      </c>
      <c r="E32" s="22" t="s">
        <v>657</v>
      </c>
      <c r="F32" s="22" t="s">
        <v>658</v>
      </c>
      <c r="G32" s="22" t="s">
        <v>662</v>
      </c>
      <c r="H32" s="22" t="s">
        <v>625</v>
      </c>
      <c r="I32" s="22" t="s">
        <v>632</v>
      </c>
      <c r="J32" s="22">
        <v>0</v>
      </c>
      <c r="K32" s="22">
        <v>39.5</v>
      </c>
      <c r="L32" s="24">
        <v>0</v>
      </c>
      <c r="M32" s="22">
        <v>5</v>
      </c>
      <c r="N32" s="23">
        <v>21</v>
      </c>
      <c r="O32" s="24">
        <v>0.23809523809523808</v>
      </c>
      <c r="P32" s="22">
        <v>3</v>
      </c>
      <c r="Q32" s="23">
        <v>23</v>
      </c>
      <c r="R32" s="24">
        <v>0.13043478260869565</v>
      </c>
      <c r="S32" s="21">
        <v>1</v>
      </c>
      <c r="T32" s="23">
        <v>39</v>
      </c>
      <c r="U32" s="24">
        <v>2.564102564102564E-2</v>
      </c>
      <c r="V32" s="21">
        <v>2</v>
      </c>
      <c r="W32" s="23">
        <v>40</v>
      </c>
      <c r="X32" s="24">
        <v>0.05</v>
      </c>
      <c r="Y32" s="25">
        <v>6</v>
      </c>
      <c r="Z32" s="25">
        <v>41.5</v>
      </c>
      <c r="AA32" s="24">
        <v>0.14457831325301204</v>
      </c>
      <c r="AB32" s="22">
        <v>1</v>
      </c>
      <c r="AC32" s="22">
        <v>53.5</v>
      </c>
      <c r="AD32" s="24">
        <f>Table13[[#This Row],[Gönüllü Çıkış Sayısı]]/Table13[[#This Row],[Ortalama Çalışan Sayısı]]</f>
        <v>0</v>
      </c>
      <c r="AE32" s="26">
        <v>1</v>
      </c>
      <c r="AF32" s="25">
        <v>29</v>
      </c>
      <c r="AG32" s="24">
        <v>3.4482758620689655E-2</v>
      </c>
      <c r="AH32" s="26">
        <v>2</v>
      </c>
      <c r="AI32" s="25">
        <v>28.5</v>
      </c>
      <c r="AJ32" s="24">
        <v>7.0175438596491224E-2</v>
      </c>
      <c r="AK32" s="26">
        <v>2</v>
      </c>
      <c r="AL32" s="25">
        <v>51</v>
      </c>
      <c r="AM32" s="24">
        <v>3.9215686274509803E-2</v>
      </c>
      <c r="AN32" s="26">
        <v>2</v>
      </c>
      <c r="AO32" s="25">
        <v>49</v>
      </c>
      <c r="AP32" s="24">
        <v>4.0816326530612242E-2</v>
      </c>
      <c r="AQ32" s="26">
        <v>10</v>
      </c>
      <c r="AR32" s="25">
        <v>51</v>
      </c>
      <c r="AS32" s="24">
        <v>0.19607843137254902</v>
      </c>
    </row>
    <row r="33" spans="1:45" x14ac:dyDescent="0.35">
      <c r="A33" s="21" t="s">
        <v>42</v>
      </c>
      <c r="B33" s="22" t="s">
        <v>42</v>
      </c>
      <c r="C33" s="21" t="s">
        <v>694</v>
      </c>
      <c r="D33" s="22" t="s">
        <v>628</v>
      </c>
      <c r="E33" s="22" t="s">
        <v>629</v>
      </c>
      <c r="F33" s="22" t="s">
        <v>630</v>
      </c>
      <c r="G33" s="22" t="s">
        <v>1569</v>
      </c>
      <c r="H33" s="22" t="s">
        <v>625</v>
      </c>
      <c r="I33" s="22" t="s">
        <v>632</v>
      </c>
      <c r="J33" s="22">
        <v>6</v>
      </c>
      <c r="K33" s="22">
        <v>38.5</v>
      </c>
      <c r="L33" s="24">
        <v>0.15584415584415584</v>
      </c>
      <c r="M33" s="22">
        <v>0</v>
      </c>
      <c r="N33" s="23">
        <v>41</v>
      </c>
      <c r="O33" s="24">
        <v>0</v>
      </c>
      <c r="P33" s="22">
        <v>3</v>
      </c>
      <c r="Q33" s="23">
        <v>39.5</v>
      </c>
      <c r="R33" s="24">
        <v>7.5949367088607597E-2</v>
      </c>
      <c r="S33" s="21">
        <v>6</v>
      </c>
      <c r="T33" s="23">
        <v>42</v>
      </c>
      <c r="U33" s="24">
        <v>0.14285714285714285</v>
      </c>
      <c r="V33" s="21">
        <v>4</v>
      </c>
      <c r="W33" s="23">
        <v>44.5</v>
      </c>
      <c r="X33" s="24">
        <v>8.98876404494382E-2</v>
      </c>
      <c r="Y33" s="25">
        <v>23</v>
      </c>
      <c r="Z33" s="25">
        <v>42.5</v>
      </c>
      <c r="AA33" s="24">
        <v>0.54117647058823526</v>
      </c>
      <c r="AB33" s="22">
        <v>4</v>
      </c>
      <c r="AC33" s="22">
        <v>45</v>
      </c>
      <c r="AD33" s="24">
        <f>Table13[[#This Row],[Gönüllü Çıkış Sayısı]]/Table13[[#This Row],[Ortalama Çalışan Sayısı]]</f>
        <v>0.15584415584415584</v>
      </c>
      <c r="AE33" s="26">
        <v>1</v>
      </c>
      <c r="AF33" s="25">
        <v>52.5</v>
      </c>
      <c r="AG33" s="24">
        <v>1.9047619047619049E-2</v>
      </c>
      <c r="AH33" s="26">
        <v>4</v>
      </c>
      <c r="AI33" s="25">
        <v>51.5</v>
      </c>
      <c r="AJ33" s="24">
        <v>7.7669902912621352E-2</v>
      </c>
      <c r="AK33" s="26">
        <v>2</v>
      </c>
      <c r="AL33" s="25">
        <v>41.5</v>
      </c>
      <c r="AM33" s="24">
        <v>4.8192771084337352E-2</v>
      </c>
      <c r="AN33" s="26">
        <v>5</v>
      </c>
      <c r="AO33" s="25">
        <v>40</v>
      </c>
      <c r="AP33" s="24">
        <v>0.125</v>
      </c>
      <c r="AQ33" s="26">
        <v>19</v>
      </c>
      <c r="AR33" s="25">
        <v>43</v>
      </c>
      <c r="AS33" s="24">
        <v>0.44186046511627908</v>
      </c>
    </row>
    <row r="34" spans="1:45" x14ac:dyDescent="0.35">
      <c r="A34" s="21" t="s">
        <v>419</v>
      </c>
      <c r="B34" s="22" t="s">
        <v>419</v>
      </c>
      <c r="C34" s="21" t="s">
        <v>695</v>
      </c>
      <c r="D34" s="22" t="s">
        <v>628</v>
      </c>
      <c r="E34" s="22" t="s">
        <v>629</v>
      </c>
      <c r="F34" s="22" t="s">
        <v>630</v>
      </c>
      <c r="G34" s="22" t="s">
        <v>1569</v>
      </c>
      <c r="H34" s="22" t="s">
        <v>654</v>
      </c>
      <c r="I34" s="22" t="s">
        <v>632</v>
      </c>
      <c r="J34" s="22">
        <v>5</v>
      </c>
      <c r="K34" s="22">
        <v>11</v>
      </c>
      <c r="L34" s="24">
        <v>0.45454545454545453</v>
      </c>
      <c r="M34" s="22">
        <v>3</v>
      </c>
      <c r="N34" s="23">
        <v>41.5</v>
      </c>
      <c r="O34" s="24">
        <v>7.2289156626506021E-2</v>
      </c>
      <c r="P34" s="22">
        <v>4</v>
      </c>
      <c r="Q34" s="23">
        <v>43</v>
      </c>
      <c r="R34" s="24">
        <v>9.3023255813953487E-2</v>
      </c>
      <c r="S34" s="21">
        <v>2</v>
      </c>
      <c r="T34" s="23">
        <v>15.5</v>
      </c>
      <c r="U34" s="24">
        <v>0.12903225806451613</v>
      </c>
      <c r="V34" s="21">
        <v>3</v>
      </c>
      <c r="W34" s="23">
        <v>17</v>
      </c>
      <c r="X34" s="24">
        <v>0.17647058823529413</v>
      </c>
      <c r="Y34" s="25">
        <v>12</v>
      </c>
      <c r="Z34" s="25">
        <v>15</v>
      </c>
      <c r="AA34" s="24">
        <v>0.8</v>
      </c>
      <c r="AB34" s="22">
        <v>1</v>
      </c>
      <c r="AC34" s="22">
        <v>18</v>
      </c>
      <c r="AD34" s="24">
        <f>Table13[[#This Row],[Gönüllü Çıkış Sayısı]]/Table13[[#This Row],[Ortalama Çalışan Sayısı]]</f>
        <v>0.45454545454545453</v>
      </c>
      <c r="AE34" s="26">
        <v>5</v>
      </c>
      <c r="AF34" s="25">
        <v>42.5</v>
      </c>
      <c r="AG34" s="24">
        <v>0.11764705882352941</v>
      </c>
      <c r="AH34" s="26">
        <v>3</v>
      </c>
      <c r="AI34" s="25">
        <v>42</v>
      </c>
      <c r="AJ34" s="24">
        <v>7.1428571428571425E-2</v>
      </c>
      <c r="AK34" s="26">
        <v>2</v>
      </c>
      <c r="AL34" s="25">
        <v>16.5</v>
      </c>
      <c r="AM34" s="24">
        <v>0.12121212121212122</v>
      </c>
      <c r="AN34" s="26">
        <v>2</v>
      </c>
      <c r="AO34" s="25">
        <v>15</v>
      </c>
      <c r="AP34" s="24">
        <v>0.13333333333333333</v>
      </c>
      <c r="AQ34" s="26">
        <v>7</v>
      </c>
      <c r="AR34" s="25">
        <v>16</v>
      </c>
      <c r="AS34" s="24">
        <v>0.4375</v>
      </c>
    </row>
    <row r="35" spans="1:45" x14ac:dyDescent="0.35">
      <c r="A35" s="21" t="s">
        <v>426</v>
      </c>
      <c r="B35" s="22" t="s">
        <v>426</v>
      </c>
      <c r="C35" s="21" t="s">
        <v>696</v>
      </c>
      <c r="D35" s="22" t="s">
        <v>622</v>
      </c>
      <c r="E35" s="22" t="s">
        <v>623</v>
      </c>
      <c r="F35" s="22" t="s">
        <v>624</v>
      </c>
      <c r="G35" s="22" t="s">
        <v>624</v>
      </c>
      <c r="H35" s="22" t="s">
        <v>654</v>
      </c>
      <c r="I35" s="22" t="s">
        <v>649</v>
      </c>
      <c r="J35" s="22">
        <v>7</v>
      </c>
      <c r="K35" s="22">
        <v>18</v>
      </c>
      <c r="L35" s="24">
        <v>0.3888888888888889</v>
      </c>
      <c r="M35" s="22">
        <v>1</v>
      </c>
      <c r="N35" s="23">
        <v>13</v>
      </c>
      <c r="O35" s="24">
        <v>7.6923076923076927E-2</v>
      </c>
      <c r="P35" s="22">
        <v>1</v>
      </c>
      <c r="Q35" s="23">
        <v>13.5</v>
      </c>
      <c r="R35" s="24">
        <v>7.407407407407407E-2</v>
      </c>
      <c r="S35" s="21">
        <v>4</v>
      </c>
      <c r="T35" s="23">
        <v>20.5</v>
      </c>
      <c r="U35" s="24">
        <v>0.1951219512195122</v>
      </c>
      <c r="V35" s="21">
        <v>4</v>
      </c>
      <c r="W35" s="23">
        <v>18</v>
      </c>
      <c r="X35" s="24">
        <v>0.22222222222222221</v>
      </c>
      <c r="Y35" s="25">
        <v>24</v>
      </c>
      <c r="Z35" s="25">
        <v>20.5</v>
      </c>
      <c r="AA35" s="24">
        <v>1.1707317073170731</v>
      </c>
      <c r="AB35" s="22">
        <v>2</v>
      </c>
      <c r="AC35" s="22">
        <v>19.5</v>
      </c>
      <c r="AD35" s="24">
        <f>Table13[[#This Row],[Gönüllü Çıkış Sayısı]]/Table13[[#This Row],[Ortalama Çalışan Sayısı]]</f>
        <v>0.3888888888888889</v>
      </c>
      <c r="AE35" s="26">
        <v>0</v>
      </c>
      <c r="AF35" s="25">
        <v>18.5</v>
      </c>
      <c r="AG35" s="24">
        <v>0</v>
      </c>
      <c r="AH35" s="26">
        <v>2</v>
      </c>
      <c r="AI35" s="25">
        <v>18</v>
      </c>
      <c r="AJ35" s="24">
        <v>0.1111111111111111</v>
      </c>
      <c r="AK35" s="26">
        <v>0</v>
      </c>
      <c r="AL35" s="25">
        <v>17</v>
      </c>
      <c r="AM35" s="24">
        <v>0</v>
      </c>
      <c r="AN35" s="26">
        <v>0</v>
      </c>
      <c r="AO35" s="25">
        <v>17</v>
      </c>
      <c r="AP35" s="24">
        <v>0</v>
      </c>
      <c r="AQ35" s="26">
        <v>5</v>
      </c>
      <c r="AR35" s="25">
        <v>18.5</v>
      </c>
      <c r="AS35" s="24">
        <v>0.27027027027027029</v>
      </c>
    </row>
    <row r="36" spans="1:45" x14ac:dyDescent="0.35">
      <c r="A36" s="21" t="s">
        <v>422</v>
      </c>
      <c r="B36" s="22" t="s">
        <v>422</v>
      </c>
      <c r="C36" s="21" t="s">
        <v>423</v>
      </c>
      <c r="D36" s="22" t="s">
        <v>673</v>
      </c>
      <c r="E36" s="22" t="s">
        <v>623</v>
      </c>
      <c r="F36" s="22" t="s">
        <v>641</v>
      </c>
      <c r="G36" s="22" t="s">
        <v>641</v>
      </c>
      <c r="H36" s="22" t="s">
        <v>654</v>
      </c>
      <c r="I36" s="22" t="s">
        <v>697</v>
      </c>
      <c r="J36" s="22">
        <v>3</v>
      </c>
      <c r="K36" s="22">
        <v>21.5</v>
      </c>
      <c r="L36" s="24">
        <v>0.13953488372093023</v>
      </c>
      <c r="M36" s="22">
        <v>5</v>
      </c>
      <c r="N36" s="23">
        <v>16.5</v>
      </c>
      <c r="O36" s="24">
        <v>0.30303030303030304</v>
      </c>
      <c r="P36" s="22">
        <v>4</v>
      </c>
      <c r="Q36" s="23">
        <v>18.5</v>
      </c>
      <c r="R36" s="24">
        <v>0.21621621621621623</v>
      </c>
      <c r="S36" s="21">
        <v>3</v>
      </c>
      <c r="T36" s="23">
        <v>20.5</v>
      </c>
      <c r="U36" s="24">
        <v>0.14634146341463414</v>
      </c>
      <c r="V36" s="21">
        <v>4</v>
      </c>
      <c r="W36" s="23">
        <v>19.5</v>
      </c>
      <c r="X36" s="24">
        <v>0.20512820512820512</v>
      </c>
      <c r="Y36" s="25">
        <v>13</v>
      </c>
      <c r="Z36" s="25">
        <v>21</v>
      </c>
      <c r="AA36" s="24">
        <v>0.61904761904761907</v>
      </c>
      <c r="AB36" s="22">
        <v>4</v>
      </c>
      <c r="AC36" s="22">
        <v>23.5</v>
      </c>
      <c r="AD36" s="24">
        <f>Table13[[#This Row],[Gönüllü Çıkış Sayısı]]/Table13[[#This Row],[Ortalama Çalışan Sayısı]]</f>
        <v>0.13953488372093023</v>
      </c>
      <c r="AE36" s="26">
        <v>0</v>
      </c>
      <c r="AF36" s="25">
        <v>19</v>
      </c>
      <c r="AG36" s="24">
        <v>0</v>
      </c>
      <c r="AH36" s="26">
        <v>3</v>
      </c>
      <c r="AI36" s="25">
        <v>18.5</v>
      </c>
      <c r="AJ36" s="24">
        <v>0.16216216216216217</v>
      </c>
      <c r="AK36" s="26">
        <v>4</v>
      </c>
      <c r="AL36" s="25">
        <v>19.5</v>
      </c>
      <c r="AM36" s="24">
        <v>0.20512820512820512</v>
      </c>
      <c r="AN36" s="26">
        <v>2</v>
      </c>
      <c r="AO36" s="25">
        <v>17</v>
      </c>
      <c r="AP36" s="24">
        <v>0.11764705882352941</v>
      </c>
      <c r="AQ36" s="26">
        <v>15</v>
      </c>
      <c r="AR36" s="25">
        <v>20</v>
      </c>
      <c r="AS36" s="24">
        <v>0.75</v>
      </c>
    </row>
    <row r="37" spans="1:45" x14ac:dyDescent="0.35">
      <c r="A37" s="21" t="s">
        <v>421</v>
      </c>
      <c r="B37" s="22" t="s">
        <v>421</v>
      </c>
      <c r="C37" s="21" t="s">
        <v>698</v>
      </c>
      <c r="D37" s="22" t="s">
        <v>678</v>
      </c>
      <c r="E37" s="22" t="s">
        <v>623</v>
      </c>
      <c r="F37" s="22" t="s">
        <v>624</v>
      </c>
      <c r="G37" s="22" t="s">
        <v>624</v>
      </c>
      <c r="H37" s="22" t="s">
        <v>636</v>
      </c>
      <c r="I37" s="22" t="s">
        <v>679</v>
      </c>
      <c r="J37" s="22">
        <v>2</v>
      </c>
      <c r="K37" s="22">
        <v>23</v>
      </c>
      <c r="L37" s="24">
        <v>8.6956521739130432E-2</v>
      </c>
      <c r="M37" s="22">
        <v>2</v>
      </c>
      <c r="N37" s="23">
        <v>19.5</v>
      </c>
      <c r="O37" s="24">
        <v>0.10256410256410256</v>
      </c>
      <c r="P37" s="22">
        <v>1</v>
      </c>
      <c r="Q37" s="23">
        <v>19</v>
      </c>
      <c r="R37" s="24">
        <v>5.2631578947368418E-2</v>
      </c>
      <c r="S37" s="21">
        <v>1</v>
      </c>
      <c r="T37" s="23">
        <v>19.5</v>
      </c>
      <c r="U37" s="24">
        <v>5.128205128205128E-2</v>
      </c>
      <c r="V37" s="21">
        <v>0</v>
      </c>
      <c r="W37" s="23">
        <v>19.5</v>
      </c>
      <c r="X37" s="24">
        <v>0</v>
      </c>
      <c r="Y37" s="25">
        <v>12</v>
      </c>
      <c r="Z37" s="25">
        <v>22.5</v>
      </c>
      <c r="AA37" s="24">
        <v>0.53333333333333333</v>
      </c>
      <c r="AB37" s="22">
        <v>2</v>
      </c>
      <c r="AC37" s="22">
        <v>26</v>
      </c>
      <c r="AD37" s="24">
        <f>Table13[[#This Row],[Gönüllü Çıkış Sayısı]]/Table13[[#This Row],[Ortalama Çalışan Sayısı]]</f>
        <v>8.6956521739130432E-2</v>
      </c>
      <c r="AE37" s="26">
        <v>2</v>
      </c>
      <c r="AF37" s="25">
        <v>23.5</v>
      </c>
      <c r="AG37" s="24">
        <v>8.5106382978723402E-2</v>
      </c>
      <c r="AH37" s="26">
        <v>3</v>
      </c>
      <c r="AI37" s="25">
        <v>22.5</v>
      </c>
      <c r="AJ37" s="24">
        <v>0.13333333333333333</v>
      </c>
      <c r="AK37" s="26">
        <v>6</v>
      </c>
      <c r="AL37" s="25">
        <v>24.5</v>
      </c>
      <c r="AM37" s="24">
        <v>0.24489795918367346</v>
      </c>
      <c r="AN37" s="26">
        <v>3</v>
      </c>
      <c r="AO37" s="25">
        <v>24</v>
      </c>
      <c r="AP37" s="24">
        <v>0.125</v>
      </c>
      <c r="AQ37" s="26">
        <v>15</v>
      </c>
      <c r="AR37" s="25">
        <v>25</v>
      </c>
      <c r="AS37" s="24">
        <v>0.6</v>
      </c>
    </row>
    <row r="38" spans="1:45" x14ac:dyDescent="0.35">
      <c r="A38" s="21" t="s">
        <v>424</v>
      </c>
      <c r="B38" s="22" t="s">
        <v>424</v>
      </c>
      <c r="C38" s="21" t="s">
        <v>699</v>
      </c>
      <c r="D38" s="22" t="s">
        <v>628</v>
      </c>
      <c r="E38" s="22" t="s">
        <v>629</v>
      </c>
      <c r="F38" s="22" t="s">
        <v>646</v>
      </c>
      <c r="G38" s="22" t="s">
        <v>646</v>
      </c>
      <c r="H38" s="22" t="s">
        <v>642</v>
      </c>
      <c r="I38" s="22" t="s">
        <v>632</v>
      </c>
      <c r="J38" s="22">
        <v>0</v>
      </c>
      <c r="K38" s="22">
        <v>8</v>
      </c>
      <c r="L38" s="24">
        <v>0</v>
      </c>
      <c r="M38" s="22">
        <v>7</v>
      </c>
      <c r="N38" s="23">
        <v>21.5</v>
      </c>
      <c r="O38" s="24">
        <v>0.32558139534883723</v>
      </c>
      <c r="P38" s="22">
        <v>2</v>
      </c>
      <c r="Q38" s="23">
        <v>21</v>
      </c>
      <c r="R38" s="24">
        <v>9.5238095238095233E-2</v>
      </c>
      <c r="S38" s="21">
        <v>1</v>
      </c>
      <c r="T38" s="23">
        <v>10.5</v>
      </c>
      <c r="U38" s="24">
        <v>9.5238095238095233E-2</v>
      </c>
      <c r="V38" s="21">
        <v>1</v>
      </c>
      <c r="W38" s="23">
        <v>9.5</v>
      </c>
      <c r="X38" s="24">
        <v>0.10526315789473684</v>
      </c>
      <c r="Y38" s="25">
        <v>4</v>
      </c>
      <c r="Z38" s="25">
        <v>9.5</v>
      </c>
      <c r="AA38" s="24">
        <v>0.42105263157894735</v>
      </c>
      <c r="AB38" s="22">
        <v>1</v>
      </c>
      <c r="AC38" s="22">
        <v>10.5</v>
      </c>
      <c r="AD38" s="24">
        <f>Table13[[#This Row],[Gönüllü Çıkış Sayısı]]/Table13[[#This Row],[Ortalama Çalışan Sayısı]]</f>
        <v>0</v>
      </c>
      <c r="AE38" s="26">
        <v>1</v>
      </c>
      <c r="AF38" s="25">
        <v>24.5</v>
      </c>
      <c r="AG38" s="24">
        <v>4.0816326530612242E-2</v>
      </c>
      <c r="AH38" s="26">
        <v>3</v>
      </c>
      <c r="AI38" s="25">
        <v>24.5</v>
      </c>
      <c r="AJ38" s="24">
        <v>0.12244897959183673</v>
      </c>
      <c r="AK38" s="26">
        <v>0</v>
      </c>
      <c r="AL38" s="25">
        <v>9</v>
      </c>
      <c r="AM38" s="24">
        <v>0</v>
      </c>
      <c r="AN38" s="26">
        <v>1</v>
      </c>
      <c r="AO38" s="25">
        <v>9</v>
      </c>
      <c r="AP38" s="24">
        <v>0.1111111111111111</v>
      </c>
      <c r="AQ38" s="26">
        <v>2</v>
      </c>
      <c r="AR38" s="25">
        <v>10</v>
      </c>
      <c r="AS38" s="24">
        <v>0.2</v>
      </c>
    </row>
    <row r="39" spans="1:45" x14ac:dyDescent="0.35">
      <c r="A39" s="21" t="s">
        <v>430</v>
      </c>
      <c r="B39" s="22" t="s">
        <v>430</v>
      </c>
      <c r="C39" s="21" t="s">
        <v>700</v>
      </c>
      <c r="D39" s="22" t="s">
        <v>645</v>
      </c>
      <c r="E39" s="22" t="s">
        <v>629</v>
      </c>
      <c r="F39" s="22" t="s">
        <v>646</v>
      </c>
      <c r="G39" s="22" t="s">
        <v>646</v>
      </c>
      <c r="H39" s="22" t="s">
        <v>654</v>
      </c>
      <c r="I39" s="22" t="s">
        <v>632</v>
      </c>
      <c r="J39" s="22">
        <v>3</v>
      </c>
      <c r="K39" s="22">
        <v>16</v>
      </c>
      <c r="L39" s="24">
        <v>0.1875</v>
      </c>
      <c r="M39" s="22">
        <v>1</v>
      </c>
      <c r="N39" s="23">
        <v>7.5</v>
      </c>
      <c r="O39" s="24">
        <v>0.13333333333333333</v>
      </c>
      <c r="P39" s="22">
        <v>1</v>
      </c>
      <c r="Q39" s="23">
        <v>8.5</v>
      </c>
      <c r="R39" s="24">
        <v>0.11764705882352941</v>
      </c>
      <c r="S39" s="21">
        <v>3</v>
      </c>
      <c r="T39" s="23">
        <v>15</v>
      </c>
      <c r="U39" s="24">
        <v>0.2</v>
      </c>
      <c r="V39" s="21">
        <v>2</v>
      </c>
      <c r="W39" s="23">
        <v>16.5</v>
      </c>
      <c r="X39" s="24">
        <v>0.12121212121212122</v>
      </c>
      <c r="Y39" s="25">
        <v>12</v>
      </c>
      <c r="Z39" s="25">
        <v>17.5</v>
      </c>
      <c r="AA39" s="24">
        <v>0.68571428571428572</v>
      </c>
      <c r="AB39" s="22">
        <v>4</v>
      </c>
      <c r="AC39" s="22">
        <v>18.5</v>
      </c>
      <c r="AD39" s="24">
        <f>Table13[[#This Row],[Gönüllü Çıkış Sayısı]]/Table13[[#This Row],[Ortalama Çalışan Sayısı]]</f>
        <v>0.1875</v>
      </c>
      <c r="AE39" s="26">
        <v>0</v>
      </c>
      <c r="AF39" s="25">
        <v>10</v>
      </c>
      <c r="AG39" s="24">
        <v>0</v>
      </c>
      <c r="AH39" s="26">
        <v>0</v>
      </c>
      <c r="AI39" s="25">
        <v>9</v>
      </c>
      <c r="AJ39" s="24">
        <v>0</v>
      </c>
      <c r="AK39" s="26">
        <v>2</v>
      </c>
      <c r="AL39" s="25">
        <v>18</v>
      </c>
      <c r="AM39" s="24">
        <v>0.1111111111111111</v>
      </c>
      <c r="AN39" s="26">
        <v>4</v>
      </c>
      <c r="AO39" s="25">
        <v>18</v>
      </c>
      <c r="AP39" s="24">
        <v>0.22222222222222221</v>
      </c>
      <c r="AQ39" s="26">
        <v>10</v>
      </c>
      <c r="AR39" s="25">
        <v>19</v>
      </c>
      <c r="AS39" s="24">
        <v>0.52631578947368418</v>
      </c>
    </row>
    <row r="40" spans="1:45" x14ac:dyDescent="0.35">
      <c r="A40" s="21" t="s">
        <v>427</v>
      </c>
      <c r="B40" s="22" t="s">
        <v>427</v>
      </c>
      <c r="C40" s="21" t="s">
        <v>701</v>
      </c>
      <c r="D40" s="22" t="s">
        <v>651</v>
      </c>
      <c r="E40" s="22" t="s">
        <v>629</v>
      </c>
      <c r="F40" s="22" t="s">
        <v>630</v>
      </c>
      <c r="G40" s="22" t="s">
        <v>1569</v>
      </c>
      <c r="H40" s="22" t="s">
        <v>654</v>
      </c>
      <c r="I40" s="22" t="s">
        <v>652</v>
      </c>
      <c r="J40" s="22">
        <v>2</v>
      </c>
      <c r="K40" s="22">
        <v>15.5</v>
      </c>
      <c r="L40" s="24">
        <v>0.12903225806451613</v>
      </c>
      <c r="M40" s="22">
        <v>2</v>
      </c>
      <c r="N40" s="23">
        <v>16</v>
      </c>
      <c r="O40" s="24">
        <v>0.125</v>
      </c>
      <c r="P40" s="22">
        <v>2</v>
      </c>
      <c r="Q40" s="23">
        <v>15</v>
      </c>
      <c r="R40" s="24">
        <v>0.13333333333333333</v>
      </c>
      <c r="S40" s="21">
        <v>0</v>
      </c>
      <c r="T40" s="23">
        <v>16</v>
      </c>
      <c r="U40" s="24">
        <v>0</v>
      </c>
      <c r="V40" s="21">
        <v>1</v>
      </c>
      <c r="W40" s="23">
        <v>16.5</v>
      </c>
      <c r="X40" s="24">
        <v>6.0606060606060608E-2</v>
      </c>
      <c r="Y40" s="25">
        <v>3</v>
      </c>
      <c r="Z40" s="25">
        <v>17</v>
      </c>
      <c r="AA40" s="24">
        <v>0.17647058823529413</v>
      </c>
      <c r="AB40" s="22">
        <v>1</v>
      </c>
      <c r="AC40" s="22">
        <v>17</v>
      </c>
      <c r="AD40" s="24">
        <f>Table13[[#This Row],[Gönüllü Çıkış Sayısı]]/Table13[[#This Row],[Ortalama Çalışan Sayısı]]</f>
        <v>0.12903225806451613</v>
      </c>
      <c r="AE40" s="26">
        <v>0</v>
      </c>
      <c r="AF40" s="25">
        <v>16.5</v>
      </c>
      <c r="AG40" s="24">
        <v>0</v>
      </c>
      <c r="AH40" s="26">
        <v>0</v>
      </c>
      <c r="AI40" s="25">
        <v>17.5</v>
      </c>
      <c r="AJ40" s="24">
        <v>0</v>
      </c>
      <c r="AK40" s="26">
        <v>0</v>
      </c>
      <c r="AL40" s="25">
        <v>17</v>
      </c>
      <c r="AM40" s="24">
        <v>0</v>
      </c>
      <c r="AN40" s="26">
        <v>0</v>
      </c>
      <c r="AO40" s="25">
        <v>17</v>
      </c>
      <c r="AP40" s="24">
        <v>0</v>
      </c>
      <c r="AQ40" s="26">
        <v>1</v>
      </c>
      <c r="AR40" s="25">
        <v>17</v>
      </c>
      <c r="AS40" s="24">
        <v>5.8823529411764705E-2</v>
      </c>
    </row>
    <row r="41" spans="1:45" x14ac:dyDescent="0.35">
      <c r="A41" s="21" t="s">
        <v>428</v>
      </c>
      <c r="B41" s="22" t="s">
        <v>428</v>
      </c>
      <c r="C41" s="21" t="s">
        <v>702</v>
      </c>
      <c r="D41" s="22" t="s">
        <v>656</v>
      </c>
      <c r="E41" s="22" t="s">
        <v>657</v>
      </c>
      <c r="F41" s="22" t="s">
        <v>658</v>
      </c>
      <c r="G41" s="22" t="s">
        <v>1570</v>
      </c>
      <c r="H41" s="22" t="s">
        <v>668</v>
      </c>
      <c r="I41" s="22" t="s">
        <v>632</v>
      </c>
      <c r="J41" s="22">
        <v>0</v>
      </c>
      <c r="K41" s="22">
        <v>15</v>
      </c>
      <c r="L41" s="24">
        <v>0</v>
      </c>
      <c r="M41" s="22">
        <v>0</v>
      </c>
      <c r="N41" s="23">
        <v>16</v>
      </c>
      <c r="O41" s="24">
        <v>0</v>
      </c>
      <c r="P41" s="22">
        <v>0</v>
      </c>
      <c r="Q41" s="23">
        <v>16</v>
      </c>
      <c r="R41" s="24">
        <v>0</v>
      </c>
      <c r="S41" s="21">
        <v>2</v>
      </c>
      <c r="T41" s="23">
        <v>13.5</v>
      </c>
      <c r="U41" s="24">
        <v>0.14814814814814814</v>
      </c>
      <c r="V41" s="21">
        <v>4</v>
      </c>
      <c r="W41" s="23">
        <v>13.5</v>
      </c>
      <c r="X41" s="24">
        <v>0.29629629629629628</v>
      </c>
      <c r="Y41" s="25">
        <v>15</v>
      </c>
      <c r="Z41" s="25">
        <v>14</v>
      </c>
      <c r="AA41" s="24">
        <v>1.0714285714285714</v>
      </c>
      <c r="AB41" s="22">
        <v>2</v>
      </c>
      <c r="AC41" s="22">
        <v>13.5</v>
      </c>
      <c r="AD41" s="24">
        <f>Table13[[#This Row],[Gönüllü Çıkış Sayısı]]/Table13[[#This Row],[Ortalama Çalışan Sayısı]]</f>
        <v>0</v>
      </c>
      <c r="AE41" s="26">
        <v>0</v>
      </c>
      <c r="AF41" s="25">
        <v>17</v>
      </c>
      <c r="AG41" s="24">
        <v>0</v>
      </c>
      <c r="AH41" s="26">
        <v>0</v>
      </c>
      <c r="AI41" s="25">
        <v>17</v>
      </c>
      <c r="AJ41" s="24">
        <v>0</v>
      </c>
      <c r="AK41" s="26">
        <v>0</v>
      </c>
      <c r="AL41" s="25">
        <v>14</v>
      </c>
      <c r="AM41" s="24">
        <v>0</v>
      </c>
      <c r="AN41" s="26">
        <v>1</v>
      </c>
      <c r="AO41" s="25">
        <v>13.5</v>
      </c>
      <c r="AP41" s="24">
        <v>7.407407407407407E-2</v>
      </c>
      <c r="AQ41" s="26">
        <v>7</v>
      </c>
      <c r="AR41" s="25">
        <v>13.5</v>
      </c>
      <c r="AS41" s="24">
        <v>0.51851851851851849</v>
      </c>
    </row>
    <row r="42" spans="1:45" x14ac:dyDescent="0.35">
      <c r="A42" s="21" t="s">
        <v>43</v>
      </c>
      <c r="B42" s="22" t="s">
        <v>44</v>
      </c>
      <c r="C42" s="21" t="s">
        <v>703</v>
      </c>
      <c r="D42" s="22" t="s">
        <v>634</v>
      </c>
      <c r="E42" s="22" t="s">
        <v>629</v>
      </c>
      <c r="F42" s="22" t="s">
        <v>635</v>
      </c>
      <c r="G42" s="22" t="s">
        <v>635</v>
      </c>
      <c r="H42" s="22" t="s">
        <v>654</v>
      </c>
      <c r="I42" s="22" t="s">
        <v>637</v>
      </c>
      <c r="J42" s="22">
        <v>0</v>
      </c>
      <c r="K42" s="22">
        <v>13</v>
      </c>
      <c r="L42" s="24">
        <v>0</v>
      </c>
      <c r="M42" s="22">
        <v>5</v>
      </c>
      <c r="N42" s="23">
        <v>14</v>
      </c>
      <c r="O42" s="24">
        <v>0.35714285714285715</v>
      </c>
      <c r="P42" s="22">
        <v>4</v>
      </c>
      <c r="Q42" s="23">
        <v>13</v>
      </c>
      <c r="R42" s="24">
        <v>0.30769230769230771</v>
      </c>
      <c r="S42" s="21">
        <v>0</v>
      </c>
      <c r="T42" s="23">
        <v>13.5</v>
      </c>
      <c r="U42" s="24">
        <v>0</v>
      </c>
      <c r="V42" s="21">
        <v>0</v>
      </c>
      <c r="W42" s="23">
        <v>14</v>
      </c>
      <c r="X42" s="24">
        <v>0</v>
      </c>
      <c r="Y42" s="25">
        <v>0</v>
      </c>
      <c r="Z42" s="25">
        <v>13.5</v>
      </c>
      <c r="AA42" s="24">
        <v>0</v>
      </c>
      <c r="AB42" s="22">
        <v>2</v>
      </c>
      <c r="AC42" s="22">
        <v>14</v>
      </c>
      <c r="AD42" s="24">
        <f>Table13[[#This Row],[Gönüllü Çıkış Sayısı]]/Table13[[#This Row],[Ortalama Çalışan Sayısı]]</f>
        <v>0</v>
      </c>
      <c r="AE42" s="26">
        <v>2</v>
      </c>
      <c r="AF42" s="25">
        <v>13.5</v>
      </c>
      <c r="AG42" s="24">
        <v>0.14814814814814814</v>
      </c>
      <c r="AH42" s="26">
        <v>2</v>
      </c>
      <c r="AI42" s="25">
        <v>13.5</v>
      </c>
      <c r="AJ42" s="24">
        <v>0.14814814814814814</v>
      </c>
      <c r="AK42" s="26">
        <v>3</v>
      </c>
      <c r="AL42" s="25">
        <v>13</v>
      </c>
      <c r="AM42" s="24">
        <v>0.23076923076923078</v>
      </c>
      <c r="AN42" s="26">
        <v>0</v>
      </c>
      <c r="AO42" s="25">
        <v>13.5</v>
      </c>
      <c r="AP42" s="24">
        <v>0</v>
      </c>
      <c r="AQ42" s="26">
        <v>5</v>
      </c>
      <c r="AR42" s="25">
        <v>14.5</v>
      </c>
      <c r="AS42" s="24">
        <v>0.34482758620689657</v>
      </c>
    </row>
    <row r="43" spans="1:45" x14ac:dyDescent="0.35">
      <c r="A43" s="21" t="s">
        <v>45</v>
      </c>
      <c r="B43" s="22" t="s">
        <v>46</v>
      </c>
      <c r="C43" s="21" t="s">
        <v>704</v>
      </c>
      <c r="D43" s="22" t="s">
        <v>651</v>
      </c>
      <c r="E43" s="22" t="s">
        <v>629</v>
      </c>
      <c r="F43" s="22" t="s">
        <v>630</v>
      </c>
      <c r="G43" s="22" t="s">
        <v>1569</v>
      </c>
      <c r="H43" s="22" t="s">
        <v>631</v>
      </c>
      <c r="I43" s="22" t="s">
        <v>705</v>
      </c>
      <c r="J43" s="22">
        <v>1</v>
      </c>
      <c r="K43" s="22">
        <v>28.5</v>
      </c>
      <c r="L43" s="24">
        <v>3.5087719298245612E-2</v>
      </c>
      <c r="M43" s="22">
        <v>0</v>
      </c>
      <c r="N43" s="23">
        <v>13</v>
      </c>
      <c r="O43" s="24">
        <v>0</v>
      </c>
      <c r="P43" s="22">
        <v>0</v>
      </c>
      <c r="Q43" s="23">
        <v>13</v>
      </c>
      <c r="R43" s="24">
        <v>0</v>
      </c>
      <c r="S43" s="21">
        <v>6</v>
      </c>
      <c r="T43" s="23">
        <v>29</v>
      </c>
      <c r="U43" s="24">
        <v>0.20689655172413793</v>
      </c>
      <c r="V43" s="21">
        <v>2</v>
      </c>
      <c r="W43" s="23">
        <v>27.5</v>
      </c>
      <c r="X43" s="24">
        <v>7.2727272727272724E-2</v>
      </c>
      <c r="Y43" s="25">
        <v>10</v>
      </c>
      <c r="Z43" s="25">
        <v>30</v>
      </c>
      <c r="AA43" s="24">
        <v>0.33333333333333331</v>
      </c>
      <c r="AB43" s="22">
        <v>1</v>
      </c>
      <c r="AC43" s="22">
        <v>36</v>
      </c>
      <c r="AD43" s="24">
        <f>Table13[[#This Row],[Gönüllü Çıkış Sayısı]]/Table13[[#This Row],[Ortalama Çalışan Sayısı]]</f>
        <v>3.5087719298245612E-2</v>
      </c>
      <c r="AE43" s="26">
        <v>0</v>
      </c>
      <c r="AF43" s="25">
        <v>14</v>
      </c>
      <c r="AG43" s="24">
        <v>0</v>
      </c>
      <c r="AH43" s="26">
        <v>0</v>
      </c>
      <c r="AI43" s="25">
        <v>14</v>
      </c>
      <c r="AJ43" s="24">
        <v>0</v>
      </c>
      <c r="AK43" s="26">
        <v>1</v>
      </c>
      <c r="AL43" s="25">
        <v>32</v>
      </c>
      <c r="AM43" s="24">
        <v>3.125E-2</v>
      </c>
      <c r="AN43" s="26">
        <v>3</v>
      </c>
      <c r="AO43" s="25">
        <v>31</v>
      </c>
      <c r="AP43" s="24">
        <v>9.6774193548387094E-2</v>
      </c>
      <c r="AQ43" s="26">
        <v>8</v>
      </c>
      <c r="AR43" s="25">
        <v>33.5</v>
      </c>
      <c r="AS43" s="24">
        <v>0.23880597014925373</v>
      </c>
    </row>
    <row r="44" spans="1:45" x14ac:dyDescent="0.35">
      <c r="A44" s="21" t="s">
        <v>432</v>
      </c>
      <c r="B44" s="22" t="s">
        <v>432</v>
      </c>
      <c r="C44" s="21" t="s">
        <v>706</v>
      </c>
      <c r="D44" s="22" t="s">
        <v>707</v>
      </c>
      <c r="E44" s="22" t="s">
        <v>629</v>
      </c>
      <c r="F44" s="22" t="s">
        <v>635</v>
      </c>
      <c r="G44" s="22" t="s">
        <v>635</v>
      </c>
      <c r="H44" s="22" t="s">
        <v>668</v>
      </c>
      <c r="I44" s="22" t="s">
        <v>708</v>
      </c>
      <c r="J44" s="22">
        <v>3</v>
      </c>
      <c r="K44" s="22">
        <v>11</v>
      </c>
      <c r="L44" s="24">
        <v>0.27272727272727271</v>
      </c>
      <c r="M44" s="22">
        <v>1</v>
      </c>
      <c r="N44" s="23">
        <v>31.5</v>
      </c>
      <c r="O44" s="24">
        <v>3.1746031746031744E-2</v>
      </c>
      <c r="P44" s="22">
        <v>0</v>
      </c>
      <c r="Q44" s="23">
        <v>32</v>
      </c>
      <c r="R44" s="24">
        <v>0</v>
      </c>
      <c r="S44" s="21">
        <v>5</v>
      </c>
      <c r="T44" s="23">
        <v>9</v>
      </c>
      <c r="U44" s="24">
        <v>0.55555555555555558</v>
      </c>
      <c r="V44" s="21">
        <v>2</v>
      </c>
      <c r="W44" s="23">
        <v>9</v>
      </c>
      <c r="X44" s="24">
        <v>0.22222222222222221</v>
      </c>
      <c r="Y44" s="25">
        <v>12</v>
      </c>
      <c r="Z44" s="25">
        <v>10.5</v>
      </c>
      <c r="AA44" s="24">
        <v>1.1428571428571428</v>
      </c>
      <c r="AB44" s="22">
        <v>3</v>
      </c>
      <c r="AC44" s="22">
        <v>16</v>
      </c>
      <c r="AD44" s="24">
        <f>Table13[[#This Row],[Gönüllü Çıkış Sayısı]]/Table13[[#This Row],[Ortalama Çalışan Sayısı]]</f>
        <v>0.27272727272727271</v>
      </c>
      <c r="AE44" s="26">
        <v>2</v>
      </c>
      <c r="AF44" s="25">
        <v>34</v>
      </c>
      <c r="AG44" s="24">
        <v>5.8823529411764705E-2</v>
      </c>
      <c r="AH44" s="26">
        <v>1</v>
      </c>
      <c r="AI44" s="25">
        <v>32.5</v>
      </c>
      <c r="AJ44" s="24">
        <v>3.0769230769230771E-2</v>
      </c>
      <c r="AK44" s="26">
        <v>2</v>
      </c>
      <c r="AL44" s="25">
        <v>12</v>
      </c>
      <c r="AM44" s="24">
        <v>0.16666666666666666</v>
      </c>
      <c r="AN44" s="26">
        <v>5</v>
      </c>
      <c r="AO44" s="25">
        <v>9.5</v>
      </c>
      <c r="AP44" s="24">
        <v>0.52631578947368418</v>
      </c>
      <c r="AQ44" s="26">
        <v>11</v>
      </c>
      <c r="AR44" s="25">
        <v>13</v>
      </c>
      <c r="AS44" s="24">
        <v>0.84615384615384615</v>
      </c>
    </row>
    <row r="45" spans="1:45" x14ac:dyDescent="0.35">
      <c r="A45" s="21" t="s">
        <v>431</v>
      </c>
      <c r="B45" s="22" t="s">
        <v>431</v>
      </c>
      <c r="C45" s="21" t="s">
        <v>709</v>
      </c>
      <c r="D45" s="22" t="s">
        <v>707</v>
      </c>
      <c r="E45" s="22" t="s">
        <v>629</v>
      </c>
      <c r="F45" s="22" t="s">
        <v>635</v>
      </c>
      <c r="G45" s="22" t="s">
        <v>635</v>
      </c>
      <c r="H45" s="22" t="s">
        <v>654</v>
      </c>
      <c r="I45" s="22" t="s">
        <v>710</v>
      </c>
      <c r="J45" s="22">
        <v>0</v>
      </c>
      <c r="K45" s="22">
        <v>16</v>
      </c>
      <c r="L45" s="24">
        <v>0</v>
      </c>
      <c r="M45" s="22">
        <v>1</v>
      </c>
      <c r="N45" s="23">
        <v>12.5</v>
      </c>
      <c r="O45" s="24">
        <v>0.08</v>
      </c>
      <c r="P45" s="22">
        <v>1</v>
      </c>
      <c r="Q45" s="23">
        <v>11.5</v>
      </c>
      <c r="R45" s="24">
        <v>8.6956521739130432E-2</v>
      </c>
      <c r="S45" s="21">
        <v>0</v>
      </c>
      <c r="T45" s="23">
        <v>17</v>
      </c>
      <c r="U45" s="24">
        <v>0</v>
      </c>
      <c r="V45" s="21">
        <v>1</v>
      </c>
      <c r="W45" s="23">
        <v>16</v>
      </c>
      <c r="X45" s="24">
        <v>6.25E-2</v>
      </c>
      <c r="Y45" s="25">
        <v>1</v>
      </c>
      <c r="Z45" s="25">
        <v>16.5</v>
      </c>
      <c r="AA45" s="24">
        <v>6.0606060606060608E-2</v>
      </c>
      <c r="AB45" s="22">
        <v>0</v>
      </c>
      <c r="AC45" s="22">
        <v>13</v>
      </c>
      <c r="AD45" s="24">
        <f>Table13[[#This Row],[Gönüllü Çıkış Sayısı]]/Table13[[#This Row],[Ortalama Çalışan Sayısı]]</f>
        <v>0</v>
      </c>
      <c r="AE45" s="26">
        <v>0</v>
      </c>
      <c r="AF45" s="25">
        <v>15</v>
      </c>
      <c r="AG45" s="24">
        <v>0</v>
      </c>
      <c r="AH45" s="26">
        <v>1</v>
      </c>
      <c r="AI45" s="25">
        <v>12.5</v>
      </c>
      <c r="AJ45" s="24">
        <v>0.08</v>
      </c>
      <c r="AK45" s="26">
        <v>2</v>
      </c>
      <c r="AL45" s="25">
        <v>12</v>
      </c>
      <c r="AM45" s="24">
        <v>0.16666666666666666</v>
      </c>
      <c r="AN45" s="26">
        <v>1</v>
      </c>
      <c r="AO45" s="25">
        <v>10.5</v>
      </c>
      <c r="AP45" s="24">
        <v>9.5238095238095233E-2</v>
      </c>
      <c r="AQ45" s="26">
        <v>3</v>
      </c>
      <c r="AR45" s="25">
        <v>11.5</v>
      </c>
      <c r="AS45" s="24">
        <v>0.2608695652173913</v>
      </c>
    </row>
    <row r="46" spans="1:45" x14ac:dyDescent="0.35">
      <c r="A46" s="21" t="s">
        <v>38</v>
      </c>
      <c r="B46" s="22" t="s">
        <v>38</v>
      </c>
      <c r="C46" s="21" t="s">
        <v>711</v>
      </c>
      <c r="D46" s="22" t="s">
        <v>691</v>
      </c>
      <c r="E46" s="22" t="s">
        <v>657</v>
      </c>
      <c r="F46" s="22" t="s">
        <v>658</v>
      </c>
      <c r="G46" s="22" t="s">
        <v>662</v>
      </c>
      <c r="H46" s="22" t="s">
        <v>668</v>
      </c>
      <c r="I46" s="22" t="s">
        <v>632</v>
      </c>
      <c r="J46" s="22">
        <v>0</v>
      </c>
      <c r="K46" s="22">
        <v>14.5</v>
      </c>
      <c r="L46" s="24">
        <v>0</v>
      </c>
      <c r="M46" s="22">
        <v>0</v>
      </c>
      <c r="N46" s="23">
        <v>16</v>
      </c>
      <c r="O46" s="24">
        <v>0</v>
      </c>
      <c r="P46" s="22">
        <v>0</v>
      </c>
      <c r="Q46" s="23">
        <v>16</v>
      </c>
      <c r="R46" s="24">
        <v>0</v>
      </c>
      <c r="S46" s="21">
        <v>3</v>
      </c>
      <c r="T46" s="23">
        <v>16</v>
      </c>
      <c r="U46" s="24">
        <v>0.1875</v>
      </c>
      <c r="V46" s="21">
        <v>0</v>
      </c>
      <c r="W46" s="23">
        <v>16.5</v>
      </c>
      <c r="X46" s="24">
        <v>0</v>
      </c>
      <c r="Y46" s="25">
        <v>4</v>
      </c>
      <c r="Z46" s="25">
        <v>14.5</v>
      </c>
      <c r="AA46" s="24">
        <v>0.27586206896551724</v>
      </c>
      <c r="AB46" s="22">
        <v>0</v>
      </c>
      <c r="AC46" s="22">
        <v>17</v>
      </c>
      <c r="AD46" s="24">
        <f>Table13[[#This Row],[Gönüllü Çıkış Sayısı]]/Table13[[#This Row],[Ortalama Çalışan Sayısı]]</f>
        <v>0</v>
      </c>
      <c r="AE46" s="26">
        <v>0</v>
      </c>
      <c r="AF46" s="25">
        <v>13</v>
      </c>
      <c r="AG46" s="24">
        <v>0</v>
      </c>
      <c r="AH46" s="26">
        <v>0</v>
      </c>
      <c r="AI46" s="25">
        <v>13</v>
      </c>
      <c r="AJ46" s="24">
        <v>0</v>
      </c>
      <c r="AK46" s="26">
        <v>4</v>
      </c>
      <c r="AL46" s="25">
        <v>14.5</v>
      </c>
      <c r="AM46" s="24">
        <v>0.27586206896551724</v>
      </c>
      <c r="AN46" s="26">
        <v>0</v>
      </c>
      <c r="AO46" s="25">
        <v>15</v>
      </c>
      <c r="AP46" s="24">
        <v>0</v>
      </c>
      <c r="AQ46" s="26">
        <v>6</v>
      </c>
      <c r="AR46" s="25">
        <v>16</v>
      </c>
      <c r="AS46" s="24">
        <v>0.375</v>
      </c>
    </row>
    <row r="47" spans="1:45" x14ac:dyDescent="0.35">
      <c r="A47" s="21" t="s">
        <v>47</v>
      </c>
      <c r="B47" s="22" t="s">
        <v>48</v>
      </c>
      <c r="C47" s="21" t="s">
        <v>712</v>
      </c>
      <c r="D47" s="22" t="s">
        <v>622</v>
      </c>
      <c r="E47" s="22" t="s">
        <v>623</v>
      </c>
      <c r="F47" s="22" t="s">
        <v>624</v>
      </c>
      <c r="G47" s="22" t="s">
        <v>624</v>
      </c>
      <c r="H47" s="22" t="s">
        <v>636</v>
      </c>
      <c r="I47" s="22" t="s">
        <v>649</v>
      </c>
      <c r="J47" s="22">
        <v>3</v>
      </c>
      <c r="K47" s="22">
        <v>19.5</v>
      </c>
      <c r="L47" s="24">
        <v>0.15384615384615385</v>
      </c>
      <c r="M47" s="22">
        <v>1</v>
      </c>
      <c r="N47" s="23">
        <v>16.5</v>
      </c>
      <c r="O47" s="24">
        <v>6.0606060606060608E-2</v>
      </c>
      <c r="P47" s="22">
        <v>0</v>
      </c>
      <c r="Q47" s="23">
        <v>17</v>
      </c>
      <c r="R47" s="24">
        <v>0</v>
      </c>
      <c r="S47" s="21">
        <v>2</v>
      </c>
      <c r="T47" s="23">
        <v>20.5</v>
      </c>
      <c r="U47" s="24">
        <v>9.7560975609756101E-2</v>
      </c>
      <c r="V47" s="21">
        <v>2</v>
      </c>
      <c r="W47" s="23">
        <v>21</v>
      </c>
      <c r="X47" s="24">
        <v>9.5238095238095233E-2</v>
      </c>
      <c r="Y47" s="25">
        <v>12</v>
      </c>
      <c r="Z47" s="25">
        <v>21.5</v>
      </c>
      <c r="AA47" s="24">
        <v>0.55813953488372092</v>
      </c>
      <c r="AB47" s="22">
        <v>1</v>
      </c>
      <c r="AC47" s="22">
        <v>26</v>
      </c>
      <c r="AD47" s="24">
        <f>Table13[[#This Row],[Gönüllü Çıkış Sayısı]]/Table13[[#This Row],[Ortalama Çalışan Sayısı]]</f>
        <v>0.15384615384615385</v>
      </c>
      <c r="AE47" s="26">
        <v>0</v>
      </c>
      <c r="AF47" s="25">
        <v>17</v>
      </c>
      <c r="AG47" s="24">
        <v>0</v>
      </c>
      <c r="AH47" s="26">
        <v>2</v>
      </c>
      <c r="AI47" s="25">
        <v>15</v>
      </c>
      <c r="AJ47" s="24">
        <v>0.13333333333333333</v>
      </c>
      <c r="AK47" s="26">
        <v>1</v>
      </c>
      <c r="AL47" s="25">
        <v>24.5</v>
      </c>
      <c r="AM47" s="24">
        <v>4.0816326530612242E-2</v>
      </c>
      <c r="AN47" s="26">
        <v>3</v>
      </c>
      <c r="AO47" s="25">
        <v>23.5</v>
      </c>
      <c r="AP47" s="24">
        <v>0.1276595744680851</v>
      </c>
      <c r="AQ47" s="26">
        <v>10</v>
      </c>
      <c r="AR47" s="25">
        <v>24</v>
      </c>
      <c r="AS47" s="24">
        <v>0.41666666666666669</v>
      </c>
    </row>
    <row r="48" spans="1:45" x14ac:dyDescent="0.35">
      <c r="A48" s="21" t="s">
        <v>600</v>
      </c>
      <c r="B48" s="22" t="s">
        <v>600</v>
      </c>
      <c r="C48" s="21" t="s">
        <v>713</v>
      </c>
      <c r="D48" s="22" t="s">
        <v>622</v>
      </c>
      <c r="E48" s="22" t="s">
        <v>623</v>
      </c>
      <c r="F48" s="22" t="s">
        <v>624</v>
      </c>
      <c r="G48" s="22" t="s">
        <v>624</v>
      </c>
      <c r="H48" s="22" t="s">
        <v>668</v>
      </c>
      <c r="I48" s="22" t="s">
        <v>649</v>
      </c>
      <c r="J48" s="22">
        <v>2</v>
      </c>
      <c r="K48" s="22">
        <v>18.5</v>
      </c>
      <c r="L48" s="24">
        <v>0.10810810810810811</v>
      </c>
      <c r="M48" s="22">
        <v>3</v>
      </c>
      <c r="N48" s="23">
        <v>19</v>
      </c>
      <c r="O48" s="24">
        <v>0.15789473684210525</v>
      </c>
      <c r="P48" s="22">
        <v>2</v>
      </c>
      <c r="Q48" s="23">
        <v>21</v>
      </c>
      <c r="R48" s="24">
        <v>9.5238095238095233E-2</v>
      </c>
      <c r="S48" s="21">
        <v>2</v>
      </c>
      <c r="T48" s="23">
        <v>16</v>
      </c>
      <c r="U48" s="24">
        <v>0.125</v>
      </c>
      <c r="V48" s="21">
        <v>2</v>
      </c>
      <c r="W48" s="23">
        <v>15</v>
      </c>
      <c r="X48" s="24">
        <v>0.13333333333333333</v>
      </c>
      <c r="Y48" s="25">
        <v>12</v>
      </c>
      <c r="Z48" s="25">
        <v>15.5</v>
      </c>
      <c r="AA48" s="24">
        <v>0.77419354838709675</v>
      </c>
      <c r="AB48" s="22">
        <v>2</v>
      </c>
      <c r="AC48" s="22">
        <v>23</v>
      </c>
      <c r="AD48" s="24">
        <f>Table13[[#This Row],[Gönüllü Çıkış Sayısı]]/Table13[[#This Row],[Ortalama Çalışan Sayısı]]</f>
        <v>0.10810810810810811</v>
      </c>
      <c r="AE48" s="26">
        <v>4</v>
      </c>
      <c r="AF48" s="25">
        <v>25.5</v>
      </c>
      <c r="AG48" s="24">
        <v>0.15686274509803921</v>
      </c>
      <c r="AH48" s="26">
        <v>1</v>
      </c>
      <c r="AI48" s="25">
        <v>25</v>
      </c>
      <c r="AJ48" s="24">
        <v>0.04</v>
      </c>
      <c r="AK48" s="26">
        <v>1</v>
      </c>
      <c r="AL48" s="25">
        <v>12.5</v>
      </c>
      <c r="AM48" s="24">
        <v>0.08</v>
      </c>
      <c r="AN48" s="26">
        <v>4</v>
      </c>
      <c r="AO48" s="25">
        <v>12.5</v>
      </c>
      <c r="AP48" s="24">
        <v>0.32</v>
      </c>
      <c r="AQ48" s="26">
        <v>9</v>
      </c>
      <c r="AR48" s="25">
        <v>14</v>
      </c>
      <c r="AS48" s="24">
        <v>0.6428571428571429</v>
      </c>
    </row>
    <row r="49" spans="1:45" x14ac:dyDescent="0.35">
      <c r="A49" s="21" t="s">
        <v>601</v>
      </c>
      <c r="B49" s="22" t="s">
        <v>601</v>
      </c>
      <c r="C49" s="21" t="s">
        <v>714</v>
      </c>
      <c r="D49" s="22" t="s">
        <v>651</v>
      </c>
      <c r="E49" s="22" t="s">
        <v>629</v>
      </c>
      <c r="F49" s="22" t="s">
        <v>630</v>
      </c>
      <c r="G49" s="22" t="s">
        <v>1569</v>
      </c>
      <c r="H49" s="22" t="s">
        <v>654</v>
      </c>
      <c r="I49" s="22" t="s">
        <v>715</v>
      </c>
      <c r="J49" s="22">
        <v>2</v>
      </c>
      <c r="K49" s="22">
        <v>15</v>
      </c>
      <c r="L49" s="24">
        <v>0.13333333333333333</v>
      </c>
      <c r="M49" s="22">
        <v>2</v>
      </c>
      <c r="N49" s="23">
        <v>16</v>
      </c>
      <c r="O49" s="24">
        <v>0.125</v>
      </c>
      <c r="P49" s="22">
        <v>4</v>
      </c>
      <c r="Q49" s="23">
        <v>16</v>
      </c>
      <c r="R49" s="24">
        <v>0.25</v>
      </c>
      <c r="S49" s="21">
        <v>1</v>
      </c>
      <c r="T49" s="23">
        <v>18.5</v>
      </c>
      <c r="U49" s="24">
        <v>5.4054054054054057E-2</v>
      </c>
      <c r="V49" s="21">
        <v>2</v>
      </c>
      <c r="W49" s="23">
        <v>17.5</v>
      </c>
      <c r="X49" s="24">
        <v>0.11428571428571428</v>
      </c>
      <c r="Y49" s="25">
        <v>5</v>
      </c>
      <c r="Z49" s="25">
        <v>18</v>
      </c>
      <c r="AA49" s="24">
        <v>0.27777777777777779</v>
      </c>
      <c r="AB49" s="22">
        <v>1</v>
      </c>
      <c r="AC49" s="22">
        <v>15.5</v>
      </c>
      <c r="AD49" s="24">
        <f>Table13[[#This Row],[Gönüllü Çıkış Sayısı]]/Table13[[#This Row],[Ortalama Çalışan Sayısı]]</f>
        <v>0.13333333333333333</v>
      </c>
      <c r="AE49" s="26">
        <v>1</v>
      </c>
      <c r="AF49" s="25">
        <v>14.5</v>
      </c>
      <c r="AG49" s="24">
        <v>6.8965517241379309E-2</v>
      </c>
      <c r="AH49" s="26">
        <v>2</v>
      </c>
      <c r="AI49" s="25">
        <v>13.5</v>
      </c>
      <c r="AJ49" s="24">
        <v>0.14814814814814814</v>
      </c>
      <c r="AK49" s="26">
        <v>3</v>
      </c>
      <c r="AL49" s="25">
        <v>24</v>
      </c>
      <c r="AM49" s="24">
        <v>0.125</v>
      </c>
      <c r="AN49" s="26">
        <v>0</v>
      </c>
      <c r="AO49" s="25">
        <v>23.5</v>
      </c>
      <c r="AP49" s="24">
        <v>0</v>
      </c>
      <c r="AQ49" s="26">
        <v>7</v>
      </c>
      <c r="AR49" s="25">
        <v>23.5</v>
      </c>
      <c r="AS49" s="24">
        <v>0.2978723404255319</v>
      </c>
    </row>
    <row r="50" spans="1:45" x14ac:dyDescent="0.35">
      <c r="A50" s="21" t="s">
        <v>49</v>
      </c>
      <c r="B50" s="22" t="s">
        <v>50</v>
      </c>
      <c r="C50" s="21" t="s">
        <v>716</v>
      </c>
      <c r="D50" s="22" t="s">
        <v>648</v>
      </c>
      <c r="E50" s="22" t="s">
        <v>623</v>
      </c>
      <c r="F50" s="22" t="s">
        <v>624</v>
      </c>
      <c r="G50" s="22" t="s">
        <v>624</v>
      </c>
      <c r="H50" s="22" t="s">
        <v>625</v>
      </c>
      <c r="I50" s="22" t="s">
        <v>649</v>
      </c>
      <c r="J50" s="22">
        <v>2</v>
      </c>
      <c r="K50" s="22">
        <v>32.5</v>
      </c>
      <c r="L50" s="24">
        <v>6.1538461538461542E-2</v>
      </c>
      <c r="M50" s="22">
        <v>0</v>
      </c>
      <c r="N50" s="23">
        <v>19</v>
      </c>
      <c r="O50" s="24">
        <v>0</v>
      </c>
      <c r="P50" s="22">
        <v>0</v>
      </c>
      <c r="Q50" s="23">
        <v>19</v>
      </c>
      <c r="R50" s="24">
        <v>0</v>
      </c>
      <c r="S50" s="21">
        <v>1</v>
      </c>
      <c r="T50" s="23">
        <v>32.5</v>
      </c>
      <c r="U50" s="24">
        <v>3.0769230769230771E-2</v>
      </c>
      <c r="V50" s="21">
        <v>3</v>
      </c>
      <c r="W50" s="23">
        <v>31.5</v>
      </c>
      <c r="X50" s="24">
        <v>9.5238095238095233E-2</v>
      </c>
      <c r="Y50" s="25">
        <v>8</v>
      </c>
      <c r="Z50" s="25">
        <v>32.5</v>
      </c>
      <c r="AA50" s="24">
        <v>0.24615384615384617</v>
      </c>
      <c r="AB50" s="22">
        <v>9</v>
      </c>
      <c r="AC50" s="22">
        <v>36.5</v>
      </c>
      <c r="AD50" s="24">
        <f>Table13[[#This Row],[Gönüllü Çıkış Sayısı]]/Table13[[#This Row],[Ortalama Çalışan Sayısı]]</f>
        <v>6.1538461538461542E-2</v>
      </c>
      <c r="AE50" s="26">
        <v>1</v>
      </c>
      <c r="AF50" s="25">
        <v>24</v>
      </c>
      <c r="AG50" s="24">
        <v>4.1666666666666664E-2</v>
      </c>
      <c r="AH50" s="26">
        <v>1</v>
      </c>
      <c r="AI50" s="25">
        <v>25.5</v>
      </c>
      <c r="AJ50" s="24">
        <v>3.9215686274509803E-2</v>
      </c>
      <c r="AK50" s="26">
        <v>3</v>
      </c>
      <c r="AL50" s="25">
        <v>31.5</v>
      </c>
      <c r="AM50" s="24">
        <v>9.5238095238095233E-2</v>
      </c>
      <c r="AN50" s="26">
        <v>4</v>
      </c>
      <c r="AO50" s="25">
        <v>31.5</v>
      </c>
      <c r="AP50" s="24">
        <v>0.12698412698412698</v>
      </c>
      <c r="AQ50" s="26">
        <v>25</v>
      </c>
      <c r="AR50" s="25">
        <v>35</v>
      </c>
      <c r="AS50" s="24">
        <v>0.7142857142857143</v>
      </c>
    </row>
    <row r="51" spans="1:45" x14ac:dyDescent="0.35">
      <c r="A51" s="21" t="s">
        <v>51</v>
      </c>
      <c r="B51" s="22" t="s">
        <v>52</v>
      </c>
      <c r="C51" s="21" t="s">
        <v>717</v>
      </c>
      <c r="D51" s="22" t="s">
        <v>656</v>
      </c>
      <c r="E51" s="22" t="s">
        <v>657</v>
      </c>
      <c r="F51" s="22" t="s">
        <v>658</v>
      </c>
      <c r="G51" s="22" t="s">
        <v>1570</v>
      </c>
      <c r="H51" s="22" t="s">
        <v>636</v>
      </c>
      <c r="I51" s="22" t="s">
        <v>718</v>
      </c>
      <c r="J51" s="22">
        <v>0</v>
      </c>
      <c r="K51" s="22">
        <v>19</v>
      </c>
      <c r="L51" s="24">
        <v>0</v>
      </c>
      <c r="M51" s="22">
        <v>2</v>
      </c>
      <c r="N51" s="23">
        <v>33.5</v>
      </c>
      <c r="O51" s="24">
        <v>5.9701492537313432E-2</v>
      </c>
      <c r="P51" s="22">
        <v>0</v>
      </c>
      <c r="Q51" s="23">
        <v>33.5</v>
      </c>
      <c r="R51" s="24">
        <v>0</v>
      </c>
      <c r="S51" s="21">
        <v>2</v>
      </c>
      <c r="T51" s="23">
        <v>22.5</v>
      </c>
      <c r="U51" s="24">
        <v>8.8888888888888892E-2</v>
      </c>
      <c r="V51" s="21">
        <v>1</v>
      </c>
      <c r="W51" s="23">
        <v>24</v>
      </c>
      <c r="X51" s="24">
        <v>4.1666666666666664E-2</v>
      </c>
      <c r="Y51" s="25">
        <v>4</v>
      </c>
      <c r="Z51" s="25">
        <v>22</v>
      </c>
      <c r="AA51" s="24">
        <v>0.18181818181818182</v>
      </c>
      <c r="AB51" s="22">
        <v>1</v>
      </c>
      <c r="AC51" s="22">
        <v>20.5</v>
      </c>
      <c r="AD51" s="24">
        <f>Table13[[#This Row],[Gönüllü Çıkış Sayısı]]/Table13[[#This Row],[Ortalama Çalışan Sayısı]]</f>
        <v>0</v>
      </c>
      <c r="AE51" s="26">
        <v>4</v>
      </c>
      <c r="AF51" s="25">
        <v>35</v>
      </c>
      <c r="AG51" s="24">
        <v>0.11428571428571428</v>
      </c>
      <c r="AH51" s="26">
        <v>5</v>
      </c>
      <c r="AI51" s="25">
        <v>34.5</v>
      </c>
      <c r="AJ51" s="24">
        <v>0.14492753623188406</v>
      </c>
      <c r="AK51" s="26">
        <v>4</v>
      </c>
      <c r="AL51" s="25">
        <v>21</v>
      </c>
      <c r="AM51" s="24">
        <v>0.19047619047619047</v>
      </c>
      <c r="AN51" s="26">
        <v>2</v>
      </c>
      <c r="AO51" s="25">
        <v>22.5</v>
      </c>
      <c r="AP51" s="24">
        <v>8.8888888888888892E-2</v>
      </c>
      <c r="AQ51" s="26">
        <v>9</v>
      </c>
      <c r="AR51" s="25">
        <v>22</v>
      </c>
      <c r="AS51" s="24">
        <v>0.40909090909090912</v>
      </c>
    </row>
    <row r="52" spans="1:45" x14ac:dyDescent="0.35">
      <c r="A52" s="21" t="s">
        <v>53</v>
      </c>
      <c r="B52" s="22" t="s">
        <v>54</v>
      </c>
      <c r="C52" s="21" t="s">
        <v>719</v>
      </c>
      <c r="D52" s="22" t="s">
        <v>691</v>
      </c>
      <c r="E52" s="22" t="s">
        <v>657</v>
      </c>
      <c r="F52" s="22" t="s">
        <v>658</v>
      </c>
      <c r="G52" s="22" t="s">
        <v>662</v>
      </c>
      <c r="H52" s="22" t="s">
        <v>668</v>
      </c>
      <c r="I52" s="22" t="s">
        <v>632</v>
      </c>
      <c r="J52" s="22">
        <v>3</v>
      </c>
      <c r="K52" s="22">
        <v>12</v>
      </c>
      <c r="L52" s="24">
        <v>0.25</v>
      </c>
      <c r="M52" s="22">
        <v>0</v>
      </c>
      <c r="N52" s="23">
        <v>20</v>
      </c>
      <c r="O52" s="24">
        <v>0</v>
      </c>
      <c r="P52" s="22">
        <v>1</v>
      </c>
      <c r="Q52" s="23">
        <v>20.5</v>
      </c>
      <c r="R52" s="24">
        <v>4.878048780487805E-2</v>
      </c>
      <c r="S52" s="21">
        <v>1</v>
      </c>
      <c r="T52" s="23">
        <v>14</v>
      </c>
      <c r="U52" s="24">
        <v>7.1428571428571425E-2</v>
      </c>
      <c r="V52" s="21">
        <v>1</v>
      </c>
      <c r="W52" s="23">
        <v>13.5</v>
      </c>
      <c r="X52" s="24">
        <v>7.407407407407407E-2</v>
      </c>
      <c r="Y52" s="25">
        <v>5</v>
      </c>
      <c r="Z52" s="25">
        <v>13.5</v>
      </c>
      <c r="AA52" s="24">
        <v>0.37037037037037035</v>
      </c>
      <c r="AB52" s="22">
        <v>0</v>
      </c>
      <c r="AC52" s="22">
        <v>24.5</v>
      </c>
      <c r="AD52" s="24">
        <f>Table13[[#This Row],[Gönüllü Çıkış Sayısı]]/Table13[[#This Row],[Ortalama Çalışan Sayısı]]</f>
        <v>0.25</v>
      </c>
      <c r="AE52" s="26">
        <v>2</v>
      </c>
      <c r="AF52" s="25">
        <v>19.5</v>
      </c>
      <c r="AG52" s="24">
        <v>0.10256410256410256</v>
      </c>
      <c r="AH52" s="26">
        <v>0</v>
      </c>
      <c r="AI52" s="25">
        <v>20</v>
      </c>
      <c r="AJ52" s="24">
        <v>0</v>
      </c>
      <c r="AK52" s="26">
        <v>4</v>
      </c>
      <c r="AL52" s="25">
        <v>24</v>
      </c>
      <c r="AM52" s="24">
        <v>0.16666666666666666</v>
      </c>
      <c r="AN52" s="26">
        <v>0</v>
      </c>
      <c r="AO52" s="25">
        <v>22</v>
      </c>
      <c r="AP52" s="24">
        <v>0</v>
      </c>
      <c r="AQ52" s="26">
        <v>4</v>
      </c>
      <c r="AR52" s="25">
        <v>23</v>
      </c>
      <c r="AS52" s="24">
        <v>0.17391304347826086</v>
      </c>
    </row>
    <row r="53" spans="1:45" x14ac:dyDescent="0.35">
      <c r="A53" s="21" t="s">
        <v>55</v>
      </c>
      <c r="B53" s="22" t="s">
        <v>56</v>
      </c>
      <c r="C53" s="21" t="s">
        <v>57</v>
      </c>
      <c r="D53" s="22" t="s">
        <v>707</v>
      </c>
      <c r="E53" s="22" t="s">
        <v>629</v>
      </c>
      <c r="F53" s="22" t="s">
        <v>635</v>
      </c>
      <c r="G53" s="22" t="s">
        <v>635</v>
      </c>
      <c r="H53" s="22" t="s">
        <v>668</v>
      </c>
      <c r="I53" s="22" t="s">
        <v>708</v>
      </c>
      <c r="J53" s="22">
        <v>1</v>
      </c>
      <c r="K53" s="22">
        <v>11.5</v>
      </c>
      <c r="L53" s="24">
        <v>8.6956521739130432E-2</v>
      </c>
      <c r="M53" s="22">
        <v>0</v>
      </c>
      <c r="N53" s="23">
        <v>12</v>
      </c>
      <c r="O53" s="24">
        <v>0</v>
      </c>
      <c r="P53" s="22">
        <v>0</v>
      </c>
      <c r="Q53" s="23">
        <v>13</v>
      </c>
      <c r="R53" s="24">
        <v>0</v>
      </c>
      <c r="S53" s="21">
        <v>2</v>
      </c>
      <c r="T53" s="23">
        <v>11</v>
      </c>
      <c r="U53" s="24">
        <v>0.18181818181818182</v>
      </c>
      <c r="V53" s="21">
        <v>0</v>
      </c>
      <c r="W53" s="23">
        <v>10.5</v>
      </c>
      <c r="X53" s="24">
        <v>0</v>
      </c>
      <c r="Y53" s="25">
        <v>4</v>
      </c>
      <c r="Z53" s="25">
        <v>11</v>
      </c>
      <c r="AA53" s="24">
        <v>0.36363636363636365</v>
      </c>
      <c r="AB53" s="22">
        <v>1</v>
      </c>
      <c r="AC53" s="22">
        <v>10.5</v>
      </c>
      <c r="AD53" s="24">
        <f>Table13[[#This Row],[Gönüllü Çıkış Sayısı]]/Table13[[#This Row],[Ortalama Çalışan Sayısı]]</f>
        <v>8.6956521739130432E-2</v>
      </c>
      <c r="AE53" s="26">
        <v>0</v>
      </c>
      <c r="AF53" s="25">
        <v>24</v>
      </c>
      <c r="AG53" s="24">
        <v>0</v>
      </c>
      <c r="AH53" s="26">
        <v>0</v>
      </c>
      <c r="AI53" s="25">
        <v>24</v>
      </c>
      <c r="AJ53" s="24">
        <v>0</v>
      </c>
      <c r="AK53" s="26">
        <v>0</v>
      </c>
      <c r="AL53" s="25">
        <v>13</v>
      </c>
      <c r="AM53" s="24">
        <v>0</v>
      </c>
      <c r="AN53" s="26">
        <v>1</v>
      </c>
      <c r="AO53" s="25">
        <v>13.5</v>
      </c>
      <c r="AP53" s="24">
        <v>7.407407407407407E-2</v>
      </c>
      <c r="AQ53" s="26">
        <v>3</v>
      </c>
      <c r="AR53" s="25">
        <v>12</v>
      </c>
      <c r="AS53" s="24">
        <v>0.25</v>
      </c>
    </row>
    <row r="54" spans="1:45" x14ac:dyDescent="0.35">
      <c r="A54" s="21" t="s">
        <v>58</v>
      </c>
      <c r="B54" s="22" t="s">
        <v>59</v>
      </c>
      <c r="C54" s="21" t="s">
        <v>720</v>
      </c>
      <c r="D54" s="22" t="s">
        <v>651</v>
      </c>
      <c r="E54" s="22" t="s">
        <v>629</v>
      </c>
      <c r="F54" s="22" t="s">
        <v>630</v>
      </c>
      <c r="G54" s="22" t="s">
        <v>1569</v>
      </c>
      <c r="H54" s="22" t="s">
        <v>668</v>
      </c>
      <c r="I54" s="22" t="s">
        <v>705</v>
      </c>
      <c r="J54" s="22">
        <v>0</v>
      </c>
      <c r="K54" s="22">
        <v>16</v>
      </c>
      <c r="L54" s="24">
        <v>0</v>
      </c>
      <c r="M54" s="22">
        <v>1</v>
      </c>
      <c r="N54" s="23">
        <v>11.5</v>
      </c>
      <c r="O54" s="24">
        <v>8.6956521739130432E-2</v>
      </c>
      <c r="P54" s="22">
        <v>0</v>
      </c>
      <c r="Q54" s="23">
        <v>11</v>
      </c>
      <c r="R54" s="24">
        <v>0</v>
      </c>
      <c r="S54" s="21">
        <v>3</v>
      </c>
      <c r="T54" s="23">
        <v>14.5</v>
      </c>
      <c r="U54" s="24">
        <v>0.20689655172413793</v>
      </c>
      <c r="V54" s="21">
        <v>0</v>
      </c>
      <c r="W54" s="23">
        <v>13</v>
      </c>
      <c r="X54" s="24">
        <v>0</v>
      </c>
      <c r="Y54" s="25">
        <v>3</v>
      </c>
      <c r="Z54" s="25">
        <v>14.5</v>
      </c>
      <c r="AA54" s="24">
        <v>0.20689655172413793</v>
      </c>
      <c r="AB54" s="22">
        <v>1</v>
      </c>
      <c r="AC54" s="22">
        <v>13.5</v>
      </c>
      <c r="AD54" s="24">
        <f>Table13[[#This Row],[Gönüllü Çıkış Sayısı]]/Table13[[#This Row],[Ortalama Çalışan Sayısı]]</f>
        <v>0</v>
      </c>
      <c r="AE54" s="26">
        <v>1</v>
      </c>
      <c r="AF54" s="25">
        <v>10</v>
      </c>
      <c r="AG54" s="24">
        <v>0.1</v>
      </c>
      <c r="AH54" s="26">
        <v>0</v>
      </c>
      <c r="AI54" s="25">
        <v>13</v>
      </c>
      <c r="AJ54" s="24">
        <v>0</v>
      </c>
      <c r="AK54" s="26">
        <v>1</v>
      </c>
      <c r="AL54" s="25">
        <v>13</v>
      </c>
      <c r="AM54" s="24">
        <v>7.6923076923076927E-2</v>
      </c>
      <c r="AN54" s="26">
        <v>0</v>
      </c>
      <c r="AO54" s="25">
        <v>13</v>
      </c>
      <c r="AP54" s="24">
        <v>0</v>
      </c>
      <c r="AQ54" s="26">
        <v>6</v>
      </c>
      <c r="AR54" s="25">
        <v>13.5</v>
      </c>
      <c r="AS54" s="24">
        <v>0.44444444444444442</v>
      </c>
    </row>
    <row r="55" spans="1:45" x14ac:dyDescent="0.35">
      <c r="A55" s="21" t="s">
        <v>60</v>
      </c>
      <c r="B55" s="22" t="s">
        <v>61</v>
      </c>
      <c r="C55" s="21" t="s">
        <v>721</v>
      </c>
      <c r="D55" s="22" t="s">
        <v>651</v>
      </c>
      <c r="E55" s="22" t="s">
        <v>629</v>
      </c>
      <c r="F55" s="22" t="s">
        <v>630</v>
      </c>
      <c r="G55" s="22" t="s">
        <v>1569</v>
      </c>
      <c r="H55" s="22" t="s">
        <v>654</v>
      </c>
      <c r="I55" s="22" t="s">
        <v>705</v>
      </c>
      <c r="J55" s="22">
        <v>1</v>
      </c>
      <c r="K55" s="22">
        <v>17</v>
      </c>
      <c r="L55" s="24">
        <v>5.8823529411764705E-2</v>
      </c>
      <c r="M55" s="22">
        <v>0</v>
      </c>
      <c r="N55" s="23">
        <v>16</v>
      </c>
      <c r="O55" s="24">
        <v>0</v>
      </c>
      <c r="P55" s="22">
        <v>0</v>
      </c>
      <c r="Q55" s="23">
        <v>16</v>
      </c>
      <c r="R55" s="24">
        <v>0</v>
      </c>
      <c r="S55" s="21">
        <v>3</v>
      </c>
      <c r="T55" s="23">
        <v>18.5</v>
      </c>
      <c r="U55" s="24">
        <v>0.16216216216216217</v>
      </c>
      <c r="V55" s="21">
        <v>2</v>
      </c>
      <c r="W55" s="23">
        <v>17</v>
      </c>
      <c r="X55" s="24">
        <v>0.11764705882352941</v>
      </c>
      <c r="Y55" s="25">
        <v>8</v>
      </c>
      <c r="Z55" s="25">
        <v>19</v>
      </c>
      <c r="AA55" s="24">
        <v>0.42105263157894735</v>
      </c>
      <c r="AB55" s="22">
        <v>1</v>
      </c>
      <c r="AC55" s="22">
        <v>19</v>
      </c>
      <c r="AD55" s="24">
        <f>Table13[[#This Row],[Gönüllü Çıkış Sayısı]]/Table13[[#This Row],[Ortalama Çalışan Sayısı]]</f>
        <v>5.8823529411764705E-2</v>
      </c>
      <c r="AE55" s="26">
        <v>2</v>
      </c>
      <c r="AF55" s="25">
        <v>12.5</v>
      </c>
      <c r="AG55" s="24">
        <v>0.16</v>
      </c>
      <c r="AH55" s="26">
        <v>2</v>
      </c>
      <c r="AI55" s="25">
        <v>12.5</v>
      </c>
      <c r="AJ55" s="24">
        <v>0.16</v>
      </c>
      <c r="AK55" s="26">
        <v>0</v>
      </c>
      <c r="AL55" s="25">
        <v>19</v>
      </c>
      <c r="AM55" s="24">
        <v>0</v>
      </c>
      <c r="AN55" s="26">
        <v>2</v>
      </c>
      <c r="AO55" s="25">
        <v>18.5</v>
      </c>
      <c r="AP55" s="24">
        <v>0.10810810810810811</v>
      </c>
      <c r="AQ55" s="26">
        <v>5</v>
      </c>
      <c r="AR55" s="25">
        <v>19</v>
      </c>
      <c r="AS55" s="24">
        <v>0.26315789473684209</v>
      </c>
    </row>
    <row r="56" spans="1:45" x14ac:dyDescent="0.35">
      <c r="A56" s="21" t="s">
        <v>62</v>
      </c>
      <c r="B56" s="22" t="s">
        <v>63</v>
      </c>
      <c r="C56" s="21" t="s">
        <v>722</v>
      </c>
      <c r="D56" s="22" t="s">
        <v>645</v>
      </c>
      <c r="E56" s="22" t="s">
        <v>629</v>
      </c>
      <c r="F56" s="22" t="s">
        <v>646</v>
      </c>
      <c r="G56" s="22" t="s">
        <v>646</v>
      </c>
      <c r="H56" s="22" t="s">
        <v>636</v>
      </c>
      <c r="I56" s="22" t="s">
        <v>632</v>
      </c>
      <c r="J56" s="22">
        <v>1</v>
      </c>
      <c r="K56" s="22">
        <v>19</v>
      </c>
      <c r="L56" s="24">
        <v>5.2631578947368418E-2</v>
      </c>
      <c r="M56" s="22">
        <v>2</v>
      </c>
      <c r="N56" s="23">
        <v>18</v>
      </c>
      <c r="O56" s="24">
        <v>0.1111111111111111</v>
      </c>
      <c r="P56" s="22">
        <v>0</v>
      </c>
      <c r="Q56" s="23">
        <v>18.5</v>
      </c>
      <c r="R56" s="24">
        <v>0</v>
      </c>
      <c r="S56" s="21">
        <v>0</v>
      </c>
      <c r="T56" s="23">
        <v>19</v>
      </c>
      <c r="U56" s="24">
        <v>0</v>
      </c>
      <c r="V56" s="21">
        <v>3</v>
      </c>
      <c r="W56" s="23">
        <v>20</v>
      </c>
      <c r="X56" s="24">
        <v>0.15</v>
      </c>
      <c r="Y56" s="25">
        <v>6</v>
      </c>
      <c r="Z56" s="25">
        <v>20</v>
      </c>
      <c r="AA56" s="24">
        <v>0.3</v>
      </c>
      <c r="AB56" s="22">
        <v>1</v>
      </c>
      <c r="AC56" s="22">
        <v>24.5</v>
      </c>
      <c r="AD56" s="24">
        <f>Table13[[#This Row],[Gönüllü Çıkış Sayısı]]/Table13[[#This Row],[Ortalama Çalışan Sayısı]]</f>
        <v>5.2631578947368418E-2</v>
      </c>
      <c r="AE56" s="26">
        <v>1</v>
      </c>
      <c r="AF56" s="25">
        <v>18.5</v>
      </c>
      <c r="AG56" s="24">
        <v>5.4054054054054057E-2</v>
      </c>
      <c r="AH56" s="26">
        <v>1</v>
      </c>
      <c r="AI56" s="25">
        <v>19</v>
      </c>
      <c r="AJ56" s="24">
        <v>5.2631578947368418E-2</v>
      </c>
      <c r="AK56" s="26">
        <v>1</v>
      </c>
      <c r="AL56" s="25">
        <v>21</v>
      </c>
      <c r="AM56" s="24">
        <v>4.7619047619047616E-2</v>
      </c>
      <c r="AN56" s="26">
        <v>3</v>
      </c>
      <c r="AO56" s="25">
        <v>21.5</v>
      </c>
      <c r="AP56" s="24">
        <v>0.13953488372093023</v>
      </c>
      <c r="AQ56" s="26">
        <v>15</v>
      </c>
      <c r="AR56" s="25">
        <v>23</v>
      </c>
      <c r="AS56" s="24">
        <v>0.65217391304347827</v>
      </c>
    </row>
    <row r="57" spans="1:45" x14ac:dyDescent="0.35">
      <c r="A57" s="21" t="s">
        <v>64</v>
      </c>
      <c r="B57" s="22" t="s">
        <v>65</v>
      </c>
      <c r="C57" s="21" t="s">
        <v>723</v>
      </c>
      <c r="D57" s="22" t="s">
        <v>651</v>
      </c>
      <c r="E57" s="22" t="s">
        <v>629</v>
      </c>
      <c r="F57" s="22" t="s">
        <v>630</v>
      </c>
      <c r="G57" s="22" t="s">
        <v>1569</v>
      </c>
      <c r="H57" s="22" t="s">
        <v>654</v>
      </c>
      <c r="I57" s="22" t="s">
        <v>705</v>
      </c>
      <c r="J57" s="22">
        <v>0</v>
      </c>
      <c r="K57" s="22">
        <v>13.5</v>
      </c>
      <c r="L57" s="24">
        <v>0</v>
      </c>
      <c r="M57" s="22">
        <v>1</v>
      </c>
      <c r="N57" s="23">
        <v>19</v>
      </c>
      <c r="O57" s="24">
        <v>5.2631578947368418E-2</v>
      </c>
      <c r="P57" s="22">
        <v>1</v>
      </c>
      <c r="Q57" s="23">
        <v>17.5</v>
      </c>
      <c r="R57" s="24">
        <v>5.7142857142857141E-2</v>
      </c>
      <c r="S57" s="21">
        <v>0</v>
      </c>
      <c r="T57" s="23">
        <v>14</v>
      </c>
      <c r="U57" s="24">
        <v>0</v>
      </c>
      <c r="V57" s="21">
        <v>1</v>
      </c>
      <c r="W57" s="23">
        <v>14.5</v>
      </c>
      <c r="X57" s="24">
        <v>6.8965517241379309E-2</v>
      </c>
      <c r="Y57" s="25">
        <v>1</v>
      </c>
      <c r="Z57" s="25">
        <v>14.5</v>
      </c>
      <c r="AA57" s="24">
        <v>6.8965517241379309E-2</v>
      </c>
      <c r="AB57" s="22">
        <v>2</v>
      </c>
      <c r="AC57" s="22">
        <v>16</v>
      </c>
      <c r="AD57" s="24">
        <f>Table13[[#This Row],[Gönüllü Çıkış Sayısı]]/Table13[[#This Row],[Ortalama Çalışan Sayısı]]</f>
        <v>0</v>
      </c>
      <c r="AE57" s="26">
        <v>4</v>
      </c>
      <c r="AF57" s="25">
        <v>23</v>
      </c>
      <c r="AG57" s="24">
        <v>0.17391304347826086</v>
      </c>
      <c r="AH57" s="26">
        <v>6</v>
      </c>
      <c r="AI57" s="25">
        <v>21</v>
      </c>
      <c r="AJ57" s="24">
        <v>0.2857142857142857</v>
      </c>
      <c r="AK57" s="26">
        <v>1</v>
      </c>
      <c r="AL57" s="25">
        <v>14</v>
      </c>
      <c r="AM57" s="24">
        <v>7.1428571428571425E-2</v>
      </c>
      <c r="AN57" s="26">
        <v>1</v>
      </c>
      <c r="AO57" s="25">
        <v>14.5</v>
      </c>
      <c r="AP57" s="24">
        <v>6.8965517241379309E-2</v>
      </c>
      <c r="AQ57" s="26">
        <v>4</v>
      </c>
      <c r="AR57" s="25">
        <v>16</v>
      </c>
      <c r="AS57" s="24">
        <v>0.25</v>
      </c>
    </row>
    <row r="58" spans="1:45" x14ac:dyDescent="0.35">
      <c r="A58" s="21" t="s">
        <v>66</v>
      </c>
      <c r="B58" s="22" t="s">
        <v>67</v>
      </c>
      <c r="C58" s="21" t="s">
        <v>724</v>
      </c>
      <c r="D58" s="22" t="s">
        <v>645</v>
      </c>
      <c r="E58" s="22" t="s">
        <v>629</v>
      </c>
      <c r="F58" s="22" t="s">
        <v>646</v>
      </c>
      <c r="G58" s="22" t="s">
        <v>646</v>
      </c>
      <c r="H58" s="22" t="s">
        <v>654</v>
      </c>
      <c r="I58" s="22" t="s">
        <v>632</v>
      </c>
      <c r="J58" s="22">
        <v>0</v>
      </c>
      <c r="K58" s="22">
        <v>14.5</v>
      </c>
      <c r="L58" s="24">
        <v>0</v>
      </c>
      <c r="M58" s="22">
        <v>0</v>
      </c>
      <c r="N58" s="23">
        <v>13</v>
      </c>
      <c r="O58" s="24">
        <v>0</v>
      </c>
      <c r="P58" s="22">
        <v>0</v>
      </c>
      <c r="Q58" s="23">
        <v>13.5</v>
      </c>
      <c r="R58" s="24">
        <v>0</v>
      </c>
      <c r="S58" s="21">
        <v>1</v>
      </c>
      <c r="T58" s="23">
        <v>17.5</v>
      </c>
      <c r="U58" s="24">
        <v>5.7142857142857141E-2</v>
      </c>
      <c r="V58" s="21">
        <v>0</v>
      </c>
      <c r="W58" s="23">
        <v>17.5</v>
      </c>
      <c r="X58" s="24">
        <v>0</v>
      </c>
      <c r="Y58" s="25">
        <v>3</v>
      </c>
      <c r="Z58" s="25">
        <v>16</v>
      </c>
      <c r="AA58" s="24">
        <v>0.1875</v>
      </c>
      <c r="AB58" s="22">
        <v>0</v>
      </c>
      <c r="AC58" s="22">
        <v>17.5</v>
      </c>
      <c r="AD58" s="24">
        <f>Table13[[#This Row],[Gönüllü Çıkış Sayısı]]/Table13[[#This Row],[Ortalama Çalışan Sayısı]]</f>
        <v>0</v>
      </c>
      <c r="AE58" s="26">
        <v>0</v>
      </c>
      <c r="AF58" s="25">
        <v>15</v>
      </c>
      <c r="AG58" s="24">
        <v>0</v>
      </c>
      <c r="AH58" s="26">
        <v>0</v>
      </c>
      <c r="AI58" s="25">
        <v>15</v>
      </c>
      <c r="AJ58" s="24">
        <v>0</v>
      </c>
      <c r="AK58" s="26">
        <v>2</v>
      </c>
      <c r="AL58" s="25">
        <v>17</v>
      </c>
      <c r="AM58" s="24">
        <v>0.11764705882352941</v>
      </c>
      <c r="AN58" s="26">
        <v>1</v>
      </c>
      <c r="AO58" s="25">
        <v>16</v>
      </c>
      <c r="AP58" s="24">
        <v>6.25E-2</v>
      </c>
      <c r="AQ58" s="26">
        <v>3</v>
      </c>
      <c r="AR58" s="25">
        <v>16.5</v>
      </c>
      <c r="AS58" s="24">
        <v>0.18181818181818182</v>
      </c>
    </row>
    <row r="59" spans="1:45" x14ac:dyDescent="0.35">
      <c r="A59" s="21" t="s">
        <v>68</v>
      </c>
      <c r="B59" s="22" t="s">
        <v>69</v>
      </c>
      <c r="C59" s="21" t="s">
        <v>70</v>
      </c>
      <c r="D59" s="22" t="s">
        <v>670</v>
      </c>
      <c r="E59" s="22" t="s">
        <v>657</v>
      </c>
      <c r="F59" s="22" t="s">
        <v>641</v>
      </c>
      <c r="G59" s="22" t="s">
        <v>641</v>
      </c>
      <c r="H59" s="22" t="s">
        <v>636</v>
      </c>
      <c r="I59" s="22" t="s">
        <v>671</v>
      </c>
      <c r="J59" s="22">
        <v>0</v>
      </c>
      <c r="K59" s="22">
        <v>16</v>
      </c>
      <c r="L59" s="24">
        <v>0</v>
      </c>
      <c r="M59" s="22">
        <v>1</v>
      </c>
      <c r="N59" s="23">
        <v>15.5</v>
      </c>
      <c r="O59" s="24">
        <v>6.4516129032258063E-2</v>
      </c>
      <c r="P59" s="22">
        <v>0</v>
      </c>
      <c r="Q59" s="23">
        <v>15.5</v>
      </c>
      <c r="R59" s="24">
        <v>0</v>
      </c>
      <c r="S59" s="21">
        <v>0</v>
      </c>
      <c r="T59" s="23">
        <v>18.5</v>
      </c>
      <c r="U59" s="24">
        <v>0</v>
      </c>
      <c r="V59" s="21">
        <v>3</v>
      </c>
      <c r="W59" s="23">
        <v>18.5</v>
      </c>
      <c r="X59" s="24">
        <v>0.16216216216216217</v>
      </c>
      <c r="Y59" s="25">
        <v>7</v>
      </c>
      <c r="Z59" s="25">
        <v>18</v>
      </c>
      <c r="AA59" s="24">
        <v>0.3888888888888889</v>
      </c>
      <c r="AB59" s="22">
        <v>1</v>
      </c>
      <c r="AC59" s="22">
        <v>21.5</v>
      </c>
      <c r="AD59" s="24">
        <f>Table13[[#This Row],[Gönüllü Çıkış Sayısı]]/Table13[[#This Row],[Ortalama Çalışan Sayısı]]</f>
        <v>0</v>
      </c>
      <c r="AE59" s="26">
        <v>0</v>
      </c>
      <c r="AF59" s="25">
        <v>18</v>
      </c>
      <c r="AG59" s="24">
        <v>0</v>
      </c>
      <c r="AH59" s="26">
        <v>0</v>
      </c>
      <c r="AI59" s="25">
        <v>18</v>
      </c>
      <c r="AJ59" s="24">
        <v>0</v>
      </c>
      <c r="AK59" s="26">
        <v>1</v>
      </c>
      <c r="AL59" s="25">
        <v>18.5</v>
      </c>
      <c r="AM59" s="24">
        <v>5.4054054054054057E-2</v>
      </c>
      <c r="AN59" s="26">
        <v>2</v>
      </c>
      <c r="AO59" s="25">
        <v>18</v>
      </c>
      <c r="AP59" s="24">
        <v>0.1111111111111111</v>
      </c>
      <c r="AQ59" s="26">
        <v>7</v>
      </c>
      <c r="AR59" s="25">
        <v>20</v>
      </c>
      <c r="AS59" s="24">
        <v>0.35</v>
      </c>
    </row>
    <row r="60" spans="1:45" x14ac:dyDescent="0.35">
      <c r="A60" s="21" t="s">
        <v>73</v>
      </c>
      <c r="B60" s="22" t="s">
        <v>74</v>
      </c>
      <c r="C60" s="21" t="s">
        <v>75</v>
      </c>
      <c r="D60" s="22" t="s">
        <v>648</v>
      </c>
      <c r="E60" s="22" t="s">
        <v>623</v>
      </c>
      <c r="F60" s="22" t="s">
        <v>624</v>
      </c>
      <c r="G60" s="22" t="s">
        <v>624</v>
      </c>
      <c r="H60" s="22" t="s">
        <v>654</v>
      </c>
      <c r="I60" s="22" t="s">
        <v>725</v>
      </c>
      <c r="J60" s="22">
        <v>2</v>
      </c>
      <c r="K60" s="22">
        <v>16.5</v>
      </c>
      <c r="L60" s="24">
        <v>0.12121212121212122</v>
      </c>
      <c r="M60" s="22">
        <v>2</v>
      </c>
      <c r="N60" s="23">
        <v>16.5</v>
      </c>
      <c r="O60" s="24">
        <v>0.12121212121212122</v>
      </c>
      <c r="P60" s="22">
        <v>2</v>
      </c>
      <c r="Q60" s="23">
        <v>17.5</v>
      </c>
      <c r="R60" s="24">
        <v>0.11428571428571428</v>
      </c>
      <c r="S60" s="21">
        <v>1</v>
      </c>
      <c r="T60" s="23">
        <v>16.5</v>
      </c>
      <c r="U60" s="24">
        <v>6.0606060606060608E-2</v>
      </c>
      <c r="V60" s="21">
        <v>2</v>
      </c>
      <c r="W60" s="23">
        <v>16.5</v>
      </c>
      <c r="X60" s="24">
        <v>0.12121212121212122</v>
      </c>
      <c r="Y60" s="25">
        <v>6</v>
      </c>
      <c r="Z60" s="25">
        <v>17.5</v>
      </c>
      <c r="AA60" s="24">
        <v>0.34285714285714286</v>
      </c>
      <c r="AB60" s="22">
        <v>2</v>
      </c>
      <c r="AC60" s="22">
        <v>16</v>
      </c>
      <c r="AD60" s="24">
        <f>Table13[[#This Row],[Gönüllü Çıkış Sayısı]]/Table13[[#This Row],[Ortalama Çalışan Sayısı]]</f>
        <v>0.12121212121212122</v>
      </c>
      <c r="AE60" s="26">
        <v>1</v>
      </c>
      <c r="AF60" s="25">
        <v>20.5</v>
      </c>
      <c r="AG60" s="24">
        <v>4.878048780487805E-2</v>
      </c>
      <c r="AH60" s="26">
        <v>2</v>
      </c>
      <c r="AI60" s="25">
        <v>20</v>
      </c>
      <c r="AJ60" s="24">
        <v>0.1</v>
      </c>
      <c r="AK60" s="26">
        <v>2</v>
      </c>
      <c r="AL60" s="25">
        <v>16</v>
      </c>
      <c r="AM60" s="24">
        <v>0.125</v>
      </c>
      <c r="AN60" s="26">
        <v>3</v>
      </c>
      <c r="AO60" s="25">
        <v>15.5</v>
      </c>
      <c r="AP60" s="24">
        <v>0.19354838709677419</v>
      </c>
      <c r="AQ60" s="26">
        <v>14</v>
      </c>
      <c r="AR60" s="25">
        <v>16</v>
      </c>
      <c r="AS60" s="24">
        <v>0.875</v>
      </c>
    </row>
    <row r="61" spans="1:45" x14ac:dyDescent="0.35">
      <c r="A61" s="21" t="s">
        <v>76</v>
      </c>
      <c r="B61" s="22" t="s">
        <v>77</v>
      </c>
      <c r="C61" s="21" t="s">
        <v>726</v>
      </c>
      <c r="D61" s="22" t="s">
        <v>645</v>
      </c>
      <c r="E61" s="22" t="s">
        <v>629</v>
      </c>
      <c r="F61" s="22" t="s">
        <v>646</v>
      </c>
      <c r="G61" s="22" t="s">
        <v>646</v>
      </c>
      <c r="H61" s="22" t="s">
        <v>636</v>
      </c>
      <c r="I61" s="22" t="s">
        <v>632</v>
      </c>
      <c r="J61" s="22">
        <v>4</v>
      </c>
      <c r="K61" s="22">
        <v>22.5</v>
      </c>
      <c r="L61" s="24">
        <v>0.17777777777777778</v>
      </c>
      <c r="M61" s="22">
        <v>1</v>
      </c>
      <c r="N61" s="23">
        <v>16</v>
      </c>
      <c r="O61" s="24">
        <v>6.25E-2</v>
      </c>
      <c r="P61" s="22">
        <v>0</v>
      </c>
      <c r="Q61" s="23">
        <v>16.5</v>
      </c>
      <c r="R61" s="24">
        <v>0</v>
      </c>
      <c r="S61" s="21">
        <v>1</v>
      </c>
      <c r="T61" s="23">
        <v>24</v>
      </c>
      <c r="U61" s="24">
        <v>4.1666666666666664E-2</v>
      </c>
      <c r="V61" s="21">
        <v>4</v>
      </c>
      <c r="W61" s="23">
        <v>24</v>
      </c>
      <c r="X61" s="24">
        <v>0.16666666666666666</v>
      </c>
      <c r="Y61" s="25">
        <v>10</v>
      </c>
      <c r="Z61" s="25">
        <v>24.5</v>
      </c>
      <c r="AA61" s="24">
        <v>0.40816326530612246</v>
      </c>
      <c r="AB61" s="22">
        <v>1</v>
      </c>
      <c r="AC61" s="22">
        <v>27.5</v>
      </c>
      <c r="AD61" s="24">
        <f>Table13[[#This Row],[Gönüllü Çıkış Sayısı]]/Table13[[#This Row],[Ortalama Çalışan Sayısı]]</f>
        <v>0.17777777777777778</v>
      </c>
      <c r="AE61" s="26">
        <v>6</v>
      </c>
      <c r="AF61" s="25">
        <v>13</v>
      </c>
      <c r="AG61" s="24">
        <v>0.46153846153846156</v>
      </c>
      <c r="AH61" s="26">
        <v>1</v>
      </c>
      <c r="AI61" s="25">
        <v>14</v>
      </c>
      <c r="AJ61" s="24">
        <v>7.1428571428571425E-2</v>
      </c>
      <c r="AK61" s="26">
        <v>0</v>
      </c>
      <c r="AL61" s="25">
        <v>22</v>
      </c>
      <c r="AM61" s="24">
        <v>0</v>
      </c>
      <c r="AN61" s="26">
        <v>0</v>
      </c>
      <c r="AO61" s="25">
        <v>22.5</v>
      </c>
      <c r="AP61" s="24">
        <v>0</v>
      </c>
      <c r="AQ61" s="26">
        <v>5</v>
      </c>
      <c r="AR61" s="25">
        <v>25.5</v>
      </c>
      <c r="AS61" s="24">
        <v>0.19607843137254902</v>
      </c>
    </row>
    <row r="62" spans="1:45" x14ac:dyDescent="0.35">
      <c r="A62" s="21" t="s">
        <v>78</v>
      </c>
      <c r="B62" s="22" t="s">
        <v>79</v>
      </c>
      <c r="C62" s="21" t="s">
        <v>727</v>
      </c>
      <c r="D62" s="22" t="s">
        <v>661</v>
      </c>
      <c r="E62" s="22" t="s">
        <v>657</v>
      </c>
      <c r="F62" s="22" t="s">
        <v>658</v>
      </c>
      <c r="G62" s="22" t="s">
        <v>662</v>
      </c>
      <c r="H62" s="22" t="s">
        <v>654</v>
      </c>
      <c r="I62" s="22" t="s">
        <v>632</v>
      </c>
      <c r="J62" s="22">
        <v>0</v>
      </c>
      <c r="K62" s="22">
        <v>17.5</v>
      </c>
      <c r="L62" s="24">
        <v>0</v>
      </c>
      <c r="M62" s="22">
        <v>1</v>
      </c>
      <c r="N62" s="23">
        <v>23.5</v>
      </c>
      <c r="O62" s="24">
        <v>4.2553191489361701E-2</v>
      </c>
      <c r="P62" s="22">
        <v>0</v>
      </c>
      <c r="Q62" s="23">
        <v>24</v>
      </c>
      <c r="R62" s="24">
        <v>0</v>
      </c>
      <c r="S62" s="21">
        <v>0</v>
      </c>
      <c r="T62" s="23">
        <v>18</v>
      </c>
      <c r="U62" s="24">
        <v>0</v>
      </c>
      <c r="V62" s="21">
        <v>1</v>
      </c>
      <c r="W62" s="23">
        <v>18</v>
      </c>
      <c r="X62" s="24">
        <v>5.5555555555555552E-2</v>
      </c>
      <c r="Y62" s="25">
        <v>1</v>
      </c>
      <c r="Z62" s="25">
        <v>17.5</v>
      </c>
      <c r="AA62" s="24">
        <v>5.7142857142857141E-2</v>
      </c>
      <c r="AB62" s="22">
        <v>0</v>
      </c>
      <c r="AC62" s="22">
        <v>21</v>
      </c>
      <c r="AD62" s="24">
        <f>Table13[[#This Row],[Gönüllü Çıkış Sayısı]]/Table13[[#This Row],[Ortalama Çalışan Sayısı]]</f>
        <v>0</v>
      </c>
      <c r="AE62" s="26">
        <v>1</v>
      </c>
      <c r="AF62" s="25">
        <v>26.5</v>
      </c>
      <c r="AG62" s="24">
        <v>3.7735849056603772E-2</v>
      </c>
      <c r="AH62" s="26">
        <v>3</v>
      </c>
      <c r="AI62" s="25">
        <v>24</v>
      </c>
      <c r="AJ62" s="24">
        <v>0.125</v>
      </c>
      <c r="AK62" s="26">
        <v>2</v>
      </c>
      <c r="AL62" s="25">
        <v>19.5</v>
      </c>
      <c r="AM62" s="24">
        <v>0.10256410256410256</v>
      </c>
      <c r="AN62" s="26">
        <v>1</v>
      </c>
      <c r="AO62" s="25">
        <v>19.5</v>
      </c>
      <c r="AP62" s="24">
        <v>5.128205128205128E-2</v>
      </c>
      <c r="AQ62" s="26">
        <v>4</v>
      </c>
      <c r="AR62" s="25">
        <v>20.5</v>
      </c>
      <c r="AS62" s="24">
        <v>0.1951219512195122</v>
      </c>
    </row>
    <row r="63" spans="1:45" x14ac:dyDescent="0.35">
      <c r="A63" s="21" t="s">
        <v>80</v>
      </c>
      <c r="B63" s="22" t="s">
        <v>81</v>
      </c>
      <c r="C63" s="21" t="s">
        <v>728</v>
      </c>
      <c r="D63" s="22" t="s">
        <v>628</v>
      </c>
      <c r="E63" s="22" t="s">
        <v>629</v>
      </c>
      <c r="F63" s="22" t="s">
        <v>630</v>
      </c>
      <c r="G63" s="22" t="s">
        <v>1569</v>
      </c>
      <c r="H63" s="22" t="s">
        <v>654</v>
      </c>
      <c r="I63" s="22" t="s">
        <v>632</v>
      </c>
      <c r="J63" s="22">
        <v>2</v>
      </c>
      <c r="K63" s="22">
        <v>16.5</v>
      </c>
      <c r="L63" s="24">
        <v>0.12121212121212122</v>
      </c>
      <c r="M63" s="22">
        <v>0</v>
      </c>
      <c r="N63" s="23">
        <v>18</v>
      </c>
      <c r="O63" s="24">
        <v>0</v>
      </c>
      <c r="P63" s="22">
        <v>0</v>
      </c>
      <c r="Q63" s="23">
        <v>18</v>
      </c>
      <c r="R63" s="24">
        <v>0</v>
      </c>
      <c r="S63" s="21">
        <v>4</v>
      </c>
      <c r="T63" s="23">
        <v>21.5</v>
      </c>
      <c r="U63" s="24">
        <v>0.18604651162790697</v>
      </c>
      <c r="V63" s="21">
        <v>3</v>
      </c>
      <c r="W63" s="23">
        <v>20.5</v>
      </c>
      <c r="X63" s="24">
        <v>0.14634146341463414</v>
      </c>
      <c r="Y63" s="25">
        <v>14</v>
      </c>
      <c r="Z63" s="25">
        <v>19.5</v>
      </c>
      <c r="AA63" s="24">
        <v>0.71794871794871795</v>
      </c>
      <c r="AB63" s="22">
        <v>5</v>
      </c>
      <c r="AC63" s="22">
        <v>20.5</v>
      </c>
      <c r="AD63" s="24">
        <f>Table13[[#This Row],[Gönüllü Çıkış Sayısı]]/Table13[[#This Row],[Ortalama Çalışan Sayısı]]</f>
        <v>0.12121212121212122</v>
      </c>
      <c r="AE63" s="26">
        <v>0</v>
      </c>
      <c r="AF63" s="25">
        <v>21</v>
      </c>
      <c r="AG63" s="24">
        <v>0</v>
      </c>
      <c r="AH63" s="26">
        <v>1</v>
      </c>
      <c r="AI63" s="25">
        <v>20.5</v>
      </c>
      <c r="AJ63" s="24">
        <v>4.878048780487805E-2</v>
      </c>
      <c r="AK63" s="26">
        <v>5</v>
      </c>
      <c r="AL63" s="25">
        <v>18</v>
      </c>
      <c r="AM63" s="24">
        <v>0.27777777777777779</v>
      </c>
      <c r="AN63" s="26">
        <v>8</v>
      </c>
      <c r="AO63" s="25">
        <v>17.5</v>
      </c>
      <c r="AP63" s="24">
        <v>0.45714285714285713</v>
      </c>
      <c r="AQ63" s="26">
        <v>28</v>
      </c>
      <c r="AR63" s="25">
        <v>19</v>
      </c>
      <c r="AS63" s="24">
        <v>1.4736842105263157</v>
      </c>
    </row>
    <row r="64" spans="1:45" x14ac:dyDescent="0.35">
      <c r="A64" s="21" t="s">
        <v>82</v>
      </c>
      <c r="B64" s="22" t="s">
        <v>83</v>
      </c>
      <c r="C64" s="21" t="s">
        <v>729</v>
      </c>
      <c r="D64" s="22" t="s">
        <v>661</v>
      </c>
      <c r="E64" s="22" t="s">
        <v>657</v>
      </c>
      <c r="F64" s="22" t="s">
        <v>662</v>
      </c>
      <c r="G64" s="22" t="s">
        <v>662</v>
      </c>
      <c r="H64" s="22" t="s">
        <v>642</v>
      </c>
      <c r="I64" s="22" t="s">
        <v>632</v>
      </c>
      <c r="J64" s="22">
        <v>1</v>
      </c>
      <c r="K64" s="22">
        <v>9.5</v>
      </c>
      <c r="L64" s="24">
        <v>0.10526315789473684</v>
      </c>
      <c r="M64" s="22">
        <v>3</v>
      </c>
      <c r="N64" s="23">
        <v>19</v>
      </c>
      <c r="O64" s="24">
        <v>0.15789473684210525</v>
      </c>
      <c r="P64" s="22">
        <v>2</v>
      </c>
      <c r="Q64" s="23">
        <v>20.5</v>
      </c>
      <c r="R64" s="24">
        <v>9.7560975609756101E-2</v>
      </c>
      <c r="S64" s="21">
        <v>0</v>
      </c>
      <c r="T64" s="23">
        <v>11.5</v>
      </c>
      <c r="U64" s="24">
        <v>0</v>
      </c>
      <c r="V64" s="21">
        <v>1</v>
      </c>
      <c r="W64" s="23">
        <v>12</v>
      </c>
      <c r="X64" s="24">
        <v>8.3333333333333329E-2</v>
      </c>
      <c r="Y64" s="25">
        <v>5</v>
      </c>
      <c r="Z64" s="25">
        <v>11</v>
      </c>
      <c r="AA64" s="24">
        <v>0.45454545454545453</v>
      </c>
      <c r="AB64" s="22">
        <v>2</v>
      </c>
      <c r="AC64" s="22">
        <v>13</v>
      </c>
      <c r="AD64" s="24">
        <f>Table13[[#This Row],[Gönüllü Çıkış Sayısı]]/Table13[[#This Row],[Ortalama Çalışan Sayısı]]</f>
        <v>0.10526315789473684</v>
      </c>
      <c r="AE64" s="26">
        <v>6</v>
      </c>
      <c r="AF64" s="25">
        <v>20.5</v>
      </c>
      <c r="AG64" s="24">
        <v>0.29268292682926828</v>
      </c>
      <c r="AH64" s="26">
        <v>4</v>
      </c>
      <c r="AI64" s="25">
        <v>19</v>
      </c>
      <c r="AJ64" s="24">
        <v>0.21052631578947367</v>
      </c>
      <c r="AK64" s="26">
        <v>0</v>
      </c>
      <c r="AL64" s="25">
        <v>13</v>
      </c>
      <c r="AM64" s="24">
        <v>0</v>
      </c>
      <c r="AN64" s="26">
        <v>1</v>
      </c>
      <c r="AO64" s="25">
        <v>12.5</v>
      </c>
      <c r="AP64" s="24">
        <v>0.08</v>
      </c>
      <c r="AQ64" s="26">
        <v>3</v>
      </c>
      <c r="AR64" s="25">
        <v>12.5</v>
      </c>
      <c r="AS64" s="24">
        <v>0.24</v>
      </c>
    </row>
    <row r="65" spans="1:45" x14ac:dyDescent="0.35">
      <c r="A65" s="21" t="s">
        <v>84</v>
      </c>
      <c r="B65" s="22" t="s">
        <v>85</v>
      </c>
      <c r="C65" s="21" t="s">
        <v>86</v>
      </c>
      <c r="D65" s="22" t="s">
        <v>622</v>
      </c>
      <c r="E65" s="22" t="s">
        <v>623</v>
      </c>
      <c r="F65" s="22" t="s">
        <v>624</v>
      </c>
      <c r="G65" s="22" t="s">
        <v>624</v>
      </c>
      <c r="H65" s="22" t="s">
        <v>642</v>
      </c>
      <c r="I65" s="22" t="s">
        <v>730</v>
      </c>
      <c r="J65" s="22">
        <v>2</v>
      </c>
      <c r="K65" s="22">
        <v>8</v>
      </c>
      <c r="L65" s="24">
        <v>0.25</v>
      </c>
      <c r="M65" s="22">
        <v>1</v>
      </c>
      <c r="N65" s="23">
        <v>12</v>
      </c>
      <c r="O65" s="24">
        <v>8.3333333333333329E-2</v>
      </c>
      <c r="P65" s="22">
        <v>2</v>
      </c>
      <c r="Q65" s="23">
        <v>11</v>
      </c>
      <c r="R65" s="24">
        <v>0.18181818181818182</v>
      </c>
      <c r="S65" s="21">
        <v>0</v>
      </c>
      <c r="T65" s="23">
        <v>7.5</v>
      </c>
      <c r="U65" s="24">
        <v>0</v>
      </c>
      <c r="V65" s="21">
        <v>0</v>
      </c>
      <c r="W65" s="23">
        <v>8</v>
      </c>
      <c r="X65" s="24">
        <v>0</v>
      </c>
      <c r="Y65" s="25">
        <v>3</v>
      </c>
      <c r="Z65" s="25">
        <v>8.5</v>
      </c>
      <c r="AA65" s="24">
        <v>0.35294117647058826</v>
      </c>
      <c r="AB65" s="22">
        <v>0</v>
      </c>
      <c r="AC65" s="22">
        <v>9</v>
      </c>
      <c r="AD65" s="24">
        <f>Table13[[#This Row],[Gönüllü Çıkış Sayısı]]/Table13[[#This Row],[Ortalama Çalışan Sayısı]]</f>
        <v>0.25</v>
      </c>
      <c r="AE65" s="26">
        <v>0</v>
      </c>
      <c r="AF65" s="25">
        <v>13.5</v>
      </c>
      <c r="AG65" s="24">
        <v>0</v>
      </c>
      <c r="AH65" s="26">
        <v>0</v>
      </c>
      <c r="AI65" s="25">
        <v>13</v>
      </c>
      <c r="AJ65" s="24">
        <v>0</v>
      </c>
      <c r="AK65" s="26">
        <v>0</v>
      </c>
      <c r="AL65" s="25">
        <v>8</v>
      </c>
      <c r="AM65" s="24">
        <v>0</v>
      </c>
      <c r="AN65" s="26">
        <v>0</v>
      </c>
      <c r="AO65" s="25">
        <v>8</v>
      </c>
      <c r="AP65" s="24">
        <v>0</v>
      </c>
      <c r="AQ65" s="26">
        <v>1</v>
      </c>
      <c r="AR65" s="25">
        <v>8.5</v>
      </c>
      <c r="AS65" s="24">
        <v>0.11764705882352941</v>
      </c>
    </row>
    <row r="66" spans="1:45" x14ac:dyDescent="0.35">
      <c r="A66" s="21" t="s">
        <v>87</v>
      </c>
      <c r="B66" s="22" t="s">
        <v>88</v>
      </c>
      <c r="C66" s="21" t="s">
        <v>731</v>
      </c>
      <c r="D66" s="22" t="s">
        <v>661</v>
      </c>
      <c r="E66" s="22" t="s">
        <v>657</v>
      </c>
      <c r="F66" s="22" t="s">
        <v>662</v>
      </c>
      <c r="G66" s="22" t="s">
        <v>662</v>
      </c>
      <c r="H66" s="22" t="s">
        <v>642</v>
      </c>
      <c r="I66" s="22" t="s">
        <v>632</v>
      </c>
      <c r="J66" s="22">
        <v>0</v>
      </c>
      <c r="K66" s="22">
        <v>9</v>
      </c>
      <c r="L66" s="24">
        <v>0</v>
      </c>
      <c r="M66" s="22">
        <v>0</v>
      </c>
      <c r="N66" s="23">
        <v>7.5</v>
      </c>
      <c r="O66" s="24">
        <v>0</v>
      </c>
      <c r="P66" s="22">
        <v>1</v>
      </c>
      <c r="Q66" s="23">
        <v>7.5</v>
      </c>
      <c r="R66" s="24">
        <v>0.13333333333333333</v>
      </c>
      <c r="S66" s="21">
        <v>1</v>
      </c>
      <c r="T66" s="23">
        <v>10.5</v>
      </c>
      <c r="U66" s="24">
        <v>9.5238095238095233E-2</v>
      </c>
      <c r="V66" s="21">
        <v>2</v>
      </c>
      <c r="W66" s="23">
        <v>12.5</v>
      </c>
      <c r="X66" s="24">
        <v>0.16</v>
      </c>
      <c r="Y66" s="25">
        <v>3</v>
      </c>
      <c r="Z66" s="25">
        <v>11.5</v>
      </c>
      <c r="AA66" s="24">
        <v>0.2608695652173913</v>
      </c>
      <c r="AB66" s="22">
        <v>0</v>
      </c>
      <c r="AC66" s="22">
        <v>15</v>
      </c>
      <c r="AD66" s="24">
        <f>Table13[[#This Row],[Gönüllü Çıkış Sayısı]]/Table13[[#This Row],[Ortalama Çalışan Sayısı]]</f>
        <v>0</v>
      </c>
      <c r="AE66" s="26">
        <v>0</v>
      </c>
      <c r="AF66" s="25">
        <v>9</v>
      </c>
      <c r="AG66" s="24">
        <v>0</v>
      </c>
      <c r="AH66" s="26">
        <v>1</v>
      </c>
      <c r="AI66" s="25">
        <v>8.5</v>
      </c>
      <c r="AJ66" s="24">
        <v>0.11764705882352941</v>
      </c>
      <c r="AK66" s="26">
        <v>2</v>
      </c>
      <c r="AL66" s="25">
        <v>14.5</v>
      </c>
      <c r="AM66" s="24">
        <v>0.13793103448275862</v>
      </c>
      <c r="AN66" s="26">
        <v>1</v>
      </c>
      <c r="AO66" s="25">
        <v>15.5</v>
      </c>
      <c r="AP66" s="24">
        <v>6.4516129032258063E-2</v>
      </c>
      <c r="AQ66" s="26">
        <v>5</v>
      </c>
      <c r="AR66" s="25">
        <v>15</v>
      </c>
      <c r="AS66" s="24">
        <v>0.33333333333333331</v>
      </c>
    </row>
    <row r="67" spans="1:45" x14ac:dyDescent="0.35">
      <c r="A67" s="21" t="s">
        <v>89</v>
      </c>
      <c r="B67" s="22" t="s">
        <v>90</v>
      </c>
      <c r="C67" s="21" t="s">
        <v>732</v>
      </c>
      <c r="D67" s="22" t="s">
        <v>666</v>
      </c>
      <c r="E67" s="22" t="s">
        <v>629</v>
      </c>
      <c r="F67" s="22" t="s">
        <v>635</v>
      </c>
      <c r="G67" s="22" t="s">
        <v>635</v>
      </c>
      <c r="H67" s="22" t="s">
        <v>636</v>
      </c>
      <c r="I67" s="22" t="s">
        <v>637</v>
      </c>
      <c r="J67" s="22">
        <v>3</v>
      </c>
      <c r="K67" s="22">
        <v>15.5</v>
      </c>
      <c r="L67" s="24">
        <v>0.19354838709677419</v>
      </c>
      <c r="M67" s="22">
        <v>0</v>
      </c>
      <c r="N67" s="23">
        <v>10</v>
      </c>
      <c r="O67" s="24">
        <v>0</v>
      </c>
      <c r="P67" s="22">
        <v>0</v>
      </c>
      <c r="Q67" s="23">
        <v>8</v>
      </c>
      <c r="R67" s="24">
        <v>0</v>
      </c>
      <c r="S67" s="21">
        <v>0</v>
      </c>
      <c r="T67" s="23">
        <v>15.5</v>
      </c>
      <c r="U67" s="24">
        <v>0</v>
      </c>
      <c r="V67" s="21">
        <v>7</v>
      </c>
      <c r="W67" s="23">
        <v>14.5</v>
      </c>
      <c r="X67" s="24">
        <v>0.48275862068965519</v>
      </c>
      <c r="Y67" s="25">
        <v>12</v>
      </c>
      <c r="Z67" s="25">
        <v>14.5</v>
      </c>
      <c r="AA67" s="24">
        <v>0.82758620689655171</v>
      </c>
      <c r="AB67" s="22">
        <v>3</v>
      </c>
      <c r="AC67" s="22">
        <v>16</v>
      </c>
      <c r="AD67" s="24">
        <f>Table13[[#This Row],[Gönüllü Çıkış Sayısı]]/Table13[[#This Row],[Ortalama Çalışan Sayısı]]</f>
        <v>0.19354838709677419</v>
      </c>
      <c r="AE67" s="26">
        <v>1</v>
      </c>
      <c r="AF67" s="25">
        <v>15.5</v>
      </c>
      <c r="AG67" s="24">
        <v>6.4516129032258063E-2</v>
      </c>
      <c r="AH67" s="26">
        <v>1</v>
      </c>
      <c r="AI67" s="25">
        <v>14.5</v>
      </c>
      <c r="AJ67" s="24">
        <v>6.8965517241379309E-2</v>
      </c>
      <c r="AK67" s="26">
        <v>1</v>
      </c>
      <c r="AL67" s="25">
        <v>15.5</v>
      </c>
      <c r="AM67" s="24">
        <v>6.4516129032258063E-2</v>
      </c>
      <c r="AN67" s="26">
        <v>1</v>
      </c>
      <c r="AO67" s="25">
        <v>15.5</v>
      </c>
      <c r="AP67" s="24">
        <v>6.4516129032258063E-2</v>
      </c>
      <c r="AQ67" s="26">
        <v>5</v>
      </c>
      <c r="AR67" s="25">
        <v>16.5</v>
      </c>
      <c r="AS67" s="24">
        <v>0.30303030303030304</v>
      </c>
    </row>
    <row r="68" spans="1:45" x14ac:dyDescent="0.35">
      <c r="A68" s="21" t="s">
        <v>91</v>
      </c>
      <c r="B68" s="22" t="s">
        <v>92</v>
      </c>
      <c r="C68" s="21" t="s">
        <v>733</v>
      </c>
      <c r="D68" s="22" t="s">
        <v>634</v>
      </c>
      <c r="E68" s="22" t="s">
        <v>629</v>
      </c>
      <c r="F68" s="22" t="s">
        <v>630</v>
      </c>
      <c r="G68" s="22" t="s">
        <v>1569</v>
      </c>
      <c r="H68" s="22" t="s">
        <v>636</v>
      </c>
      <c r="I68" s="22" t="s">
        <v>734</v>
      </c>
      <c r="J68" s="22">
        <v>1</v>
      </c>
      <c r="K68" s="22">
        <v>19</v>
      </c>
      <c r="L68" s="24">
        <v>5.2631578947368418E-2</v>
      </c>
      <c r="M68" s="22">
        <v>0</v>
      </c>
      <c r="N68" s="23">
        <v>16</v>
      </c>
      <c r="O68" s="24">
        <v>0</v>
      </c>
      <c r="P68" s="22">
        <v>2</v>
      </c>
      <c r="Q68" s="23">
        <v>15</v>
      </c>
      <c r="R68" s="24">
        <v>0.13333333333333333</v>
      </c>
      <c r="S68" s="21">
        <v>1</v>
      </c>
      <c r="T68" s="23">
        <v>21.5</v>
      </c>
      <c r="U68" s="24">
        <v>4.6511627906976744E-2</v>
      </c>
      <c r="V68" s="21">
        <v>4</v>
      </c>
      <c r="W68" s="23">
        <v>21.5</v>
      </c>
      <c r="X68" s="24">
        <v>0.18604651162790697</v>
      </c>
      <c r="Y68" s="25">
        <v>8</v>
      </c>
      <c r="Z68" s="25">
        <v>21</v>
      </c>
      <c r="AA68" s="24">
        <v>0.38095238095238093</v>
      </c>
      <c r="AB68" s="22">
        <v>2</v>
      </c>
      <c r="AC68" s="22">
        <v>24</v>
      </c>
      <c r="AD68" s="24">
        <f>Table13[[#This Row],[Gönüllü Çıkış Sayısı]]/Table13[[#This Row],[Ortalama Çalışan Sayısı]]</f>
        <v>5.2631578947368418E-2</v>
      </c>
      <c r="AE68" s="26">
        <v>0</v>
      </c>
      <c r="AF68" s="25">
        <v>14.5</v>
      </c>
      <c r="AG68" s="24">
        <v>0</v>
      </c>
      <c r="AH68" s="26">
        <v>0</v>
      </c>
      <c r="AI68" s="25">
        <v>16</v>
      </c>
      <c r="AJ68" s="24">
        <v>0</v>
      </c>
      <c r="AK68" s="26">
        <v>2</v>
      </c>
      <c r="AL68" s="25">
        <v>24</v>
      </c>
      <c r="AM68" s="24">
        <v>8.3333333333333329E-2</v>
      </c>
      <c r="AN68" s="26">
        <v>3</v>
      </c>
      <c r="AO68" s="25">
        <v>21</v>
      </c>
      <c r="AP68" s="24">
        <v>0.14285714285714285</v>
      </c>
      <c r="AQ68" s="26">
        <v>12</v>
      </c>
      <c r="AR68" s="25">
        <v>22</v>
      </c>
      <c r="AS68" s="24">
        <v>0.54545454545454541</v>
      </c>
    </row>
    <row r="69" spans="1:45" x14ac:dyDescent="0.35">
      <c r="A69" s="21" t="s">
        <v>93</v>
      </c>
      <c r="B69" s="22" t="s">
        <v>94</v>
      </c>
      <c r="C69" s="21" t="s">
        <v>735</v>
      </c>
      <c r="D69" s="22" t="s">
        <v>691</v>
      </c>
      <c r="E69" s="22" t="s">
        <v>657</v>
      </c>
      <c r="F69" s="22" t="s">
        <v>658</v>
      </c>
      <c r="G69" s="22" t="s">
        <v>662</v>
      </c>
      <c r="H69" s="22" t="s">
        <v>654</v>
      </c>
      <c r="I69" s="22" t="s">
        <v>632</v>
      </c>
      <c r="J69" s="22">
        <v>1</v>
      </c>
      <c r="K69" s="22">
        <v>16.5</v>
      </c>
      <c r="L69" s="24">
        <v>6.0606060606060608E-2</v>
      </c>
      <c r="M69" s="22">
        <v>1</v>
      </c>
      <c r="N69" s="23">
        <v>20.5</v>
      </c>
      <c r="O69" s="24">
        <v>4.878048780487805E-2</v>
      </c>
      <c r="P69" s="22">
        <v>1</v>
      </c>
      <c r="Q69" s="23">
        <v>20</v>
      </c>
      <c r="R69" s="24">
        <v>0.05</v>
      </c>
      <c r="S69" s="21">
        <v>0</v>
      </c>
      <c r="T69" s="23">
        <v>15</v>
      </c>
      <c r="U69" s="24">
        <v>0</v>
      </c>
      <c r="V69" s="21">
        <v>2</v>
      </c>
      <c r="W69" s="23">
        <v>16</v>
      </c>
      <c r="X69" s="24">
        <v>0.125</v>
      </c>
      <c r="Y69" s="25">
        <v>5</v>
      </c>
      <c r="Z69" s="25">
        <v>16.5</v>
      </c>
      <c r="AA69" s="24">
        <v>0.30303030303030304</v>
      </c>
      <c r="AB69" s="22">
        <v>1</v>
      </c>
      <c r="AC69" s="22">
        <v>18.5</v>
      </c>
      <c r="AD69" s="24">
        <f>Table13[[#This Row],[Gönüllü Çıkış Sayısı]]/Table13[[#This Row],[Ortalama Çalışan Sayısı]]</f>
        <v>6.0606060606060608E-2</v>
      </c>
      <c r="AE69" s="26">
        <v>2</v>
      </c>
      <c r="AF69" s="25">
        <v>24</v>
      </c>
      <c r="AG69" s="24">
        <v>8.3333333333333329E-2</v>
      </c>
      <c r="AH69" s="26">
        <v>3</v>
      </c>
      <c r="AI69" s="25">
        <v>25.5</v>
      </c>
      <c r="AJ69" s="24">
        <v>0.11764705882352941</v>
      </c>
      <c r="AK69" s="26">
        <v>0</v>
      </c>
      <c r="AL69" s="25">
        <v>18</v>
      </c>
      <c r="AM69" s="24">
        <v>0</v>
      </c>
      <c r="AN69" s="26">
        <v>2</v>
      </c>
      <c r="AO69" s="25">
        <v>18</v>
      </c>
      <c r="AP69" s="24">
        <v>0.1111111111111111</v>
      </c>
      <c r="AQ69" s="26">
        <v>6</v>
      </c>
      <c r="AR69" s="25">
        <v>18.5</v>
      </c>
      <c r="AS69" s="24">
        <v>0.32432432432432434</v>
      </c>
    </row>
    <row r="70" spans="1:45" x14ac:dyDescent="0.35">
      <c r="A70" s="21" t="s">
        <v>95</v>
      </c>
      <c r="B70" s="22" t="s">
        <v>96</v>
      </c>
      <c r="C70" s="21" t="s">
        <v>736</v>
      </c>
      <c r="D70" s="22" t="s">
        <v>737</v>
      </c>
      <c r="E70" s="22" t="s">
        <v>657</v>
      </c>
      <c r="F70" s="22" t="s">
        <v>641</v>
      </c>
      <c r="G70" s="22" t="s">
        <v>641</v>
      </c>
      <c r="H70" s="22" t="s">
        <v>636</v>
      </c>
      <c r="I70" s="22" t="s">
        <v>738</v>
      </c>
      <c r="J70" s="22">
        <v>3</v>
      </c>
      <c r="K70" s="22">
        <v>18</v>
      </c>
      <c r="L70" s="24">
        <v>0.16666666666666666</v>
      </c>
      <c r="M70" s="22">
        <v>1</v>
      </c>
      <c r="N70" s="23">
        <v>15.5</v>
      </c>
      <c r="O70" s="24">
        <v>6.4516129032258063E-2</v>
      </c>
      <c r="P70" s="22">
        <v>1</v>
      </c>
      <c r="Q70" s="23">
        <v>14</v>
      </c>
      <c r="R70" s="24">
        <v>7.1428571428571425E-2</v>
      </c>
      <c r="S70" s="21">
        <v>2</v>
      </c>
      <c r="T70" s="23">
        <v>19</v>
      </c>
      <c r="U70" s="24">
        <v>0.10526315789473684</v>
      </c>
      <c r="V70" s="21">
        <v>1</v>
      </c>
      <c r="W70" s="23">
        <v>19.5</v>
      </c>
      <c r="X70" s="24">
        <v>5.128205128205128E-2</v>
      </c>
      <c r="Y70" s="25">
        <v>6</v>
      </c>
      <c r="Z70" s="25">
        <v>19.5</v>
      </c>
      <c r="AA70" s="24">
        <v>0.30769230769230771</v>
      </c>
      <c r="AB70" s="22">
        <v>4</v>
      </c>
      <c r="AC70" s="22">
        <v>21</v>
      </c>
      <c r="AD70" s="24">
        <f>Table13[[#This Row],[Gönüllü Çıkış Sayısı]]/Table13[[#This Row],[Ortalama Çalışan Sayısı]]</f>
        <v>0.16666666666666666</v>
      </c>
      <c r="AE70" s="26">
        <v>1</v>
      </c>
      <c r="AF70" s="25">
        <v>17.5</v>
      </c>
      <c r="AG70" s="24">
        <v>5.7142857142857141E-2</v>
      </c>
      <c r="AH70" s="26">
        <v>2</v>
      </c>
      <c r="AI70" s="25">
        <v>16.5</v>
      </c>
      <c r="AJ70" s="24">
        <v>0.12121212121212122</v>
      </c>
      <c r="AK70" s="26">
        <v>1</v>
      </c>
      <c r="AL70" s="25">
        <v>19</v>
      </c>
      <c r="AM70" s="24">
        <v>5.2631578947368418E-2</v>
      </c>
      <c r="AN70" s="26">
        <v>0</v>
      </c>
      <c r="AO70" s="25">
        <v>18.5</v>
      </c>
      <c r="AP70" s="24">
        <v>0</v>
      </c>
      <c r="AQ70" s="26">
        <v>8</v>
      </c>
      <c r="AR70" s="25">
        <v>20.5</v>
      </c>
      <c r="AS70" s="24">
        <v>0.3902439024390244</v>
      </c>
    </row>
    <row r="71" spans="1:45" x14ac:dyDescent="0.35">
      <c r="A71" s="21" t="s">
        <v>97</v>
      </c>
      <c r="B71" s="22" t="s">
        <v>98</v>
      </c>
      <c r="C71" s="21" t="s">
        <v>99</v>
      </c>
      <c r="D71" s="22" t="s">
        <v>666</v>
      </c>
      <c r="E71" s="22" t="s">
        <v>629</v>
      </c>
      <c r="F71" s="22" t="s">
        <v>635</v>
      </c>
      <c r="G71" s="22" t="s">
        <v>635</v>
      </c>
      <c r="H71" s="22" t="s">
        <v>654</v>
      </c>
      <c r="I71" s="22" t="s">
        <v>739</v>
      </c>
      <c r="J71" s="22">
        <v>0</v>
      </c>
      <c r="K71" s="22">
        <v>15.5</v>
      </c>
      <c r="L71" s="24">
        <v>0</v>
      </c>
      <c r="M71" s="22">
        <v>0</v>
      </c>
      <c r="N71" s="23">
        <v>18</v>
      </c>
      <c r="O71" s="24">
        <v>0</v>
      </c>
      <c r="P71" s="22">
        <v>0</v>
      </c>
      <c r="Q71" s="23">
        <v>18.5</v>
      </c>
      <c r="R71" s="24">
        <v>0</v>
      </c>
      <c r="S71" s="21">
        <v>0</v>
      </c>
      <c r="T71" s="23">
        <v>16</v>
      </c>
      <c r="U71" s="24">
        <v>0</v>
      </c>
      <c r="V71" s="21">
        <v>0</v>
      </c>
      <c r="W71" s="23">
        <v>16.5</v>
      </c>
      <c r="X71" s="24">
        <v>0</v>
      </c>
      <c r="Y71" s="25">
        <v>0</v>
      </c>
      <c r="Z71" s="25">
        <v>16</v>
      </c>
      <c r="AA71" s="24">
        <v>0</v>
      </c>
      <c r="AB71" s="22">
        <v>2</v>
      </c>
      <c r="AC71" s="22">
        <v>16.5</v>
      </c>
      <c r="AD71" s="24">
        <f>Table13[[#This Row],[Gönüllü Çıkış Sayısı]]/Table13[[#This Row],[Ortalama Çalışan Sayısı]]</f>
        <v>0</v>
      </c>
      <c r="AE71" s="26">
        <v>2</v>
      </c>
      <c r="AF71" s="25">
        <v>20</v>
      </c>
      <c r="AG71" s="24">
        <v>0.1</v>
      </c>
      <c r="AH71" s="26">
        <v>1</v>
      </c>
      <c r="AI71" s="25">
        <v>20</v>
      </c>
      <c r="AJ71" s="24">
        <v>0.05</v>
      </c>
      <c r="AK71" s="26">
        <v>1</v>
      </c>
      <c r="AL71" s="25">
        <v>15.5</v>
      </c>
      <c r="AM71" s="24">
        <v>6.4516129032258063E-2</v>
      </c>
      <c r="AN71" s="26">
        <v>3</v>
      </c>
      <c r="AO71" s="25">
        <v>15</v>
      </c>
      <c r="AP71" s="24">
        <v>0.2</v>
      </c>
      <c r="AQ71" s="26">
        <v>7</v>
      </c>
      <c r="AR71" s="25">
        <v>15.5</v>
      </c>
      <c r="AS71" s="24">
        <v>0.45161290322580644</v>
      </c>
    </row>
    <row r="72" spans="1:45" x14ac:dyDescent="0.35">
      <c r="A72" s="21" t="s">
        <v>100</v>
      </c>
      <c r="B72" s="22" t="s">
        <v>101</v>
      </c>
      <c r="C72" s="21" t="s">
        <v>740</v>
      </c>
      <c r="D72" s="22" t="s">
        <v>651</v>
      </c>
      <c r="E72" s="22" t="s">
        <v>629</v>
      </c>
      <c r="F72" s="22" t="s">
        <v>630</v>
      </c>
      <c r="G72" s="22" t="s">
        <v>1569</v>
      </c>
      <c r="H72" s="22" t="s">
        <v>654</v>
      </c>
      <c r="I72" s="22" t="s">
        <v>705</v>
      </c>
      <c r="J72" s="22">
        <v>1</v>
      </c>
      <c r="K72" s="22">
        <v>13.5</v>
      </c>
      <c r="L72" s="24">
        <v>7.407407407407407E-2</v>
      </c>
      <c r="M72" s="22">
        <v>0</v>
      </c>
      <c r="N72" s="23">
        <v>16</v>
      </c>
      <c r="O72" s="24">
        <v>0</v>
      </c>
      <c r="P72" s="22">
        <v>0</v>
      </c>
      <c r="Q72" s="23">
        <v>16</v>
      </c>
      <c r="R72" s="24">
        <v>0</v>
      </c>
      <c r="S72" s="21">
        <v>0</v>
      </c>
      <c r="T72" s="23">
        <v>15</v>
      </c>
      <c r="U72" s="24">
        <v>0</v>
      </c>
      <c r="V72" s="21">
        <v>0</v>
      </c>
      <c r="W72" s="23">
        <v>16.5</v>
      </c>
      <c r="X72" s="24">
        <v>0</v>
      </c>
      <c r="Y72" s="25">
        <v>2</v>
      </c>
      <c r="Z72" s="25">
        <v>16</v>
      </c>
      <c r="AA72" s="24">
        <v>0.125</v>
      </c>
      <c r="AB72" s="22">
        <v>1</v>
      </c>
      <c r="AC72" s="22">
        <v>16.5</v>
      </c>
      <c r="AD72" s="24">
        <f>Table13[[#This Row],[Gönüllü Çıkış Sayısı]]/Table13[[#This Row],[Ortalama Çalışan Sayısı]]</f>
        <v>7.407407407407407E-2</v>
      </c>
      <c r="AE72" s="26">
        <v>0</v>
      </c>
      <c r="AF72" s="25">
        <v>17</v>
      </c>
      <c r="AG72" s="24">
        <v>0</v>
      </c>
      <c r="AH72" s="26">
        <v>1</v>
      </c>
      <c r="AI72" s="25">
        <v>17</v>
      </c>
      <c r="AJ72" s="24">
        <v>5.8823529411764705E-2</v>
      </c>
      <c r="AK72" s="26">
        <v>2</v>
      </c>
      <c r="AL72" s="25">
        <v>14</v>
      </c>
      <c r="AM72" s="24">
        <v>0.14285714285714285</v>
      </c>
      <c r="AN72" s="26">
        <v>2</v>
      </c>
      <c r="AO72" s="25">
        <v>15</v>
      </c>
      <c r="AP72" s="24">
        <v>0.13333333333333333</v>
      </c>
      <c r="AQ72" s="26">
        <v>9</v>
      </c>
      <c r="AR72" s="25">
        <v>16</v>
      </c>
      <c r="AS72" s="24">
        <v>0.5625</v>
      </c>
    </row>
    <row r="73" spans="1:45" x14ac:dyDescent="0.35">
      <c r="A73" s="21" t="s">
        <v>102</v>
      </c>
      <c r="B73" s="22" t="s">
        <v>103</v>
      </c>
      <c r="C73" s="21" t="s">
        <v>104</v>
      </c>
      <c r="D73" s="22" t="s">
        <v>707</v>
      </c>
      <c r="E73" s="22" t="s">
        <v>629</v>
      </c>
      <c r="F73" s="22" t="s">
        <v>635</v>
      </c>
      <c r="G73" s="22" t="s">
        <v>635</v>
      </c>
      <c r="H73" s="22" t="s">
        <v>654</v>
      </c>
      <c r="I73" s="22" t="s">
        <v>708</v>
      </c>
      <c r="J73" s="22">
        <v>1</v>
      </c>
      <c r="K73" s="22">
        <v>13.5</v>
      </c>
      <c r="L73" s="24">
        <v>7.407407407407407E-2</v>
      </c>
      <c r="M73" s="22">
        <v>0</v>
      </c>
      <c r="N73" s="23">
        <v>15</v>
      </c>
      <c r="O73" s="24">
        <v>0</v>
      </c>
      <c r="P73" s="22">
        <v>1</v>
      </c>
      <c r="Q73" s="23">
        <v>15.5</v>
      </c>
      <c r="R73" s="24">
        <v>6.4516129032258063E-2</v>
      </c>
      <c r="S73" s="21">
        <v>2</v>
      </c>
      <c r="T73" s="23">
        <v>14</v>
      </c>
      <c r="U73" s="24">
        <v>0.14285714285714285</v>
      </c>
      <c r="V73" s="21">
        <v>3</v>
      </c>
      <c r="W73" s="23">
        <v>15</v>
      </c>
      <c r="X73" s="24">
        <v>0.2</v>
      </c>
      <c r="Y73" s="25">
        <v>6</v>
      </c>
      <c r="Z73" s="25">
        <v>16</v>
      </c>
      <c r="AA73" s="24">
        <v>0.375</v>
      </c>
      <c r="AB73" s="22">
        <v>1</v>
      </c>
      <c r="AC73" s="22">
        <v>16</v>
      </c>
      <c r="AD73" s="24">
        <f>Table13[[#This Row],[Gönüllü Çıkış Sayısı]]/Table13[[#This Row],[Ortalama Çalışan Sayısı]]</f>
        <v>7.407407407407407E-2</v>
      </c>
      <c r="AE73" s="26">
        <v>1</v>
      </c>
      <c r="AF73" s="25">
        <v>16</v>
      </c>
      <c r="AG73" s="24">
        <v>6.25E-2</v>
      </c>
      <c r="AH73" s="26">
        <v>3</v>
      </c>
      <c r="AI73" s="25">
        <v>15</v>
      </c>
      <c r="AJ73" s="24">
        <v>0.2</v>
      </c>
      <c r="AK73" s="26">
        <v>0</v>
      </c>
      <c r="AL73" s="25">
        <v>15</v>
      </c>
      <c r="AM73" s="24">
        <v>0</v>
      </c>
      <c r="AN73" s="26">
        <v>2</v>
      </c>
      <c r="AO73" s="25">
        <v>14.5</v>
      </c>
      <c r="AP73" s="24">
        <v>0.13793103448275862</v>
      </c>
      <c r="AQ73" s="26">
        <v>4</v>
      </c>
      <c r="AR73" s="25">
        <v>15.5</v>
      </c>
      <c r="AS73" s="24">
        <v>0.25806451612903225</v>
      </c>
    </row>
    <row r="74" spans="1:45" x14ac:dyDescent="0.35">
      <c r="A74" s="21" t="s">
        <v>105</v>
      </c>
      <c r="B74" s="22" t="s">
        <v>106</v>
      </c>
      <c r="C74" s="21" t="s">
        <v>741</v>
      </c>
      <c r="D74" s="22" t="s">
        <v>622</v>
      </c>
      <c r="E74" s="22" t="s">
        <v>623</v>
      </c>
      <c r="F74" s="22" t="s">
        <v>624</v>
      </c>
      <c r="G74" s="22" t="s">
        <v>624</v>
      </c>
      <c r="H74" s="22" t="s">
        <v>654</v>
      </c>
      <c r="I74" s="22" t="s">
        <v>626</v>
      </c>
      <c r="J74" s="22">
        <v>0</v>
      </c>
      <c r="K74" s="22">
        <v>15.5</v>
      </c>
      <c r="L74" s="24">
        <v>0</v>
      </c>
      <c r="M74" s="22">
        <v>0</v>
      </c>
      <c r="N74" s="23">
        <v>14.5</v>
      </c>
      <c r="O74" s="24">
        <v>0</v>
      </c>
      <c r="P74" s="22">
        <v>0</v>
      </c>
      <c r="Q74" s="23">
        <v>14.5</v>
      </c>
      <c r="R74" s="24">
        <v>0</v>
      </c>
      <c r="S74" s="21">
        <v>1</v>
      </c>
      <c r="T74" s="23">
        <v>16</v>
      </c>
      <c r="U74" s="24">
        <v>6.25E-2</v>
      </c>
      <c r="V74" s="21">
        <v>3</v>
      </c>
      <c r="W74" s="23">
        <v>16</v>
      </c>
      <c r="X74" s="24">
        <v>0.1875</v>
      </c>
      <c r="Y74" s="25">
        <v>5</v>
      </c>
      <c r="Z74" s="25">
        <v>16</v>
      </c>
      <c r="AA74" s="24">
        <v>0.3125</v>
      </c>
      <c r="AB74" s="22">
        <v>1</v>
      </c>
      <c r="AC74" s="22">
        <v>15.5</v>
      </c>
      <c r="AD74" s="24">
        <f>Table13[[#This Row],[Gönüllü Çıkış Sayısı]]/Table13[[#This Row],[Ortalama Çalışan Sayısı]]</f>
        <v>0</v>
      </c>
      <c r="AE74" s="26">
        <v>0</v>
      </c>
      <c r="AF74" s="25">
        <v>15</v>
      </c>
      <c r="AG74" s="24">
        <v>0</v>
      </c>
      <c r="AH74" s="26">
        <v>1</v>
      </c>
      <c r="AI74" s="25">
        <v>15</v>
      </c>
      <c r="AJ74" s="24">
        <v>6.6666666666666666E-2</v>
      </c>
      <c r="AK74" s="26">
        <v>1</v>
      </c>
      <c r="AL74" s="25">
        <v>15.5</v>
      </c>
      <c r="AM74" s="24">
        <v>6.4516129032258063E-2</v>
      </c>
      <c r="AN74" s="26">
        <v>1</v>
      </c>
      <c r="AO74" s="25">
        <v>15</v>
      </c>
      <c r="AP74" s="24">
        <v>6.6666666666666666E-2</v>
      </c>
      <c r="AQ74" s="26">
        <v>3</v>
      </c>
      <c r="AR74" s="25">
        <v>15.5</v>
      </c>
      <c r="AS74" s="24">
        <v>0.19354838709677419</v>
      </c>
    </row>
    <row r="75" spans="1:45" x14ac:dyDescent="0.35">
      <c r="A75" s="21" t="s">
        <v>107</v>
      </c>
      <c r="B75" s="22" t="s">
        <v>108</v>
      </c>
      <c r="C75" s="21" t="s">
        <v>742</v>
      </c>
      <c r="D75" s="22" t="s">
        <v>691</v>
      </c>
      <c r="E75" s="22" t="s">
        <v>657</v>
      </c>
      <c r="F75" s="22" t="s">
        <v>658</v>
      </c>
      <c r="G75" s="22" t="s">
        <v>662</v>
      </c>
      <c r="H75" s="22" t="s">
        <v>668</v>
      </c>
      <c r="I75" s="22" t="s">
        <v>632</v>
      </c>
      <c r="J75" s="22">
        <v>1</v>
      </c>
      <c r="K75" s="22">
        <v>15.5</v>
      </c>
      <c r="L75" s="24">
        <v>6.4516129032258063E-2</v>
      </c>
      <c r="M75" s="22">
        <v>0</v>
      </c>
      <c r="N75" s="23">
        <v>16</v>
      </c>
      <c r="O75" s="24">
        <v>0</v>
      </c>
      <c r="P75" s="22">
        <v>1</v>
      </c>
      <c r="Q75" s="23">
        <v>15.5</v>
      </c>
      <c r="R75" s="24">
        <v>6.4516129032258063E-2</v>
      </c>
      <c r="S75" s="21">
        <v>0</v>
      </c>
      <c r="T75" s="23">
        <v>15</v>
      </c>
      <c r="U75" s="24">
        <v>0</v>
      </c>
      <c r="V75" s="21">
        <v>0</v>
      </c>
      <c r="W75" s="23">
        <v>15</v>
      </c>
      <c r="X75" s="24">
        <v>0</v>
      </c>
      <c r="Y75" s="25">
        <v>1</v>
      </c>
      <c r="Z75" s="25">
        <v>15.5</v>
      </c>
      <c r="AA75" s="24">
        <v>6.4516129032258063E-2</v>
      </c>
      <c r="AB75" s="22">
        <v>1</v>
      </c>
      <c r="AC75" s="22">
        <v>15.5</v>
      </c>
      <c r="AD75" s="24">
        <f>Table13[[#This Row],[Gönüllü Çıkış Sayısı]]/Table13[[#This Row],[Ortalama Çalışan Sayısı]]</f>
        <v>6.4516129032258063E-2</v>
      </c>
      <c r="AE75" s="26">
        <v>0</v>
      </c>
      <c r="AF75" s="25">
        <v>15</v>
      </c>
      <c r="AG75" s="24">
        <v>0</v>
      </c>
      <c r="AH75" s="26">
        <v>0</v>
      </c>
      <c r="AI75" s="25">
        <v>16</v>
      </c>
      <c r="AJ75" s="24">
        <v>0</v>
      </c>
      <c r="AK75" s="26">
        <v>1</v>
      </c>
      <c r="AL75" s="25">
        <v>14.5</v>
      </c>
      <c r="AM75" s="24">
        <v>6.8965517241379309E-2</v>
      </c>
      <c r="AN75" s="26">
        <v>0</v>
      </c>
      <c r="AO75" s="25">
        <v>14</v>
      </c>
      <c r="AP75" s="24">
        <v>0</v>
      </c>
      <c r="AQ75" s="26">
        <v>3</v>
      </c>
      <c r="AR75" s="25">
        <v>15</v>
      </c>
      <c r="AS75" s="24">
        <v>0.2</v>
      </c>
    </row>
    <row r="76" spans="1:45" x14ac:dyDescent="0.35">
      <c r="A76" s="21" t="s">
        <v>109</v>
      </c>
      <c r="B76" s="22" t="s">
        <v>110</v>
      </c>
      <c r="C76" s="21" t="s">
        <v>743</v>
      </c>
      <c r="D76" s="22" t="s">
        <v>684</v>
      </c>
      <c r="E76" s="22" t="s">
        <v>623</v>
      </c>
      <c r="F76" s="22" t="s">
        <v>662</v>
      </c>
      <c r="G76" s="22" t="s">
        <v>662</v>
      </c>
      <c r="H76" s="22" t="s">
        <v>654</v>
      </c>
      <c r="I76" s="22" t="s">
        <v>685</v>
      </c>
      <c r="J76" s="22">
        <v>0</v>
      </c>
      <c r="K76" s="22">
        <v>15</v>
      </c>
      <c r="L76" s="24">
        <v>0</v>
      </c>
      <c r="M76" s="22">
        <v>0</v>
      </c>
      <c r="N76" s="23">
        <v>15</v>
      </c>
      <c r="O76" s="24">
        <v>0</v>
      </c>
      <c r="P76" s="22">
        <v>0</v>
      </c>
      <c r="Q76" s="23">
        <v>15</v>
      </c>
      <c r="R76" s="24">
        <v>0</v>
      </c>
      <c r="S76" s="21">
        <v>0</v>
      </c>
      <c r="T76" s="23">
        <v>17.5</v>
      </c>
      <c r="U76" s="24">
        <v>0</v>
      </c>
      <c r="V76" s="21">
        <v>0</v>
      </c>
      <c r="W76" s="23">
        <v>19</v>
      </c>
      <c r="X76" s="24">
        <v>0</v>
      </c>
      <c r="Y76" s="25">
        <v>0</v>
      </c>
      <c r="Z76" s="25">
        <v>17.5</v>
      </c>
      <c r="AA76" s="24">
        <v>0</v>
      </c>
      <c r="AB76" s="22">
        <v>0</v>
      </c>
      <c r="AC76" s="22">
        <v>16</v>
      </c>
      <c r="AD76" s="24">
        <f>Table13[[#This Row],[Gönüllü Çıkış Sayısı]]/Table13[[#This Row],[Ortalama Çalışan Sayısı]]</f>
        <v>0</v>
      </c>
      <c r="AE76" s="26">
        <v>1</v>
      </c>
      <c r="AF76" s="25">
        <v>14.5</v>
      </c>
      <c r="AG76" s="24">
        <v>6.8965517241379309E-2</v>
      </c>
      <c r="AH76" s="26">
        <v>0</v>
      </c>
      <c r="AI76" s="25">
        <v>14</v>
      </c>
      <c r="AJ76" s="24">
        <v>0</v>
      </c>
      <c r="AK76" s="26">
        <v>0</v>
      </c>
      <c r="AL76" s="25">
        <v>17</v>
      </c>
      <c r="AM76" s="24">
        <v>0</v>
      </c>
      <c r="AN76" s="26">
        <v>0</v>
      </c>
      <c r="AO76" s="25">
        <v>17</v>
      </c>
      <c r="AP76" s="24">
        <v>0</v>
      </c>
      <c r="AQ76" s="26">
        <v>1</v>
      </c>
      <c r="AR76" s="25">
        <v>16.5</v>
      </c>
      <c r="AS76" s="24">
        <v>6.0606060606060608E-2</v>
      </c>
    </row>
    <row r="77" spans="1:45" x14ac:dyDescent="0.35">
      <c r="A77" s="21" t="s">
        <v>111</v>
      </c>
      <c r="B77" s="22" t="s">
        <v>112</v>
      </c>
      <c r="C77" s="21" t="s">
        <v>744</v>
      </c>
      <c r="D77" s="22" t="s">
        <v>651</v>
      </c>
      <c r="E77" s="22" t="s">
        <v>629</v>
      </c>
      <c r="F77" s="22" t="s">
        <v>630</v>
      </c>
      <c r="G77" s="22" t="s">
        <v>1569</v>
      </c>
      <c r="H77" s="22" t="s">
        <v>654</v>
      </c>
      <c r="I77" s="22" t="s">
        <v>652</v>
      </c>
      <c r="J77" s="22">
        <v>0</v>
      </c>
      <c r="K77" s="22">
        <v>12.5</v>
      </c>
      <c r="L77" s="24">
        <v>0</v>
      </c>
      <c r="M77" s="22">
        <v>0</v>
      </c>
      <c r="N77" s="23">
        <v>16</v>
      </c>
      <c r="O77" s="24">
        <v>0</v>
      </c>
      <c r="P77" s="22">
        <v>0</v>
      </c>
      <c r="Q77" s="23">
        <v>16</v>
      </c>
      <c r="R77" s="24">
        <v>0</v>
      </c>
      <c r="S77" s="21">
        <v>0</v>
      </c>
      <c r="T77" s="23">
        <v>13.5</v>
      </c>
      <c r="U77" s="24">
        <v>0</v>
      </c>
      <c r="V77" s="21">
        <v>2</v>
      </c>
      <c r="W77" s="23">
        <v>13</v>
      </c>
      <c r="X77" s="24">
        <v>0.15384615384615385</v>
      </c>
      <c r="Y77" s="25">
        <v>4</v>
      </c>
      <c r="Z77" s="25">
        <v>12</v>
      </c>
      <c r="AA77" s="24">
        <v>0.33333333333333331</v>
      </c>
      <c r="AB77" s="22">
        <v>1</v>
      </c>
      <c r="AC77" s="22">
        <v>9.5</v>
      </c>
      <c r="AD77" s="24">
        <f>Table13[[#This Row],[Gönüllü Çıkış Sayısı]]/Table13[[#This Row],[Ortalama Çalışan Sayısı]]</f>
        <v>0</v>
      </c>
      <c r="AE77" s="26">
        <v>1</v>
      </c>
      <c r="AF77" s="25">
        <v>16.5</v>
      </c>
      <c r="AG77" s="24">
        <v>6.0606060606060608E-2</v>
      </c>
      <c r="AH77" s="26">
        <v>0</v>
      </c>
      <c r="AI77" s="25">
        <v>17</v>
      </c>
      <c r="AJ77" s="24">
        <v>0</v>
      </c>
      <c r="AK77" s="26">
        <v>2</v>
      </c>
      <c r="AL77" s="25">
        <v>10</v>
      </c>
      <c r="AM77" s="24">
        <v>0.2</v>
      </c>
      <c r="AN77" s="26">
        <v>1</v>
      </c>
      <c r="AO77" s="25">
        <v>10.5</v>
      </c>
      <c r="AP77" s="24">
        <v>9.5238095238095233E-2</v>
      </c>
      <c r="AQ77" s="26">
        <v>5</v>
      </c>
      <c r="AR77" s="25">
        <v>10</v>
      </c>
      <c r="AS77" s="24">
        <v>0.5</v>
      </c>
    </row>
    <row r="78" spans="1:45" x14ac:dyDescent="0.35">
      <c r="A78" s="21" t="s">
        <v>113</v>
      </c>
      <c r="B78" s="22" t="s">
        <v>114</v>
      </c>
      <c r="C78" s="21" t="s">
        <v>745</v>
      </c>
      <c r="D78" s="22" t="s">
        <v>661</v>
      </c>
      <c r="E78" s="22" t="s">
        <v>657</v>
      </c>
      <c r="F78" s="22" t="s">
        <v>662</v>
      </c>
      <c r="G78" s="22" t="s">
        <v>662</v>
      </c>
      <c r="H78" s="22" t="s">
        <v>654</v>
      </c>
      <c r="I78" s="22" t="s">
        <v>632</v>
      </c>
      <c r="J78" s="22">
        <v>1</v>
      </c>
      <c r="K78" s="22">
        <v>17.5</v>
      </c>
      <c r="L78" s="24">
        <v>5.7142857142857141E-2</v>
      </c>
      <c r="M78" s="22">
        <v>2</v>
      </c>
      <c r="N78" s="23">
        <v>13</v>
      </c>
      <c r="O78" s="24">
        <v>0.15384615384615385</v>
      </c>
      <c r="P78" s="22">
        <v>0</v>
      </c>
      <c r="Q78" s="23">
        <v>13</v>
      </c>
      <c r="R78" s="24">
        <v>0</v>
      </c>
      <c r="S78" s="21">
        <v>2</v>
      </c>
      <c r="T78" s="23">
        <v>19</v>
      </c>
      <c r="U78" s="24">
        <v>0.10526315789473684</v>
      </c>
      <c r="V78" s="21">
        <v>0</v>
      </c>
      <c r="W78" s="23">
        <v>20</v>
      </c>
      <c r="X78" s="24">
        <v>0</v>
      </c>
      <c r="Y78" s="25">
        <v>4</v>
      </c>
      <c r="Z78" s="25">
        <v>19.5</v>
      </c>
      <c r="AA78" s="24">
        <v>0.20512820512820512</v>
      </c>
      <c r="AB78" s="22">
        <v>3</v>
      </c>
      <c r="AC78" s="22">
        <v>22.5</v>
      </c>
      <c r="AD78" s="24">
        <f>Table13[[#This Row],[Gönüllü Çıkış Sayısı]]/Table13[[#This Row],[Ortalama Çalışan Sayısı]]</f>
        <v>5.7142857142857141E-2</v>
      </c>
      <c r="AE78" s="26">
        <v>1</v>
      </c>
      <c r="AF78" s="25">
        <v>10</v>
      </c>
      <c r="AG78" s="24">
        <v>0.1</v>
      </c>
      <c r="AH78" s="26">
        <v>0</v>
      </c>
      <c r="AI78" s="25">
        <v>10</v>
      </c>
      <c r="AJ78" s="24">
        <v>0</v>
      </c>
      <c r="AK78" s="26">
        <v>6</v>
      </c>
      <c r="AL78" s="25">
        <v>20.5</v>
      </c>
      <c r="AM78" s="24">
        <v>0.29268292682926828</v>
      </c>
      <c r="AN78" s="26">
        <v>1</v>
      </c>
      <c r="AO78" s="25">
        <v>18.5</v>
      </c>
      <c r="AP78" s="24">
        <v>5.4054054054054057E-2</v>
      </c>
      <c r="AQ78" s="26">
        <v>12</v>
      </c>
      <c r="AR78" s="25">
        <v>21.5</v>
      </c>
      <c r="AS78" s="24">
        <v>0.55813953488372092</v>
      </c>
    </row>
    <row r="79" spans="1:45" x14ac:dyDescent="0.35">
      <c r="A79" s="21" t="s">
        <v>115</v>
      </c>
      <c r="B79" s="22" t="s">
        <v>116</v>
      </c>
      <c r="C79" s="21" t="s">
        <v>117</v>
      </c>
      <c r="D79" s="22" t="s">
        <v>670</v>
      </c>
      <c r="E79" s="22" t="s">
        <v>657</v>
      </c>
      <c r="F79" s="22" t="s">
        <v>641</v>
      </c>
      <c r="G79" s="22" t="s">
        <v>641</v>
      </c>
      <c r="H79" s="22" t="s">
        <v>631</v>
      </c>
      <c r="I79" s="22" t="s">
        <v>671</v>
      </c>
      <c r="J79" s="22">
        <v>2</v>
      </c>
      <c r="K79" s="22">
        <v>25.5</v>
      </c>
      <c r="L79" s="24">
        <v>7.8431372549019607E-2</v>
      </c>
      <c r="M79" s="22">
        <v>0</v>
      </c>
      <c r="N79" s="23">
        <v>17.5</v>
      </c>
      <c r="O79" s="24">
        <v>0</v>
      </c>
      <c r="P79" s="22">
        <v>1</v>
      </c>
      <c r="Q79" s="23">
        <v>18.5</v>
      </c>
      <c r="R79" s="24">
        <v>5.4054054054054057E-2</v>
      </c>
      <c r="S79" s="21">
        <v>1</v>
      </c>
      <c r="T79" s="23">
        <v>24.5</v>
      </c>
      <c r="U79" s="24">
        <v>4.0816326530612242E-2</v>
      </c>
      <c r="V79" s="21">
        <v>2</v>
      </c>
      <c r="W79" s="23">
        <v>22.5</v>
      </c>
      <c r="X79" s="24">
        <v>8.8888888888888892E-2</v>
      </c>
      <c r="Y79" s="25">
        <v>7</v>
      </c>
      <c r="Z79" s="25">
        <v>24.5</v>
      </c>
      <c r="AA79" s="24">
        <v>0.2857142857142857</v>
      </c>
      <c r="AB79" s="22">
        <v>0</v>
      </c>
      <c r="AC79" s="22">
        <v>31</v>
      </c>
      <c r="AD79" s="24">
        <f>Table13[[#This Row],[Gönüllü Çıkış Sayısı]]/Table13[[#This Row],[Ortalama Çalışan Sayısı]]</f>
        <v>7.8431372549019607E-2</v>
      </c>
      <c r="AE79" s="26">
        <v>2</v>
      </c>
      <c r="AF79" s="25">
        <v>21</v>
      </c>
      <c r="AG79" s="24">
        <v>9.5238095238095233E-2</v>
      </c>
      <c r="AH79" s="26">
        <v>0</v>
      </c>
      <c r="AI79" s="25">
        <v>21.5</v>
      </c>
      <c r="AJ79" s="24">
        <v>0</v>
      </c>
      <c r="AK79" s="26">
        <v>0</v>
      </c>
      <c r="AL79" s="25">
        <v>28</v>
      </c>
      <c r="AM79" s="24">
        <v>0</v>
      </c>
      <c r="AN79" s="26">
        <v>0</v>
      </c>
      <c r="AO79" s="25">
        <v>28</v>
      </c>
      <c r="AP79" s="24">
        <v>0</v>
      </c>
      <c r="AQ79" s="26">
        <v>3</v>
      </c>
      <c r="AR79" s="25">
        <v>29.5</v>
      </c>
      <c r="AS79" s="24">
        <v>0.10169491525423729</v>
      </c>
    </row>
    <row r="80" spans="1:45" x14ac:dyDescent="0.35">
      <c r="A80" s="21" t="s">
        <v>118</v>
      </c>
      <c r="B80" s="22" t="s">
        <v>119</v>
      </c>
      <c r="C80" s="21" t="s">
        <v>746</v>
      </c>
      <c r="D80" s="22" t="s">
        <v>656</v>
      </c>
      <c r="E80" s="22" t="s">
        <v>657</v>
      </c>
      <c r="F80" s="22" t="s">
        <v>658</v>
      </c>
      <c r="G80" s="22" t="s">
        <v>1570</v>
      </c>
      <c r="H80" s="22" t="s">
        <v>625</v>
      </c>
      <c r="I80" s="22" t="s">
        <v>632</v>
      </c>
      <c r="J80" s="22">
        <v>2</v>
      </c>
      <c r="K80" s="22">
        <v>40</v>
      </c>
      <c r="L80" s="24">
        <v>0.05</v>
      </c>
      <c r="M80" s="22">
        <v>2</v>
      </c>
      <c r="N80" s="23">
        <v>25</v>
      </c>
      <c r="O80" s="24">
        <v>0.08</v>
      </c>
      <c r="P80" s="22">
        <v>0</v>
      </c>
      <c r="Q80" s="23">
        <v>24</v>
      </c>
      <c r="R80" s="24">
        <v>0</v>
      </c>
      <c r="S80" s="21">
        <v>5</v>
      </c>
      <c r="T80" s="23">
        <v>45</v>
      </c>
      <c r="U80" s="24">
        <v>0.1111111111111111</v>
      </c>
      <c r="V80" s="21">
        <v>8</v>
      </c>
      <c r="W80" s="23">
        <v>45.5</v>
      </c>
      <c r="X80" s="24">
        <v>0.17582417582417584</v>
      </c>
      <c r="Y80" s="25">
        <v>20</v>
      </c>
      <c r="Z80" s="25">
        <v>43</v>
      </c>
      <c r="AA80" s="24">
        <v>0.46511627906976744</v>
      </c>
      <c r="AB80" s="22">
        <v>3</v>
      </c>
      <c r="AC80" s="22">
        <v>47</v>
      </c>
      <c r="AD80" s="24">
        <f>Table13[[#This Row],[Gönüllü Çıkış Sayısı]]/Table13[[#This Row],[Ortalama Çalışan Sayısı]]</f>
        <v>0.05</v>
      </c>
      <c r="AE80" s="26">
        <v>3</v>
      </c>
      <c r="AF80" s="25">
        <v>29.5</v>
      </c>
      <c r="AG80" s="24">
        <v>0.10169491525423729</v>
      </c>
      <c r="AH80" s="26">
        <v>0</v>
      </c>
      <c r="AI80" s="25">
        <v>28</v>
      </c>
      <c r="AJ80" s="24">
        <v>0</v>
      </c>
      <c r="AK80" s="26">
        <v>7</v>
      </c>
      <c r="AL80" s="25">
        <v>42</v>
      </c>
      <c r="AM80" s="24">
        <v>0.16666666666666666</v>
      </c>
      <c r="AN80" s="26">
        <v>3</v>
      </c>
      <c r="AO80" s="25">
        <v>44</v>
      </c>
      <c r="AP80" s="24">
        <v>6.8181818181818177E-2</v>
      </c>
      <c r="AQ80" s="26">
        <v>20</v>
      </c>
      <c r="AR80" s="25">
        <v>46.5</v>
      </c>
      <c r="AS80" s="24">
        <v>0.43010752688172044</v>
      </c>
    </row>
    <row r="81" spans="1:45" x14ac:dyDescent="0.35">
      <c r="A81" s="21" t="s">
        <v>120</v>
      </c>
      <c r="B81" s="22" t="s">
        <v>121</v>
      </c>
      <c r="C81" s="21" t="s">
        <v>747</v>
      </c>
      <c r="D81" s="22" t="s">
        <v>673</v>
      </c>
      <c r="E81" s="22" t="s">
        <v>623</v>
      </c>
      <c r="F81" s="22" t="s">
        <v>641</v>
      </c>
      <c r="G81" s="22" t="s">
        <v>641</v>
      </c>
      <c r="H81" s="22" t="s">
        <v>636</v>
      </c>
      <c r="I81" s="22" t="s">
        <v>748</v>
      </c>
      <c r="J81" s="22">
        <v>2</v>
      </c>
      <c r="K81" s="22">
        <v>25.5</v>
      </c>
      <c r="L81" s="24">
        <v>7.8431372549019607E-2</v>
      </c>
      <c r="M81" s="22">
        <v>2</v>
      </c>
      <c r="N81" s="23">
        <v>42</v>
      </c>
      <c r="O81" s="24">
        <v>4.7619047619047616E-2</v>
      </c>
      <c r="P81" s="22">
        <v>3</v>
      </c>
      <c r="Q81" s="23">
        <v>42</v>
      </c>
      <c r="R81" s="24">
        <v>7.1428571428571425E-2</v>
      </c>
      <c r="S81" s="21">
        <v>0</v>
      </c>
      <c r="T81" s="23">
        <v>26</v>
      </c>
      <c r="U81" s="24">
        <v>0</v>
      </c>
      <c r="V81" s="21">
        <v>1</v>
      </c>
      <c r="W81" s="23">
        <v>26</v>
      </c>
      <c r="X81" s="24">
        <v>3.8461538461538464E-2</v>
      </c>
      <c r="Y81" s="25">
        <v>4</v>
      </c>
      <c r="Z81" s="25">
        <v>26</v>
      </c>
      <c r="AA81" s="24">
        <v>0.15384615384615385</v>
      </c>
      <c r="AB81" s="22">
        <v>1</v>
      </c>
      <c r="AC81" s="22">
        <v>33</v>
      </c>
      <c r="AD81" s="24">
        <f>Table13[[#This Row],[Gönüllü Çıkış Sayısı]]/Table13[[#This Row],[Ortalama Çalışan Sayısı]]</f>
        <v>7.8431372549019607E-2</v>
      </c>
      <c r="AE81" s="26">
        <v>4</v>
      </c>
      <c r="AF81" s="25">
        <v>45.5</v>
      </c>
      <c r="AG81" s="24">
        <v>8.7912087912087919E-2</v>
      </c>
      <c r="AH81" s="26">
        <v>3</v>
      </c>
      <c r="AI81" s="25">
        <v>44</v>
      </c>
      <c r="AJ81" s="24">
        <v>6.8181818181818177E-2</v>
      </c>
      <c r="AK81" s="26">
        <v>1</v>
      </c>
      <c r="AL81" s="25">
        <v>30.5</v>
      </c>
      <c r="AM81" s="24">
        <v>3.2786885245901641E-2</v>
      </c>
      <c r="AN81" s="26">
        <v>0</v>
      </c>
      <c r="AO81" s="25">
        <v>29</v>
      </c>
      <c r="AP81" s="24">
        <v>0</v>
      </c>
      <c r="AQ81" s="26">
        <v>6</v>
      </c>
      <c r="AR81" s="25">
        <v>30.5</v>
      </c>
      <c r="AS81" s="24">
        <v>0.19672131147540983</v>
      </c>
    </row>
    <row r="82" spans="1:45" x14ac:dyDescent="0.35">
      <c r="A82" s="21" t="s">
        <v>124</v>
      </c>
      <c r="B82" s="22" t="s">
        <v>125</v>
      </c>
      <c r="C82" s="21" t="s">
        <v>749</v>
      </c>
      <c r="D82" s="22" t="s">
        <v>661</v>
      </c>
      <c r="E82" s="22" t="s">
        <v>657</v>
      </c>
      <c r="F82" s="22" t="s">
        <v>662</v>
      </c>
      <c r="G82" s="22" t="s">
        <v>662</v>
      </c>
      <c r="H82" s="22" t="s">
        <v>654</v>
      </c>
      <c r="I82" s="22" t="s">
        <v>632</v>
      </c>
      <c r="J82" s="22">
        <v>0</v>
      </c>
      <c r="K82" s="22">
        <v>16</v>
      </c>
      <c r="L82" s="24">
        <v>0</v>
      </c>
      <c r="M82" s="22">
        <v>0</v>
      </c>
      <c r="N82" s="23">
        <v>25</v>
      </c>
      <c r="O82" s="24">
        <v>0</v>
      </c>
      <c r="P82" s="22">
        <v>1</v>
      </c>
      <c r="Q82" s="23">
        <v>24.5</v>
      </c>
      <c r="R82" s="24">
        <v>4.0816326530612242E-2</v>
      </c>
      <c r="S82" s="21">
        <v>0</v>
      </c>
      <c r="T82" s="23">
        <v>16.5</v>
      </c>
      <c r="U82" s="24">
        <v>0</v>
      </c>
      <c r="V82" s="21">
        <v>2</v>
      </c>
      <c r="W82" s="23">
        <v>17</v>
      </c>
      <c r="X82" s="24">
        <v>0.11764705882352941</v>
      </c>
      <c r="Y82" s="25">
        <v>4</v>
      </c>
      <c r="Z82" s="25">
        <v>16</v>
      </c>
      <c r="AA82" s="24">
        <v>0.25</v>
      </c>
      <c r="AB82" s="22">
        <v>3</v>
      </c>
      <c r="AC82" s="22">
        <v>21.5</v>
      </c>
      <c r="AD82" s="24">
        <f>Table13[[#This Row],[Gönüllü Çıkış Sayısı]]/Table13[[#This Row],[Ortalama Çalışan Sayısı]]</f>
        <v>0</v>
      </c>
      <c r="AE82" s="26">
        <v>2</v>
      </c>
      <c r="AF82" s="25">
        <v>33</v>
      </c>
      <c r="AG82" s="24">
        <v>6.0606060606060608E-2</v>
      </c>
      <c r="AH82" s="26">
        <v>2</v>
      </c>
      <c r="AI82" s="25">
        <v>31</v>
      </c>
      <c r="AJ82" s="24">
        <v>6.4516129032258063E-2</v>
      </c>
      <c r="AK82" s="26">
        <v>1</v>
      </c>
      <c r="AL82" s="25">
        <v>18.5</v>
      </c>
      <c r="AM82" s="24">
        <v>5.4054054054054057E-2</v>
      </c>
      <c r="AN82" s="26">
        <v>1</v>
      </c>
      <c r="AO82" s="25">
        <v>17.5</v>
      </c>
      <c r="AP82" s="24">
        <v>5.7142857142857141E-2</v>
      </c>
      <c r="AQ82" s="26">
        <v>8</v>
      </c>
      <c r="AR82" s="25">
        <v>19.5</v>
      </c>
      <c r="AS82" s="24">
        <v>0.41025641025641024</v>
      </c>
    </row>
    <row r="83" spans="1:45" x14ac:dyDescent="0.35">
      <c r="A83" s="21" t="s">
        <v>126</v>
      </c>
      <c r="B83" s="22" t="s">
        <v>127</v>
      </c>
      <c r="C83" s="21" t="s">
        <v>750</v>
      </c>
      <c r="D83" s="22" t="s">
        <v>628</v>
      </c>
      <c r="E83" s="22" t="s">
        <v>629</v>
      </c>
      <c r="F83" s="22" t="s">
        <v>630</v>
      </c>
      <c r="G83" s="22" t="s">
        <v>1569</v>
      </c>
      <c r="H83" s="22" t="s">
        <v>654</v>
      </c>
      <c r="I83" s="22" t="s">
        <v>632</v>
      </c>
      <c r="J83" s="22">
        <v>5</v>
      </c>
      <c r="K83" s="22">
        <v>20.5</v>
      </c>
      <c r="L83" s="24">
        <v>0.24390243902439024</v>
      </c>
      <c r="M83" s="22">
        <v>1</v>
      </c>
      <c r="N83" s="23">
        <v>13</v>
      </c>
      <c r="O83" s="24">
        <v>7.6923076923076927E-2</v>
      </c>
      <c r="P83" s="22">
        <v>3</v>
      </c>
      <c r="Q83" s="23">
        <v>9.5</v>
      </c>
      <c r="R83" s="24">
        <v>0.31578947368421051</v>
      </c>
      <c r="S83" s="21">
        <v>7</v>
      </c>
      <c r="T83" s="23">
        <v>26</v>
      </c>
      <c r="U83" s="24">
        <v>0.26923076923076922</v>
      </c>
      <c r="V83" s="21">
        <v>7</v>
      </c>
      <c r="W83" s="23">
        <v>25</v>
      </c>
      <c r="X83" s="24">
        <v>0.28000000000000003</v>
      </c>
      <c r="Y83" s="25">
        <v>26</v>
      </c>
      <c r="Z83" s="25">
        <v>24</v>
      </c>
      <c r="AA83" s="24">
        <v>1.0833333333333333</v>
      </c>
      <c r="AB83" s="22">
        <v>2</v>
      </c>
      <c r="AC83" s="22">
        <v>20</v>
      </c>
      <c r="AD83" s="24">
        <f>Table13[[#This Row],[Gönüllü Çıkış Sayısı]]/Table13[[#This Row],[Ortalama Çalışan Sayısı]]</f>
        <v>0.24390243902439024</v>
      </c>
      <c r="AE83" s="26">
        <v>0</v>
      </c>
      <c r="AF83" s="25">
        <v>15</v>
      </c>
      <c r="AG83" s="24">
        <v>0</v>
      </c>
      <c r="AH83" s="26">
        <v>4</v>
      </c>
      <c r="AI83" s="25">
        <v>13.5</v>
      </c>
      <c r="AJ83" s="24">
        <v>0.29629629629629628</v>
      </c>
      <c r="AK83" s="26">
        <v>4</v>
      </c>
      <c r="AL83" s="25">
        <v>19.5</v>
      </c>
      <c r="AM83" s="24">
        <v>0.20512820512820512</v>
      </c>
      <c r="AN83" s="26">
        <v>3</v>
      </c>
      <c r="AO83" s="25">
        <v>18.5</v>
      </c>
      <c r="AP83" s="24">
        <v>0.16216216216216217</v>
      </c>
      <c r="AQ83" s="26">
        <v>10</v>
      </c>
      <c r="AR83" s="25">
        <v>19</v>
      </c>
      <c r="AS83" s="24">
        <v>0.52631578947368418</v>
      </c>
    </row>
    <row r="84" spans="1:45" x14ac:dyDescent="0.35">
      <c r="A84" s="21" t="s">
        <v>128</v>
      </c>
      <c r="B84" s="22" t="s">
        <v>129</v>
      </c>
      <c r="C84" s="21" t="s">
        <v>751</v>
      </c>
      <c r="D84" s="22" t="s">
        <v>678</v>
      </c>
      <c r="E84" s="22" t="s">
        <v>623</v>
      </c>
      <c r="F84" s="22" t="s">
        <v>624</v>
      </c>
      <c r="G84" s="22" t="s">
        <v>624</v>
      </c>
      <c r="H84" s="22" t="s">
        <v>636</v>
      </c>
      <c r="I84" s="22" t="s">
        <v>679</v>
      </c>
      <c r="J84" s="22">
        <v>1</v>
      </c>
      <c r="K84" s="22">
        <v>22</v>
      </c>
      <c r="L84" s="24">
        <v>4.5454545454545456E-2</v>
      </c>
      <c r="M84" s="22">
        <v>1</v>
      </c>
      <c r="N84" s="23">
        <v>17</v>
      </c>
      <c r="O84" s="24">
        <v>5.8823529411764705E-2</v>
      </c>
      <c r="P84" s="22">
        <v>1</v>
      </c>
      <c r="Q84" s="23">
        <v>17</v>
      </c>
      <c r="R84" s="24">
        <v>5.8823529411764705E-2</v>
      </c>
      <c r="S84" s="21">
        <v>0</v>
      </c>
      <c r="T84" s="23">
        <v>23</v>
      </c>
      <c r="U84" s="24">
        <v>0</v>
      </c>
      <c r="V84" s="21">
        <v>2</v>
      </c>
      <c r="W84" s="23">
        <v>24.5</v>
      </c>
      <c r="X84" s="24">
        <v>8.1632653061224483E-2</v>
      </c>
      <c r="Y84" s="25">
        <v>5</v>
      </c>
      <c r="Z84" s="25">
        <v>23.5</v>
      </c>
      <c r="AA84" s="24">
        <v>0.21276595744680851</v>
      </c>
      <c r="AB84" s="22">
        <v>3</v>
      </c>
      <c r="AC84" s="22">
        <v>25.5</v>
      </c>
      <c r="AD84" s="24">
        <f>Table13[[#This Row],[Gönüllü Çıkış Sayısı]]/Table13[[#This Row],[Ortalama Çalışan Sayısı]]</f>
        <v>4.5454545454545456E-2</v>
      </c>
      <c r="AE84" s="26">
        <v>3</v>
      </c>
      <c r="AF84" s="25">
        <v>21</v>
      </c>
      <c r="AG84" s="24">
        <v>0.14285714285714285</v>
      </c>
      <c r="AH84" s="26">
        <v>0</v>
      </c>
      <c r="AI84" s="25">
        <v>19</v>
      </c>
      <c r="AJ84" s="24">
        <v>0</v>
      </c>
      <c r="AK84" s="26">
        <v>2</v>
      </c>
      <c r="AL84" s="25">
        <v>23.5</v>
      </c>
      <c r="AM84" s="24">
        <v>8.5106382978723402E-2</v>
      </c>
      <c r="AN84" s="26">
        <v>6</v>
      </c>
      <c r="AO84" s="25">
        <v>22</v>
      </c>
      <c r="AP84" s="24">
        <v>0.27272727272727271</v>
      </c>
      <c r="AQ84" s="26">
        <v>13</v>
      </c>
      <c r="AR84" s="25">
        <v>24</v>
      </c>
      <c r="AS84" s="24">
        <v>0.54166666666666663</v>
      </c>
    </row>
    <row r="85" spans="1:45" x14ac:dyDescent="0.35">
      <c r="A85" s="21" t="s">
        <v>130</v>
      </c>
      <c r="B85" s="22" t="s">
        <v>131</v>
      </c>
      <c r="C85" s="21" t="s">
        <v>132</v>
      </c>
      <c r="D85" s="22" t="s">
        <v>670</v>
      </c>
      <c r="E85" s="22" t="s">
        <v>657</v>
      </c>
      <c r="F85" s="22" t="s">
        <v>641</v>
      </c>
      <c r="G85" s="22" t="s">
        <v>641</v>
      </c>
      <c r="H85" s="22" t="s">
        <v>654</v>
      </c>
      <c r="I85" s="22" t="s">
        <v>752</v>
      </c>
      <c r="J85" s="22">
        <v>2</v>
      </c>
      <c r="K85" s="22">
        <v>12</v>
      </c>
      <c r="L85" s="24">
        <v>0.16666666666666666</v>
      </c>
      <c r="M85" s="22">
        <v>2</v>
      </c>
      <c r="N85" s="23">
        <v>22.5</v>
      </c>
      <c r="O85" s="24">
        <v>8.8888888888888892E-2</v>
      </c>
      <c r="P85" s="22">
        <v>6</v>
      </c>
      <c r="Q85" s="23">
        <v>24</v>
      </c>
      <c r="R85" s="24">
        <v>0.25</v>
      </c>
      <c r="S85" s="21">
        <v>1</v>
      </c>
      <c r="T85" s="23">
        <v>12.5</v>
      </c>
      <c r="U85" s="24">
        <v>0.08</v>
      </c>
      <c r="V85" s="21">
        <v>0</v>
      </c>
      <c r="W85" s="23">
        <v>12</v>
      </c>
      <c r="X85" s="24">
        <v>0</v>
      </c>
      <c r="Y85" s="25">
        <v>3</v>
      </c>
      <c r="Z85" s="25">
        <v>12</v>
      </c>
      <c r="AA85" s="24">
        <v>0.25</v>
      </c>
      <c r="AB85" s="22">
        <v>0</v>
      </c>
      <c r="AC85" s="22">
        <v>12.5</v>
      </c>
      <c r="AD85" s="24">
        <f>Table13[[#This Row],[Gönüllü Çıkış Sayısı]]/Table13[[#This Row],[Ortalama Çalışan Sayısı]]</f>
        <v>0.16666666666666666</v>
      </c>
      <c r="AE85" s="26">
        <v>0</v>
      </c>
      <c r="AF85" s="25">
        <v>20.5</v>
      </c>
      <c r="AG85" s="24">
        <v>0</v>
      </c>
      <c r="AH85" s="26">
        <v>1</v>
      </c>
      <c r="AI85" s="25">
        <v>21</v>
      </c>
      <c r="AJ85" s="24">
        <v>4.7619047619047616E-2</v>
      </c>
      <c r="AK85" s="26">
        <v>1</v>
      </c>
      <c r="AL85" s="25">
        <v>11.5</v>
      </c>
      <c r="AM85" s="24">
        <v>8.6956521739130432E-2</v>
      </c>
      <c r="AN85" s="26">
        <v>1</v>
      </c>
      <c r="AO85" s="25">
        <v>11</v>
      </c>
      <c r="AP85" s="24">
        <v>9.0909090909090912E-2</v>
      </c>
      <c r="AQ85" s="26">
        <v>3</v>
      </c>
      <c r="AR85" s="25">
        <v>11.5</v>
      </c>
      <c r="AS85" s="24">
        <v>0.2608695652173913</v>
      </c>
    </row>
    <row r="86" spans="1:45" x14ac:dyDescent="0.35">
      <c r="A86" s="21" t="s">
        <v>135</v>
      </c>
      <c r="B86" s="22" t="s">
        <v>136</v>
      </c>
      <c r="C86" s="21" t="s">
        <v>753</v>
      </c>
      <c r="D86" s="22" t="s">
        <v>651</v>
      </c>
      <c r="E86" s="22" t="s">
        <v>629</v>
      </c>
      <c r="F86" s="22" t="s">
        <v>630</v>
      </c>
      <c r="G86" s="22" t="s">
        <v>1569</v>
      </c>
      <c r="H86" s="22" t="s">
        <v>668</v>
      </c>
      <c r="I86" s="22" t="s">
        <v>652</v>
      </c>
      <c r="J86" s="22">
        <v>0</v>
      </c>
      <c r="K86" s="22">
        <v>12</v>
      </c>
      <c r="L86" s="24">
        <v>0</v>
      </c>
      <c r="M86" s="22">
        <v>1</v>
      </c>
      <c r="N86" s="23">
        <v>21.5</v>
      </c>
      <c r="O86" s="24">
        <v>4.6511627906976744E-2</v>
      </c>
      <c r="P86" s="22">
        <v>1</v>
      </c>
      <c r="Q86" s="23">
        <v>21.5</v>
      </c>
      <c r="R86" s="24">
        <v>4.6511627906976744E-2</v>
      </c>
      <c r="S86" s="21">
        <v>0</v>
      </c>
      <c r="T86" s="23">
        <v>12</v>
      </c>
      <c r="U86" s="24">
        <v>0</v>
      </c>
      <c r="V86" s="21">
        <v>0</v>
      </c>
      <c r="W86" s="23">
        <v>12</v>
      </c>
      <c r="X86" s="24">
        <v>0</v>
      </c>
      <c r="Y86" s="25">
        <v>0</v>
      </c>
      <c r="Z86" s="25">
        <v>12</v>
      </c>
      <c r="AA86" s="24">
        <v>0</v>
      </c>
      <c r="AB86" s="22">
        <v>0</v>
      </c>
      <c r="AC86" s="22">
        <v>14.5</v>
      </c>
      <c r="AD86" s="24">
        <f>Table13[[#This Row],[Gönüllü Çıkış Sayısı]]/Table13[[#This Row],[Ortalama Çalışan Sayısı]]</f>
        <v>0</v>
      </c>
      <c r="AE86" s="26">
        <v>2</v>
      </c>
      <c r="AF86" s="25">
        <v>24</v>
      </c>
      <c r="AG86" s="24">
        <v>8.3333333333333329E-2</v>
      </c>
      <c r="AH86" s="26">
        <v>0</v>
      </c>
      <c r="AI86" s="25">
        <v>24</v>
      </c>
      <c r="AJ86" s="24">
        <v>0</v>
      </c>
      <c r="AK86" s="26">
        <v>1</v>
      </c>
      <c r="AL86" s="25">
        <v>13</v>
      </c>
      <c r="AM86" s="24">
        <v>7.6923076923076927E-2</v>
      </c>
      <c r="AN86" s="26">
        <v>4</v>
      </c>
      <c r="AO86" s="25">
        <v>12.5</v>
      </c>
      <c r="AP86" s="24">
        <v>0.32</v>
      </c>
      <c r="AQ86" s="26">
        <v>7</v>
      </c>
      <c r="AR86" s="25">
        <v>13.5</v>
      </c>
      <c r="AS86" s="24">
        <v>0.51851851851851849</v>
      </c>
    </row>
    <row r="87" spans="1:45" x14ac:dyDescent="0.35">
      <c r="A87" s="21" t="s">
        <v>137</v>
      </c>
      <c r="B87" s="22" t="s">
        <v>138</v>
      </c>
      <c r="C87" s="21" t="s">
        <v>139</v>
      </c>
      <c r="D87" s="22" t="s">
        <v>684</v>
      </c>
      <c r="E87" s="22" t="s">
        <v>623</v>
      </c>
      <c r="F87" s="22" t="s">
        <v>662</v>
      </c>
      <c r="G87" s="22" t="s">
        <v>662</v>
      </c>
      <c r="H87" s="22" t="s">
        <v>636</v>
      </c>
      <c r="I87" s="22" t="s">
        <v>685</v>
      </c>
      <c r="J87" s="22">
        <v>0</v>
      </c>
      <c r="K87" s="22">
        <v>16</v>
      </c>
      <c r="L87" s="24">
        <v>0</v>
      </c>
      <c r="M87" s="22">
        <v>0</v>
      </c>
      <c r="N87" s="23">
        <v>12.5</v>
      </c>
      <c r="O87" s="24">
        <v>0</v>
      </c>
      <c r="P87" s="22">
        <v>0</v>
      </c>
      <c r="Q87" s="23">
        <v>13</v>
      </c>
      <c r="R87" s="24">
        <v>0</v>
      </c>
      <c r="S87" s="21">
        <v>0</v>
      </c>
      <c r="T87" s="23">
        <v>16.5</v>
      </c>
      <c r="U87" s="24">
        <v>0</v>
      </c>
      <c r="V87" s="21">
        <v>1</v>
      </c>
      <c r="W87" s="23">
        <v>16.5</v>
      </c>
      <c r="X87" s="24">
        <v>6.0606060606060608E-2</v>
      </c>
      <c r="Y87" s="25">
        <v>1</v>
      </c>
      <c r="Z87" s="25">
        <v>16</v>
      </c>
      <c r="AA87" s="24">
        <v>6.25E-2</v>
      </c>
      <c r="AB87" s="22">
        <v>2</v>
      </c>
      <c r="AC87" s="22">
        <v>15</v>
      </c>
      <c r="AD87" s="24">
        <f>Table13[[#This Row],[Gönüllü Çıkış Sayısı]]/Table13[[#This Row],[Ortalama Çalışan Sayısı]]</f>
        <v>0</v>
      </c>
      <c r="AE87" s="26">
        <v>0</v>
      </c>
      <c r="AF87" s="25">
        <v>13</v>
      </c>
      <c r="AG87" s="24">
        <v>0</v>
      </c>
      <c r="AH87" s="26">
        <v>1</v>
      </c>
      <c r="AI87" s="25">
        <v>12.5</v>
      </c>
      <c r="AJ87" s="24">
        <v>0.08</v>
      </c>
      <c r="AK87" s="26">
        <v>2</v>
      </c>
      <c r="AL87" s="25">
        <v>15</v>
      </c>
      <c r="AM87" s="24">
        <v>0.13333333333333333</v>
      </c>
      <c r="AN87" s="26">
        <v>1</v>
      </c>
      <c r="AO87" s="25">
        <v>15</v>
      </c>
      <c r="AP87" s="24">
        <v>6.6666666666666666E-2</v>
      </c>
      <c r="AQ87" s="26">
        <v>5</v>
      </c>
      <c r="AR87" s="25">
        <v>16</v>
      </c>
      <c r="AS87" s="24">
        <v>0.3125</v>
      </c>
    </row>
    <row r="88" spans="1:45" x14ac:dyDescent="0.35">
      <c r="A88" s="21" t="s">
        <v>140</v>
      </c>
      <c r="B88" s="22" t="s">
        <v>141</v>
      </c>
      <c r="C88" s="21" t="s">
        <v>142</v>
      </c>
      <c r="D88" s="22" t="s">
        <v>640</v>
      </c>
      <c r="E88" s="22" t="s">
        <v>623</v>
      </c>
      <c r="F88" s="22" t="s">
        <v>641</v>
      </c>
      <c r="G88" s="22" t="s">
        <v>641</v>
      </c>
      <c r="H88" s="22" t="s">
        <v>636</v>
      </c>
      <c r="I88" s="22" t="s">
        <v>754</v>
      </c>
      <c r="J88" s="22">
        <v>0</v>
      </c>
      <c r="K88" s="22">
        <v>17</v>
      </c>
      <c r="L88" s="24">
        <v>0</v>
      </c>
      <c r="M88" s="22">
        <v>0</v>
      </c>
      <c r="N88" s="23">
        <v>12</v>
      </c>
      <c r="O88" s="24">
        <v>0</v>
      </c>
      <c r="P88" s="22">
        <v>0</v>
      </c>
      <c r="Q88" s="23">
        <v>12</v>
      </c>
      <c r="R88" s="24">
        <v>0</v>
      </c>
      <c r="S88" s="21">
        <v>0</v>
      </c>
      <c r="T88" s="23">
        <v>18</v>
      </c>
      <c r="U88" s="24">
        <v>0</v>
      </c>
      <c r="V88" s="21">
        <v>3</v>
      </c>
      <c r="W88" s="23">
        <v>20.5</v>
      </c>
      <c r="X88" s="24">
        <v>0.14634146341463414</v>
      </c>
      <c r="Y88" s="25">
        <v>8</v>
      </c>
      <c r="Z88" s="25">
        <v>20</v>
      </c>
      <c r="AA88" s="24">
        <v>0.4</v>
      </c>
      <c r="AB88" s="22">
        <v>0</v>
      </c>
      <c r="AC88" s="22">
        <v>17</v>
      </c>
      <c r="AD88" s="24">
        <f>Table13[[#This Row],[Gönüllü Çıkış Sayısı]]/Table13[[#This Row],[Ortalama Çalışan Sayısı]]</f>
        <v>0</v>
      </c>
      <c r="AE88" s="26">
        <v>1</v>
      </c>
      <c r="AF88" s="25">
        <v>15</v>
      </c>
      <c r="AG88" s="24">
        <v>6.6666666666666666E-2</v>
      </c>
      <c r="AH88" s="26">
        <v>1</v>
      </c>
      <c r="AI88" s="25">
        <v>14.5</v>
      </c>
      <c r="AJ88" s="24">
        <v>6.8965517241379309E-2</v>
      </c>
      <c r="AK88" s="26">
        <v>0</v>
      </c>
      <c r="AL88" s="25">
        <v>18</v>
      </c>
      <c r="AM88" s="24">
        <v>0</v>
      </c>
      <c r="AN88" s="26">
        <v>1</v>
      </c>
      <c r="AO88" s="25">
        <v>17.5</v>
      </c>
      <c r="AP88" s="24">
        <v>5.7142857142857141E-2</v>
      </c>
      <c r="AQ88" s="26">
        <v>1</v>
      </c>
      <c r="AR88" s="25">
        <v>17</v>
      </c>
      <c r="AS88" s="24">
        <v>5.8823529411764705E-2</v>
      </c>
    </row>
    <row r="89" spans="1:45" x14ac:dyDescent="0.35">
      <c r="A89" s="21" t="s">
        <v>143</v>
      </c>
      <c r="B89" s="22" t="s">
        <v>144</v>
      </c>
      <c r="C89" s="21" t="s">
        <v>755</v>
      </c>
      <c r="D89" s="22" t="s">
        <v>640</v>
      </c>
      <c r="E89" s="22" t="s">
        <v>623</v>
      </c>
      <c r="F89" s="22" t="s">
        <v>641</v>
      </c>
      <c r="G89" s="22" t="s">
        <v>641</v>
      </c>
      <c r="H89" s="22" t="s">
        <v>654</v>
      </c>
      <c r="I89" s="22" t="s">
        <v>754</v>
      </c>
      <c r="J89" s="22">
        <v>1</v>
      </c>
      <c r="K89" s="22">
        <v>10.5</v>
      </c>
      <c r="L89" s="24">
        <v>9.5238095238095233E-2</v>
      </c>
      <c r="M89" s="22">
        <v>0</v>
      </c>
      <c r="N89" s="23">
        <v>16</v>
      </c>
      <c r="O89" s="24">
        <v>0</v>
      </c>
      <c r="P89" s="22">
        <v>0</v>
      </c>
      <c r="Q89" s="23">
        <v>16</v>
      </c>
      <c r="R89" s="24">
        <v>0</v>
      </c>
      <c r="S89" s="21">
        <v>0</v>
      </c>
      <c r="T89" s="23">
        <v>11</v>
      </c>
      <c r="U89" s="24">
        <v>0</v>
      </c>
      <c r="V89" s="21">
        <v>0</v>
      </c>
      <c r="W89" s="23">
        <v>11</v>
      </c>
      <c r="X89" s="24">
        <v>0</v>
      </c>
      <c r="Y89" s="25">
        <v>1</v>
      </c>
      <c r="Z89" s="25">
        <v>11</v>
      </c>
      <c r="AA89" s="24">
        <v>9.0909090909090912E-2</v>
      </c>
      <c r="AB89" s="22">
        <v>0</v>
      </c>
      <c r="AC89" s="22">
        <v>13.5</v>
      </c>
      <c r="AD89" s="24">
        <f>Table13[[#This Row],[Gönüllü Çıkış Sayısı]]/Table13[[#This Row],[Ortalama Çalışan Sayısı]]</f>
        <v>9.5238095238095233E-2</v>
      </c>
      <c r="AE89" s="26">
        <v>0</v>
      </c>
      <c r="AF89" s="25">
        <v>14.5</v>
      </c>
      <c r="AG89" s="24">
        <v>0</v>
      </c>
      <c r="AH89" s="26">
        <v>0</v>
      </c>
      <c r="AI89" s="25">
        <v>15.5</v>
      </c>
      <c r="AJ89" s="24">
        <v>0</v>
      </c>
      <c r="AK89" s="26">
        <v>0</v>
      </c>
      <c r="AL89" s="25">
        <v>15</v>
      </c>
      <c r="AM89" s="24">
        <v>0</v>
      </c>
      <c r="AN89" s="26">
        <v>0</v>
      </c>
      <c r="AO89" s="25">
        <v>15</v>
      </c>
      <c r="AP89" s="24">
        <v>0</v>
      </c>
      <c r="AQ89" s="26">
        <v>1</v>
      </c>
      <c r="AR89" s="25">
        <v>14</v>
      </c>
      <c r="AS89" s="24">
        <v>7.1428571428571425E-2</v>
      </c>
    </row>
    <row r="90" spans="1:45" x14ac:dyDescent="0.35">
      <c r="A90" s="21" t="s">
        <v>145</v>
      </c>
      <c r="B90" s="22" t="s">
        <v>146</v>
      </c>
      <c r="C90" s="21" t="s">
        <v>756</v>
      </c>
      <c r="D90" s="22" t="s">
        <v>737</v>
      </c>
      <c r="E90" s="22" t="s">
        <v>657</v>
      </c>
      <c r="F90" s="22" t="s">
        <v>641</v>
      </c>
      <c r="G90" s="22" t="s">
        <v>641</v>
      </c>
      <c r="H90" s="22" t="s">
        <v>636</v>
      </c>
      <c r="I90" s="22" t="s">
        <v>757</v>
      </c>
      <c r="J90" s="22">
        <v>1</v>
      </c>
      <c r="K90" s="22">
        <v>18</v>
      </c>
      <c r="L90" s="24">
        <v>5.5555555555555552E-2</v>
      </c>
      <c r="M90" s="22">
        <v>1</v>
      </c>
      <c r="N90" s="23">
        <v>17.5</v>
      </c>
      <c r="O90" s="24">
        <v>5.7142857142857141E-2</v>
      </c>
      <c r="P90" s="22">
        <v>4</v>
      </c>
      <c r="Q90" s="23">
        <v>16.5</v>
      </c>
      <c r="R90" s="24">
        <v>0.24242424242424243</v>
      </c>
      <c r="S90" s="21">
        <v>2</v>
      </c>
      <c r="T90" s="23">
        <v>21.5</v>
      </c>
      <c r="U90" s="24">
        <v>9.3023255813953487E-2</v>
      </c>
      <c r="V90" s="21">
        <v>3</v>
      </c>
      <c r="W90" s="23">
        <v>20.5</v>
      </c>
      <c r="X90" s="24">
        <v>0.14634146341463414</v>
      </c>
      <c r="Y90" s="25">
        <v>10</v>
      </c>
      <c r="Z90" s="25">
        <v>20</v>
      </c>
      <c r="AA90" s="24">
        <v>0.5</v>
      </c>
      <c r="AB90" s="22">
        <v>0</v>
      </c>
      <c r="AC90" s="22">
        <v>19</v>
      </c>
      <c r="AD90" s="24">
        <f>Table13[[#This Row],[Gönüllü Çıkış Sayısı]]/Table13[[#This Row],[Ortalama Çalışan Sayısı]]</f>
        <v>5.5555555555555552E-2</v>
      </c>
      <c r="AE90" s="26">
        <v>0</v>
      </c>
      <c r="AF90" s="25">
        <v>18.5</v>
      </c>
      <c r="AG90" s="24">
        <v>0</v>
      </c>
      <c r="AH90" s="26">
        <v>0</v>
      </c>
      <c r="AI90" s="25">
        <v>19</v>
      </c>
      <c r="AJ90" s="24">
        <v>0</v>
      </c>
      <c r="AK90" s="26">
        <v>0</v>
      </c>
      <c r="AL90" s="25">
        <v>18.5</v>
      </c>
      <c r="AM90" s="24">
        <v>0</v>
      </c>
      <c r="AN90" s="26">
        <v>2</v>
      </c>
      <c r="AO90" s="25">
        <v>17.5</v>
      </c>
      <c r="AP90" s="24">
        <v>0.11428571428571428</v>
      </c>
      <c r="AQ90" s="26">
        <v>2</v>
      </c>
      <c r="AR90" s="25">
        <v>18</v>
      </c>
      <c r="AS90" s="24">
        <v>0.1111111111111111</v>
      </c>
    </row>
    <row r="91" spans="1:45" x14ac:dyDescent="0.35">
      <c r="A91" s="21" t="s">
        <v>147</v>
      </c>
      <c r="B91" s="22" t="s">
        <v>148</v>
      </c>
      <c r="C91" s="21" t="s">
        <v>758</v>
      </c>
      <c r="D91" s="22" t="s">
        <v>661</v>
      </c>
      <c r="E91" s="22" t="s">
        <v>657</v>
      </c>
      <c r="F91" s="22" t="s">
        <v>662</v>
      </c>
      <c r="G91" s="22" t="s">
        <v>662</v>
      </c>
      <c r="H91" s="22" t="s">
        <v>636</v>
      </c>
      <c r="I91" s="22" t="s">
        <v>632</v>
      </c>
      <c r="J91" s="22">
        <v>2</v>
      </c>
      <c r="K91" s="22">
        <v>18</v>
      </c>
      <c r="L91" s="24">
        <v>0.1111111111111111</v>
      </c>
      <c r="M91" s="22">
        <v>0</v>
      </c>
      <c r="N91" s="23">
        <v>11</v>
      </c>
      <c r="O91" s="24">
        <v>0</v>
      </c>
      <c r="P91" s="22">
        <v>0</v>
      </c>
      <c r="Q91" s="23">
        <v>11</v>
      </c>
      <c r="R91" s="24">
        <v>0</v>
      </c>
      <c r="S91" s="21">
        <v>10</v>
      </c>
      <c r="T91" s="23">
        <v>17.5</v>
      </c>
      <c r="U91" s="24">
        <v>0.5714285714285714</v>
      </c>
      <c r="V91" s="21">
        <v>5</v>
      </c>
      <c r="W91" s="23">
        <v>17</v>
      </c>
      <c r="X91" s="24">
        <v>0.29411764705882354</v>
      </c>
      <c r="Y91" s="25">
        <v>25</v>
      </c>
      <c r="Z91" s="25">
        <v>17.5</v>
      </c>
      <c r="AA91" s="24">
        <v>1.4285714285714286</v>
      </c>
      <c r="AB91" s="22">
        <v>4</v>
      </c>
      <c r="AC91" s="22">
        <v>28</v>
      </c>
      <c r="AD91" s="24">
        <f>Table13[[#This Row],[Gönüllü Çıkış Sayısı]]/Table13[[#This Row],[Ortalama Çalışan Sayısı]]</f>
        <v>0.1111111111111111</v>
      </c>
      <c r="AE91" s="26">
        <v>1</v>
      </c>
      <c r="AF91" s="25">
        <v>14.5</v>
      </c>
      <c r="AG91" s="24">
        <v>6.8965517241379309E-2</v>
      </c>
      <c r="AH91" s="26">
        <v>0</v>
      </c>
      <c r="AI91" s="25">
        <v>15</v>
      </c>
      <c r="AJ91" s="24">
        <v>0</v>
      </c>
      <c r="AK91" s="26">
        <v>3</v>
      </c>
      <c r="AL91" s="25">
        <v>18.5</v>
      </c>
      <c r="AM91" s="24">
        <v>0.16216216216216217</v>
      </c>
      <c r="AN91" s="26">
        <v>5</v>
      </c>
      <c r="AO91" s="25">
        <v>19.5</v>
      </c>
      <c r="AP91" s="24">
        <v>0.25641025641025639</v>
      </c>
      <c r="AQ91" s="26">
        <v>21</v>
      </c>
      <c r="AR91" s="25">
        <v>24.5</v>
      </c>
      <c r="AS91" s="24">
        <v>0.8571428571428571</v>
      </c>
    </row>
    <row r="92" spans="1:45" x14ac:dyDescent="0.35">
      <c r="A92" s="21" t="s">
        <v>149</v>
      </c>
      <c r="B92" s="22" t="s">
        <v>150</v>
      </c>
      <c r="C92" s="21" t="s">
        <v>759</v>
      </c>
      <c r="D92" s="22" t="s">
        <v>648</v>
      </c>
      <c r="E92" s="22" t="s">
        <v>623</v>
      </c>
      <c r="F92" s="22" t="s">
        <v>624</v>
      </c>
      <c r="G92" s="22" t="s">
        <v>624</v>
      </c>
      <c r="H92" s="22" t="s">
        <v>654</v>
      </c>
      <c r="I92" s="22" t="s">
        <v>725</v>
      </c>
      <c r="J92" s="22">
        <v>1</v>
      </c>
      <c r="K92" s="22">
        <v>14.5</v>
      </c>
      <c r="L92" s="24">
        <v>6.8965517241379309E-2</v>
      </c>
      <c r="M92" s="22">
        <v>2</v>
      </c>
      <c r="N92" s="23">
        <v>21</v>
      </c>
      <c r="O92" s="24">
        <v>9.5238095238095233E-2</v>
      </c>
      <c r="P92" s="22">
        <v>2</v>
      </c>
      <c r="Q92" s="23">
        <v>21.5</v>
      </c>
      <c r="R92" s="24">
        <v>9.3023255813953487E-2</v>
      </c>
      <c r="S92" s="21">
        <v>3</v>
      </c>
      <c r="T92" s="23">
        <v>13.5</v>
      </c>
      <c r="U92" s="24">
        <v>0.22222222222222221</v>
      </c>
      <c r="V92" s="21">
        <v>1</v>
      </c>
      <c r="W92" s="23">
        <v>15</v>
      </c>
      <c r="X92" s="24">
        <v>6.6666666666666666E-2</v>
      </c>
      <c r="Y92" s="25">
        <v>7</v>
      </c>
      <c r="Z92" s="25">
        <v>15.5</v>
      </c>
      <c r="AA92" s="24">
        <v>0.45161290322580644</v>
      </c>
      <c r="AB92" s="22">
        <v>1</v>
      </c>
      <c r="AC92" s="22">
        <v>18.5</v>
      </c>
      <c r="AD92" s="24">
        <f>Table13[[#This Row],[Gönüllü Çıkış Sayısı]]/Table13[[#This Row],[Ortalama Çalışan Sayısı]]</f>
        <v>6.8965517241379309E-2</v>
      </c>
      <c r="AE92" s="26">
        <v>0</v>
      </c>
      <c r="AF92" s="25">
        <v>19.5</v>
      </c>
      <c r="AG92" s="24">
        <v>0</v>
      </c>
      <c r="AH92" s="26">
        <v>0</v>
      </c>
      <c r="AI92" s="25">
        <v>19</v>
      </c>
      <c r="AJ92" s="24">
        <v>0</v>
      </c>
      <c r="AK92" s="26">
        <v>1</v>
      </c>
      <c r="AL92" s="25">
        <v>18.5</v>
      </c>
      <c r="AM92" s="24">
        <v>5.4054054054054057E-2</v>
      </c>
      <c r="AN92" s="26">
        <v>1</v>
      </c>
      <c r="AO92" s="25">
        <v>17.5</v>
      </c>
      <c r="AP92" s="24">
        <v>5.7142857142857141E-2</v>
      </c>
      <c r="AQ92" s="26">
        <v>3</v>
      </c>
      <c r="AR92" s="25">
        <v>18</v>
      </c>
      <c r="AS92" s="24">
        <v>0.16666666666666666</v>
      </c>
    </row>
    <row r="93" spans="1:45" x14ac:dyDescent="0.35">
      <c r="A93" s="21" t="s">
        <v>151</v>
      </c>
      <c r="B93" s="22" t="s">
        <v>152</v>
      </c>
      <c r="C93" s="21" t="s">
        <v>760</v>
      </c>
      <c r="D93" s="22" t="s">
        <v>691</v>
      </c>
      <c r="E93" s="22" t="s">
        <v>657</v>
      </c>
      <c r="F93" s="22" t="s">
        <v>658</v>
      </c>
      <c r="G93" s="22" t="s">
        <v>662</v>
      </c>
      <c r="H93" s="22" t="s">
        <v>654</v>
      </c>
      <c r="I93" s="22" t="s">
        <v>632</v>
      </c>
      <c r="J93" s="22">
        <v>1</v>
      </c>
      <c r="K93" s="22">
        <v>16</v>
      </c>
      <c r="L93" s="24">
        <v>6.25E-2</v>
      </c>
      <c r="M93" s="22">
        <v>5</v>
      </c>
      <c r="N93" s="23">
        <v>20</v>
      </c>
      <c r="O93" s="24">
        <v>0.25</v>
      </c>
      <c r="P93" s="22">
        <v>3</v>
      </c>
      <c r="Q93" s="23">
        <v>18.5</v>
      </c>
      <c r="R93" s="24">
        <v>0.16216216216216217</v>
      </c>
      <c r="S93" s="21">
        <v>1</v>
      </c>
      <c r="T93" s="23">
        <v>19.5</v>
      </c>
      <c r="U93" s="24">
        <v>5.128205128205128E-2</v>
      </c>
      <c r="V93" s="21">
        <v>1</v>
      </c>
      <c r="W93" s="23">
        <v>21.5</v>
      </c>
      <c r="X93" s="24">
        <v>4.6511627906976744E-2</v>
      </c>
      <c r="Y93" s="25">
        <v>6</v>
      </c>
      <c r="Z93" s="25">
        <v>19.5</v>
      </c>
      <c r="AA93" s="24">
        <v>0.30769230769230771</v>
      </c>
      <c r="AB93" s="22">
        <v>0</v>
      </c>
      <c r="AC93" s="22">
        <v>19</v>
      </c>
      <c r="AD93" s="24">
        <f>Table13[[#This Row],[Gönüllü Çıkış Sayısı]]/Table13[[#This Row],[Ortalama Çalışan Sayısı]]</f>
        <v>6.25E-2</v>
      </c>
      <c r="AE93" s="26">
        <v>3</v>
      </c>
      <c r="AF93" s="25">
        <v>25</v>
      </c>
      <c r="AG93" s="24">
        <v>0.12</v>
      </c>
      <c r="AH93" s="26">
        <v>6</v>
      </c>
      <c r="AI93" s="25">
        <v>21</v>
      </c>
      <c r="AJ93" s="24">
        <v>0.2857142857142857</v>
      </c>
      <c r="AK93" s="26">
        <v>1</v>
      </c>
      <c r="AL93" s="25">
        <v>18.5</v>
      </c>
      <c r="AM93" s="24">
        <v>5.4054054054054057E-2</v>
      </c>
      <c r="AN93" s="26">
        <v>2</v>
      </c>
      <c r="AO93" s="25">
        <v>17.5</v>
      </c>
      <c r="AP93" s="24">
        <v>0.11428571428571428</v>
      </c>
      <c r="AQ93" s="26">
        <v>6</v>
      </c>
      <c r="AR93" s="25">
        <v>18</v>
      </c>
      <c r="AS93" s="24">
        <v>0.33333333333333331</v>
      </c>
    </row>
    <row r="94" spans="1:45" x14ac:dyDescent="0.35">
      <c r="A94" s="21" t="s">
        <v>153</v>
      </c>
      <c r="B94" s="22" t="s">
        <v>154</v>
      </c>
      <c r="C94" s="21" t="s">
        <v>761</v>
      </c>
      <c r="D94" s="22" t="s">
        <v>762</v>
      </c>
      <c r="E94" s="22" t="s">
        <v>629</v>
      </c>
      <c r="F94" s="22" t="s">
        <v>646</v>
      </c>
      <c r="G94" s="22" t="s">
        <v>646</v>
      </c>
      <c r="H94" s="22" t="s">
        <v>654</v>
      </c>
      <c r="I94" s="22" t="s">
        <v>763</v>
      </c>
      <c r="J94" s="22">
        <v>1</v>
      </c>
      <c r="K94" s="22">
        <v>16.5</v>
      </c>
      <c r="L94" s="24">
        <v>6.0606060606060608E-2</v>
      </c>
      <c r="M94" s="22">
        <v>2</v>
      </c>
      <c r="N94" s="23">
        <v>14</v>
      </c>
      <c r="O94" s="24">
        <v>0.14285714285714285</v>
      </c>
      <c r="P94" s="22">
        <v>0</v>
      </c>
      <c r="Q94" s="23">
        <v>13</v>
      </c>
      <c r="R94" s="24">
        <v>0</v>
      </c>
      <c r="S94" s="21">
        <v>0</v>
      </c>
      <c r="T94" s="23">
        <v>18</v>
      </c>
      <c r="U94" s="24">
        <v>0</v>
      </c>
      <c r="V94" s="21">
        <v>0</v>
      </c>
      <c r="W94" s="23">
        <v>19.5</v>
      </c>
      <c r="X94" s="24">
        <v>0</v>
      </c>
      <c r="Y94" s="25">
        <v>1</v>
      </c>
      <c r="Z94" s="25">
        <v>19</v>
      </c>
      <c r="AA94" s="24">
        <v>5.2631578947368418E-2</v>
      </c>
      <c r="AB94" s="22">
        <v>2</v>
      </c>
      <c r="AC94" s="22">
        <v>15</v>
      </c>
      <c r="AD94" s="24">
        <f>Table13[[#This Row],[Gönüllü Çıkış Sayısı]]/Table13[[#This Row],[Ortalama Çalışan Sayısı]]</f>
        <v>6.0606060606060608E-2</v>
      </c>
      <c r="AE94" s="26">
        <v>0</v>
      </c>
      <c r="AF94" s="25">
        <v>18.5</v>
      </c>
      <c r="AG94" s="24">
        <v>0</v>
      </c>
      <c r="AH94" s="26">
        <v>0</v>
      </c>
      <c r="AI94" s="25">
        <v>18</v>
      </c>
      <c r="AJ94" s="24">
        <v>0</v>
      </c>
      <c r="AK94" s="26">
        <v>0</v>
      </c>
      <c r="AL94" s="25">
        <v>16</v>
      </c>
      <c r="AM94" s="24">
        <v>0</v>
      </c>
      <c r="AN94" s="26">
        <v>1</v>
      </c>
      <c r="AO94" s="25">
        <v>16.5</v>
      </c>
      <c r="AP94" s="24">
        <v>6.0606060606060608E-2</v>
      </c>
      <c r="AQ94" s="26">
        <v>4</v>
      </c>
      <c r="AR94" s="25">
        <v>16.5</v>
      </c>
      <c r="AS94" s="24">
        <v>0.24242424242424243</v>
      </c>
    </row>
    <row r="95" spans="1:45" x14ac:dyDescent="0.35">
      <c r="A95" s="21" t="s">
        <v>155</v>
      </c>
      <c r="B95" s="22" t="s">
        <v>156</v>
      </c>
      <c r="C95" s="21" t="s">
        <v>764</v>
      </c>
      <c r="D95" s="22" t="s">
        <v>663</v>
      </c>
      <c r="E95" s="22" t="s">
        <v>629</v>
      </c>
      <c r="F95" s="22" t="s">
        <v>646</v>
      </c>
      <c r="G95" s="22" t="s">
        <v>646</v>
      </c>
      <c r="H95" s="22" t="s">
        <v>636</v>
      </c>
      <c r="I95" s="22" t="s">
        <v>639</v>
      </c>
      <c r="J95" s="22">
        <v>1</v>
      </c>
      <c r="K95" s="22">
        <v>21.5</v>
      </c>
      <c r="L95" s="24">
        <v>4.6511627906976744E-2</v>
      </c>
      <c r="M95" s="22">
        <v>3</v>
      </c>
      <c r="N95" s="23">
        <v>16</v>
      </c>
      <c r="O95" s="24">
        <v>0.1875</v>
      </c>
      <c r="P95" s="22">
        <v>0</v>
      </c>
      <c r="Q95" s="23">
        <v>17</v>
      </c>
      <c r="R95" s="24">
        <v>0</v>
      </c>
      <c r="S95" s="21">
        <v>1</v>
      </c>
      <c r="T95" s="23">
        <v>22</v>
      </c>
      <c r="U95" s="24">
        <v>4.5454545454545456E-2</v>
      </c>
      <c r="V95" s="21">
        <v>3</v>
      </c>
      <c r="W95" s="23">
        <v>21.5</v>
      </c>
      <c r="X95" s="24">
        <v>0.13953488372093023</v>
      </c>
      <c r="Y95" s="25">
        <v>8</v>
      </c>
      <c r="Z95" s="25">
        <v>22</v>
      </c>
      <c r="AA95" s="24">
        <v>0.36363636363636365</v>
      </c>
      <c r="AB95" s="22">
        <v>1</v>
      </c>
      <c r="AC95" s="22">
        <v>19.5</v>
      </c>
      <c r="AD95" s="24">
        <f>Table13[[#This Row],[Gönüllü Çıkış Sayısı]]/Table13[[#This Row],[Ortalama Çalışan Sayısı]]</f>
        <v>4.6511627906976744E-2</v>
      </c>
      <c r="AE95" s="26">
        <v>2</v>
      </c>
      <c r="AF95" s="25">
        <v>20</v>
      </c>
      <c r="AG95" s="24">
        <v>0.1</v>
      </c>
      <c r="AH95" s="26">
        <v>1</v>
      </c>
      <c r="AI95" s="25">
        <v>19.5</v>
      </c>
      <c r="AJ95" s="24">
        <v>5.128205128205128E-2</v>
      </c>
      <c r="AK95" s="26">
        <v>0</v>
      </c>
      <c r="AL95" s="25">
        <v>21</v>
      </c>
      <c r="AM95" s="24">
        <v>0</v>
      </c>
      <c r="AN95" s="26">
        <v>2</v>
      </c>
      <c r="AO95" s="25">
        <v>21</v>
      </c>
      <c r="AP95" s="24">
        <v>9.5238095238095233E-2</v>
      </c>
      <c r="AQ95" s="26">
        <v>6</v>
      </c>
      <c r="AR95" s="25">
        <v>20</v>
      </c>
      <c r="AS95" s="24">
        <v>0.3</v>
      </c>
    </row>
    <row r="96" spans="1:45" x14ac:dyDescent="0.35">
      <c r="A96" s="21" t="s">
        <v>157</v>
      </c>
      <c r="B96" s="22" t="s">
        <v>158</v>
      </c>
      <c r="C96" s="21" t="s">
        <v>765</v>
      </c>
      <c r="D96" s="22" t="s">
        <v>670</v>
      </c>
      <c r="E96" s="22" t="s">
        <v>657</v>
      </c>
      <c r="F96" s="22" t="s">
        <v>641</v>
      </c>
      <c r="G96" s="22" t="s">
        <v>641</v>
      </c>
      <c r="H96" s="22" t="s">
        <v>668</v>
      </c>
      <c r="I96" s="22" t="s">
        <v>671</v>
      </c>
      <c r="J96" s="22">
        <v>0</v>
      </c>
      <c r="K96" s="22">
        <v>12</v>
      </c>
      <c r="L96" s="24">
        <v>0</v>
      </c>
      <c r="M96" s="22">
        <v>0</v>
      </c>
      <c r="N96" s="23">
        <v>16.5</v>
      </c>
      <c r="O96" s="24">
        <v>0</v>
      </c>
      <c r="P96" s="22">
        <v>0</v>
      </c>
      <c r="Q96" s="23">
        <v>17.5</v>
      </c>
      <c r="R96" s="24">
        <v>0</v>
      </c>
      <c r="S96" s="21">
        <v>0</v>
      </c>
      <c r="T96" s="23">
        <v>12.5</v>
      </c>
      <c r="U96" s="24">
        <v>0</v>
      </c>
      <c r="V96" s="21">
        <v>3</v>
      </c>
      <c r="W96" s="23">
        <v>13.5</v>
      </c>
      <c r="X96" s="24">
        <v>0.22222222222222221</v>
      </c>
      <c r="Y96" s="25">
        <v>5</v>
      </c>
      <c r="Z96" s="25">
        <v>13</v>
      </c>
      <c r="AA96" s="24">
        <v>0.38461538461538464</v>
      </c>
      <c r="AB96" s="22">
        <v>0</v>
      </c>
      <c r="AC96" s="22">
        <v>13</v>
      </c>
      <c r="AD96" s="24">
        <f>Table13[[#This Row],[Gönüllü Çıkış Sayısı]]/Table13[[#This Row],[Ortalama Çalışan Sayısı]]</f>
        <v>0</v>
      </c>
      <c r="AE96" s="26">
        <v>0</v>
      </c>
      <c r="AF96" s="25">
        <v>14</v>
      </c>
      <c r="AG96" s="24">
        <v>0</v>
      </c>
      <c r="AH96" s="26">
        <v>1</v>
      </c>
      <c r="AI96" s="25">
        <v>15</v>
      </c>
      <c r="AJ96" s="24">
        <v>6.6666666666666666E-2</v>
      </c>
      <c r="AK96" s="26">
        <v>2</v>
      </c>
      <c r="AL96" s="25">
        <v>11.5</v>
      </c>
      <c r="AM96" s="24">
        <v>0.17391304347826086</v>
      </c>
      <c r="AN96" s="26">
        <v>0</v>
      </c>
      <c r="AO96" s="25">
        <v>11.5</v>
      </c>
      <c r="AP96" s="24">
        <v>0</v>
      </c>
      <c r="AQ96" s="26">
        <v>6</v>
      </c>
      <c r="AR96" s="25">
        <v>12.5</v>
      </c>
      <c r="AS96" s="24">
        <v>0.48</v>
      </c>
    </row>
    <row r="97" spans="1:45" x14ac:dyDescent="0.35">
      <c r="A97" s="21" t="s">
        <v>159</v>
      </c>
      <c r="B97" s="22" t="s">
        <v>160</v>
      </c>
      <c r="C97" s="21" t="s">
        <v>766</v>
      </c>
      <c r="D97" s="22" t="s">
        <v>678</v>
      </c>
      <c r="E97" s="22" t="s">
        <v>623</v>
      </c>
      <c r="F97" s="22" t="s">
        <v>624</v>
      </c>
      <c r="G97" s="22" t="s">
        <v>624</v>
      </c>
      <c r="H97" s="22" t="s">
        <v>654</v>
      </c>
      <c r="I97" s="22" t="s">
        <v>679</v>
      </c>
      <c r="J97" s="22">
        <v>1</v>
      </c>
      <c r="K97" s="22">
        <v>12.5</v>
      </c>
      <c r="L97" s="24">
        <v>0.08</v>
      </c>
      <c r="M97" s="22">
        <v>2</v>
      </c>
      <c r="N97" s="23">
        <v>22</v>
      </c>
      <c r="O97" s="24">
        <v>9.0909090909090912E-2</v>
      </c>
      <c r="P97" s="22">
        <v>1</v>
      </c>
      <c r="Q97" s="23">
        <v>22.5</v>
      </c>
      <c r="R97" s="24">
        <v>4.4444444444444446E-2</v>
      </c>
      <c r="S97" s="21">
        <v>3</v>
      </c>
      <c r="T97" s="23">
        <v>12</v>
      </c>
      <c r="U97" s="24">
        <v>0.25</v>
      </c>
      <c r="V97" s="21">
        <v>4</v>
      </c>
      <c r="W97" s="23">
        <v>12.5</v>
      </c>
      <c r="X97" s="24">
        <v>0.32</v>
      </c>
      <c r="Y97" s="25">
        <v>9</v>
      </c>
      <c r="Z97" s="25">
        <v>13.5</v>
      </c>
      <c r="AA97" s="24">
        <v>0.66666666666666663</v>
      </c>
      <c r="AB97" s="22">
        <v>0</v>
      </c>
      <c r="AC97" s="22">
        <v>14</v>
      </c>
      <c r="AD97" s="24">
        <f>Table13[[#This Row],[Gönüllü Çıkış Sayısı]]/Table13[[#This Row],[Ortalama Çalışan Sayısı]]</f>
        <v>0.08</v>
      </c>
      <c r="AE97" s="26">
        <v>2</v>
      </c>
      <c r="AF97" s="25">
        <v>18.5</v>
      </c>
      <c r="AG97" s="24">
        <v>0.10810810810810811</v>
      </c>
      <c r="AH97" s="26">
        <v>1</v>
      </c>
      <c r="AI97" s="25">
        <v>19.5</v>
      </c>
      <c r="AJ97" s="24">
        <v>5.128205128205128E-2</v>
      </c>
      <c r="AK97" s="26">
        <v>0</v>
      </c>
      <c r="AL97" s="25">
        <v>12</v>
      </c>
      <c r="AM97" s="24">
        <v>0</v>
      </c>
      <c r="AN97" s="26">
        <v>1</v>
      </c>
      <c r="AO97" s="25">
        <v>12</v>
      </c>
      <c r="AP97" s="24">
        <v>8.3333333333333329E-2</v>
      </c>
      <c r="AQ97" s="26">
        <v>2</v>
      </c>
      <c r="AR97" s="25">
        <v>13</v>
      </c>
      <c r="AS97" s="24">
        <v>0.15384615384615385</v>
      </c>
    </row>
    <row r="98" spans="1:45" x14ac:dyDescent="0.35">
      <c r="A98" s="21" t="s">
        <v>161</v>
      </c>
      <c r="B98" s="22" t="s">
        <v>162</v>
      </c>
      <c r="C98" s="21" t="s">
        <v>767</v>
      </c>
      <c r="D98" s="22" t="s">
        <v>622</v>
      </c>
      <c r="E98" s="22" t="s">
        <v>623</v>
      </c>
      <c r="F98" s="22" t="s">
        <v>624</v>
      </c>
      <c r="G98" s="22" t="s">
        <v>624</v>
      </c>
      <c r="H98" s="22" t="s">
        <v>654</v>
      </c>
      <c r="I98" s="22" t="s">
        <v>649</v>
      </c>
      <c r="J98" s="22">
        <v>2</v>
      </c>
      <c r="K98" s="22">
        <v>14</v>
      </c>
      <c r="L98" s="24">
        <v>0.14285714285714285</v>
      </c>
      <c r="M98" s="22">
        <v>0</v>
      </c>
      <c r="N98" s="23">
        <v>12.5</v>
      </c>
      <c r="O98" s="24">
        <v>0</v>
      </c>
      <c r="P98" s="22">
        <v>2</v>
      </c>
      <c r="Q98" s="23">
        <v>12.5</v>
      </c>
      <c r="R98" s="24">
        <v>0.16</v>
      </c>
      <c r="S98" s="21">
        <v>1</v>
      </c>
      <c r="T98" s="23">
        <v>15.5</v>
      </c>
      <c r="U98" s="24">
        <v>6.4516129032258063E-2</v>
      </c>
      <c r="V98" s="21">
        <v>5</v>
      </c>
      <c r="W98" s="23">
        <v>18</v>
      </c>
      <c r="X98" s="24">
        <v>0.27777777777777779</v>
      </c>
      <c r="Y98" s="25">
        <v>18</v>
      </c>
      <c r="Z98" s="25">
        <v>16</v>
      </c>
      <c r="AA98" s="24">
        <v>1.125</v>
      </c>
      <c r="AB98" s="22">
        <v>3</v>
      </c>
      <c r="AC98" s="22">
        <v>22.5</v>
      </c>
      <c r="AD98" s="24">
        <f>Table13[[#This Row],[Gönüllü Çıkış Sayısı]]/Table13[[#This Row],[Ortalama Çalışan Sayısı]]</f>
        <v>0.14285714285714285</v>
      </c>
      <c r="AE98" s="26">
        <v>1</v>
      </c>
      <c r="AF98" s="25">
        <v>12.5</v>
      </c>
      <c r="AG98" s="24">
        <v>0.08</v>
      </c>
      <c r="AH98" s="26">
        <v>3</v>
      </c>
      <c r="AI98" s="25">
        <v>12</v>
      </c>
      <c r="AJ98" s="24">
        <v>0.25</v>
      </c>
      <c r="AK98" s="26">
        <v>0</v>
      </c>
      <c r="AL98" s="25">
        <v>20</v>
      </c>
      <c r="AM98" s="24">
        <v>0</v>
      </c>
      <c r="AN98" s="26">
        <v>0</v>
      </c>
      <c r="AO98" s="25">
        <v>19</v>
      </c>
      <c r="AP98" s="24">
        <v>0</v>
      </c>
      <c r="AQ98" s="26">
        <v>9</v>
      </c>
      <c r="AR98" s="25">
        <v>21.5</v>
      </c>
      <c r="AS98" s="24">
        <v>0.41860465116279072</v>
      </c>
    </row>
    <row r="99" spans="1:45" x14ac:dyDescent="0.35">
      <c r="A99" s="21" t="s">
        <v>163</v>
      </c>
      <c r="B99" s="22" t="s">
        <v>164</v>
      </c>
      <c r="C99" s="21" t="s">
        <v>768</v>
      </c>
      <c r="D99" s="22" t="s">
        <v>634</v>
      </c>
      <c r="E99" s="22" t="s">
        <v>629</v>
      </c>
      <c r="F99" s="22" t="s">
        <v>635</v>
      </c>
      <c r="G99" s="22" t="s">
        <v>635</v>
      </c>
      <c r="H99" s="22" t="s">
        <v>654</v>
      </c>
      <c r="I99" s="22" t="s">
        <v>637</v>
      </c>
      <c r="J99" s="22">
        <v>3</v>
      </c>
      <c r="K99" s="22">
        <v>15</v>
      </c>
      <c r="L99" s="24">
        <v>0.2</v>
      </c>
      <c r="M99" s="22">
        <v>1</v>
      </c>
      <c r="N99" s="23">
        <v>12.5</v>
      </c>
      <c r="O99" s="24">
        <v>0.08</v>
      </c>
      <c r="P99" s="22">
        <v>0</v>
      </c>
      <c r="Q99" s="23">
        <v>13.5</v>
      </c>
      <c r="R99" s="24">
        <v>0</v>
      </c>
      <c r="S99" s="21">
        <v>0</v>
      </c>
      <c r="T99" s="23">
        <v>19</v>
      </c>
      <c r="U99" s="24">
        <v>0</v>
      </c>
      <c r="V99" s="21">
        <v>4</v>
      </c>
      <c r="W99" s="23">
        <v>17</v>
      </c>
      <c r="X99" s="24">
        <v>0.23529411764705882</v>
      </c>
      <c r="Y99" s="25">
        <v>9</v>
      </c>
      <c r="Z99" s="25">
        <v>16</v>
      </c>
      <c r="AA99" s="24">
        <v>0.5625</v>
      </c>
      <c r="AB99" s="22">
        <v>4</v>
      </c>
      <c r="AC99" s="22">
        <v>18.5</v>
      </c>
      <c r="AD99" s="24">
        <f>Table13[[#This Row],[Gönüllü Çıkış Sayısı]]/Table13[[#This Row],[Ortalama Çalışan Sayısı]]</f>
        <v>0.2</v>
      </c>
      <c r="AE99" s="26">
        <v>0</v>
      </c>
      <c r="AF99" s="25">
        <v>14</v>
      </c>
      <c r="AG99" s="24">
        <v>0</v>
      </c>
      <c r="AH99" s="26">
        <v>1</v>
      </c>
      <c r="AI99" s="25">
        <v>13.5</v>
      </c>
      <c r="AJ99" s="24">
        <v>7.407407407407407E-2</v>
      </c>
      <c r="AK99" s="26">
        <v>2</v>
      </c>
      <c r="AL99" s="25">
        <v>17</v>
      </c>
      <c r="AM99" s="24">
        <v>0.11764705882352941</v>
      </c>
      <c r="AN99" s="26">
        <v>1</v>
      </c>
      <c r="AO99" s="25">
        <v>15.5</v>
      </c>
      <c r="AP99" s="24">
        <v>6.4516129032258063E-2</v>
      </c>
      <c r="AQ99" s="26">
        <v>10</v>
      </c>
      <c r="AR99" s="25">
        <v>17</v>
      </c>
      <c r="AS99" s="24">
        <v>0.58823529411764708</v>
      </c>
    </row>
    <row r="100" spans="1:45" x14ac:dyDescent="0.35">
      <c r="A100" s="21" t="s">
        <v>165</v>
      </c>
      <c r="B100" s="22" t="s">
        <v>166</v>
      </c>
      <c r="C100" s="21" t="s">
        <v>769</v>
      </c>
      <c r="D100" s="22" t="s">
        <v>648</v>
      </c>
      <c r="E100" s="22" t="s">
        <v>623</v>
      </c>
      <c r="F100" s="22" t="s">
        <v>624</v>
      </c>
      <c r="G100" s="22" t="s">
        <v>624</v>
      </c>
      <c r="H100" s="22" t="s">
        <v>636</v>
      </c>
      <c r="I100" s="22" t="s">
        <v>649</v>
      </c>
      <c r="J100" s="22">
        <v>2</v>
      </c>
      <c r="K100" s="22">
        <v>19</v>
      </c>
      <c r="L100" s="24">
        <v>0.10526315789473684</v>
      </c>
      <c r="M100" s="22">
        <v>4</v>
      </c>
      <c r="N100" s="23">
        <v>14</v>
      </c>
      <c r="O100" s="24">
        <v>0.2857142857142857</v>
      </c>
      <c r="P100" s="22">
        <v>6</v>
      </c>
      <c r="Q100" s="23">
        <v>13.5</v>
      </c>
      <c r="R100" s="24">
        <v>0.44444444444444442</v>
      </c>
      <c r="S100" s="21">
        <v>2</v>
      </c>
      <c r="T100" s="23">
        <v>19.5</v>
      </c>
      <c r="U100" s="24">
        <v>0.10256410256410256</v>
      </c>
      <c r="V100" s="21">
        <v>2</v>
      </c>
      <c r="W100" s="23">
        <v>20.5</v>
      </c>
      <c r="X100" s="24">
        <v>9.7560975609756101E-2</v>
      </c>
      <c r="Y100" s="25">
        <v>9</v>
      </c>
      <c r="Z100" s="25">
        <v>21</v>
      </c>
      <c r="AA100" s="24">
        <v>0.42857142857142855</v>
      </c>
      <c r="AB100" s="22">
        <v>1</v>
      </c>
      <c r="AC100" s="22">
        <v>18</v>
      </c>
      <c r="AD100" s="24">
        <f>Table13[[#This Row],[Gönüllü Çıkış Sayısı]]/Table13[[#This Row],[Ortalama Çalışan Sayısı]]</f>
        <v>0.10526315789473684</v>
      </c>
      <c r="AE100" s="26">
        <v>0</v>
      </c>
      <c r="AF100" s="25">
        <v>21</v>
      </c>
      <c r="AG100" s="24">
        <v>0</v>
      </c>
      <c r="AH100" s="26">
        <v>6</v>
      </c>
      <c r="AI100" s="25">
        <v>20.5</v>
      </c>
      <c r="AJ100" s="24">
        <v>0.29268292682926828</v>
      </c>
      <c r="AK100" s="26">
        <v>2</v>
      </c>
      <c r="AL100" s="25">
        <v>17.5</v>
      </c>
      <c r="AM100" s="24">
        <v>0.11428571428571428</v>
      </c>
      <c r="AN100" s="26">
        <v>1</v>
      </c>
      <c r="AO100" s="25">
        <v>17.5</v>
      </c>
      <c r="AP100" s="24">
        <v>5.7142857142857141E-2</v>
      </c>
      <c r="AQ100" s="26">
        <v>5</v>
      </c>
      <c r="AR100" s="25">
        <v>18</v>
      </c>
      <c r="AS100" s="24">
        <v>0.27777777777777779</v>
      </c>
    </row>
    <row r="101" spans="1:45" x14ac:dyDescent="0.35">
      <c r="A101" s="21" t="s">
        <v>167</v>
      </c>
      <c r="B101" s="22" t="s">
        <v>168</v>
      </c>
      <c r="C101" s="21" t="s">
        <v>770</v>
      </c>
      <c r="D101" s="22" t="s">
        <v>640</v>
      </c>
      <c r="E101" s="22" t="s">
        <v>623</v>
      </c>
      <c r="F101" s="22" t="s">
        <v>641</v>
      </c>
      <c r="G101" s="22" t="s">
        <v>641</v>
      </c>
      <c r="H101" s="22" t="s">
        <v>636</v>
      </c>
      <c r="I101" s="22" t="s">
        <v>754</v>
      </c>
      <c r="J101" s="22">
        <v>5</v>
      </c>
      <c r="K101" s="22">
        <v>18.5</v>
      </c>
      <c r="L101" s="24">
        <v>0.27027027027027029</v>
      </c>
      <c r="M101" s="22">
        <v>0</v>
      </c>
      <c r="N101" s="23">
        <v>15.5</v>
      </c>
      <c r="O101" s="24">
        <v>0</v>
      </c>
      <c r="P101" s="22">
        <v>2</v>
      </c>
      <c r="Q101" s="23">
        <v>18</v>
      </c>
      <c r="R101" s="24">
        <v>0.1111111111111111</v>
      </c>
      <c r="S101" s="21">
        <v>1</v>
      </c>
      <c r="T101" s="23">
        <v>22</v>
      </c>
      <c r="U101" s="24">
        <v>4.5454545454545456E-2</v>
      </c>
      <c r="V101" s="21">
        <v>0</v>
      </c>
      <c r="W101" s="23">
        <v>22</v>
      </c>
      <c r="X101" s="24">
        <v>0</v>
      </c>
      <c r="Y101" s="25">
        <v>7</v>
      </c>
      <c r="Z101" s="25">
        <v>19.5</v>
      </c>
      <c r="AA101" s="24">
        <v>0.35897435897435898</v>
      </c>
      <c r="AB101" s="22">
        <v>0</v>
      </c>
      <c r="AC101" s="22">
        <v>19</v>
      </c>
      <c r="AD101" s="24">
        <f>Table13[[#This Row],[Gönüllü Çıkış Sayısı]]/Table13[[#This Row],[Ortalama Çalışan Sayısı]]</f>
        <v>0.27027027027027029</v>
      </c>
      <c r="AE101" s="26">
        <v>1</v>
      </c>
      <c r="AF101" s="25">
        <v>18</v>
      </c>
      <c r="AG101" s="24">
        <v>5.5555555555555552E-2</v>
      </c>
      <c r="AH101" s="26">
        <v>2</v>
      </c>
      <c r="AI101" s="25">
        <v>17.5</v>
      </c>
      <c r="AJ101" s="24">
        <v>0.11428571428571428</v>
      </c>
      <c r="AK101" s="26">
        <v>2</v>
      </c>
      <c r="AL101" s="25">
        <v>21</v>
      </c>
      <c r="AM101" s="24">
        <v>9.5238095238095233E-2</v>
      </c>
      <c r="AN101" s="26">
        <v>0</v>
      </c>
      <c r="AO101" s="25">
        <v>20</v>
      </c>
      <c r="AP101" s="24">
        <v>0</v>
      </c>
      <c r="AQ101" s="26">
        <v>2</v>
      </c>
      <c r="AR101" s="25">
        <v>19.5</v>
      </c>
      <c r="AS101" s="24">
        <v>0.10256410256410256</v>
      </c>
    </row>
    <row r="102" spans="1:45" x14ac:dyDescent="0.35">
      <c r="A102" s="21" t="s">
        <v>169</v>
      </c>
      <c r="B102" s="22" t="s">
        <v>170</v>
      </c>
      <c r="C102" s="21" t="s">
        <v>771</v>
      </c>
      <c r="D102" s="22" t="s">
        <v>670</v>
      </c>
      <c r="E102" s="22" t="s">
        <v>657</v>
      </c>
      <c r="F102" s="22" t="s">
        <v>641</v>
      </c>
      <c r="G102" s="22" t="s">
        <v>641</v>
      </c>
      <c r="H102" s="22" t="s">
        <v>631</v>
      </c>
      <c r="I102" s="22" t="s">
        <v>772</v>
      </c>
      <c r="J102" s="22">
        <v>2</v>
      </c>
      <c r="K102" s="22">
        <v>27.5</v>
      </c>
      <c r="L102" s="24">
        <v>7.2727272727272724E-2</v>
      </c>
      <c r="M102" s="22">
        <v>2</v>
      </c>
      <c r="N102" s="23">
        <v>19.5</v>
      </c>
      <c r="O102" s="24">
        <v>0.10256410256410256</v>
      </c>
      <c r="P102" s="22">
        <v>1</v>
      </c>
      <c r="Q102" s="23">
        <v>19</v>
      </c>
      <c r="R102" s="24">
        <v>5.2631578947368418E-2</v>
      </c>
      <c r="S102" s="21">
        <v>1</v>
      </c>
      <c r="T102" s="23">
        <v>26.5</v>
      </c>
      <c r="U102" s="24">
        <v>3.7735849056603772E-2</v>
      </c>
      <c r="V102" s="21">
        <v>2</v>
      </c>
      <c r="W102" s="23">
        <v>26</v>
      </c>
      <c r="X102" s="24">
        <v>7.6923076923076927E-2</v>
      </c>
      <c r="Y102" s="25">
        <v>7</v>
      </c>
      <c r="Z102" s="25">
        <v>27</v>
      </c>
      <c r="AA102" s="24">
        <v>0.25925925925925924</v>
      </c>
      <c r="AB102" s="22">
        <v>1</v>
      </c>
      <c r="AC102" s="22">
        <v>31.5</v>
      </c>
      <c r="AD102" s="24">
        <f>Table13[[#This Row],[Gönüllü Çıkış Sayısı]]/Table13[[#This Row],[Ortalama Çalışan Sayısı]]</f>
        <v>7.2727272727272724E-2</v>
      </c>
      <c r="AE102" s="26">
        <v>0</v>
      </c>
      <c r="AF102" s="25">
        <v>18</v>
      </c>
      <c r="AG102" s="24">
        <v>0</v>
      </c>
      <c r="AH102" s="26">
        <v>1</v>
      </c>
      <c r="AI102" s="25">
        <v>18</v>
      </c>
      <c r="AJ102" s="24">
        <v>5.5555555555555552E-2</v>
      </c>
      <c r="AK102" s="26">
        <v>1</v>
      </c>
      <c r="AL102" s="25">
        <v>30.5</v>
      </c>
      <c r="AM102" s="24">
        <v>3.2786885245901641E-2</v>
      </c>
      <c r="AN102" s="26">
        <v>0</v>
      </c>
      <c r="AO102" s="25">
        <v>30</v>
      </c>
      <c r="AP102" s="24">
        <v>0</v>
      </c>
      <c r="AQ102" s="26">
        <v>4</v>
      </c>
      <c r="AR102" s="25">
        <v>30.5</v>
      </c>
      <c r="AS102" s="24">
        <v>0.13114754098360656</v>
      </c>
    </row>
    <row r="103" spans="1:45" x14ac:dyDescent="0.35">
      <c r="A103" s="21" t="s">
        <v>171</v>
      </c>
      <c r="B103" s="22" t="s">
        <v>172</v>
      </c>
      <c r="C103" s="21" t="s">
        <v>773</v>
      </c>
      <c r="D103" s="22" t="s">
        <v>661</v>
      </c>
      <c r="E103" s="22" t="s">
        <v>657</v>
      </c>
      <c r="F103" s="22" t="s">
        <v>662</v>
      </c>
      <c r="G103" s="22" t="s">
        <v>662</v>
      </c>
      <c r="H103" s="22" t="s">
        <v>654</v>
      </c>
      <c r="I103" s="22" t="s">
        <v>632</v>
      </c>
      <c r="J103" s="22">
        <v>2</v>
      </c>
      <c r="K103" s="22">
        <v>17.5</v>
      </c>
      <c r="L103" s="24">
        <v>0.11428571428571428</v>
      </c>
      <c r="M103" s="22">
        <v>1</v>
      </c>
      <c r="N103" s="23">
        <v>20</v>
      </c>
      <c r="O103" s="24">
        <v>0.05</v>
      </c>
      <c r="P103" s="22">
        <v>0</v>
      </c>
      <c r="Q103" s="23">
        <v>20.5</v>
      </c>
      <c r="R103" s="24">
        <v>0</v>
      </c>
      <c r="S103" s="21">
        <v>1</v>
      </c>
      <c r="T103" s="23">
        <v>18</v>
      </c>
      <c r="U103" s="24">
        <v>5.5555555555555552E-2</v>
      </c>
      <c r="V103" s="21">
        <v>0</v>
      </c>
      <c r="W103" s="23">
        <v>21</v>
      </c>
      <c r="X103" s="24">
        <v>0</v>
      </c>
      <c r="Y103" s="25">
        <v>4</v>
      </c>
      <c r="Z103" s="25">
        <v>21</v>
      </c>
      <c r="AA103" s="24">
        <v>0.19047619047619047</v>
      </c>
      <c r="AB103" s="22">
        <v>1</v>
      </c>
      <c r="AC103" s="22">
        <v>19</v>
      </c>
      <c r="AD103" s="24">
        <f>Table13[[#This Row],[Gönüllü Çıkış Sayısı]]/Table13[[#This Row],[Ortalama Çalışan Sayısı]]</f>
        <v>0.11428571428571428</v>
      </c>
      <c r="AE103" s="26">
        <v>0</v>
      </c>
      <c r="AF103" s="25">
        <v>19</v>
      </c>
      <c r="AG103" s="24">
        <v>0</v>
      </c>
      <c r="AH103" s="26">
        <v>0</v>
      </c>
      <c r="AI103" s="25">
        <v>21</v>
      </c>
      <c r="AJ103" s="24">
        <v>0</v>
      </c>
      <c r="AK103" s="26">
        <v>2</v>
      </c>
      <c r="AL103" s="25">
        <v>16</v>
      </c>
      <c r="AM103" s="24">
        <v>0.125</v>
      </c>
      <c r="AN103" s="26">
        <v>1</v>
      </c>
      <c r="AO103" s="25">
        <v>16</v>
      </c>
      <c r="AP103" s="24">
        <v>6.25E-2</v>
      </c>
      <c r="AQ103" s="26">
        <v>9</v>
      </c>
      <c r="AR103" s="25">
        <v>18.5</v>
      </c>
      <c r="AS103" s="24">
        <v>0.48648648648648651</v>
      </c>
    </row>
    <row r="104" spans="1:45" x14ac:dyDescent="0.35">
      <c r="A104" s="21" t="s">
        <v>173</v>
      </c>
      <c r="B104" s="22" t="s">
        <v>174</v>
      </c>
      <c r="C104" s="21" t="s">
        <v>774</v>
      </c>
      <c r="D104" s="22" t="s">
        <v>656</v>
      </c>
      <c r="E104" s="22" t="s">
        <v>657</v>
      </c>
      <c r="F104" s="22" t="s">
        <v>658</v>
      </c>
      <c r="G104" s="22" t="s">
        <v>1570</v>
      </c>
      <c r="H104" s="22" t="s">
        <v>668</v>
      </c>
      <c r="I104" s="22" t="s">
        <v>632</v>
      </c>
      <c r="J104" s="22">
        <v>0</v>
      </c>
      <c r="K104" s="22">
        <v>16.5</v>
      </c>
      <c r="L104" s="24">
        <v>0</v>
      </c>
      <c r="M104" s="22">
        <v>2</v>
      </c>
      <c r="N104" s="23">
        <v>26.5</v>
      </c>
      <c r="O104" s="24">
        <v>7.5471698113207544E-2</v>
      </c>
      <c r="P104" s="22">
        <v>0</v>
      </c>
      <c r="Q104" s="23">
        <v>26.5</v>
      </c>
      <c r="R104" s="24">
        <v>0</v>
      </c>
      <c r="S104" s="21">
        <v>1</v>
      </c>
      <c r="T104" s="23">
        <v>17</v>
      </c>
      <c r="U104" s="24">
        <v>5.8823529411764705E-2</v>
      </c>
      <c r="V104" s="21">
        <v>1</v>
      </c>
      <c r="W104" s="23">
        <v>19.5</v>
      </c>
      <c r="X104" s="24">
        <v>5.128205128205128E-2</v>
      </c>
      <c r="Y104" s="25">
        <v>4</v>
      </c>
      <c r="Z104" s="25">
        <v>19</v>
      </c>
      <c r="AA104" s="24">
        <v>0.21052631578947367</v>
      </c>
      <c r="AB104" s="22">
        <v>0</v>
      </c>
      <c r="AC104" s="22">
        <v>19</v>
      </c>
      <c r="AD104" s="24">
        <f>Table13[[#This Row],[Gönüllü Çıkış Sayısı]]/Table13[[#This Row],[Ortalama Çalışan Sayısı]]</f>
        <v>0</v>
      </c>
      <c r="AE104" s="26">
        <v>1</v>
      </c>
      <c r="AF104" s="25">
        <v>30.5</v>
      </c>
      <c r="AG104" s="24">
        <v>3.2786885245901641E-2</v>
      </c>
      <c r="AH104" s="26">
        <v>1</v>
      </c>
      <c r="AI104" s="25">
        <v>31</v>
      </c>
      <c r="AJ104" s="24">
        <v>3.2258064516129031E-2</v>
      </c>
      <c r="AK104" s="26">
        <v>2</v>
      </c>
      <c r="AL104" s="25">
        <v>18</v>
      </c>
      <c r="AM104" s="24">
        <v>0.1111111111111111</v>
      </c>
      <c r="AN104" s="26">
        <v>0</v>
      </c>
      <c r="AO104" s="25">
        <v>18.5</v>
      </c>
      <c r="AP104" s="24">
        <v>0</v>
      </c>
      <c r="AQ104" s="26">
        <v>3</v>
      </c>
      <c r="AR104" s="25">
        <v>19</v>
      </c>
      <c r="AS104" s="24">
        <v>0.15789473684210525</v>
      </c>
    </row>
    <row r="105" spans="1:45" x14ac:dyDescent="0.35">
      <c r="A105" s="21" t="s">
        <v>175</v>
      </c>
      <c r="B105" s="22" t="s">
        <v>176</v>
      </c>
      <c r="C105" s="21" t="s">
        <v>177</v>
      </c>
      <c r="D105" s="22" t="s">
        <v>707</v>
      </c>
      <c r="E105" s="22" t="s">
        <v>629</v>
      </c>
      <c r="F105" s="22" t="s">
        <v>635</v>
      </c>
      <c r="G105" s="22" t="s">
        <v>635</v>
      </c>
      <c r="H105" s="22" t="s">
        <v>668</v>
      </c>
      <c r="I105" s="22" t="s">
        <v>710</v>
      </c>
      <c r="J105" s="22">
        <v>0</v>
      </c>
      <c r="K105" s="22">
        <v>12</v>
      </c>
      <c r="L105" s="24">
        <v>0</v>
      </c>
      <c r="M105" s="22">
        <v>1</v>
      </c>
      <c r="N105" s="23">
        <v>16.5</v>
      </c>
      <c r="O105" s="24">
        <v>6.0606060606060608E-2</v>
      </c>
      <c r="P105" s="22">
        <v>0</v>
      </c>
      <c r="Q105" s="23">
        <v>17</v>
      </c>
      <c r="R105" s="24">
        <v>0</v>
      </c>
      <c r="S105" s="21">
        <v>0</v>
      </c>
      <c r="T105" s="23">
        <v>12</v>
      </c>
      <c r="U105" s="24">
        <v>0</v>
      </c>
      <c r="V105" s="21">
        <v>1</v>
      </c>
      <c r="W105" s="23">
        <v>13.5</v>
      </c>
      <c r="X105" s="24">
        <v>7.407407407407407E-2</v>
      </c>
      <c r="Y105" s="25">
        <v>4</v>
      </c>
      <c r="Z105" s="25">
        <v>13</v>
      </c>
      <c r="AA105" s="24">
        <v>0.30769230769230771</v>
      </c>
      <c r="AB105" s="22">
        <v>0</v>
      </c>
      <c r="AC105" s="22">
        <v>13</v>
      </c>
      <c r="AD105" s="24">
        <f>Table13[[#This Row],[Gönüllü Çıkış Sayısı]]/Table13[[#This Row],[Ortalama Çalışan Sayısı]]</f>
        <v>0</v>
      </c>
      <c r="AE105" s="26">
        <v>2</v>
      </c>
      <c r="AF105" s="25">
        <v>18</v>
      </c>
      <c r="AG105" s="24">
        <v>0.1111111111111111</v>
      </c>
      <c r="AH105" s="26">
        <v>3</v>
      </c>
      <c r="AI105" s="25">
        <v>19</v>
      </c>
      <c r="AJ105" s="24">
        <v>0.15789473684210525</v>
      </c>
      <c r="AK105" s="26">
        <v>0</v>
      </c>
      <c r="AL105" s="25">
        <v>11</v>
      </c>
      <c r="AM105" s="24">
        <v>0</v>
      </c>
      <c r="AN105" s="26">
        <v>0</v>
      </c>
      <c r="AO105" s="25">
        <v>11</v>
      </c>
      <c r="AP105" s="24">
        <v>0</v>
      </c>
      <c r="AQ105" s="26">
        <v>0</v>
      </c>
      <c r="AR105" s="25">
        <v>12</v>
      </c>
      <c r="AS105" s="24">
        <v>0</v>
      </c>
    </row>
    <row r="106" spans="1:45" x14ac:dyDescent="0.35">
      <c r="A106" s="21" t="s">
        <v>178</v>
      </c>
      <c r="B106" s="22" t="s">
        <v>179</v>
      </c>
      <c r="C106" s="21" t="s">
        <v>180</v>
      </c>
      <c r="D106" s="22" t="s">
        <v>684</v>
      </c>
      <c r="E106" s="22" t="s">
        <v>623</v>
      </c>
      <c r="F106" s="22" t="s">
        <v>662</v>
      </c>
      <c r="G106" s="22" t="s">
        <v>662</v>
      </c>
      <c r="H106" s="22" t="s">
        <v>636</v>
      </c>
      <c r="I106" s="22" t="s">
        <v>775</v>
      </c>
      <c r="J106" s="22">
        <v>0</v>
      </c>
      <c r="K106" s="22">
        <v>18</v>
      </c>
      <c r="L106" s="24">
        <v>0</v>
      </c>
      <c r="M106" s="22">
        <v>2</v>
      </c>
      <c r="N106" s="23">
        <v>16.5</v>
      </c>
      <c r="O106" s="24">
        <v>0.12121212121212122</v>
      </c>
      <c r="P106" s="22">
        <v>0</v>
      </c>
      <c r="Q106" s="23">
        <v>16.5</v>
      </c>
      <c r="R106" s="24">
        <v>0</v>
      </c>
      <c r="S106" s="21">
        <v>0</v>
      </c>
      <c r="T106" s="23">
        <v>18</v>
      </c>
      <c r="U106" s="24">
        <v>0</v>
      </c>
      <c r="V106" s="21">
        <v>0</v>
      </c>
      <c r="W106" s="23">
        <v>17.5</v>
      </c>
      <c r="X106" s="24">
        <v>0</v>
      </c>
      <c r="Y106" s="25">
        <v>0</v>
      </c>
      <c r="Z106" s="25">
        <v>18</v>
      </c>
      <c r="AA106" s="24">
        <v>0</v>
      </c>
      <c r="AB106" s="22">
        <v>0</v>
      </c>
      <c r="AC106" s="22">
        <v>19</v>
      </c>
      <c r="AD106" s="24">
        <f>Table13[[#This Row],[Gönüllü Çıkış Sayısı]]/Table13[[#This Row],[Ortalama Çalışan Sayısı]]</f>
        <v>0</v>
      </c>
      <c r="AE106" s="26">
        <v>0</v>
      </c>
      <c r="AF106" s="25">
        <v>19</v>
      </c>
      <c r="AG106" s="24">
        <v>0</v>
      </c>
      <c r="AH106" s="26">
        <v>1</v>
      </c>
      <c r="AI106" s="25">
        <v>18.5</v>
      </c>
      <c r="AJ106" s="24">
        <v>5.4054054054054057E-2</v>
      </c>
      <c r="AK106" s="26">
        <v>0</v>
      </c>
      <c r="AL106" s="25">
        <v>18</v>
      </c>
      <c r="AM106" s="24">
        <v>0</v>
      </c>
      <c r="AN106" s="26">
        <v>0</v>
      </c>
      <c r="AO106" s="25">
        <v>18</v>
      </c>
      <c r="AP106" s="24">
        <v>0</v>
      </c>
      <c r="AQ106" s="26">
        <v>2</v>
      </c>
      <c r="AR106" s="25">
        <v>18.5</v>
      </c>
      <c r="AS106" s="24">
        <v>0.10810810810810811</v>
      </c>
    </row>
    <row r="107" spans="1:45" x14ac:dyDescent="0.35">
      <c r="A107" s="21" t="s">
        <v>181</v>
      </c>
      <c r="B107" s="22" t="s">
        <v>182</v>
      </c>
      <c r="C107" s="21" t="s">
        <v>776</v>
      </c>
      <c r="D107" s="22" t="s">
        <v>678</v>
      </c>
      <c r="E107" s="22" t="s">
        <v>623</v>
      </c>
      <c r="F107" s="22" t="s">
        <v>624</v>
      </c>
      <c r="G107" s="22" t="s">
        <v>624</v>
      </c>
      <c r="H107" s="22" t="s">
        <v>625</v>
      </c>
      <c r="I107" s="22" t="s">
        <v>679</v>
      </c>
      <c r="J107" s="22">
        <v>1</v>
      </c>
      <c r="K107" s="22">
        <v>36.5</v>
      </c>
      <c r="L107" s="24">
        <v>2.7397260273972601E-2</v>
      </c>
      <c r="M107" s="22">
        <v>1</v>
      </c>
      <c r="N107" s="23">
        <v>12</v>
      </c>
      <c r="O107" s="24">
        <v>8.3333333333333329E-2</v>
      </c>
      <c r="P107" s="22">
        <v>2</v>
      </c>
      <c r="Q107" s="23">
        <v>11</v>
      </c>
      <c r="R107" s="24">
        <v>0.18181818181818182</v>
      </c>
      <c r="S107" s="21">
        <v>4</v>
      </c>
      <c r="T107" s="23">
        <v>37.5</v>
      </c>
      <c r="U107" s="24">
        <v>0.10666666666666667</v>
      </c>
      <c r="V107" s="21">
        <v>3</v>
      </c>
      <c r="W107" s="23">
        <v>39</v>
      </c>
      <c r="X107" s="24">
        <v>7.6923076923076927E-2</v>
      </c>
      <c r="Y107" s="25">
        <v>12</v>
      </c>
      <c r="Z107" s="25">
        <v>39.5</v>
      </c>
      <c r="AA107" s="24">
        <v>0.30379746835443039</v>
      </c>
      <c r="AB107" s="22">
        <v>5</v>
      </c>
      <c r="AC107" s="22">
        <v>48.5</v>
      </c>
      <c r="AD107" s="24">
        <f>Table13[[#This Row],[Gönüllü Çıkış Sayısı]]/Table13[[#This Row],[Ortalama Çalışan Sayısı]]</f>
        <v>2.7397260273972601E-2</v>
      </c>
      <c r="AE107" s="26">
        <v>0</v>
      </c>
      <c r="AF107" s="25">
        <v>13.5</v>
      </c>
      <c r="AG107" s="24">
        <v>0</v>
      </c>
      <c r="AH107" s="26">
        <v>0</v>
      </c>
      <c r="AI107" s="25">
        <v>12.5</v>
      </c>
      <c r="AJ107" s="24">
        <v>0</v>
      </c>
      <c r="AK107" s="26">
        <v>5</v>
      </c>
      <c r="AL107" s="25">
        <v>41</v>
      </c>
      <c r="AM107" s="24">
        <v>0.12195121951219512</v>
      </c>
      <c r="AN107" s="26">
        <v>6</v>
      </c>
      <c r="AO107" s="25">
        <v>41</v>
      </c>
      <c r="AP107" s="24">
        <v>0.14634146341463414</v>
      </c>
      <c r="AQ107" s="26">
        <v>32</v>
      </c>
      <c r="AR107" s="25">
        <v>45</v>
      </c>
      <c r="AS107" s="24">
        <v>0.71111111111111114</v>
      </c>
    </row>
    <row r="108" spans="1:45" x14ac:dyDescent="0.35">
      <c r="A108" s="21" t="s">
        <v>183</v>
      </c>
      <c r="B108" s="22" t="s">
        <v>184</v>
      </c>
      <c r="C108" s="21" t="s">
        <v>185</v>
      </c>
      <c r="D108" s="22" t="s">
        <v>648</v>
      </c>
      <c r="E108" s="22" t="s">
        <v>623</v>
      </c>
      <c r="F108" s="22" t="s">
        <v>624</v>
      </c>
      <c r="G108" s="22" t="s">
        <v>624</v>
      </c>
      <c r="H108" s="22" t="s">
        <v>654</v>
      </c>
      <c r="I108" s="22" t="s">
        <v>725</v>
      </c>
      <c r="J108" s="22">
        <v>2</v>
      </c>
      <c r="K108" s="22">
        <v>14.5</v>
      </c>
      <c r="L108" s="24">
        <v>0.13793103448275862</v>
      </c>
      <c r="M108" s="22">
        <v>0</v>
      </c>
      <c r="N108" s="23">
        <v>18</v>
      </c>
      <c r="O108" s="24">
        <v>0</v>
      </c>
      <c r="P108" s="22">
        <v>0</v>
      </c>
      <c r="Q108" s="23">
        <v>18</v>
      </c>
      <c r="R108" s="24">
        <v>0</v>
      </c>
      <c r="S108" s="21">
        <v>0</v>
      </c>
      <c r="T108" s="23">
        <v>14.5</v>
      </c>
      <c r="U108" s="24">
        <v>0</v>
      </c>
      <c r="V108" s="21">
        <v>1</v>
      </c>
      <c r="W108" s="23">
        <v>15.5</v>
      </c>
      <c r="X108" s="24">
        <v>6.4516129032258063E-2</v>
      </c>
      <c r="Y108" s="25">
        <v>10</v>
      </c>
      <c r="Z108" s="25">
        <v>14.5</v>
      </c>
      <c r="AA108" s="24">
        <v>0.68965517241379315</v>
      </c>
      <c r="AB108" s="22">
        <v>3</v>
      </c>
      <c r="AC108" s="22">
        <v>13</v>
      </c>
      <c r="AD108" s="24">
        <f>Table13[[#This Row],[Gönüllü Çıkış Sayısı]]/Table13[[#This Row],[Ortalama Çalışan Sayısı]]</f>
        <v>0.13793103448275862</v>
      </c>
      <c r="AE108" s="26">
        <v>1</v>
      </c>
      <c r="AF108" s="25">
        <v>17.5</v>
      </c>
      <c r="AG108" s="24">
        <v>5.7142857142857141E-2</v>
      </c>
      <c r="AH108" s="26">
        <v>1</v>
      </c>
      <c r="AI108" s="25">
        <v>17.5</v>
      </c>
      <c r="AJ108" s="24">
        <v>5.7142857142857141E-2</v>
      </c>
      <c r="AK108" s="26">
        <v>1</v>
      </c>
      <c r="AL108" s="25">
        <v>13.5</v>
      </c>
      <c r="AM108" s="24">
        <v>7.407407407407407E-2</v>
      </c>
      <c r="AN108" s="26">
        <v>2</v>
      </c>
      <c r="AO108" s="25">
        <v>14</v>
      </c>
      <c r="AP108" s="24">
        <v>0.14285714285714285</v>
      </c>
      <c r="AQ108" s="26">
        <v>10</v>
      </c>
      <c r="AR108" s="25">
        <v>14</v>
      </c>
      <c r="AS108" s="24">
        <v>0.7142857142857143</v>
      </c>
    </row>
    <row r="109" spans="1:45" x14ac:dyDescent="0.35">
      <c r="A109" s="21" t="s">
        <v>186</v>
      </c>
      <c r="B109" s="22" t="s">
        <v>187</v>
      </c>
      <c r="C109" s="21" t="s">
        <v>188</v>
      </c>
      <c r="D109" s="22" t="s">
        <v>648</v>
      </c>
      <c r="E109" s="22" t="s">
        <v>623</v>
      </c>
      <c r="F109" s="22" t="s">
        <v>624</v>
      </c>
      <c r="G109" s="22" t="s">
        <v>624</v>
      </c>
      <c r="H109" s="22" t="s">
        <v>642</v>
      </c>
      <c r="I109" s="22" t="s">
        <v>649</v>
      </c>
      <c r="J109" s="22">
        <v>2</v>
      </c>
      <c r="K109" s="22">
        <v>14</v>
      </c>
      <c r="L109" s="24">
        <v>0.14285714285714285</v>
      </c>
      <c r="M109" s="22">
        <v>1</v>
      </c>
      <c r="N109" s="23">
        <v>37</v>
      </c>
      <c r="O109" s="24">
        <v>2.7027027027027029E-2</v>
      </c>
      <c r="P109" s="22">
        <v>3</v>
      </c>
      <c r="Q109" s="23">
        <v>38.5</v>
      </c>
      <c r="R109" s="24">
        <v>7.792207792207792E-2</v>
      </c>
      <c r="S109" s="21">
        <v>3</v>
      </c>
      <c r="T109" s="23">
        <v>14.5</v>
      </c>
      <c r="U109" s="24">
        <v>0.20689655172413793</v>
      </c>
      <c r="V109" s="21">
        <v>1</v>
      </c>
      <c r="W109" s="23">
        <v>14</v>
      </c>
      <c r="X109" s="24">
        <v>7.1428571428571425E-2</v>
      </c>
      <c r="Y109" s="25">
        <v>12</v>
      </c>
      <c r="Z109" s="25">
        <v>14.5</v>
      </c>
      <c r="AA109" s="24">
        <v>0.82758620689655171</v>
      </c>
      <c r="AB109" s="22">
        <v>2</v>
      </c>
      <c r="AC109" s="22">
        <v>15</v>
      </c>
      <c r="AD109" s="24">
        <f>Table13[[#This Row],[Gönüllü Çıkış Sayısı]]/Table13[[#This Row],[Ortalama Çalışan Sayısı]]</f>
        <v>0.14285714285714285</v>
      </c>
      <c r="AE109" s="26">
        <v>8</v>
      </c>
      <c r="AF109" s="25">
        <v>49</v>
      </c>
      <c r="AG109" s="24">
        <v>0.16326530612244897</v>
      </c>
      <c r="AH109" s="26">
        <v>8</v>
      </c>
      <c r="AI109" s="25">
        <v>44.5</v>
      </c>
      <c r="AJ109" s="24">
        <v>0.1797752808988764</v>
      </c>
      <c r="AK109" s="26">
        <v>2</v>
      </c>
      <c r="AL109" s="25">
        <v>13</v>
      </c>
      <c r="AM109" s="24">
        <v>0.15384615384615385</v>
      </c>
      <c r="AN109" s="26">
        <v>5</v>
      </c>
      <c r="AO109" s="25">
        <v>10.5</v>
      </c>
      <c r="AP109" s="24">
        <v>0.47619047619047616</v>
      </c>
      <c r="AQ109" s="26">
        <v>13</v>
      </c>
      <c r="AR109" s="25">
        <v>12</v>
      </c>
      <c r="AS109" s="24">
        <v>1.0833333333333333</v>
      </c>
    </row>
    <row r="110" spans="1:45" x14ac:dyDescent="0.35">
      <c r="A110" s="21" t="s">
        <v>189</v>
      </c>
      <c r="B110" s="22" t="s">
        <v>190</v>
      </c>
      <c r="C110" s="21" t="s">
        <v>777</v>
      </c>
      <c r="D110" s="22" t="s">
        <v>640</v>
      </c>
      <c r="E110" s="22" t="s">
        <v>623</v>
      </c>
      <c r="F110" s="22" t="s">
        <v>641</v>
      </c>
      <c r="G110" s="22" t="s">
        <v>641</v>
      </c>
      <c r="H110" s="22" t="s">
        <v>654</v>
      </c>
      <c r="I110" s="22" t="s">
        <v>754</v>
      </c>
      <c r="J110" s="22">
        <v>4</v>
      </c>
      <c r="K110" s="22">
        <v>13.5</v>
      </c>
      <c r="L110" s="24">
        <v>0.29629629629629628</v>
      </c>
      <c r="M110" s="22">
        <v>5</v>
      </c>
      <c r="N110" s="23">
        <v>16</v>
      </c>
      <c r="O110" s="24">
        <v>0.3125</v>
      </c>
      <c r="P110" s="22">
        <v>2</v>
      </c>
      <c r="Q110" s="23">
        <v>15</v>
      </c>
      <c r="R110" s="24">
        <v>0.13333333333333333</v>
      </c>
      <c r="S110" s="21">
        <v>2</v>
      </c>
      <c r="T110" s="23">
        <v>14</v>
      </c>
      <c r="U110" s="24">
        <v>0.14285714285714285</v>
      </c>
      <c r="V110" s="21">
        <v>1</v>
      </c>
      <c r="W110" s="23">
        <v>13.5</v>
      </c>
      <c r="X110" s="24">
        <v>7.407407407407407E-2</v>
      </c>
      <c r="Y110" s="25">
        <v>10</v>
      </c>
      <c r="Z110" s="25">
        <v>14.5</v>
      </c>
      <c r="AA110" s="24">
        <v>0.68965517241379315</v>
      </c>
      <c r="AB110" s="22">
        <v>1</v>
      </c>
      <c r="AC110" s="22">
        <v>14.5</v>
      </c>
      <c r="AD110" s="24">
        <f>Table13[[#This Row],[Gönüllü Çıkış Sayısı]]/Table13[[#This Row],[Ortalama Çalışan Sayısı]]</f>
        <v>0.29629629629629628</v>
      </c>
      <c r="AE110" s="26">
        <v>3</v>
      </c>
      <c r="AF110" s="25">
        <v>12.5</v>
      </c>
      <c r="AG110" s="24">
        <v>0.24</v>
      </c>
      <c r="AH110" s="26">
        <v>1</v>
      </c>
      <c r="AI110" s="25">
        <v>14.5</v>
      </c>
      <c r="AJ110" s="24">
        <v>6.8965517241379309E-2</v>
      </c>
      <c r="AK110" s="26">
        <v>1</v>
      </c>
      <c r="AL110" s="25">
        <v>15.5</v>
      </c>
      <c r="AM110" s="24">
        <v>6.4516129032258063E-2</v>
      </c>
      <c r="AN110" s="26">
        <v>0</v>
      </c>
      <c r="AO110" s="25">
        <v>15</v>
      </c>
      <c r="AP110" s="24">
        <v>0</v>
      </c>
      <c r="AQ110" s="26">
        <v>2</v>
      </c>
      <c r="AR110" s="25">
        <v>15</v>
      </c>
      <c r="AS110" s="24">
        <v>0.13333333333333333</v>
      </c>
    </row>
    <row r="111" spans="1:45" x14ac:dyDescent="0.35">
      <c r="A111" s="21" t="s">
        <v>191</v>
      </c>
      <c r="B111" s="22" t="s">
        <v>192</v>
      </c>
      <c r="C111" s="21" t="s">
        <v>778</v>
      </c>
      <c r="D111" s="22" t="s">
        <v>673</v>
      </c>
      <c r="E111" s="22" t="s">
        <v>623</v>
      </c>
      <c r="F111" s="22" t="s">
        <v>641</v>
      </c>
      <c r="G111" s="22" t="s">
        <v>641</v>
      </c>
      <c r="H111" s="22" t="s">
        <v>654</v>
      </c>
      <c r="I111" s="22" t="s">
        <v>779</v>
      </c>
      <c r="J111" s="22">
        <v>3</v>
      </c>
      <c r="K111" s="22">
        <v>15</v>
      </c>
      <c r="L111" s="24">
        <v>0.2</v>
      </c>
      <c r="M111" s="22">
        <v>4</v>
      </c>
      <c r="N111" s="23">
        <v>16</v>
      </c>
      <c r="O111" s="24">
        <v>0.25</v>
      </c>
      <c r="P111" s="22">
        <v>2</v>
      </c>
      <c r="Q111" s="23">
        <v>14.5</v>
      </c>
      <c r="R111" s="24">
        <v>0.13793103448275862</v>
      </c>
      <c r="S111" s="21">
        <v>1</v>
      </c>
      <c r="T111" s="23">
        <v>16</v>
      </c>
      <c r="U111" s="24">
        <v>6.25E-2</v>
      </c>
      <c r="V111" s="21">
        <v>0</v>
      </c>
      <c r="W111" s="23">
        <v>16</v>
      </c>
      <c r="X111" s="24">
        <v>0</v>
      </c>
      <c r="Y111" s="25">
        <v>5</v>
      </c>
      <c r="Z111" s="25">
        <v>16</v>
      </c>
      <c r="AA111" s="24">
        <v>0.3125</v>
      </c>
      <c r="AB111" s="22">
        <v>0</v>
      </c>
      <c r="AC111" s="22">
        <v>15.5</v>
      </c>
      <c r="AD111" s="24">
        <f>Table13[[#This Row],[Gönüllü Çıkış Sayısı]]/Table13[[#This Row],[Ortalama Çalışan Sayısı]]</f>
        <v>0.2</v>
      </c>
      <c r="AE111" s="26">
        <v>1</v>
      </c>
      <c r="AF111" s="25">
        <v>13.5</v>
      </c>
      <c r="AG111" s="24">
        <v>7.407407407407407E-2</v>
      </c>
      <c r="AH111" s="26">
        <v>3</v>
      </c>
      <c r="AI111" s="25">
        <v>13.5</v>
      </c>
      <c r="AJ111" s="24">
        <v>0.22222222222222221</v>
      </c>
      <c r="AK111" s="26">
        <v>0</v>
      </c>
      <c r="AL111" s="25">
        <v>15.5</v>
      </c>
      <c r="AM111" s="24">
        <v>0</v>
      </c>
      <c r="AN111" s="26">
        <v>3</v>
      </c>
      <c r="AO111" s="25">
        <v>14</v>
      </c>
      <c r="AP111" s="24">
        <v>0.21428571428571427</v>
      </c>
      <c r="AQ111" s="26">
        <v>3</v>
      </c>
      <c r="AR111" s="25">
        <v>14</v>
      </c>
      <c r="AS111" s="24">
        <v>0.21428571428571427</v>
      </c>
    </row>
    <row r="112" spans="1:45" x14ac:dyDescent="0.35">
      <c r="A112" s="21" t="s">
        <v>193</v>
      </c>
      <c r="B112" s="22" t="s">
        <v>194</v>
      </c>
      <c r="C112" s="21" t="s">
        <v>780</v>
      </c>
      <c r="D112" s="22" t="s">
        <v>670</v>
      </c>
      <c r="E112" s="22" t="s">
        <v>657</v>
      </c>
      <c r="F112" s="22" t="s">
        <v>641</v>
      </c>
      <c r="G112" s="22" t="s">
        <v>641</v>
      </c>
      <c r="H112" s="22" t="s">
        <v>654</v>
      </c>
      <c r="I112" s="22" t="s">
        <v>676</v>
      </c>
      <c r="J112" s="22">
        <v>1</v>
      </c>
      <c r="K112" s="22">
        <v>12</v>
      </c>
      <c r="L112" s="24">
        <v>8.3333333333333329E-2</v>
      </c>
      <c r="M112" s="22">
        <v>2</v>
      </c>
      <c r="N112" s="23">
        <v>14</v>
      </c>
      <c r="O112" s="24">
        <v>0.14285714285714285</v>
      </c>
      <c r="P112" s="22">
        <v>1</v>
      </c>
      <c r="Q112" s="23">
        <v>13.5</v>
      </c>
      <c r="R112" s="24">
        <v>7.407407407407407E-2</v>
      </c>
      <c r="S112" s="21">
        <v>0</v>
      </c>
      <c r="T112" s="23">
        <v>15.5</v>
      </c>
      <c r="U112" s="24">
        <v>0</v>
      </c>
      <c r="V112" s="21">
        <v>0</v>
      </c>
      <c r="W112" s="23">
        <v>18</v>
      </c>
      <c r="X112" s="24">
        <v>0</v>
      </c>
      <c r="Y112" s="25">
        <v>2</v>
      </c>
      <c r="Z112" s="25">
        <v>15.5</v>
      </c>
      <c r="AA112" s="24">
        <v>0.12903225806451613</v>
      </c>
      <c r="AB112" s="22">
        <v>1</v>
      </c>
      <c r="AC112" s="22">
        <v>12</v>
      </c>
      <c r="AD112" s="24">
        <f>Table13[[#This Row],[Gönüllü Çıkış Sayısı]]/Table13[[#This Row],[Ortalama Çalışan Sayısı]]</f>
        <v>8.3333333333333329E-2</v>
      </c>
      <c r="AE112" s="26">
        <v>0</v>
      </c>
      <c r="AF112" s="25">
        <v>15</v>
      </c>
      <c r="AG112" s="24">
        <v>0</v>
      </c>
      <c r="AH112" s="26">
        <v>0</v>
      </c>
      <c r="AI112" s="25">
        <v>16</v>
      </c>
      <c r="AJ112" s="24">
        <v>0</v>
      </c>
      <c r="AK112" s="26">
        <v>0</v>
      </c>
      <c r="AL112" s="25">
        <v>14</v>
      </c>
      <c r="AM112" s="24">
        <v>0</v>
      </c>
      <c r="AN112" s="26">
        <v>2</v>
      </c>
      <c r="AO112" s="25">
        <v>14</v>
      </c>
      <c r="AP112" s="24">
        <v>0.14285714285714285</v>
      </c>
      <c r="AQ112" s="26">
        <v>3</v>
      </c>
      <c r="AR112" s="25">
        <v>13.5</v>
      </c>
      <c r="AS112" s="24">
        <v>0.22222222222222221</v>
      </c>
    </row>
    <row r="113" spans="1:45" x14ac:dyDescent="0.35">
      <c r="A113" s="21" t="s">
        <v>195</v>
      </c>
      <c r="B113" s="22" t="s">
        <v>196</v>
      </c>
      <c r="C113" s="21" t="s">
        <v>781</v>
      </c>
      <c r="D113" s="22" t="s">
        <v>670</v>
      </c>
      <c r="E113" s="22" t="s">
        <v>657</v>
      </c>
      <c r="F113" s="22" t="s">
        <v>641</v>
      </c>
      <c r="G113" s="22" t="s">
        <v>641</v>
      </c>
      <c r="H113" s="22" t="s">
        <v>636</v>
      </c>
      <c r="I113" s="22" t="s">
        <v>676</v>
      </c>
      <c r="J113" s="22">
        <v>0</v>
      </c>
      <c r="K113" s="22">
        <v>23</v>
      </c>
      <c r="L113" s="24">
        <v>0</v>
      </c>
      <c r="M113" s="22">
        <v>0</v>
      </c>
      <c r="N113" s="23">
        <v>15</v>
      </c>
      <c r="O113" s="24">
        <v>0</v>
      </c>
      <c r="P113" s="22">
        <v>1</v>
      </c>
      <c r="Q113" s="23">
        <v>15.5</v>
      </c>
      <c r="R113" s="24">
        <v>6.4516129032258063E-2</v>
      </c>
      <c r="S113" s="21">
        <v>1</v>
      </c>
      <c r="T113" s="23">
        <v>23</v>
      </c>
      <c r="U113" s="24">
        <v>4.3478260869565216E-2</v>
      </c>
      <c r="V113" s="21">
        <v>1</v>
      </c>
      <c r="W113" s="23">
        <v>22.5</v>
      </c>
      <c r="X113" s="24">
        <v>4.4444444444444446E-2</v>
      </c>
      <c r="Y113" s="25">
        <v>8</v>
      </c>
      <c r="Z113" s="25">
        <v>22.5</v>
      </c>
      <c r="AA113" s="24">
        <v>0.35555555555555557</v>
      </c>
      <c r="AB113" s="22">
        <v>3</v>
      </c>
      <c r="AC113" s="22">
        <v>19</v>
      </c>
      <c r="AD113" s="24">
        <f>Table13[[#This Row],[Gönüllü Çıkış Sayısı]]/Table13[[#This Row],[Ortalama Çalışan Sayısı]]</f>
        <v>0</v>
      </c>
      <c r="AE113" s="26">
        <v>0</v>
      </c>
      <c r="AF113" s="25">
        <v>16</v>
      </c>
      <c r="AG113" s="24">
        <v>0</v>
      </c>
      <c r="AH113" s="26">
        <v>0</v>
      </c>
      <c r="AI113" s="25">
        <v>16</v>
      </c>
      <c r="AJ113" s="24">
        <v>0</v>
      </c>
      <c r="AK113" s="26">
        <v>1</v>
      </c>
      <c r="AL113" s="25">
        <v>19.5</v>
      </c>
      <c r="AM113" s="24">
        <v>5.128205128205128E-2</v>
      </c>
      <c r="AN113" s="26">
        <v>1</v>
      </c>
      <c r="AO113" s="25">
        <v>19.5</v>
      </c>
      <c r="AP113" s="24">
        <v>5.128205128205128E-2</v>
      </c>
      <c r="AQ113" s="26">
        <v>7</v>
      </c>
      <c r="AR113" s="25">
        <v>20</v>
      </c>
      <c r="AS113" s="24">
        <v>0.35</v>
      </c>
    </row>
    <row r="114" spans="1:45" x14ac:dyDescent="0.35">
      <c r="A114" s="21" t="s">
        <v>197</v>
      </c>
      <c r="B114" s="22" t="s">
        <v>198</v>
      </c>
      <c r="C114" s="21" t="s">
        <v>782</v>
      </c>
      <c r="D114" s="22" t="s">
        <v>645</v>
      </c>
      <c r="E114" s="22" t="s">
        <v>629</v>
      </c>
      <c r="F114" s="22" t="s">
        <v>646</v>
      </c>
      <c r="G114" s="22" t="s">
        <v>646</v>
      </c>
      <c r="H114" s="22" t="s">
        <v>654</v>
      </c>
      <c r="I114" s="22" t="s">
        <v>632</v>
      </c>
      <c r="J114" s="22">
        <v>4</v>
      </c>
      <c r="K114" s="22">
        <v>13</v>
      </c>
      <c r="L114" s="24">
        <v>0.30769230769230771</v>
      </c>
      <c r="M114" s="22">
        <v>0</v>
      </c>
      <c r="N114" s="23">
        <v>12.5</v>
      </c>
      <c r="O114" s="24">
        <v>0</v>
      </c>
      <c r="P114" s="22">
        <v>1</v>
      </c>
      <c r="Q114" s="23">
        <v>13.5</v>
      </c>
      <c r="R114" s="24">
        <v>7.407407407407407E-2</v>
      </c>
      <c r="S114" s="21">
        <v>2</v>
      </c>
      <c r="T114" s="23">
        <v>14</v>
      </c>
      <c r="U114" s="24">
        <v>0.14285714285714285</v>
      </c>
      <c r="V114" s="21">
        <v>2</v>
      </c>
      <c r="W114" s="23">
        <v>14</v>
      </c>
      <c r="X114" s="24">
        <v>0.14285714285714285</v>
      </c>
      <c r="Y114" s="25">
        <v>8</v>
      </c>
      <c r="Z114" s="25">
        <v>15</v>
      </c>
      <c r="AA114" s="24">
        <v>0.53333333333333333</v>
      </c>
      <c r="AB114" s="22">
        <v>2</v>
      </c>
      <c r="AC114" s="22">
        <v>15</v>
      </c>
      <c r="AD114" s="24">
        <f>Table13[[#This Row],[Gönüllü Çıkış Sayısı]]/Table13[[#This Row],[Ortalama Çalışan Sayısı]]</f>
        <v>0.30769230769230771</v>
      </c>
      <c r="AE114" s="26">
        <v>0</v>
      </c>
      <c r="AF114" s="25">
        <v>12</v>
      </c>
      <c r="AG114" s="24">
        <v>0</v>
      </c>
      <c r="AH114" s="26">
        <v>0</v>
      </c>
      <c r="AI114" s="25">
        <v>13.5</v>
      </c>
      <c r="AJ114" s="24">
        <v>0</v>
      </c>
      <c r="AK114" s="26">
        <v>1</v>
      </c>
      <c r="AL114" s="25">
        <v>12</v>
      </c>
      <c r="AM114" s="24">
        <v>8.3333333333333329E-2</v>
      </c>
      <c r="AN114" s="26">
        <v>2</v>
      </c>
      <c r="AO114" s="25">
        <v>12</v>
      </c>
      <c r="AP114" s="24">
        <v>0.16666666666666666</v>
      </c>
      <c r="AQ114" s="26">
        <v>11</v>
      </c>
      <c r="AR114" s="25">
        <v>14</v>
      </c>
      <c r="AS114" s="24">
        <v>0.7857142857142857</v>
      </c>
    </row>
    <row r="115" spans="1:45" x14ac:dyDescent="0.35">
      <c r="A115" s="21" t="s">
        <v>199</v>
      </c>
      <c r="B115" s="22" t="s">
        <v>200</v>
      </c>
      <c r="C115" s="21" t="s">
        <v>783</v>
      </c>
      <c r="D115" s="22" t="s">
        <v>737</v>
      </c>
      <c r="E115" s="22" t="s">
        <v>657</v>
      </c>
      <c r="F115" s="22" t="s">
        <v>641</v>
      </c>
      <c r="G115" s="22" t="s">
        <v>641</v>
      </c>
      <c r="H115" s="22" t="s">
        <v>654</v>
      </c>
      <c r="I115" s="22" t="s">
        <v>738</v>
      </c>
      <c r="J115" s="22">
        <v>0</v>
      </c>
      <c r="K115" s="22">
        <v>13.5</v>
      </c>
      <c r="L115" s="24">
        <v>0</v>
      </c>
      <c r="M115" s="22">
        <v>3</v>
      </c>
      <c r="N115" s="23">
        <v>24.5</v>
      </c>
      <c r="O115" s="24">
        <v>0.12244897959183673</v>
      </c>
      <c r="P115" s="22">
        <v>3</v>
      </c>
      <c r="Q115" s="23">
        <v>23</v>
      </c>
      <c r="R115" s="24">
        <v>0.13043478260869565</v>
      </c>
      <c r="S115" s="21">
        <v>8</v>
      </c>
      <c r="T115" s="23">
        <v>11</v>
      </c>
      <c r="U115" s="24">
        <v>0.72727272727272729</v>
      </c>
      <c r="V115" s="21">
        <v>2</v>
      </c>
      <c r="W115" s="23">
        <v>11.5</v>
      </c>
      <c r="X115" s="24">
        <v>0.17391304347826086</v>
      </c>
      <c r="Y115" s="25">
        <v>12</v>
      </c>
      <c r="Z115" s="25">
        <v>13</v>
      </c>
      <c r="AA115" s="24">
        <v>0.92307692307692313</v>
      </c>
      <c r="AB115" s="22">
        <v>0</v>
      </c>
      <c r="AC115" s="22">
        <v>14</v>
      </c>
      <c r="AD115" s="24">
        <f>Table13[[#This Row],[Gönüllü Çıkış Sayısı]]/Table13[[#This Row],[Ortalama Çalışan Sayısı]]</f>
        <v>0</v>
      </c>
      <c r="AE115" s="26">
        <v>0</v>
      </c>
      <c r="AF115" s="25">
        <v>19.5</v>
      </c>
      <c r="AG115" s="24">
        <v>0</v>
      </c>
      <c r="AH115" s="26">
        <v>2</v>
      </c>
      <c r="AI115" s="25">
        <v>20</v>
      </c>
      <c r="AJ115" s="24">
        <v>0.1</v>
      </c>
      <c r="AK115" s="26">
        <v>1</v>
      </c>
      <c r="AL115" s="25">
        <v>13.5</v>
      </c>
      <c r="AM115" s="24">
        <v>7.407407407407407E-2</v>
      </c>
      <c r="AN115" s="26">
        <v>3</v>
      </c>
      <c r="AO115" s="25">
        <v>13.5</v>
      </c>
      <c r="AP115" s="24">
        <v>0.22222222222222221</v>
      </c>
      <c r="AQ115" s="26">
        <v>6</v>
      </c>
      <c r="AR115" s="25">
        <v>14</v>
      </c>
      <c r="AS115" s="24">
        <v>0.42857142857142855</v>
      </c>
    </row>
    <row r="116" spans="1:45" x14ac:dyDescent="0.35">
      <c r="A116" s="21" t="s">
        <v>201</v>
      </c>
      <c r="B116" s="22" t="s">
        <v>202</v>
      </c>
      <c r="C116" s="21" t="s">
        <v>203</v>
      </c>
      <c r="D116" s="22" t="s">
        <v>628</v>
      </c>
      <c r="E116" s="22" t="s">
        <v>629</v>
      </c>
      <c r="F116" s="22" t="s">
        <v>630</v>
      </c>
      <c r="G116" s="22" t="s">
        <v>1569</v>
      </c>
      <c r="H116" s="22" t="s">
        <v>631</v>
      </c>
      <c r="I116" s="22" t="s">
        <v>784</v>
      </c>
      <c r="J116" s="22">
        <v>3</v>
      </c>
      <c r="K116" s="22">
        <v>30.5</v>
      </c>
      <c r="L116" s="24">
        <v>9.8360655737704916E-2</v>
      </c>
      <c r="M116" s="22">
        <v>0</v>
      </c>
      <c r="N116" s="23">
        <v>14</v>
      </c>
      <c r="O116" s="24">
        <v>0</v>
      </c>
      <c r="P116" s="22">
        <v>0</v>
      </c>
      <c r="Q116" s="23">
        <v>14</v>
      </c>
      <c r="R116" s="24">
        <v>0</v>
      </c>
      <c r="S116" s="21">
        <v>5</v>
      </c>
      <c r="T116" s="23">
        <v>27.5</v>
      </c>
      <c r="U116" s="24">
        <v>0.18181818181818182</v>
      </c>
      <c r="V116" s="21">
        <v>4</v>
      </c>
      <c r="W116" s="23">
        <v>29</v>
      </c>
      <c r="X116" s="24">
        <v>0.13793103448275862</v>
      </c>
      <c r="Y116" s="25">
        <v>17</v>
      </c>
      <c r="Z116" s="25">
        <v>31.5</v>
      </c>
      <c r="AA116" s="24">
        <v>0.53968253968253965</v>
      </c>
      <c r="AB116" s="22">
        <v>4</v>
      </c>
      <c r="AC116" s="22">
        <v>30</v>
      </c>
      <c r="AD116" s="24">
        <f>Table13[[#This Row],[Gönüllü Çıkış Sayısı]]/Table13[[#This Row],[Ortalama Çalışan Sayısı]]</f>
        <v>9.8360655737704916E-2</v>
      </c>
      <c r="AE116" s="26">
        <v>1</v>
      </c>
      <c r="AF116" s="25">
        <v>14</v>
      </c>
      <c r="AG116" s="24">
        <v>7.1428571428571425E-2</v>
      </c>
      <c r="AH116" s="26">
        <v>5</v>
      </c>
      <c r="AI116" s="25">
        <v>13.5</v>
      </c>
      <c r="AJ116" s="24">
        <v>0.37037037037037035</v>
      </c>
      <c r="AK116" s="26">
        <v>2</v>
      </c>
      <c r="AL116" s="25">
        <v>33.5</v>
      </c>
      <c r="AM116" s="24">
        <v>5.9701492537313432E-2</v>
      </c>
      <c r="AN116" s="26">
        <v>1</v>
      </c>
      <c r="AO116" s="25">
        <v>32.5</v>
      </c>
      <c r="AP116" s="24">
        <v>3.0769230769230771E-2</v>
      </c>
      <c r="AQ116" s="26">
        <v>13</v>
      </c>
      <c r="AR116" s="25">
        <v>30.5</v>
      </c>
      <c r="AS116" s="24">
        <v>0.42622950819672129</v>
      </c>
    </row>
    <row r="117" spans="1:45" x14ac:dyDescent="0.35">
      <c r="A117" s="21" t="s">
        <v>204</v>
      </c>
      <c r="B117" s="22" t="s">
        <v>205</v>
      </c>
      <c r="C117" s="21" t="s">
        <v>785</v>
      </c>
      <c r="D117" s="22" t="s">
        <v>634</v>
      </c>
      <c r="E117" s="22" t="s">
        <v>629</v>
      </c>
      <c r="F117" s="22" t="s">
        <v>635</v>
      </c>
      <c r="G117" s="22" t="s">
        <v>635</v>
      </c>
      <c r="H117" s="22" t="s">
        <v>668</v>
      </c>
      <c r="I117" s="22" t="s">
        <v>637</v>
      </c>
      <c r="J117" s="22">
        <v>0</v>
      </c>
      <c r="K117" s="22">
        <v>11</v>
      </c>
      <c r="L117" s="24">
        <v>0</v>
      </c>
      <c r="M117" s="22">
        <v>0</v>
      </c>
      <c r="N117" s="23">
        <v>14.5</v>
      </c>
      <c r="O117" s="24">
        <v>0</v>
      </c>
      <c r="P117" s="22">
        <v>2</v>
      </c>
      <c r="Q117" s="23">
        <v>13</v>
      </c>
      <c r="R117" s="24">
        <v>0.15384615384615385</v>
      </c>
      <c r="S117" s="21">
        <v>0</v>
      </c>
      <c r="T117" s="23">
        <v>14.5</v>
      </c>
      <c r="U117" s="24">
        <v>0</v>
      </c>
      <c r="V117" s="21">
        <v>2</v>
      </c>
      <c r="W117" s="23">
        <v>14</v>
      </c>
      <c r="X117" s="24">
        <v>0.14285714285714285</v>
      </c>
      <c r="Y117" s="25">
        <v>6</v>
      </c>
      <c r="Z117" s="25">
        <v>12</v>
      </c>
      <c r="AA117" s="24">
        <v>0.5</v>
      </c>
      <c r="AB117" s="22">
        <v>1</v>
      </c>
      <c r="AC117" s="22">
        <v>16.5</v>
      </c>
      <c r="AD117" s="24">
        <f>Table13[[#This Row],[Gönüllü Çıkış Sayısı]]/Table13[[#This Row],[Ortalama Çalışan Sayısı]]</f>
        <v>0</v>
      </c>
      <c r="AE117" s="26">
        <v>1</v>
      </c>
      <c r="AF117" s="25">
        <v>14</v>
      </c>
      <c r="AG117" s="24">
        <v>7.1428571428571425E-2</v>
      </c>
      <c r="AH117" s="26">
        <v>1</v>
      </c>
      <c r="AI117" s="25">
        <v>14.5</v>
      </c>
      <c r="AJ117" s="24">
        <v>6.8965517241379309E-2</v>
      </c>
      <c r="AK117" s="26">
        <v>0</v>
      </c>
      <c r="AL117" s="25">
        <v>16.5</v>
      </c>
      <c r="AM117" s="24">
        <v>0</v>
      </c>
      <c r="AN117" s="26">
        <v>1</v>
      </c>
      <c r="AO117" s="25">
        <v>16</v>
      </c>
      <c r="AP117" s="24">
        <v>6.25E-2</v>
      </c>
      <c r="AQ117" s="26">
        <v>3</v>
      </c>
      <c r="AR117" s="25">
        <v>16</v>
      </c>
      <c r="AS117" s="24">
        <v>0.1875</v>
      </c>
    </row>
    <row r="118" spans="1:45" x14ac:dyDescent="0.35">
      <c r="A118" s="21" t="s">
        <v>206</v>
      </c>
      <c r="B118" s="22" t="s">
        <v>207</v>
      </c>
      <c r="C118" s="21" t="s">
        <v>786</v>
      </c>
      <c r="D118" s="22" t="s">
        <v>666</v>
      </c>
      <c r="E118" s="22" t="s">
        <v>629</v>
      </c>
      <c r="F118" s="22" t="s">
        <v>630</v>
      </c>
      <c r="G118" s="22" t="s">
        <v>1569</v>
      </c>
      <c r="H118" s="22" t="s">
        <v>668</v>
      </c>
      <c r="I118" s="22" t="s">
        <v>652</v>
      </c>
      <c r="J118" s="22">
        <v>0</v>
      </c>
      <c r="K118" s="22">
        <v>11</v>
      </c>
      <c r="L118" s="24">
        <v>0</v>
      </c>
      <c r="M118" s="22">
        <v>1</v>
      </c>
      <c r="N118" s="23">
        <v>29</v>
      </c>
      <c r="O118" s="24">
        <v>3.4482758620689655E-2</v>
      </c>
      <c r="P118" s="22">
        <v>4</v>
      </c>
      <c r="Q118" s="23">
        <v>27.5</v>
      </c>
      <c r="R118" s="24">
        <v>0.14545454545454545</v>
      </c>
      <c r="S118" s="21">
        <v>0</v>
      </c>
      <c r="T118" s="23">
        <v>11</v>
      </c>
      <c r="U118" s="24">
        <v>0</v>
      </c>
      <c r="V118" s="21">
        <v>0</v>
      </c>
      <c r="W118" s="23">
        <v>11.5</v>
      </c>
      <c r="X118" s="24">
        <v>0</v>
      </c>
      <c r="Y118" s="25">
        <v>0</v>
      </c>
      <c r="Z118" s="25">
        <v>11.5</v>
      </c>
      <c r="AA118" s="24">
        <v>0</v>
      </c>
      <c r="AB118" s="22">
        <v>0</v>
      </c>
      <c r="AC118" s="22">
        <v>11</v>
      </c>
      <c r="AD118" s="24">
        <f>Table13[[#This Row],[Gönüllü Çıkış Sayısı]]/Table13[[#This Row],[Ortalama Çalışan Sayısı]]</f>
        <v>0</v>
      </c>
      <c r="AE118" s="26">
        <v>5</v>
      </c>
      <c r="AF118" s="25">
        <v>31</v>
      </c>
      <c r="AG118" s="24">
        <v>0.16129032258064516</v>
      </c>
      <c r="AH118" s="26">
        <v>1</v>
      </c>
      <c r="AI118" s="25">
        <v>32.5</v>
      </c>
      <c r="AJ118" s="24">
        <v>3.0769230769230771E-2</v>
      </c>
      <c r="AK118" s="26">
        <v>0</v>
      </c>
      <c r="AL118" s="25">
        <v>11</v>
      </c>
      <c r="AM118" s="24">
        <v>0</v>
      </c>
      <c r="AN118" s="26">
        <v>2</v>
      </c>
      <c r="AO118" s="25">
        <v>10.5</v>
      </c>
      <c r="AP118" s="24">
        <v>0.19047619047619047</v>
      </c>
      <c r="AQ118" s="26">
        <v>3</v>
      </c>
      <c r="AR118" s="25">
        <v>10.5</v>
      </c>
      <c r="AS118" s="24">
        <v>0.2857142857142857</v>
      </c>
    </row>
    <row r="119" spans="1:45" x14ac:dyDescent="0.35">
      <c r="A119" s="21" t="s">
        <v>208</v>
      </c>
      <c r="B119" s="22" t="s">
        <v>209</v>
      </c>
      <c r="C119" s="21" t="s">
        <v>210</v>
      </c>
      <c r="D119" s="22" t="s">
        <v>640</v>
      </c>
      <c r="E119" s="22" t="s">
        <v>623</v>
      </c>
      <c r="F119" s="22" t="s">
        <v>624</v>
      </c>
      <c r="G119" s="22" t="s">
        <v>624</v>
      </c>
      <c r="H119" s="22" t="s">
        <v>636</v>
      </c>
      <c r="I119" s="22" t="s">
        <v>787</v>
      </c>
      <c r="J119" s="22">
        <v>1</v>
      </c>
      <c r="K119" s="22">
        <v>21.5</v>
      </c>
      <c r="L119" s="24">
        <v>4.6511627906976744E-2</v>
      </c>
      <c r="M119" s="22">
        <v>3</v>
      </c>
      <c r="N119" s="23">
        <v>12.5</v>
      </c>
      <c r="O119" s="24">
        <v>0.24</v>
      </c>
      <c r="P119" s="22">
        <v>1</v>
      </c>
      <c r="Q119" s="23">
        <v>13.5</v>
      </c>
      <c r="R119" s="24">
        <v>7.407407407407407E-2</v>
      </c>
      <c r="S119" s="21">
        <v>3</v>
      </c>
      <c r="T119" s="23">
        <v>24</v>
      </c>
      <c r="U119" s="24">
        <v>0.125</v>
      </c>
      <c r="V119" s="21">
        <v>1</v>
      </c>
      <c r="W119" s="23">
        <v>24</v>
      </c>
      <c r="X119" s="24">
        <v>4.1666666666666664E-2</v>
      </c>
      <c r="Y119" s="25">
        <v>9</v>
      </c>
      <c r="Z119" s="25">
        <v>23.5</v>
      </c>
      <c r="AA119" s="24">
        <v>0.38297872340425532</v>
      </c>
      <c r="AB119" s="22">
        <v>0</v>
      </c>
      <c r="AC119" s="22">
        <v>21</v>
      </c>
      <c r="AD119" s="24">
        <f>Table13[[#This Row],[Gönüllü Çıkış Sayısı]]/Table13[[#This Row],[Ortalama Çalışan Sayısı]]</f>
        <v>4.6511627906976744E-2</v>
      </c>
      <c r="AE119" s="26">
        <v>0</v>
      </c>
      <c r="AF119" s="25">
        <v>16</v>
      </c>
      <c r="AG119" s="24">
        <v>0</v>
      </c>
      <c r="AH119" s="26">
        <v>1</v>
      </c>
      <c r="AI119" s="25">
        <v>16</v>
      </c>
      <c r="AJ119" s="24">
        <v>6.25E-2</v>
      </c>
      <c r="AK119" s="26">
        <v>1</v>
      </c>
      <c r="AL119" s="25">
        <v>20.5</v>
      </c>
      <c r="AM119" s="24">
        <v>4.878048780487805E-2</v>
      </c>
      <c r="AN119" s="26">
        <v>2</v>
      </c>
      <c r="AO119" s="25">
        <v>20.5</v>
      </c>
      <c r="AP119" s="24">
        <v>9.7560975609756101E-2</v>
      </c>
      <c r="AQ119" s="26">
        <v>5</v>
      </c>
      <c r="AR119" s="25">
        <v>21</v>
      </c>
      <c r="AS119" s="24">
        <v>0.23809523809523808</v>
      </c>
    </row>
    <row r="120" spans="1:45" x14ac:dyDescent="0.35">
      <c r="A120" s="21" t="s">
        <v>211</v>
      </c>
      <c r="B120" s="22" t="s">
        <v>212</v>
      </c>
      <c r="C120" s="21" t="s">
        <v>788</v>
      </c>
      <c r="D120" s="22" t="s">
        <v>691</v>
      </c>
      <c r="E120" s="22" t="s">
        <v>657</v>
      </c>
      <c r="F120" s="22" t="s">
        <v>658</v>
      </c>
      <c r="G120" s="22" t="s">
        <v>662</v>
      </c>
      <c r="H120" s="22" t="s">
        <v>654</v>
      </c>
      <c r="I120" s="22" t="s">
        <v>632</v>
      </c>
      <c r="J120" s="22">
        <v>0</v>
      </c>
      <c r="K120" s="22">
        <v>17</v>
      </c>
      <c r="L120" s="24">
        <v>0</v>
      </c>
      <c r="M120" s="22">
        <v>0</v>
      </c>
      <c r="N120" s="23">
        <v>11</v>
      </c>
      <c r="O120" s="24">
        <v>0</v>
      </c>
      <c r="P120" s="22">
        <v>0</v>
      </c>
      <c r="Q120" s="23">
        <v>11</v>
      </c>
      <c r="R120" s="24">
        <v>0</v>
      </c>
      <c r="S120" s="21">
        <v>0</v>
      </c>
      <c r="T120" s="23">
        <v>21</v>
      </c>
      <c r="U120" s="24">
        <v>0</v>
      </c>
      <c r="V120" s="21">
        <v>1</v>
      </c>
      <c r="W120" s="23">
        <v>24.5</v>
      </c>
      <c r="X120" s="24">
        <v>4.0816326530612242E-2</v>
      </c>
      <c r="Y120" s="25">
        <v>5</v>
      </c>
      <c r="Z120" s="25">
        <v>20.5</v>
      </c>
      <c r="AA120" s="24">
        <v>0.24390243902439024</v>
      </c>
      <c r="AB120" s="22">
        <v>0</v>
      </c>
      <c r="AC120" s="22">
        <v>19</v>
      </c>
      <c r="AD120" s="24">
        <f>Table13[[#This Row],[Gönüllü Çıkış Sayısı]]/Table13[[#This Row],[Ortalama Çalışan Sayısı]]</f>
        <v>0</v>
      </c>
      <c r="AE120" s="26">
        <v>0</v>
      </c>
      <c r="AF120" s="25">
        <v>11</v>
      </c>
      <c r="AG120" s="24">
        <v>0</v>
      </c>
      <c r="AH120" s="26">
        <v>1</v>
      </c>
      <c r="AI120" s="25">
        <v>11</v>
      </c>
      <c r="AJ120" s="24">
        <v>9.0909090909090912E-2</v>
      </c>
      <c r="AK120" s="26">
        <v>0</v>
      </c>
      <c r="AL120" s="25">
        <v>17</v>
      </c>
      <c r="AM120" s="24">
        <v>0</v>
      </c>
      <c r="AN120" s="26">
        <v>1</v>
      </c>
      <c r="AO120" s="25">
        <v>16.5</v>
      </c>
      <c r="AP120" s="24">
        <v>6.0606060606060608E-2</v>
      </c>
      <c r="AQ120" s="26">
        <v>3</v>
      </c>
      <c r="AR120" s="25">
        <v>17.5</v>
      </c>
      <c r="AS120" s="24">
        <v>0.17142857142857143</v>
      </c>
    </row>
    <row r="121" spans="1:45" x14ac:dyDescent="0.35">
      <c r="A121" s="21" t="s">
        <v>215</v>
      </c>
      <c r="B121" s="22" t="s">
        <v>216</v>
      </c>
      <c r="C121" s="21" t="s">
        <v>217</v>
      </c>
      <c r="D121" s="22" t="s">
        <v>640</v>
      </c>
      <c r="E121" s="22" t="s">
        <v>623</v>
      </c>
      <c r="F121" s="22" t="s">
        <v>624</v>
      </c>
      <c r="G121" s="22" t="s">
        <v>624</v>
      </c>
      <c r="H121" s="22" t="s">
        <v>654</v>
      </c>
      <c r="I121" s="22" t="s">
        <v>789</v>
      </c>
      <c r="J121" s="22">
        <v>0</v>
      </c>
      <c r="K121" s="22">
        <v>14.5</v>
      </c>
      <c r="L121" s="24">
        <v>0</v>
      </c>
      <c r="M121" s="22">
        <v>2</v>
      </c>
      <c r="N121" s="23">
        <v>23</v>
      </c>
      <c r="O121" s="24">
        <v>8.6956521739130432E-2</v>
      </c>
      <c r="P121" s="22">
        <v>2</v>
      </c>
      <c r="Q121" s="23">
        <v>23.5</v>
      </c>
      <c r="R121" s="24">
        <v>8.5106382978723402E-2</v>
      </c>
      <c r="S121" s="21">
        <v>0</v>
      </c>
      <c r="T121" s="23">
        <v>17</v>
      </c>
      <c r="U121" s="24">
        <v>0</v>
      </c>
      <c r="V121" s="21">
        <v>2</v>
      </c>
      <c r="W121" s="23">
        <v>16.5</v>
      </c>
      <c r="X121" s="24">
        <v>0.12121212121212122</v>
      </c>
      <c r="Y121" s="25">
        <v>4</v>
      </c>
      <c r="Z121" s="25">
        <v>15.5</v>
      </c>
      <c r="AA121" s="24">
        <v>0.25806451612903225</v>
      </c>
      <c r="AB121" s="22">
        <v>1</v>
      </c>
      <c r="AC121" s="22">
        <v>12.5</v>
      </c>
      <c r="AD121" s="24">
        <f>Table13[[#This Row],[Gönüllü Çıkış Sayısı]]/Table13[[#This Row],[Ortalama Çalışan Sayısı]]</f>
        <v>0</v>
      </c>
      <c r="AE121" s="26">
        <v>2</v>
      </c>
      <c r="AF121" s="25">
        <v>20</v>
      </c>
      <c r="AG121" s="24">
        <v>0.1</v>
      </c>
      <c r="AH121" s="26">
        <v>0</v>
      </c>
      <c r="AI121" s="25">
        <v>20</v>
      </c>
      <c r="AJ121" s="24">
        <v>0</v>
      </c>
      <c r="AK121" s="26">
        <v>1</v>
      </c>
      <c r="AL121" s="25">
        <v>12</v>
      </c>
      <c r="AM121" s="24">
        <v>8.3333333333333329E-2</v>
      </c>
      <c r="AN121" s="26">
        <v>0</v>
      </c>
      <c r="AO121" s="25">
        <v>12</v>
      </c>
      <c r="AP121" s="24">
        <v>0</v>
      </c>
      <c r="AQ121" s="26">
        <v>2</v>
      </c>
      <c r="AR121" s="25">
        <v>13</v>
      </c>
      <c r="AS121" s="24">
        <v>0.15384615384615385</v>
      </c>
    </row>
    <row r="122" spans="1:45" x14ac:dyDescent="0.35">
      <c r="A122" s="21" t="s">
        <v>218</v>
      </c>
      <c r="B122" s="22" t="s">
        <v>219</v>
      </c>
      <c r="C122" s="21" t="s">
        <v>790</v>
      </c>
      <c r="D122" s="22" t="s">
        <v>661</v>
      </c>
      <c r="E122" s="22" t="s">
        <v>657</v>
      </c>
      <c r="F122" s="22" t="s">
        <v>662</v>
      </c>
      <c r="G122" s="22" t="s">
        <v>662</v>
      </c>
      <c r="H122" s="22" t="s">
        <v>625</v>
      </c>
      <c r="I122" s="22" t="s">
        <v>632</v>
      </c>
      <c r="J122" s="22">
        <v>7</v>
      </c>
      <c r="K122" s="22">
        <v>35</v>
      </c>
      <c r="L122" s="24">
        <v>0.2</v>
      </c>
      <c r="M122" s="22">
        <v>2</v>
      </c>
      <c r="N122" s="23">
        <v>16</v>
      </c>
      <c r="O122" s="24">
        <v>0.125</v>
      </c>
      <c r="P122" s="22">
        <v>2</v>
      </c>
      <c r="Q122" s="23">
        <v>16</v>
      </c>
      <c r="R122" s="24">
        <v>0.125</v>
      </c>
      <c r="S122" s="21">
        <v>4</v>
      </c>
      <c r="T122" s="23">
        <v>36</v>
      </c>
      <c r="U122" s="24">
        <v>0.1111111111111111</v>
      </c>
      <c r="V122" s="21">
        <v>2</v>
      </c>
      <c r="W122" s="23">
        <v>36.5</v>
      </c>
      <c r="X122" s="24">
        <v>5.4794520547945202E-2</v>
      </c>
      <c r="Y122" s="25">
        <v>17</v>
      </c>
      <c r="Z122" s="25">
        <v>37</v>
      </c>
      <c r="AA122" s="24">
        <v>0.45945945945945948</v>
      </c>
      <c r="AB122" s="22">
        <v>6</v>
      </c>
      <c r="AC122" s="22">
        <v>42</v>
      </c>
      <c r="AD122" s="24">
        <f>Table13[[#This Row],[Gönüllü Çıkış Sayısı]]/Table13[[#This Row],[Ortalama Çalışan Sayısı]]</f>
        <v>0.2</v>
      </c>
      <c r="AE122" s="26">
        <v>1</v>
      </c>
      <c r="AF122" s="25">
        <v>18.5</v>
      </c>
      <c r="AG122" s="24">
        <v>5.4054054054054057E-2</v>
      </c>
      <c r="AH122" s="26">
        <v>1</v>
      </c>
      <c r="AI122" s="25">
        <v>17.5</v>
      </c>
      <c r="AJ122" s="24">
        <v>5.7142857142857141E-2</v>
      </c>
      <c r="AK122" s="26">
        <v>6</v>
      </c>
      <c r="AL122" s="25">
        <v>37.5</v>
      </c>
      <c r="AM122" s="24">
        <v>0.16</v>
      </c>
      <c r="AN122" s="26">
        <v>3</v>
      </c>
      <c r="AO122" s="25">
        <v>39</v>
      </c>
      <c r="AP122" s="24">
        <v>7.6923076923076927E-2</v>
      </c>
      <c r="AQ122" s="26">
        <v>21</v>
      </c>
      <c r="AR122" s="25">
        <v>42.5</v>
      </c>
      <c r="AS122" s="24">
        <v>0.49411764705882355</v>
      </c>
    </row>
    <row r="123" spans="1:45" x14ac:dyDescent="0.35">
      <c r="A123" s="21" t="s">
        <v>220</v>
      </c>
      <c r="B123" s="22" t="s">
        <v>221</v>
      </c>
      <c r="C123" s="21" t="s">
        <v>791</v>
      </c>
      <c r="D123" s="22" t="s">
        <v>648</v>
      </c>
      <c r="E123" s="22" t="s">
        <v>623</v>
      </c>
      <c r="F123" s="22" t="s">
        <v>624</v>
      </c>
      <c r="G123" s="22" t="s">
        <v>624</v>
      </c>
      <c r="H123" s="22" t="s">
        <v>668</v>
      </c>
      <c r="I123" s="22" t="s">
        <v>649</v>
      </c>
      <c r="J123" s="22">
        <v>0</v>
      </c>
      <c r="K123" s="22">
        <v>14</v>
      </c>
      <c r="L123" s="24">
        <v>0</v>
      </c>
      <c r="M123" s="22">
        <v>1</v>
      </c>
      <c r="N123" s="23">
        <v>14.5</v>
      </c>
      <c r="O123" s="24">
        <v>6.8965517241379309E-2</v>
      </c>
      <c r="P123" s="22">
        <v>1</v>
      </c>
      <c r="Q123" s="23">
        <v>15.5</v>
      </c>
      <c r="R123" s="24">
        <v>6.4516129032258063E-2</v>
      </c>
      <c r="S123" s="21">
        <v>0</v>
      </c>
      <c r="T123" s="23">
        <v>10.5</v>
      </c>
      <c r="U123" s="24">
        <v>0</v>
      </c>
      <c r="V123" s="21">
        <v>0</v>
      </c>
      <c r="W123" s="23">
        <v>12.5</v>
      </c>
      <c r="X123" s="24">
        <v>0</v>
      </c>
      <c r="Y123" s="25">
        <v>8</v>
      </c>
      <c r="Z123" s="25">
        <v>14</v>
      </c>
      <c r="AA123" s="24">
        <v>0.5714285714285714</v>
      </c>
      <c r="AB123" s="22">
        <v>0</v>
      </c>
      <c r="AC123" s="22">
        <v>15</v>
      </c>
      <c r="AD123" s="24">
        <f>Table13[[#This Row],[Gönüllü Çıkış Sayısı]]/Table13[[#This Row],[Ortalama Çalışan Sayısı]]</f>
        <v>0</v>
      </c>
      <c r="AE123" s="26">
        <v>0</v>
      </c>
      <c r="AF123" s="25">
        <v>12.5</v>
      </c>
      <c r="AG123" s="24">
        <v>0</v>
      </c>
      <c r="AH123" s="26">
        <v>0</v>
      </c>
      <c r="AI123" s="25">
        <v>13</v>
      </c>
      <c r="AJ123" s="24">
        <v>0</v>
      </c>
      <c r="AK123" s="26">
        <v>0</v>
      </c>
      <c r="AL123" s="25">
        <v>15</v>
      </c>
      <c r="AM123" s="24">
        <v>0</v>
      </c>
      <c r="AN123" s="26">
        <v>2</v>
      </c>
      <c r="AO123" s="25">
        <v>14</v>
      </c>
      <c r="AP123" s="24">
        <v>0.14285714285714285</v>
      </c>
      <c r="AQ123" s="26">
        <v>3</v>
      </c>
      <c r="AR123" s="25">
        <v>14</v>
      </c>
      <c r="AS123" s="24">
        <v>0.21428571428571427</v>
      </c>
    </row>
    <row r="124" spans="1:45" x14ac:dyDescent="0.35">
      <c r="A124" s="21" t="s">
        <v>222</v>
      </c>
      <c r="B124" s="22" t="s">
        <v>223</v>
      </c>
      <c r="C124" s="21" t="s">
        <v>224</v>
      </c>
      <c r="D124" s="22" t="s">
        <v>684</v>
      </c>
      <c r="E124" s="22" t="s">
        <v>623</v>
      </c>
      <c r="F124" s="22" t="s">
        <v>662</v>
      </c>
      <c r="G124" s="22" t="s">
        <v>662</v>
      </c>
      <c r="H124" s="22" t="s">
        <v>642</v>
      </c>
      <c r="I124" s="22" t="s">
        <v>792</v>
      </c>
      <c r="J124" s="22">
        <v>0</v>
      </c>
      <c r="K124" s="22">
        <v>10</v>
      </c>
      <c r="L124" s="24">
        <v>0</v>
      </c>
      <c r="M124" s="22">
        <v>0</v>
      </c>
      <c r="N124" s="23">
        <v>34</v>
      </c>
      <c r="O124" s="24">
        <v>0</v>
      </c>
      <c r="P124" s="22">
        <v>4</v>
      </c>
      <c r="Q124" s="23">
        <v>34.5</v>
      </c>
      <c r="R124" s="24">
        <v>0.11594202898550725</v>
      </c>
      <c r="S124" s="21">
        <v>1</v>
      </c>
      <c r="T124" s="23">
        <v>9.5</v>
      </c>
      <c r="U124" s="24">
        <v>0.10526315789473684</v>
      </c>
      <c r="V124" s="21">
        <v>0</v>
      </c>
      <c r="W124" s="23">
        <v>9</v>
      </c>
      <c r="X124" s="24">
        <v>0</v>
      </c>
      <c r="Y124" s="25">
        <v>1</v>
      </c>
      <c r="Z124" s="25">
        <v>9.5</v>
      </c>
      <c r="AA124" s="24">
        <v>0.10526315789473684</v>
      </c>
      <c r="AB124" s="22">
        <v>0</v>
      </c>
      <c r="AC124" s="22">
        <v>11</v>
      </c>
      <c r="AD124" s="24">
        <f>Table13[[#This Row],[Gönüllü Çıkış Sayısı]]/Table13[[#This Row],[Ortalama Çalışan Sayısı]]</f>
        <v>0</v>
      </c>
      <c r="AE124" s="26">
        <v>3</v>
      </c>
      <c r="AF124" s="25">
        <v>40</v>
      </c>
      <c r="AG124" s="24">
        <v>7.4999999999999997E-2</v>
      </c>
      <c r="AH124" s="26">
        <v>3</v>
      </c>
      <c r="AI124" s="25">
        <v>39.5</v>
      </c>
      <c r="AJ124" s="24">
        <v>7.5949367088607597E-2</v>
      </c>
      <c r="AK124" s="26">
        <v>0</v>
      </c>
      <c r="AL124" s="25">
        <v>11</v>
      </c>
      <c r="AM124" s="24">
        <v>0</v>
      </c>
      <c r="AN124" s="26">
        <v>0</v>
      </c>
      <c r="AO124" s="25">
        <v>11</v>
      </c>
      <c r="AP124" s="24">
        <v>0</v>
      </c>
      <c r="AQ124" s="26">
        <v>0</v>
      </c>
      <c r="AR124" s="25">
        <v>11</v>
      </c>
      <c r="AS124" s="24">
        <v>0</v>
      </c>
    </row>
    <row r="125" spans="1:45" x14ac:dyDescent="0.35">
      <c r="A125" s="21" t="s">
        <v>225</v>
      </c>
      <c r="B125" s="22" t="s">
        <v>226</v>
      </c>
      <c r="C125" s="21" t="s">
        <v>227</v>
      </c>
      <c r="D125" s="22" t="s">
        <v>707</v>
      </c>
      <c r="E125" s="22" t="s">
        <v>629</v>
      </c>
      <c r="F125" s="22" t="s">
        <v>635</v>
      </c>
      <c r="G125" s="22" t="s">
        <v>635</v>
      </c>
      <c r="H125" s="22" t="s">
        <v>668</v>
      </c>
      <c r="I125" s="22" t="s">
        <v>710</v>
      </c>
      <c r="J125" s="22">
        <v>0</v>
      </c>
      <c r="K125" s="22">
        <v>9</v>
      </c>
      <c r="L125" s="24">
        <v>0</v>
      </c>
      <c r="M125" s="22">
        <v>3</v>
      </c>
      <c r="N125" s="23">
        <v>14.5</v>
      </c>
      <c r="O125" s="24">
        <v>0.20689655172413793</v>
      </c>
      <c r="P125" s="22">
        <v>5</v>
      </c>
      <c r="Q125" s="23">
        <v>11.5</v>
      </c>
      <c r="R125" s="24">
        <v>0.43478260869565216</v>
      </c>
      <c r="S125" s="21">
        <v>2</v>
      </c>
      <c r="T125" s="23">
        <v>4</v>
      </c>
      <c r="U125" s="24">
        <v>0.5</v>
      </c>
      <c r="V125" s="21" t="s">
        <v>599</v>
      </c>
      <c r="W125" s="23" t="s">
        <v>599</v>
      </c>
      <c r="X125" s="24" t="s">
        <v>599</v>
      </c>
      <c r="Y125" s="25">
        <v>2</v>
      </c>
      <c r="Z125" s="25">
        <v>4.5</v>
      </c>
      <c r="AA125" s="24">
        <v>0.44444444444444442</v>
      </c>
      <c r="AB125" s="22">
        <v>1</v>
      </c>
      <c r="AC125" s="22">
        <v>12</v>
      </c>
      <c r="AD125" s="24">
        <f>Table13[[#This Row],[Gönüllü Çıkış Sayısı]]/Table13[[#This Row],[Ortalama Çalışan Sayısı]]</f>
        <v>0</v>
      </c>
      <c r="AE125" s="26">
        <v>1</v>
      </c>
      <c r="AF125" s="25">
        <v>14.5</v>
      </c>
      <c r="AG125" s="24">
        <v>6.8965517241379309E-2</v>
      </c>
      <c r="AH125" s="26">
        <v>0</v>
      </c>
      <c r="AI125" s="25">
        <v>14.5</v>
      </c>
      <c r="AJ125" s="24">
        <v>0</v>
      </c>
      <c r="AK125" s="26">
        <v>0</v>
      </c>
      <c r="AL125" s="25">
        <v>12</v>
      </c>
      <c r="AM125" s="24">
        <v>0</v>
      </c>
      <c r="AN125" s="26">
        <v>2</v>
      </c>
      <c r="AO125" s="25">
        <v>11</v>
      </c>
      <c r="AP125" s="24">
        <v>0.18181818181818182</v>
      </c>
      <c r="AQ125" s="26">
        <v>4</v>
      </c>
      <c r="AR125" s="25">
        <v>11</v>
      </c>
      <c r="AS125" s="24">
        <v>0.36363636363636365</v>
      </c>
    </row>
    <row r="126" spans="1:45" x14ac:dyDescent="0.35">
      <c r="A126" s="21" t="s">
        <v>228</v>
      </c>
      <c r="B126" s="22" t="s">
        <v>229</v>
      </c>
      <c r="C126" s="21" t="s">
        <v>793</v>
      </c>
      <c r="D126" s="22" t="s">
        <v>762</v>
      </c>
      <c r="E126" s="22" t="s">
        <v>629</v>
      </c>
      <c r="F126" s="22" t="s">
        <v>646</v>
      </c>
      <c r="G126" s="22" t="s">
        <v>646</v>
      </c>
      <c r="H126" s="22" t="s">
        <v>668</v>
      </c>
      <c r="I126" s="22" t="s">
        <v>763</v>
      </c>
      <c r="J126" s="22">
        <v>0</v>
      </c>
      <c r="K126" s="22">
        <v>14.5</v>
      </c>
      <c r="L126" s="24">
        <v>0</v>
      </c>
      <c r="M126" s="22">
        <v>0</v>
      </c>
      <c r="N126" s="23">
        <v>10</v>
      </c>
      <c r="O126" s="24">
        <v>0</v>
      </c>
      <c r="P126" s="22">
        <v>0</v>
      </c>
      <c r="Q126" s="23">
        <v>10</v>
      </c>
      <c r="R126" s="24">
        <v>0</v>
      </c>
      <c r="S126" s="21">
        <v>2</v>
      </c>
      <c r="T126" s="23">
        <v>15</v>
      </c>
      <c r="U126" s="24">
        <v>0.13333333333333333</v>
      </c>
      <c r="V126" s="21">
        <v>0</v>
      </c>
      <c r="W126" s="23">
        <v>15</v>
      </c>
      <c r="X126" s="24">
        <v>0</v>
      </c>
      <c r="Y126" s="25">
        <v>4</v>
      </c>
      <c r="Z126" s="25">
        <v>15.5</v>
      </c>
      <c r="AA126" s="24">
        <v>0.25806451612903225</v>
      </c>
      <c r="AB126" s="22">
        <v>2</v>
      </c>
      <c r="AC126" s="22">
        <v>14</v>
      </c>
      <c r="AD126" s="24">
        <f>Table13[[#This Row],[Gönüllü Çıkış Sayısı]]/Table13[[#This Row],[Ortalama Çalışan Sayısı]]</f>
        <v>0</v>
      </c>
      <c r="AE126" s="26">
        <v>0</v>
      </c>
      <c r="AF126" s="25">
        <v>11</v>
      </c>
      <c r="AG126" s="24">
        <v>0</v>
      </c>
      <c r="AH126" s="26">
        <v>0</v>
      </c>
      <c r="AI126" s="25">
        <v>11</v>
      </c>
      <c r="AJ126" s="24">
        <v>0</v>
      </c>
      <c r="AK126" s="26">
        <v>1</v>
      </c>
      <c r="AL126" s="25">
        <v>12.5</v>
      </c>
      <c r="AM126" s="24">
        <v>0.08</v>
      </c>
      <c r="AN126" s="26">
        <v>1</v>
      </c>
      <c r="AO126" s="25">
        <v>13.5</v>
      </c>
      <c r="AP126" s="24">
        <v>7.407407407407407E-2</v>
      </c>
      <c r="AQ126" s="26">
        <v>5</v>
      </c>
      <c r="AR126" s="25">
        <v>14</v>
      </c>
      <c r="AS126" s="24">
        <v>0.35714285714285715</v>
      </c>
    </row>
    <row r="127" spans="1:45" x14ac:dyDescent="0.35">
      <c r="A127" s="21" t="s">
        <v>230</v>
      </c>
      <c r="B127" s="22" t="s">
        <v>231</v>
      </c>
      <c r="C127" s="21" t="s">
        <v>794</v>
      </c>
      <c r="D127" s="22" t="s">
        <v>684</v>
      </c>
      <c r="E127" s="22" t="s">
        <v>623</v>
      </c>
      <c r="F127" s="22" t="s">
        <v>662</v>
      </c>
      <c r="G127" s="22" t="s">
        <v>662</v>
      </c>
      <c r="H127" s="22" t="s">
        <v>668</v>
      </c>
      <c r="I127" s="22" t="s">
        <v>795</v>
      </c>
      <c r="J127" s="22">
        <v>0</v>
      </c>
      <c r="K127" s="22">
        <v>15</v>
      </c>
      <c r="L127" s="24">
        <v>0</v>
      </c>
      <c r="M127" s="22">
        <v>0</v>
      </c>
      <c r="N127" s="23">
        <v>9</v>
      </c>
      <c r="O127" s="24">
        <v>0</v>
      </c>
      <c r="P127" s="22">
        <v>0</v>
      </c>
      <c r="Q127" s="23">
        <v>9.5</v>
      </c>
      <c r="R127" s="24">
        <v>0</v>
      </c>
      <c r="S127" s="21">
        <v>0</v>
      </c>
      <c r="T127" s="23">
        <v>14.5</v>
      </c>
      <c r="U127" s="24">
        <v>0</v>
      </c>
      <c r="V127" s="21">
        <v>0</v>
      </c>
      <c r="W127" s="23">
        <v>15</v>
      </c>
      <c r="X127" s="24">
        <v>0</v>
      </c>
      <c r="Y127" s="25">
        <v>1</v>
      </c>
      <c r="Z127" s="25">
        <v>15</v>
      </c>
      <c r="AA127" s="24">
        <v>6.6666666666666666E-2</v>
      </c>
      <c r="AB127" s="22">
        <v>2</v>
      </c>
      <c r="AC127" s="22">
        <v>15</v>
      </c>
      <c r="AD127" s="24">
        <f>Table13[[#This Row],[Gönüllü Çıkış Sayısı]]/Table13[[#This Row],[Ortalama Çalışan Sayısı]]</f>
        <v>0</v>
      </c>
      <c r="AE127" s="26">
        <v>0</v>
      </c>
      <c r="AF127" s="25">
        <v>13</v>
      </c>
      <c r="AG127" s="24">
        <v>0</v>
      </c>
      <c r="AH127" s="26">
        <v>1</v>
      </c>
      <c r="AI127" s="25">
        <v>12.5</v>
      </c>
      <c r="AJ127" s="24">
        <v>0.08</v>
      </c>
      <c r="AK127" s="26">
        <v>2</v>
      </c>
      <c r="AL127" s="25">
        <v>15.5</v>
      </c>
      <c r="AM127" s="24">
        <v>0.12903225806451613</v>
      </c>
      <c r="AN127" s="26">
        <v>1</v>
      </c>
      <c r="AO127" s="25">
        <v>14.5</v>
      </c>
      <c r="AP127" s="24">
        <v>6.8965517241379309E-2</v>
      </c>
      <c r="AQ127" s="26">
        <v>6</v>
      </c>
      <c r="AR127" s="25">
        <v>15</v>
      </c>
      <c r="AS127" s="24">
        <v>0.4</v>
      </c>
    </row>
    <row r="128" spans="1:45" x14ac:dyDescent="0.35">
      <c r="A128" s="21" t="s">
        <v>232</v>
      </c>
      <c r="B128" s="22" t="s">
        <v>233</v>
      </c>
      <c r="C128" s="21" t="s">
        <v>234</v>
      </c>
      <c r="D128" s="22" t="s">
        <v>684</v>
      </c>
      <c r="E128" s="22" t="s">
        <v>623</v>
      </c>
      <c r="F128" s="22" t="s">
        <v>662</v>
      </c>
      <c r="G128" s="22" t="s">
        <v>662</v>
      </c>
      <c r="H128" s="22" t="s">
        <v>654</v>
      </c>
      <c r="I128" s="22" t="s">
        <v>795</v>
      </c>
      <c r="J128" s="22">
        <v>1</v>
      </c>
      <c r="K128" s="22">
        <v>17</v>
      </c>
      <c r="L128" s="24">
        <v>5.8823529411764705E-2</v>
      </c>
      <c r="M128" s="22">
        <v>1</v>
      </c>
      <c r="N128" s="23">
        <v>15</v>
      </c>
      <c r="O128" s="24">
        <v>6.6666666666666666E-2</v>
      </c>
      <c r="P128" s="22">
        <v>1</v>
      </c>
      <c r="Q128" s="23">
        <v>16.5</v>
      </c>
      <c r="R128" s="24">
        <v>6.0606060606060608E-2</v>
      </c>
      <c r="S128" s="21">
        <v>0</v>
      </c>
      <c r="T128" s="23">
        <v>17</v>
      </c>
      <c r="U128" s="24">
        <v>0</v>
      </c>
      <c r="V128" s="21">
        <v>1</v>
      </c>
      <c r="W128" s="23">
        <v>16.5</v>
      </c>
      <c r="X128" s="24">
        <v>6.0606060606060608E-2</v>
      </c>
      <c r="Y128" s="25">
        <v>2</v>
      </c>
      <c r="Z128" s="25">
        <v>16.5</v>
      </c>
      <c r="AA128" s="24">
        <v>0.12121212121212122</v>
      </c>
      <c r="AB128" s="22">
        <v>0</v>
      </c>
      <c r="AC128" s="22">
        <v>17</v>
      </c>
      <c r="AD128" s="24">
        <f>Table13[[#This Row],[Gönüllü Çıkış Sayısı]]/Table13[[#This Row],[Ortalama Çalışan Sayısı]]</f>
        <v>5.8823529411764705E-2</v>
      </c>
      <c r="AE128" s="26">
        <v>0</v>
      </c>
      <c r="AF128" s="25">
        <v>13</v>
      </c>
      <c r="AG128" s="24">
        <v>0</v>
      </c>
      <c r="AH128" s="26">
        <v>1</v>
      </c>
      <c r="AI128" s="25">
        <v>13.5</v>
      </c>
      <c r="AJ128" s="24">
        <v>7.407407407407407E-2</v>
      </c>
      <c r="AK128" s="26">
        <v>0</v>
      </c>
      <c r="AL128" s="25">
        <v>17</v>
      </c>
      <c r="AM128" s="24">
        <v>0</v>
      </c>
      <c r="AN128" s="26">
        <v>0</v>
      </c>
      <c r="AO128" s="25">
        <v>17</v>
      </c>
      <c r="AP128" s="24">
        <v>0</v>
      </c>
      <c r="AQ128" s="26">
        <v>0</v>
      </c>
      <c r="AR128" s="25">
        <v>17</v>
      </c>
      <c r="AS128" s="24">
        <v>0</v>
      </c>
    </row>
    <row r="129" spans="1:45" x14ac:dyDescent="0.35">
      <c r="A129" s="21" t="s">
        <v>235</v>
      </c>
      <c r="B129" s="22" t="s">
        <v>236</v>
      </c>
      <c r="C129" s="21" t="s">
        <v>796</v>
      </c>
      <c r="D129" s="22" t="s">
        <v>707</v>
      </c>
      <c r="E129" s="22" t="s">
        <v>629</v>
      </c>
      <c r="F129" s="22" t="s">
        <v>635</v>
      </c>
      <c r="G129" s="22" t="s">
        <v>635</v>
      </c>
      <c r="H129" s="22" t="s">
        <v>654</v>
      </c>
      <c r="I129" s="22" t="s">
        <v>710</v>
      </c>
      <c r="J129" s="22">
        <v>3</v>
      </c>
      <c r="K129" s="22">
        <v>9.5</v>
      </c>
      <c r="L129" s="24">
        <v>0.31578947368421051</v>
      </c>
      <c r="M129" s="22">
        <v>0</v>
      </c>
      <c r="N129" s="23">
        <v>15</v>
      </c>
      <c r="O129" s="24">
        <v>0</v>
      </c>
      <c r="P129" s="22">
        <v>1</v>
      </c>
      <c r="Q129" s="23">
        <v>14</v>
      </c>
      <c r="R129" s="24">
        <v>7.1428571428571425E-2</v>
      </c>
      <c r="S129" s="21">
        <v>2</v>
      </c>
      <c r="T129" s="23">
        <v>14</v>
      </c>
      <c r="U129" s="24">
        <v>0.14285714285714285</v>
      </c>
      <c r="V129" s="21">
        <v>0</v>
      </c>
      <c r="W129" s="23">
        <v>14.5</v>
      </c>
      <c r="X129" s="24">
        <v>0</v>
      </c>
      <c r="Y129" s="25">
        <v>7</v>
      </c>
      <c r="Z129" s="25">
        <v>13</v>
      </c>
      <c r="AA129" s="24">
        <v>0.53846153846153844</v>
      </c>
      <c r="AB129" s="22">
        <v>1</v>
      </c>
      <c r="AC129" s="22">
        <v>14</v>
      </c>
      <c r="AD129" s="24">
        <f>Table13[[#This Row],[Gönüllü Çıkış Sayısı]]/Table13[[#This Row],[Ortalama Çalışan Sayısı]]</f>
        <v>0.31578947368421051</v>
      </c>
      <c r="AE129" s="26">
        <v>1</v>
      </c>
      <c r="AF129" s="25">
        <v>14</v>
      </c>
      <c r="AG129" s="24">
        <v>7.1428571428571425E-2</v>
      </c>
      <c r="AH129" s="26">
        <v>0</v>
      </c>
      <c r="AI129" s="25">
        <v>15</v>
      </c>
      <c r="AJ129" s="24">
        <v>0</v>
      </c>
      <c r="AK129" s="26">
        <v>0</v>
      </c>
      <c r="AL129" s="25">
        <v>13.5</v>
      </c>
      <c r="AM129" s="24">
        <v>0</v>
      </c>
      <c r="AN129" s="26">
        <v>2</v>
      </c>
      <c r="AO129" s="25">
        <v>13.5</v>
      </c>
      <c r="AP129" s="24">
        <v>0.14814814814814814</v>
      </c>
      <c r="AQ129" s="26">
        <v>4</v>
      </c>
      <c r="AR129" s="25">
        <v>13.5</v>
      </c>
      <c r="AS129" s="24">
        <v>0.29629629629629628</v>
      </c>
    </row>
    <row r="130" spans="1:45" x14ac:dyDescent="0.35">
      <c r="A130" s="21" t="s">
        <v>237</v>
      </c>
      <c r="B130" s="22" t="s">
        <v>238</v>
      </c>
      <c r="C130" s="21" t="s">
        <v>797</v>
      </c>
      <c r="D130" s="22" t="s">
        <v>661</v>
      </c>
      <c r="E130" s="22" t="s">
        <v>657</v>
      </c>
      <c r="F130" s="22" t="s">
        <v>662</v>
      </c>
      <c r="G130" s="22" t="s">
        <v>662</v>
      </c>
      <c r="H130" s="22" t="s">
        <v>631</v>
      </c>
      <c r="I130" s="22" t="s">
        <v>632</v>
      </c>
      <c r="J130" s="22">
        <v>0</v>
      </c>
      <c r="K130" s="22">
        <v>37.5</v>
      </c>
      <c r="L130" s="24">
        <v>0</v>
      </c>
      <c r="M130" s="22">
        <v>0</v>
      </c>
      <c r="N130" s="23">
        <v>17</v>
      </c>
      <c r="O130" s="24">
        <v>0</v>
      </c>
      <c r="P130" s="22">
        <v>0</v>
      </c>
      <c r="Q130" s="23">
        <v>17</v>
      </c>
      <c r="R130" s="24">
        <v>0</v>
      </c>
      <c r="S130" s="21">
        <v>3</v>
      </c>
      <c r="T130" s="23">
        <v>40</v>
      </c>
      <c r="U130" s="24">
        <v>7.4999999999999997E-2</v>
      </c>
      <c r="V130" s="21">
        <v>6</v>
      </c>
      <c r="W130" s="23">
        <v>39</v>
      </c>
      <c r="X130" s="24">
        <v>0.15384615384615385</v>
      </c>
      <c r="Y130" s="25">
        <v>14</v>
      </c>
      <c r="Z130" s="25">
        <v>37</v>
      </c>
      <c r="AA130" s="24">
        <v>0.3783783783783784</v>
      </c>
      <c r="AB130" s="22">
        <v>1</v>
      </c>
      <c r="AC130" s="22">
        <v>37</v>
      </c>
      <c r="AD130" s="24">
        <f>Table13[[#This Row],[Gönüllü Çıkış Sayısı]]/Table13[[#This Row],[Ortalama Çalışan Sayısı]]</f>
        <v>0</v>
      </c>
      <c r="AE130" s="26">
        <v>0</v>
      </c>
      <c r="AF130" s="25">
        <v>17</v>
      </c>
      <c r="AG130" s="24">
        <v>0</v>
      </c>
      <c r="AH130" s="26">
        <v>0</v>
      </c>
      <c r="AI130" s="25">
        <v>17</v>
      </c>
      <c r="AJ130" s="24">
        <v>0</v>
      </c>
      <c r="AK130" s="26">
        <v>1</v>
      </c>
      <c r="AL130" s="25">
        <v>36.5</v>
      </c>
      <c r="AM130" s="24">
        <v>2.7397260273972601E-2</v>
      </c>
      <c r="AN130" s="26">
        <v>2</v>
      </c>
      <c r="AO130" s="25">
        <v>37</v>
      </c>
      <c r="AP130" s="24">
        <v>5.4054054054054057E-2</v>
      </c>
      <c r="AQ130" s="26">
        <v>7</v>
      </c>
      <c r="AR130" s="25">
        <v>37</v>
      </c>
      <c r="AS130" s="24">
        <v>0.1891891891891892</v>
      </c>
    </row>
    <row r="131" spans="1:45" x14ac:dyDescent="0.35">
      <c r="A131" s="21" t="s">
        <v>239</v>
      </c>
      <c r="B131" s="22" t="s">
        <v>240</v>
      </c>
      <c r="C131" s="21" t="s">
        <v>798</v>
      </c>
      <c r="D131" s="22" t="s">
        <v>628</v>
      </c>
      <c r="E131" s="22" t="s">
        <v>629</v>
      </c>
      <c r="F131" s="22" t="s">
        <v>646</v>
      </c>
      <c r="G131" s="22" t="s">
        <v>646</v>
      </c>
      <c r="H131" s="22" t="s">
        <v>636</v>
      </c>
      <c r="I131" s="22" t="s">
        <v>632</v>
      </c>
      <c r="J131" s="22">
        <v>6</v>
      </c>
      <c r="K131" s="22">
        <v>20.5</v>
      </c>
      <c r="L131" s="24">
        <v>0.29268292682926828</v>
      </c>
      <c r="M131" s="22">
        <v>0</v>
      </c>
      <c r="N131" s="23">
        <v>12</v>
      </c>
      <c r="O131" s="24">
        <v>0</v>
      </c>
      <c r="P131" s="22">
        <v>2</v>
      </c>
      <c r="Q131" s="23">
        <v>14</v>
      </c>
      <c r="R131" s="24">
        <v>0.14285714285714285</v>
      </c>
      <c r="S131" s="21">
        <v>1</v>
      </c>
      <c r="T131" s="23">
        <v>24.5</v>
      </c>
      <c r="U131" s="24">
        <v>4.0816326530612242E-2</v>
      </c>
      <c r="V131" s="21">
        <v>1</v>
      </c>
      <c r="W131" s="23">
        <v>24.5</v>
      </c>
      <c r="X131" s="24">
        <v>4.0816326530612242E-2</v>
      </c>
      <c r="Y131" s="25">
        <v>14</v>
      </c>
      <c r="Z131" s="25">
        <v>24.5</v>
      </c>
      <c r="AA131" s="24">
        <v>0.5714285714285714</v>
      </c>
      <c r="AB131" s="22">
        <v>1</v>
      </c>
      <c r="AC131" s="22">
        <v>22</v>
      </c>
      <c r="AD131" s="24">
        <f>Table13[[#This Row],[Gönüllü Çıkış Sayısı]]/Table13[[#This Row],[Ortalama Çalışan Sayısı]]</f>
        <v>0.29268292682926828</v>
      </c>
      <c r="AE131" s="26">
        <v>0</v>
      </c>
      <c r="AF131" s="25">
        <v>13.5</v>
      </c>
      <c r="AG131" s="24">
        <v>0</v>
      </c>
      <c r="AH131" s="26">
        <v>1</v>
      </c>
      <c r="AI131" s="25">
        <v>12.5</v>
      </c>
      <c r="AJ131" s="24">
        <v>0.08</v>
      </c>
      <c r="AK131" s="26">
        <v>2</v>
      </c>
      <c r="AL131" s="25">
        <v>22</v>
      </c>
      <c r="AM131" s="24">
        <v>9.0909090909090912E-2</v>
      </c>
      <c r="AN131" s="26">
        <v>0</v>
      </c>
      <c r="AO131" s="25">
        <v>21.5</v>
      </c>
      <c r="AP131" s="24">
        <v>0</v>
      </c>
      <c r="AQ131" s="26">
        <v>10</v>
      </c>
      <c r="AR131" s="25">
        <v>22</v>
      </c>
      <c r="AS131" s="24">
        <v>0.45454545454545453</v>
      </c>
    </row>
    <row r="132" spans="1:45" x14ac:dyDescent="0.35">
      <c r="A132" s="21" t="s">
        <v>241</v>
      </c>
      <c r="B132" s="22" t="s">
        <v>242</v>
      </c>
      <c r="C132" s="21" t="s">
        <v>799</v>
      </c>
      <c r="D132" s="22" t="s">
        <v>622</v>
      </c>
      <c r="E132" s="22" t="s">
        <v>623</v>
      </c>
      <c r="F132" s="22" t="s">
        <v>624</v>
      </c>
      <c r="G132" s="22" t="s">
        <v>624</v>
      </c>
      <c r="H132" s="22" t="s">
        <v>668</v>
      </c>
      <c r="I132" s="22" t="s">
        <v>800</v>
      </c>
      <c r="J132" s="22">
        <v>0</v>
      </c>
      <c r="K132" s="22">
        <v>13</v>
      </c>
      <c r="L132" s="24">
        <v>0</v>
      </c>
      <c r="M132" s="22">
        <v>4</v>
      </c>
      <c r="N132" s="23">
        <v>38</v>
      </c>
      <c r="O132" s="24">
        <v>0.10526315789473684</v>
      </c>
      <c r="P132" s="22">
        <v>1</v>
      </c>
      <c r="Q132" s="23">
        <v>38</v>
      </c>
      <c r="R132" s="24">
        <v>2.6315789473684209E-2</v>
      </c>
      <c r="S132" s="21">
        <v>1</v>
      </c>
      <c r="T132" s="23">
        <v>13.5</v>
      </c>
      <c r="U132" s="24">
        <v>7.407407407407407E-2</v>
      </c>
      <c r="V132" s="21">
        <v>2</v>
      </c>
      <c r="W132" s="23">
        <v>14</v>
      </c>
      <c r="X132" s="24">
        <v>0.14285714285714285</v>
      </c>
      <c r="Y132" s="25">
        <v>7</v>
      </c>
      <c r="Z132" s="25">
        <v>13.5</v>
      </c>
      <c r="AA132" s="24">
        <v>0.51851851851851849</v>
      </c>
      <c r="AB132" s="22">
        <v>1</v>
      </c>
      <c r="AC132" s="22">
        <v>14.5</v>
      </c>
      <c r="AD132" s="24">
        <f>Table13[[#This Row],[Gönüllü Çıkış Sayısı]]/Table13[[#This Row],[Ortalama Çalışan Sayısı]]</f>
        <v>0</v>
      </c>
      <c r="AE132" s="26">
        <v>1</v>
      </c>
      <c r="AF132" s="25">
        <v>38.5</v>
      </c>
      <c r="AG132" s="24">
        <v>2.5974025974025976E-2</v>
      </c>
      <c r="AH132" s="26">
        <v>2</v>
      </c>
      <c r="AI132" s="25">
        <v>37.5</v>
      </c>
      <c r="AJ132" s="24">
        <v>5.3333333333333337E-2</v>
      </c>
      <c r="AK132" s="26">
        <v>1</v>
      </c>
      <c r="AL132" s="25">
        <v>13.5</v>
      </c>
      <c r="AM132" s="24">
        <v>7.407407407407407E-2</v>
      </c>
      <c r="AN132" s="26">
        <v>2</v>
      </c>
      <c r="AO132" s="25">
        <v>12</v>
      </c>
      <c r="AP132" s="24">
        <v>0.16666666666666666</v>
      </c>
      <c r="AQ132" s="26">
        <v>6</v>
      </c>
      <c r="AR132" s="25">
        <v>13</v>
      </c>
      <c r="AS132" s="24">
        <v>0.46153846153846156</v>
      </c>
    </row>
    <row r="133" spans="1:45" x14ac:dyDescent="0.35">
      <c r="A133" s="21" t="s">
        <v>243</v>
      </c>
      <c r="B133" s="22" t="s">
        <v>244</v>
      </c>
      <c r="C133" s="21" t="s">
        <v>801</v>
      </c>
      <c r="D133" s="22" t="s">
        <v>707</v>
      </c>
      <c r="E133" s="22" t="s">
        <v>629</v>
      </c>
      <c r="F133" s="22" t="s">
        <v>635</v>
      </c>
      <c r="G133" s="22" t="s">
        <v>635</v>
      </c>
      <c r="H133" s="22" t="s">
        <v>631</v>
      </c>
      <c r="I133" s="22" t="s">
        <v>710</v>
      </c>
      <c r="J133" s="22">
        <v>0</v>
      </c>
      <c r="K133" s="22">
        <v>21</v>
      </c>
      <c r="L133" s="24">
        <v>0</v>
      </c>
      <c r="M133" s="22">
        <v>3</v>
      </c>
      <c r="N133" s="23">
        <v>24.5</v>
      </c>
      <c r="O133" s="24">
        <v>0.12244897959183673</v>
      </c>
      <c r="P133" s="22">
        <v>3</v>
      </c>
      <c r="Q133" s="23">
        <v>24</v>
      </c>
      <c r="R133" s="24">
        <v>0.125</v>
      </c>
      <c r="S133" s="21">
        <v>2</v>
      </c>
      <c r="T133" s="23">
        <v>26</v>
      </c>
      <c r="U133" s="24">
        <v>7.6923076923076927E-2</v>
      </c>
      <c r="V133" s="21">
        <v>1</v>
      </c>
      <c r="W133" s="23">
        <v>26.5</v>
      </c>
      <c r="X133" s="24">
        <v>3.7735849056603772E-2</v>
      </c>
      <c r="Y133" s="25">
        <v>3</v>
      </c>
      <c r="Z133" s="25">
        <v>25</v>
      </c>
      <c r="AA133" s="24">
        <v>0.12</v>
      </c>
      <c r="AB133" s="22">
        <v>1</v>
      </c>
      <c r="AC133" s="22">
        <v>22.5</v>
      </c>
      <c r="AD133" s="24">
        <f>Table13[[#This Row],[Gönüllü Çıkış Sayısı]]/Table13[[#This Row],[Ortalama Çalışan Sayısı]]</f>
        <v>0</v>
      </c>
      <c r="AE133" s="26">
        <v>6</v>
      </c>
      <c r="AF133" s="25">
        <v>21.5</v>
      </c>
      <c r="AG133" s="24">
        <v>0.27906976744186046</v>
      </c>
      <c r="AH133" s="26">
        <v>1</v>
      </c>
      <c r="AI133" s="25">
        <v>22</v>
      </c>
      <c r="AJ133" s="24">
        <v>4.5454545454545456E-2</v>
      </c>
      <c r="AK133" s="26">
        <v>2</v>
      </c>
      <c r="AL133" s="25">
        <v>22</v>
      </c>
      <c r="AM133" s="24">
        <v>9.0909090909090912E-2</v>
      </c>
      <c r="AN133" s="26">
        <v>0</v>
      </c>
      <c r="AO133" s="25">
        <v>21</v>
      </c>
      <c r="AP133" s="24">
        <v>0</v>
      </c>
      <c r="AQ133" s="26">
        <v>3</v>
      </c>
      <c r="AR133" s="25">
        <v>22</v>
      </c>
      <c r="AS133" s="24">
        <v>0.13636363636363635</v>
      </c>
    </row>
    <row r="134" spans="1:45" x14ac:dyDescent="0.35">
      <c r="A134" s="21" t="s">
        <v>245</v>
      </c>
      <c r="B134" s="22" t="s">
        <v>246</v>
      </c>
      <c r="C134" s="21" t="s">
        <v>802</v>
      </c>
      <c r="D134" s="22" t="s">
        <v>678</v>
      </c>
      <c r="E134" s="22" t="s">
        <v>623</v>
      </c>
      <c r="F134" s="22" t="s">
        <v>624</v>
      </c>
      <c r="G134" s="22" t="s">
        <v>624</v>
      </c>
      <c r="H134" s="22" t="s">
        <v>654</v>
      </c>
      <c r="I134" s="22" t="s">
        <v>679</v>
      </c>
      <c r="J134" s="22">
        <v>3</v>
      </c>
      <c r="K134" s="22">
        <v>14.5</v>
      </c>
      <c r="L134" s="24">
        <v>0.20689655172413793</v>
      </c>
      <c r="M134" s="22">
        <v>3</v>
      </c>
      <c r="N134" s="23">
        <v>13.5</v>
      </c>
      <c r="O134" s="24">
        <v>0.22222222222222221</v>
      </c>
      <c r="P134" s="22">
        <v>1</v>
      </c>
      <c r="Q134" s="23">
        <v>13.5</v>
      </c>
      <c r="R134" s="24">
        <v>7.407407407407407E-2</v>
      </c>
      <c r="S134" s="21">
        <v>1</v>
      </c>
      <c r="T134" s="23">
        <v>16</v>
      </c>
      <c r="U134" s="24">
        <v>6.25E-2</v>
      </c>
      <c r="V134" s="21">
        <v>3</v>
      </c>
      <c r="W134" s="23">
        <v>17.5</v>
      </c>
      <c r="X134" s="24">
        <v>0.17142857142857143</v>
      </c>
      <c r="Y134" s="25">
        <v>13</v>
      </c>
      <c r="Z134" s="25">
        <v>18.5</v>
      </c>
      <c r="AA134" s="24">
        <v>0.70270270270270274</v>
      </c>
      <c r="AB134" s="22">
        <v>4</v>
      </c>
      <c r="AC134" s="22">
        <v>20</v>
      </c>
      <c r="AD134" s="24">
        <f>Table13[[#This Row],[Gönüllü Çıkış Sayısı]]/Table13[[#This Row],[Ortalama Çalışan Sayısı]]</f>
        <v>0.20689655172413793</v>
      </c>
      <c r="AE134" s="26">
        <v>1</v>
      </c>
      <c r="AF134" s="25">
        <v>15</v>
      </c>
      <c r="AG134" s="24">
        <v>6.6666666666666666E-2</v>
      </c>
      <c r="AH134" s="26">
        <v>1</v>
      </c>
      <c r="AI134" s="25">
        <v>14.5</v>
      </c>
      <c r="AJ134" s="24">
        <v>6.8965517241379309E-2</v>
      </c>
      <c r="AK134" s="26">
        <v>3</v>
      </c>
      <c r="AL134" s="25">
        <v>18</v>
      </c>
      <c r="AM134" s="24">
        <v>0.16666666666666666</v>
      </c>
      <c r="AN134" s="26">
        <v>7</v>
      </c>
      <c r="AO134" s="25">
        <v>19</v>
      </c>
      <c r="AP134" s="24">
        <v>0.36842105263157893</v>
      </c>
      <c r="AQ134" s="26">
        <v>17</v>
      </c>
      <c r="AR134" s="25">
        <v>20</v>
      </c>
      <c r="AS134" s="24">
        <v>0.85</v>
      </c>
    </row>
    <row r="135" spans="1:45" x14ac:dyDescent="0.35">
      <c r="A135" s="21" t="s">
        <v>247</v>
      </c>
      <c r="B135" s="22" t="s">
        <v>248</v>
      </c>
      <c r="C135" s="21" t="s">
        <v>249</v>
      </c>
      <c r="D135" s="22" t="s">
        <v>634</v>
      </c>
      <c r="E135" s="22" t="s">
        <v>629</v>
      </c>
      <c r="F135" s="22" t="s">
        <v>635</v>
      </c>
      <c r="G135" s="22" t="s">
        <v>635</v>
      </c>
      <c r="H135" s="22" t="s">
        <v>668</v>
      </c>
      <c r="I135" s="22" t="s">
        <v>637</v>
      </c>
      <c r="J135" s="22">
        <v>1</v>
      </c>
      <c r="K135" s="22">
        <v>15</v>
      </c>
      <c r="L135" s="24">
        <v>6.6666666666666666E-2</v>
      </c>
      <c r="M135" s="22">
        <v>0</v>
      </c>
      <c r="N135" s="23">
        <v>25</v>
      </c>
      <c r="O135" s="24">
        <v>0</v>
      </c>
      <c r="P135" s="22">
        <v>0</v>
      </c>
      <c r="Q135" s="23">
        <v>26</v>
      </c>
      <c r="R135" s="24">
        <v>0</v>
      </c>
      <c r="S135" s="21">
        <v>1</v>
      </c>
      <c r="T135" s="23">
        <v>16</v>
      </c>
      <c r="U135" s="24">
        <v>6.25E-2</v>
      </c>
      <c r="V135" s="21">
        <v>0</v>
      </c>
      <c r="W135" s="23">
        <v>16</v>
      </c>
      <c r="X135" s="24">
        <v>0</v>
      </c>
      <c r="Y135" s="25">
        <v>3</v>
      </c>
      <c r="Z135" s="25">
        <v>16.5</v>
      </c>
      <c r="AA135" s="24">
        <v>0.18181818181818182</v>
      </c>
      <c r="AB135" s="22">
        <v>0</v>
      </c>
      <c r="AC135" s="22">
        <v>15</v>
      </c>
      <c r="AD135" s="24">
        <f>Table13[[#This Row],[Gönüllü Çıkış Sayısı]]/Table13[[#This Row],[Ortalama Çalışan Sayısı]]</f>
        <v>6.6666666666666666E-2</v>
      </c>
      <c r="AE135" s="26">
        <v>0</v>
      </c>
      <c r="AF135" s="25">
        <v>22</v>
      </c>
      <c r="AG135" s="24">
        <v>0</v>
      </c>
      <c r="AH135" s="26">
        <v>0</v>
      </c>
      <c r="AI135" s="25">
        <v>22.5</v>
      </c>
      <c r="AJ135" s="24">
        <v>0</v>
      </c>
      <c r="AK135" s="26">
        <v>0</v>
      </c>
      <c r="AL135" s="25">
        <v>17</v>
      </c>
      <c r="AM135" s="24">
        <v>0</v>
      </c>
      <c r="AN135" s="26">
        <v>1</v>
      </c>
      <c r="AO135" s="25">
        <v>16.5</v>
      </c>
      <c r="AP135" s="24">
        <v>6.0606060606060608E-2</v>
      </c>
      <c r="AQ135" s="26">
        <v>2</v>
      </c>
      <c r="AR135" s="25">
        <v>15.5</v>
      </c>
      <c r="AS135" s="24">
        <v>0.12903225806451613</v>
      </c>
    </row>
    <row r="136" spans="1:45" x14ac:dyDescent="0.35">
      <c r="A136" s="21" t="s">
        <v>250</v>
      </c>
      <c r="B136" s="22" t="s">
        <v>251</v>
      </c>
      <c r="C136" s="21" t="s">
        <v>803</v>
      </c>
      <c r="D136" s="22" t="s">
        <v>634</v>
      </c>
      <c r="E136" s="22" t="s">
        <v>629</v>
      </c>
      <c r="F136" s="22" t="s">
        <v>635</v>
      </c>
      <c r="G136" s="22" t="s">
        <v>635</v>
      </c>
      <c r="H136" s="22" t="s">
        <v>668</v>
      </c>
      <c r="I136" s="22" t="s">
        <v>637</v>
      </c>
      <c r="J136" s="22">
        <v>0</v>
      </c>
      <c r="K136" s="22">
        <v>15</v>
      </c>
      <c r="L136" s="24">
        <v>0</v>
      </c>
      <c r="M136" s="22">
        <v>1</v>
      </c>
      <c r="N136" s="23">
        <v>14.5</v>
      </c>
      <c r="O136" s="24">
        <v>6.8965517241379309E-2</v>
      </c>
      <c r="P136" s="22">
        <v>5</v>
      </c>
      <c r="Q136" s="23">
        <v>16.5</v>
      </c>
      <c r="R136" s="24">
        <v>0.30303030303030304</v>
      </c>
      <c r="S136" s="21">
        <v>0</v>
      </c>
      <c r="T136" s="23">
        <v>13.5</v>
      </c>
      <c r="U136" s="24">
        <v>0</v>
      </c>
      <c r="V136" s="21">
        <v>1</v>
      </c>
      <c r="W136" s="23">
        <v>13.5</v>
      </c>
      <c r="X136" s="24">
        <v>7.407407407407407E-2</v>
      </c>
      <c r="Y136" s="25">
        <v>3</v>
      </c>
      <c r="Z136" s="25">
        <v>14</v>
      </c>
      <c r="AA136" s="24">
        <v>0.21428571428571427</v>
      </c>
      <c r="AB136" s="22">
        <v>2</v>
      </c>
      <c r="AC136" s="22">
        <v>14</v>
      </c>
      <c r="AD136" s="24">
        <f>Table13[[#This Row],[Gönüllü Çıkış Sayısı]]/Table13[[#This Row],[Ortalama Çalışan Sayısı]]</f>
        <v>0</v>
      </c>
      <c r="AE136" s="26">
        <v>1</v>
      </c>
      <c r="AF136" s="25">
        <v>20.5</v>
      </c>
      <c r="AG136" s="24">
        <v>4.878048780487805E-2</v>
      </c>
      <c r="AH136" s="26">
        <v>2</v>
      </c>
      <c r="AI136" s="25">
        <v>21</v>
      </c>
      <c r="AJ136" s="24">
        <v>9.5238095238095233E-2</v>
      </c>
      <c r="AK136" s="26">
        <v>1</v>
      </c>
      <c r="AL136" s="25">
        <v>13.5</v>
      </c>
      <c r="AM136" s="24">
        <v>7.407407407407407E-2</v>
      </c>
      <c r="AN136" s="26">
        <v>0</v>
      </c>
      <c r="AO136" s="25">
        <v>14</v>
      </c>
      <c r="AP136" s="24">
        <v>0</v>
      </c>
      <c r="AQ136" s="26">
        <v>3</v>
      </c>
      <c r="AR136" s="25">
        <v>15</v>
      </c>
      <c r="AS136" s="24">
        <v>0.2</v>
      </c>
    </row>
    <row r="137" spans="1:45" x14ac:dyDescent="0.35">
      <c r="A137" s="21" t="s">
        <v>252</v>
      </c>
      <c r="B137" s="22" t="s">
        <v>253</v>
      </c>
      <c r="C137" s="21" t="s">
        <v>804</v>
      </c>
      <c r="D137" s="22" t="s">
        <v>656</v>
      </c>
      <c r="E137" s="22" t="s">
        <v>657</v>
      </c>
      <c r="F137" s="22" t="s">
        <v>658</v>
      </c>
      <c r="G137" s="22" t="s">
        <v>1570</v>
      </c>
      <c r="H137" s="22" t="s">
        <v>636</v>
      </c>
      <c r="I137" s="22" t="s">
        <v>718</v>
      </c>
      <c r="J137" s="22">
        <v>1</v>
      </c>
      <c r="K137" s="22">
        <v>21</v>
      </c>
      <c r="L137" s="24">
        <v>4.7619047619047616E-2</v>
      </c>
      <c r="M137" s="22">
        <v>1</v>
      </c>
      <c r="N137" s="23">
        <v>14.5</v>
      </c>
      <c r="O137" s="24">
        <v>6.8965517241379309E-2</v>
      </c>
      <c r="P137" s="22">
        <v>0</v>
      </c>
      <c r="Q137" s="23">
        <v>15.5</v>
      </c>
      <c r="R137" s="24">
        <v>0</v>
      </c>
      <c r="S137" s="21">
        <v>2</v>
      </c>
      <c r="T137" s="23">
        <v>23</v>
      </c>
      <c r="U137" s="24">
        <v>8.6956521739130432E-2</v>
      </c>
      <c r="V137" s="21">
        <v>4</v>
      </c>
      <c r="W137" s="23">
        <v>22</v>
      </c>
      <c r="X137" s="24">
        <v>0.18181818181818182</v>
      </c>
      <c r="Y137" s="25">
        <v>12</v>
      </c>
      <c r="Z137" s="25">
        <v>21</v>
      </c>
      <c r="AA137" s="24">
        <v>0.5714285714285714</v>
      </c>
      <c r="AB137" s="22">
        <v>3</v>
      </c>
      <c r="AC137" s="22">
        <v>19.5</v>
      </c>
      <c r="AD137" s="24">
        <f>Table13[[#This Row],[Gönüllü Çıkış Sayısı]]/Table13[[#This Row],[Ortalama Çalışan Sayısı]]</f>
        <v>4.7619047619047616E-2</v>
      </c>
      <c r="AE137" s="26">
        <v>0</v>
      </c>
      <c r="AF137" s="25">
        <v>15</v>
      </c>
      <c r="AG137" s="24">
        <v>0</v>
      </c>
      <c r="AH137" s="26">
        <v>1</v>
      </c>
      <c r="AI137" s="25">
        <v>16</v>
      </c>
      <c r="AJ137" s="24">
        <v>6.25E-2</v>
      </c>
      <c r="AK137" s="26">
        <v>4</v>
      </c>
      <c r="AL137" s="25">
        <v>20</v>
      </c>
      <c r="AM137" s="24">
        <v>0.2</v>
      </c>
      <c r="AN137" s="26">
        <v>1</v>
      </c>
      <c r="AO137" s="25">
        <v>18.5</v>
      </c>
      <c r="AP137" s="24">
        <v>5.4054054054054057E-2</v>
      </c>
      <c r="AQ137" s="26">
        <v>10</v>
      </c>
      <c r="AR137" s="25">
        <v>19</v>
      </c>
      <c r="AS137" s="24">
        <v>0.52631578947368418</v>
      </c>
    </row>
    <row r="138" spans="1:45" x14ac:dyDescent="0.35">
      <c r="A138" s="21" t="s">
        <v>256</v>
      </c>
      <c r="B138" s="22" t="s">
        <v>257</v>
      </c>
      <c r="C138" s="21" t="s">
        <v>805</v>
      </c>
      <c r="D138" s="22" t="s">
        <v>651</v>
      </c>
      <c r="E138" s="22" t="s">
        <v>629</v>
      </c>
      <c r="F138" s="22" t="s">
        <v>630</v>
      </c>
      <c r="G138" s="22" t="s">
        <v>1569</v>
      </c>
      <c r="H138" s="22" t="s">
        <v>668</v>
      </c>
      <c r="I138" s="22" t="s">
        <v>705</v>
      </c>
      <c r="J138" s="22">
        <v>0</v>
      </c>
      <c r="K138" s="22">
        <v>14</v>
      </c>
      <c r="L138" s="24">
        <v>0</v>
      </c>
      <c r="M138" s="22">
        <v>0</v>
      </c>
      <c r="N138" s="23">
        <v>15</v>
      </c>
      <c r="O138" s="24">
        <v>0</v>
      </c>
      <c r="P138" s="22">
        <v>2</v>
      </c>
      <c r="Q138" s="23">
        <v>14</v>
      </c>
      <c r="R138" s="24">
        <v>0.14285714285714285</v>
      </c>
      <c r="S138" s="21">
        <v>5</v>
      </c>
      <c r="T138" s="23">
        <v>12</v>
      </c>
      <c r="U138" s="24">
        <v>0.41666666666666669</v>
      </c>
      <c r="V138" s="21">
        <v>2</v>
      </c>
      <c r="W138" s="23">
        <v>13</v>
      </c>
      <c r="X138" s="24">
        <v>0.15384615384615385</v>
      </c>
      <c r="Y138" s="25">
        <v>11</v>
      </c>
      <c r="Z138" s="25">
        <v>13.5</v>
      </c>
      <c r="AA138" s="24">
        <v>0.81481481481481477</v>
      </c>
      <c r="AB138" s="22">
        <v>3</v>
      </c>
      <c r="AC138" s="22">
        <v>14</v>
      </c>
      <c r="AD138" s="24">
        <f>Table13[[#This Row],[Gönüllü Çıkış Sayısı]]/Table13[[#This Row],[Ortalama Çalışan Sayısı]]</f>
        <v>0</v>
      </c>
      <c r="AE138" s="26">
        <v>0</v>
      </c>
      <c r="AF138" s="25">
        <v>15</v>
      </c>
      <c r="AG138" s="24">
        <v>0</v>
      </c>
      <c r="AH138" s="26">
        <v>0</v>
      </c>
      <c r="AI138" s="25">
        <v>14</v>
      </c>
      <c r="AJ138" s="24">
        <v>0</v>
      </c>
      <c r="AK138" s="26">
        <v>0</v>
      </c>
      <c r="AL138" s="25">
        <v>14</v>
      </c>
      <c r="AM138" s="24">
        <v>0</v>
      </c>
      <c r="AN138" s="26">
        <v>0</v>
      </c>
      <c r="AO138" s="25">
        <v>14</v>
      </c>
      <c r="AP138" s="24">
        <v>0</v>
      </c>
      <c r="AQ138" s="26">
        <v>4</v>
      </c>
      <c r="AR138" s="25">
        <v>15.5</v>
      </c>
      <c r="AS138" s="24">
        <v>0.25806451612903225</v>
      </c>
    </row>
    <row r="139" spans="1:45" x14ac:dyDescent="0.35">
      <c r="A139" s="21" t="s">
        <v>258</v>
      </c>
      <c r="B139" s="22" t="s">
        <v>259</v>
      </c>
      <c r="C139" s="21" t="s">
        <v>806</v>
      </c>
      <c r="D139" s="22" t="s">
        <v>691</v>
      </c>
      <c r="E139" s="22" t="s">
        <v>657</v>
      </c>
      <c r="F139" s="22" t="s">
        <v>658</v>
      </c>
      <c r="G139" s="22" t="s">
        <v>662</v>
      </c>
      <c r="H139" s="22" t="s">
        <v>668</v>
      </c>
      <c r="I139" s="22" t="s">
        <v>632</v>
      </c>
      <c r="J139" s="22">
        <v>0</v>
      </c>
      <c r="K139" s="22">
        <v>14</v>
      </c>
      <c r="L139" s="24">
        <v>0</v>
      </c>
      <c r="M139" s="22">
        <v>3</v>
      </c>
      <c r="N139" s="23">
        <v>22.5</v>
      </c>
      <c r="O139" s="24">
        <v>0.13333333333333333</v>
      </c>
      <c r="P139" s="22">
        <v>2</v>
      </c>
      <c r="Q139" s="23">
        <v>23.5</v>
      </c>
      <c r="R139" s="24">
        <v>8.5106382978723402E-2</v>
      </c>
      <c r="S139" s="21">
        <v>0</v>
      </c>
      <c r="T139" s="23">
        <v>15</v>
      </c>
      <c r="U139" s="24">
        <v>0</v>
      </c>
      <c r="V139" s="21">
        <v>1</v>
      </c>
      <c r="W139" s="23">
        <v>15</v>
      </c>
      <c r="X139" s="24">
        <v>6.6666666666666666E-2</v>
      </c>
      <c r="Y139" s="25">
        <v>2</v>
      </c>
      <c r="Z139" s="25">
        <v>15</v>
      </c>
      <c r="AA139" s="24">
        <v>0.13333333333333333</v>
      </c>
      <c r="AB139" s="22">
        <v>2</v>
      </c>
      <c r="AC139" s="22">
        <v>13.5</v>
      </c>
      <c r="AD139" s="24">
        <f>Table13[[#This Row],[Gönüllü Çıkış Sayısı]]/Table13[[#This Row],[Ortalama Çalışan Sayısı]]</f>
        <v>0</v>
      </c>
      <c r="AE139" s="26">
        <v>0</v>
      </c>
      <c r="AF139" s="25">
        <v>19</v>
      </c>
      <c r="AG139" s="24">
        <v>0</v>
      </c>
      <c r="AH139" s="26">
        <v>2</v>
      </c>
      <c r="AI139" s="25">
        <v>21</v>
      </c>
      <c r="AJ139" s="24">
        <v>9.5238095238095233E-2</v>
      </c>
      <c r="AK139" s="26">
        <v>0</v>
      </c>
      <c r="AL139" s="25">
        <v>13</v>
      </c>
      <c r="AM139" s="24">
        <v>0</v>
      </c>
      <c r="AN139" s="26">
        <v>0</v>
      </c>
      <c r="AO139" s="25">
        <v>13.5</v>
      </c>
      <c r="AP139" s="24">
        <v>0</v>
      </c>
      <c r="AQ139" s="26">
        <v>3</v>
      </c>
      <c r="AR139" s="25">
        <v>14</v>
      </c>
      <c r="AS139" s="24">
        <v>0.21428571428571427</v>
      </c>
    </row>
    <row r="140" spans="1:45" x14ac:dyDescent="0.35">
      <c r="A140" s="21" t="s">
        <v>260</v>
      </c>
      <c r="B140" s="22" t="s">
        <v>261</v>
      </c>
      <c r="C140" s="21" t="s">
        <v>807</v>
      </c>
      <c r="D140" s="22" t="s">
        <v>656</v>
      </c>
      <c r="E140" s="22" t="s">
        <v>657</v>
      </c>
      <c r="F140" s="22" t="s">
        <v>658</v>
      </c>
      <c r="G140" s="22" t="s">
        <v>1570</v>
      </c>
      <c r="H140" s="22" t="s">
        <v>636</v>
      </c>
      <c r="I140" s="22" t="s">
        <v>808</v>
      </c>
      <c r="J140" s="22">
        <v>0</v>
      </c>
      <c r="K140" s="22">
        <v>22</v>
      </c>
      <c r="L140" s="24">
        <v>0</v>
      </c>
      <c r="M140" s="22">
        <v>2</v>
      </c>
      <c r="N140" s="23">
        <v>15</v>
      </c>
      <c r="O140" s="24">
        <v>0.13333333333333333</v>
      </c>
      <c r="P140" s="22">
        <v>1</v>
      </c>
      <c r="Q140" s="23">
        <v>7.5</v>
      </c>
      <c r="R140" s="24">
        <v>0.13333333333333333</v>
      </c>
      <c r="S140" s="21">
        <v>1</v>
      </c>
      <c r="T140" s="23">
        <v>23.5</v>
      </c>
      <c r="U140" s="24">
        <v>4.2553191489361701E-2</v>
      </c>
      <c r="V140" s="21">
        <v>1</v>
      </c>
      <c r="W140" s="23">
        <v>24</v>
      </c>
      <c r="X140" s="24">
        <v>4.1666666666666664E-2</v>
      </c>
      <c r="Y140" s="25">
        <v>3</v>
      </c>
      <c r="Z140" s="25">
        <v>23.5</v>
      </c>
      <c r="AA140" s="24">
        <v>0.1276595744680851</v>
      </c>
      <c r="AB140" s="22">
        <v>2</v>
      </c>
      <c r="AC140" s="22">
        <v>25</v>
      </c>
      <c r="AD140" s="24">
        <f>Table13[[#This Row],[Gönüllü Çıkış Sayısı]]/Table13[[#This Row],[Ortalama Çalışan Sayısı]]</f>
        <v>0</v>
      </c>
      <c r="AE140" s="26">
        <v>2</v>
      </c>
      <c r="AF140" s="25">
        <v>17</v>
      </c>
      <c r="AG140" s="24">
        <v>0.11764705882352941</v>
      </c>
      <c r="AH140" s="26">
        <v>2</v>
      </c>
      <c r="AI140" s="25">
        <v>15.5</v>
      </c>
      <c r="AJ140" s="24">
        <v>0.12903225806451613</v>
      </c>
      <c r="AK140" s="26">
        <v>2</v>
      </c>
      <c r="AL140" s="25">
        <v>24.5</v>
      </c>
      <c r="AM140" s="24">
        <v>8.1632653061224483E-2</v>
      </c>
      <c r="AN140" s="26">
        <v>1</v>
      </c>
      <c r="AO140" s="25">
        <v>23.5</v>
      </c>
      <c r="AP140" s="24">
        <v>4.2553191489361701E-2</v>
      </c>
      <c r="AQ140" s="26">
        <v>8</v>
      </c>
      <c r="AR140" s="25">
        <v>24.5</v>
      </c>
      <c r="AS140" s="24">
        <v>0.32653061224489793</v>
      </c>
    </row>
    <row r="141" spans="1:45" x14ac:dyDescent="0.35">
      <c r="A141" s="21" t="s">
        <v>262</v>
      </c>
      <c r="B141" s="22" t="s">
        <v>263</v>
      </c>
      <c r="C141" s="21" t="s">
        <v>809</v>
      </c>
      <c r="D141" s="22" t="s">
        <v>663</v>
      </c>
      <c r="E141" s="22" t="s">
        <v>629</v>
      </c>
      <c r="F141" s="22" t="s">
        <v>646</v>
      </c>
      <c r="G141" s="22" t="s">
        <v>646</v>
      </c>
      <c r="H141" s="22" t="s">
        <v>668</v>
      </c>
      <c r="I141" s="22" t="s">
        <v>810</v>
      </c>
      <c r="J141" s="22">
        <v>0</v>
      </c>
      <c r="K141" s="22">
        <v>10.5</v>
      </c>
      <c r="L141" s="24">
        <v>0</v>
      </c>
      <c r="M141" s="22">
        <v>2</v>
      </c>
      <c r="N141" s="23">
        <v>14</v>
      </c>
      <c r="O141" s="24">
        <v>0.14285714285714285</v>
      </c>
      <c r="P141" s="22">
        <v>2</v>
      </c>
      <c r="Q141" s="23">
        <v>13.5</v>
      </c>
      <c r="R141" s="24">
        <v>0.14814814814814814</v>
      </c>
      <c r="S141" s="21">
        <v>0</v>
      </c>
      <c r="T141" s="23">
        <v>11.5</v>
      </c>
      <c r="U141" s="24">
        <v>0</v>
      </c>
      <c r="V141" s="21">
        <v>0</v>
      </c>
      <c r="W141" s="23">
        <v>11</v>
      </c>
      <c r="X141" s="24">
        <v>0</v>
      </c>
      <c r="Y141" s="25">
        <v>3</v>
      </c>
      <c r="Z141" s="25">
        <v>11</v>
      </c>
      <c r="AA141" s="24">
        <v>0.27272727272727271</v>
      </c>
      <c r="AB141" s="22">
        <v>0</v>
      </c>
      <c r="AC141" s="22">
        <v>10</v>
      </c>
      <c r="AD141" s="24">
        <f>Table13[[#This Row],[Gönüllü Çıkış Sayısı]]/Table13[[#This Row],[Ortalama Çalışan Sayısı]]</f>
        <v>0</v>
      </c>
      <c r="AE141" s="26">
        <v>1</v>
      </c>
      <c r="AF141" s="25">
        <v>13</v>
      </c>
      <c r="AG141" s="24">
        <v>7.6923076923076927E-2</v>
      </c>
      <c r="AH141" s="26">
        <v>0</v>
      </c>
      <c r="AI141" s="25">
        <v>14</v>
      </c>
      <c r="AJ141" s="24">
        <v>0</v>
      </c>
      <c r="AK141" s="26">
        <v>0</v>
      </c>
      <c r="AL141" s="25">
        <v>10</v>
      </c>
      <c r="AM141" s="24">
        <v>0</v>
      </c>
      <c r="AN141" s="26">
        <v>0</v>
      </c>
      <c r="AO141" s="25">
        <v>10</v>
      </c>
      <c r="AP141" s="24">
        <v>0</v>
      </c>
      <c r="AQ141" s="26">
        <v>0</v>
      </c>
      <c r="AR141" s="25">
        <v>10</v>
      </c>
      <c r="AS141" s="24">
        <v>0</v>
      </c>
    </row>
    <row r="142" spans="1:45" x14ac:dyDescent="0.35">
      <c r="A142" s="21" t="s">
        <v>264</v>
      </c>
      <c r="B142" s="22" t="s">
        <v>265</v>
      </c>
      <c r="C142" s="21" t="s">
        <v>811</v>
      </c>
      <c r="D142" s="22" t="s">
        <v>678</v>
      </c>
      <c r="E142" s="22" t="s">
        <v>623</v>
      </c>
      <c r="F142" s="22" t="s">
        <v>624</v>
      </c>
      <c r="G142" s="22" t="s">
        <v>624</v>
      </c>
      <c r="H142" s="22" t="s">
        <v>654</v>
      </c>
      <c r="I142" s="22" t="s">
        <v>689</v>
      </c>
      <c r="J142" s="22">
        <v>0</v>
      </c>
      <c r="K142" s="22">
        <v>16</v>
      </c>
      <c r="L142" s="24">
        <v>0</v>
      </c>
      <c r="M142" s="22">
        <v>1</v>
      </c>
      <c r="N142" s="23">
        <v>15.5</v>
      </c>
      <c r="O142" s="24">
        <v>6.4516129032258063E-2</v>
      </c>
      <c r="P142" s="22">
        <v>0</v>
      </c>
      <c r="Q142" s="23">
        <v>16</v>
      </c>
      <c r="R142" s="24">
        <v>0</v>
      </c>
      <c r="S142" s="21">
        <v>0</v>
      </c>
      <c r="T142" s="23">
        <v>16.5</v>
      </c>
      <c r="U142" s="24">
        <v>0</v>
      </c>
      <c r="V142" s="21">
        <v>0</v>
      </c>
      <c r="W142" s="23">
        <v>17.5</v>
      </c>
      <c r="X142" s="24">
        <v>0</v>
      </c>
      <c r="Y142" s="25">
        <v>0</v>
      </c>
      <c r="Z142" s="25">
        <v>17</v>
      </c>
      <c r="AA142" s="24">
        <v>0</v>
      </c>
      <c r="AB142" s="22">
        <v>2</v>
      </c>
      <c r="AC142" s="22">
        <v>16.5</v>
      </c>
      <c r="AD142" s="24">
        <f>Table13[[#This Row],[Gönüllü Çıkış Sayısı]]/Table13[[#This Row],[Ortalama Çalışan Sayısı]]</f>
        <v>0</v>
      </c>
      <c r="AE142" s="26">
        <v>1</v>
      </c>
      <c r="AF142" s="25">
        <v>13.5</v>
      </c>
      <c r="AG142" s="24">
        <v>7.407407407407407E-2</v>
      </c>
      <c r="AH142" s="26">
        <v>0</v>
      </c>
      <c r="AI142" s="25">
        <v>13</v>
      </c>
      <c r="AJ142" s="24">
        <v>0</v>
      </c>
      <c r="AK142" s="26">
        <v>1</v>
      </c>
      <c r="AL142" s="25">
        <v>14.5</v>
      </c>
      <c r="AM142" s="24">
        <v>6.8965517241379309E-2</v>
      </c>
      <c r="AN142" s="26">
        <v>2</v>
      </c>
      <c r="AO142" s="25">
        <v>14.5</v>
      </c>
      <c r="AP142" s="24">
        <v>0.13793103448275862</v>
      </c>
      <c r="AQ142" s="26">
        <v>6</v>
      </c>
      <c r="AR142" s="25">
        <v>15.5</v>
      </c>
      <c r="AS142" s="24">
        <v>0.38709677419354838</v>
      </c>
    </row>
    <row r="143" spans="1:45" x14ac:dyDescent="0.35">
      <c r="A143" s="21" t="s">
        <v>266</v>
      </c>
      <c r="B143" s="22" t="s">
        <v>267</v>
      </c>
      <c r="C143" s="21" t="s">
        <v>812</v>
      </c>
      <c r="D143" s="22" t="s">
        <v>634</v>
      </c>
      <c r="E143" s="22" t="s">
        <v>629</v>
      </c>
      <c r="F143" s="22" t="s">
        <v>635</v>
      </c>
      <c r="G143" s="22" t="s">
        <v>635</v>
      </c>
      <c r="H143" s="22" t="s">
        <v>636</v>
      </c>
      <c r="I143" s="22" t="s">
        <v>637</v>
      </c>
      <c r="J143" s="22">
        <v>1</v>
      </c>
      <c r="K143" s="22">
        <v>22.5</v>
      </c>
      <c r="L143" s="24">
        <v>4.4444444444444446E-2</v>
      </c>
      <c r="M143" s="22">
        <v>0</v>
      </c>
      <c r="N143" s="23">
        <v>23</v>
      </c>
      <c r="O143" s="24">
        <v>0</v>
      </c>
      <c r="P143" s="22">
        <v>1</v>
      </c>
      <c r="Q143" s="23">
        <v>25.5</v>
      </c>
      <c r="R143" s="24">
        <v>3.9215686274509803E-2</v>
      </c>
      <c r="S143" s="21">
        <v>1</v>
      </c>
      <c r="T143" s="23">
        <v>24</v>
      </c>
      <c r="U143" s="24">
        <v>4.1666666666666664E-2</v>
      </c>
      <c r="V143" s="21">
        <v>0</v>
      </c>
      <c r="W143" s="23">
        <v>24.5</v>
      </c>
      <c r="X143" s="24">
        <v>0</v>
      </c>
      <c r="Y143" s="25">
        <v>2</v>
      </c>
      <c r="Z143" s="25">
        <v>24</v>
      </c>
      <c r="AA143" s="24">
        <v>8.3333333333333329E-2</v>
      </c>
      <c r="AB143" s="22">
        <v>0</v>
      </c>
      <c r="AC143" s="22">
        <v>22</v>
      </c>
      <c r="AD143" s="24">
        <f>Table13[[#This Row],[Gönüllü Çıkış Sayısı]]/Table13[[#This Row],[Ortalama Çalışan Sayısı]]</f>
        <v>4.4444444444444446E-2</v>
      </c>
      <c r="AE143" s="26">
        <v>2</v>
      </c>
      <c r="AF143" s="25">
        <v>24.5</v>
      </c>
      <c r="AG143" s="24">
        <v>8.1632653061224483E-2</v>
      </c>
      <c r="AH143" s="26">
        <v>1</v>
      </c>
      <c r="AI143" s="25">
        <v>25</v>
      </c>
      <c r="AJ143" s="24">
        <v>0.04</v>
      </c>
      <c r="AK143" s="26">
        <v>2</v>
      </c>
      <c r="AL143" s="25">
        <v>21.5</v>
      </c>
      <c r="AM143" s="24">
        <v>9.3023255813953487E-2</v>
      </c>
      <c r="AN143" s="26">
        <v>1</v>
      </c>
      <c r="AO143" s="25">
        <v>21.5</v>
      </c>
      <c r="AP143" s="24">
        <v>4.6511627906976744E-2</v>
      </c>
      <c r="AQ143" s="26">
        <v>4</v>
      </c>
      <c r="AR143" s="25">
        <v>21.5</v>
      </c>
      <c r="AS143" s="24">
        <v>0.18604651162790697</v>
      </c>
    </row>
    <row r="144" spans="1:45" x14ac:dyDescent="0.35">
      <c r="A144" s="21" t="s">
        <v>268</v>
      </c>
      <c r="B144" s="22" t="s">
        <v>269</v>
      </c>
      <c r="C144" s="21" t="s">
        <v>270</v>
      </c>
      <c r="D144" s="22" t="s">
        <v>666</v>
      </c>
      <c r="E144" s="22" t="s">
        <v>629</v>
      </c>
      <c r="F144" s="22" t="s">
        <v>635</v>
      </c>
      <c r="G144" s="22" t="s">
        <v>635</v>
      </c>
      <c r="H144" s="22" t="s">
        <v>654</v>
      </c>
      <c r="I144" s="22" t="s">
        <v>637</v>
      </c>
      <c r="J144" s="22">
        <v>0</v>
      </c>
      <c r="K144" s="22">
        <v>13</v>
      </c>
      <c r="L144" s="24">
        <v>0</v>
      </c>
      <c r="M144" s="22">
        <v>1</v>
      </c>
      <c r="N144" s="23">
        <v>11</v>
      </c>
      <c r="O144" s="24">
        <v>9.0909090909090912E-2</v>
      </c>
      <c r="P144" s="22">
        <v>2</v>
      </c>
      <c r="Q144" s="23">
        <v>11</v>
      </c>
      <c r="R144" s="24">
        <v>0.18181818181818182</v>
      </c>
      <c r="S144" s="21">
        <v>0</v>
      </c>
      <c r="T144" s="23">
        <v>14</v>
      </c>
      <c r="U144" s="24">
        <v>0</v>
      </c>
      <c r="V144" s="21">
        <v>0</v>
      </c>
      <c r="W144" s="23">
        <v>14.5</v>
      </c>
      <c r="X144" s="24">
        <v>0</v>
      </c>
      <c r="Y144" s="25">
        <v>0</v>
      </c>
      <c r="Z144" s="25">
        <v>14</v>
      </c>
      <c r="AA144" s="24">
        <v>0</v>
      </c>
      <c r="AB144" s="22">
        <v>0</v>
      </c>
      <c r="AC144" s="22">
        <v>13</v>
      </c>
      <c r="AD144" s="24">
        <f>Table13[[#This Row],[Gönüllü Çıkış Sayısı]]/Table13[[#This Row],[Ortalama Çalışan Sayısı]]</f>
        <v>0</v>
      </c>
      <c r="AE144" s="26">
        <v>0</v>
      </c>
      <c r="AF144" s="25">
        <v>10</v>
      </c>
      <c r="AG144" s="24">
        <v>0</v>
      </c>
      <c r="AH144" s="26">
        <v>0</v>
      </c>
      <c r="AI144" s="25">
        <v>10</v>
      </c>
      <c r="AJ144" s="24">
        <v>0</v>
      </c>
      <c r="AK144" s="26">
        <v>0</v>
      </c>
      <c r="AL144" s="25">
        <v>14</v>
      </c>
      <c r="AM144" s="24">
        <v>0</v>
      </c>
      <c r="AN144" s="26">
        <v>1</v>
      </c>
      <c r="AO144" s="25">
        <v>13.5</v>
      </c>
      <c r="AP144" s="24">
        <v>7.407407407407407E-2</v>
      </c>
      <c r="AQ144" s="26">
        <v>2</v>
      </c>
      <c r="AR144" s="25">
        <v>13</v>
      </c>
      <c r="AS144" s="24">
        <v>0.15384615384615385</v>
      </c>
    </row>
    <row r="145" spans="1:45" x14ac:dyDescent="0.35">
      <c r="A145" s="21" t="s">
        <v>271</v>
      </c>
      <c r="B145" s="22" t="s">
        <v>272</v>
      </c>
      <c r="C145" s="21" t="s">
        <v>813</v>
      </c>
      <c r="D145" s="22" t="s">
        <v>666</v>
      </c>
      <c r="E145" s="22" t="s">
        <v>629</v>
      </c>
      <c r="F145" s="22" t="s">
        <v>635</v>
      </c>
      <c r="G145" s="22" t="s">
        <v>635</v>
      </c>
      <c r="H145" s="22" t="s">
        <v>654</v>
      </c>
      <c r="I145" s="22" t="s">
        <v>739</v>
      </c>
      <c r="J145" s="22">
        <v>2</v>
      </c>
      <c r="K145" s="22">
        <v>12</v>
      </c>
      <c r="L145" s="24">
        <v>0.16666666666666666</v>
      </c>
      <c r="M145" s="22">
        <v>0</v>
      </c>
      <c r="N145" s="23">
        <v>16</v>
      </c>
      <c r="O145" s="24">
        <v>0</v>
      </c>
      <c r="P145" s="22">
        <v>0</v>
      </c>
      <c r="Q145" s="23">
        <v>16</v>
      </c>
      <c r="R145" s="24">
        <v>0</v>
      </c>
      <c r="S145" s="21">
        <v>0</v>
      </c>
      <c r="T145" s="23">
        <v>13</v>
      </c>
      <c r="U145" s="24">
        <v>0</v>
      </c>
      <c r="V145" s="21">
        <v>0</v>
      </c>
      <c r="W145" s="23">
        <v>14</v>
      </c>
      <c r="X145" s="24">
        <v>0</v>
      </c>
      <c r="Y145" s="25">
        <v>4</v>
      </c>
      <c r="Z145" s="25">
        <v>14</v>
      </c>
      <c r="AA145" s="24">
        <v>0.2857142857142857</v>
      </c>
      <c r="AB145" s="22">
        <v>0</v>
      </c>
      <c r="AC145" s="22">
        <v>13</v>
      </c>
      <c r="AD145" s="24">
        <f>Table13[[#This Row],[Gönüllü Çıkış Sayısı]]/Table13[[#This Row],[Ortalama Çalışan Sayısı]]</f>
        <v>0.16666666666666666</v>
      </c>
      <c r="AE145" s="26">
        <v>1</v>
      </c>
      <c r="AF145" s="25">
        <v>15</v>
      </c>
      <c r="AG145" s="24">
        <v>6.6666666666666666E-2</v>
      </c>
      <c r="AH145" s="26">
        <v>0</v>
      </c>
      <c r="AI145" s="25">
        <v>14</v>
      </c>
      <c r="AJ145" s="24">
        <v>0</v>
      </c>
      <c r="AK145" s="26">
        <v>2</v>
      </c>
      <c r="AL145" s="25">
        <v>13.5</v>
      </c>
      <c r="AM145" s="24">
        <v>0.14814814814814814</v>
      </c>
      <c r="AN145" s="26">
        <v>1</v>
      </c>
      <c r="AO145" s="25">
        <v>13</v>
      </c>
      <c r="AP145" s="24">
        <v>7.6923076923076927E-2</v>
      </c>
      <c r="AQ145" s="26">
        <v>5</v>
      </c>
      <c r="AR145" s="25">
        <v>13</v>
      </c>
      <c r="AS145" s="24">
        <v>0.38461538461538464</v>
      </c>
    </row>
    <row r="146" spans="1:45" x14ac:dyDescent="0.35">
      <c r="A146" s="21" t="s">
        <v>273</v>
      </c>
      <c r="B146" s="22" t="s">
        <v>274</v>
      </c>
      <c r="C146" s="21" t="s">
        <v>275</v>
      </c>
      <c r="D146" s="22" t="s">
        <v>663</v>
      </c>
      <c r="E146" s="22" t="s">
        <v>629</v>
      </c>
      <c r="F146" s="22" t="s">
        <v>646</v>
      </c>
      <c r="G146" s="22" t="s">
        <v>646</v>
      </c>
      <c r="H146" s="22" t="s">
        <v>636</v>
      </c>
      <c r="I146" s="22" t="s">
        <v>639</v>
      </c>
      <c r="J146" s="22">
        <v>4</v>
      </c>
      <c r="K146" s="22">
        <v>16</v>
      </c>
      <c r="L146" s="24">
        <v>0.25</v>
      </c>
      <c r="M146" s="22">
        <v>0</v>
      </c>
      <c r="N146" s="23">
        <v>22</v>
      </c>
      <c r="O146" s="24">
        <v>0</v>
      </c>
      <c r="P146" s="22">
        <v>0</v>
      </c>
      <c r="Q146" s="23">
        <v>23</v>
      </c>
      <c r="R146" s="24">
        <v>0</v>
      </c>
      <c r="S146" s="21">
        <v>3</v>
      </c>
      <c r="T146" s="23">
        <v>21</v>
      </c>
      <c r="U146" s="24">
        <v>0.14285714285714285</v>
      </c>
      <c r="V146" s="21">
        <v>7</v>
      </c>
      <c r="W146" s="23">
        <v>21.5</v>
      </c>
      <c r="X146" s="24">
        <v>0.32558139534883723</v>
      </c>
      <c r="Y146" s="25">
        <v>20</v>
      </c>
      <c r="Z146" s="25">
        <v>20.5</v>
      </c>
      <c r="AA146" s="24">
        <v>0.97560975609756095</v>
      </c>
      <c r="AB146" s="22">
        <v>3</v>
      </c>
      <c r="AC146" s="22">
        <v>22.5</v>
      </c>
      <c r="AD146" s="24">
        <f>Table13[[#This Row],[Gönüllü Çıkış Sayısı]]/Table13[[#This Row],[Ortalama Çalışan Sayısı]]</f>
        <v>0.25</v>
      </c>
      <c r="AE146" s="26">
        <v>1</v>
      </c>
      <c r="AF146" s="25">
        <v>22</v>
      </c>
      <c r="AG146" s="24">
        <v>4.5454545454545456E-2</v>
      </c>
      <c r="AH146" s="26">
        <v>0</v>
      </c>
      <c r="AI146" s="25">
        <v>22</v>
      </c>
      <c r="AJ146" s="24">
        <v>0</v>
      </c>
      <c r="AK146" s="26">
        <v>3</v>
      </c>
      <c r="AL146" s="25">
        <v>20</v>
      </c>
      <c r="AM146" s="24">
        <v>0.15</v>
      </c>
      <c r="AN146" s="26">
        <v>3</v>
      </c>
      <c r="AO146" s="25">
        <v>19</v>
      </c>
      <c r="AP146" s="24">
        <v>0.15789473684210525</v>
      </c>
      <c r="AQ146" s="26">
        <v>17</v>
      </c>
      <c r="AR146" s="25">
        <v>21</v>
      </c>
      <c r="AS146" s="24">
        <v>0.80952380952380953</v>
      </c>
    </row>
    <row r="147" spans="1:45" x14ac:dyDescent="0.35">
      <c r="A147" s="21" t="s">
        <v>276</v>
      </c>
      <c r="B147" s="22" t="s">
        <v>277</v>
      </c>
      <c r="C147" s="21" t="s">
        <v>814</v>
      </c>
      <c r="D147" s="22" t="s">
        <v>707</v>
      </c>
      <c r="E147" s="22" t="s">
        <v>629</v>
      </c>
      <c r="F147" s="22" t="s">
        <v>635</v>
      </c>
      <c r="G147" s="22" t="s">
        <v>635</v>
      </c>
      <c r="H147" s="22" t="s">
        <v>631</v>
      </c>
      <c r="I147" s="22" t="s">
        <v>710</v>
      </c>
      <c r="J147" s="22">
        <v>2</v>
      </c>
      <c r="K147" s="22">
        <v>22</v>
      </c>
      <c r="L147" s="24">
        <v>9.0909090909090912E-2</v>
      </c>
      <c r="M147" s="22">
        <v>0</v>
      </c>
      <c r="N147" s="23">
        <v>13</v>
      </c>
      <c r="O147" s="24">
        <v>0</v>
      </c>
      <c r="P147" s="22">
        <v>0</v>
      </c>
      <c r="Q147" s="23">
        <v>13.5</v>
      </c>
      <c r="R147" s="24">
        <v>0</v>
      </c>
      <c r="S147" s="21">
        <v>0</v>
      </c>
      <c r="T147" s="23">
        <v>22</v>
      </c>
      <c r="U147" s="24">
        <v>0</v>
      </c>
      <c r="V147" s="21">
        <v>1</v>
      </c>
      <c r="W147" s="23">
        <v>22</v>
      </c>
      <c r="X147" s="24">
        <v>4.5454545454545456E-2</v>
      </c>
      <c r="Y147" s="25">
        <v>3</v>
      </c>
      <c r="Z147" s="25">
        <v>22.5</v>
      </c>
      <c r="AA147" s="24">
        <v>0.13333333333333333</v>
      </c>
      <c r="AB147" s="22">
        <v>0</v>
      </c>
      <c r="AC147" s="22">
        <v>22</v>
      </c>
      <c r="AD147" s="24">
        <f>Table13[[#This Row],[Gönüllü Çıkış Sayısı]]/Table13[[#This Row],[Ortalama Çalışan Sayısı]]</f>
        <v>9.0909090909090912E-2</v>
      </c>
      <c r="AE147" s="26">
        <v>1</v>
      </c>
      <c r="AF147" s="25">
        <v>13</v>
      </c>
      <c r="AG147" s="24">
        <v>7.6923076923076927E-2</v>
      </c>
      <c r="AH147" s="26">
        <v>0</v>
      </c>
      <c r="AI147" s="25">
        <v>14</v>
      </c>
      <c r="AJ147" s="24">
        <v>0</v>
      </c>
      <c r="AK147" s="26">
        <v>1</v>
      </c>
      <c r="AL147" s="25">
        <v>21.5</v>
      </c>
      <c r="AM147" s="24">
        <v>4.6511627906976744E-2</v>
      </c>
      <c r="AN147" s="26">
        <v>0</v>
      </c>
      <c r="AO147" s="25">
        <v>21</v>
      </c>
      <c r="AP147" s="24">
        <v>0</v>
      </c>
      <c r="AQ147" s="26">
        <v>1</v>
      </c>
      <c r="AR147" s="25">
        <v>21.5</v>
      </c>
      <c r="AS147" s="24">
        <v>4.6511627906976744E-2</v>
      </c>
    </row>
    <row r="148" spans="1:45" x14ac:dyDescent="0.35">
      <c r="A148" s="21" t="s">
        <v>278</v>
      </c>
      <c r="B148" s="22" t="s">
        <v>279</v>
      </c>
      <c r="C148" s="21" t="s">
        <v>815</v>
      </c>
      <c r="D148" s="22" t="s">
        <v>661</v>
      </c>
      <c r="E148" s="22" t="s">
        <v>657</v>
      </c>
      <c r="F148" s="22" t="s">
        <v>662</v>
      </c>
      <c r="G148" s="22" t="s">
        <v>662</v>
      </c>
      <c r="H148" s="22" t="s">
        <v>625</v>
      </c>
      <c r="I148" s="22" t="s">
        <v>632</v>
      </c>
      <c r="J148" s="22">
        <v>2</v>
      </c>
      <c r="K148" s="22">
        <v>66.5</v>
      </c>
      <c r="L148" s="24">
        <v>3.007518796992481E-2</v>
      </c>
      <c r="M148" s="22">
        <v>1</v>
      </c>
      <c r="N148" s="23">
        <v>11.5</v>
      </c>
      <c r="O148" s="24">
        <v>8.6956521739130432E-2</v>
      </c>
      <c r="P148" s="22">
        <v>1</v>
      </c>
      <c r="Q148" s="23">
        <v>12.5</v>
      </c>
      <c r="R148" s="24">
        <v>0.08</v>
      </c>
      <c r="S148" s="21">
        <v>5</v>
      </c>
      <c r="T148" s="23">
        <v>69</v>
      </c>
      <c r="U148" s="24">
        <v>7.2463768115942032E-2</v>
      </c>
      <c r="V148" s="21">
        <v>11</v>
      </c>
      <c r="W148" s="23">
        <v>64.5</v>
      </c>
      <c r="X148" s="24">
        <v>0.17054263565891473</v>
      </c>
      <c r="Y148" s="25">
        <v>21</v>
      </c>
      <c r="Z148" s="25">
        <v>66</v>
      </c>
      <c r="AA148" s="24">
        <v>0.31818181818181818</v>
      </c>
      <c r="AB148" s="22">
        <v>5</v>
      </c>
      <c r="AC148" s="22">
        <v>78.5</v>
      </c>
      <c r="AD148" s="24">
        <f>Table13[[#This Row],[Gönüllü Çıkış Sayısı]]/Table13[[#This Row],[Ortalama Çalışan Sayısı]]</f>
        <v>3.007518796992481E-2</v>
      </c>
      <c r="AE148" s="26">
        <v>1</v>
      </c>
      <c r="AF148" s="25">
        <v>14</v>
      </c>
      <c r="AG148" s="24">
        <v>7.1428571428571425E-2</v>
      </c>
      <c r="AH148" s="26">
        <v>1</v>
      </c>
      <c r="AI148" s="25">
        <v>13.5</v>
      </c>
      <c r="AJ148" s="24">
        <v>7.407407407407407E-2</v>
      </c>
      <c r="AK148" s="26">
        <v>6</v>
      </c>
      <c r="AL148" s="25">
        <v>72</v>
      </c>
      <c r="AM148" s="24">
        <v>8.3333333333333329E-2</v>
      </c>
      <c r="AN148" s="26">
        <v>6</v>
      </c>
      <c r="AO148" s="25">
        <v>73.5</v>
      </c>
      <c r="AP148" s="24">
        <v>8.1632653061224483E-2</v>
      </c>
      <c r="AQ148" s="26">
        <v>35</v>
      </c>
      <c r="AR148" s="25">
        <v>77.5</v>
      </c>
      <c r="AS148" s="24">
        <v>0.45161290322580644</v>
      </c>
    </row>
    <row r="149" spans="1:45" x14ac:dyDescent="0.35">
      <c r="A149" s="21" t="s">
        <v>280</v>
      </c>
      <c r="B149" s="22" t="s">
        <v>281</v>
      </c>
      <c r="C149" s="21" t="s">
        <v>816</v>
      </c>
      <c r="D149" s="22" t="s">
        <v>691</v>
      </c>
      <c r="E149" s="22" t="s">
        <v>657</v>
      </c>
      <c r="F149" s="22" t="s">
        <v>658</v>
      </c>
      <c r="G149" s="22" t="s">
        <v>662</v>
      </c>
      <c r="H149" s="22" t="s">
        <v>631</v>
      </c>
      <c r="I149" s="22" t="s">
        <v>632</v>
      </c>
      <c r="J149" s="22">
        <v>4</v>
      </c>
      <c r="K149" s="22">
        <v>32.5</v>
      </c>
      <c r="L149" s="24">
        <v>0.12307692307692308</v>
      </c>
      <c r="M149" s="22">
        <v>1</v>
      </c>
      <c r="N149" s="23">
        <v>18.5</v>
      </c>
      <c r="O149" s="24">
        <v>5.4054054054054057E-2</v>
      </c>
      <c r="P149" s="22">
        <v>5</v>
      </c>
      <c r="Q149" s="23">
        <v>21</v>
      </c>
      <c r="R149" s="24">
        <v>0.23809523809523808</v>
      </c>
      <c r="S149" s="21">
        <v>2</v>
      </c>
      <c r="T149" s="23">
        <v>32.5</v>
      </c>
      <c r="U149" s="24">
        <v>6.1538461538461542E-2</v>
      </c>
      <c r="V149" s="21">
        <v>6</v>
      </c>
      <c r="W149" s="23">
        <v>34</v>
      </c>
      <c r="X149" s="24">
        <v>0.17647058823529413</v>
      </c>
      <c r="Y149" s="25">
        <v>17</v>
      </c>
      <c r="Z149" s="25">
        <v>33</v>
      </c>
      <c r="AA149" s="24">
        <v>0.51515151515151514</v>
      </c>
      <c r="AB149" s="22">
        <v>5</v>
      </c>
      <c r="AC149" s="22">
        <v>42.5</v>
      </c>
      <c r="AD149" s="24">
        <f>Table13[[#This Row],[Gönüllü Çıkış Sayısı]]/Table13[[#This Row],[Ortalama Çalışan Sayısı]]</f>
        <v>0.12307692307692308</v>
      </c>
      <c r="AE149" s="26">
        <v>5</v>
      </c>
      <c r="AF149" s="25">
        <v>19.5</v>
      </c>
      <c r="AG149" s="24">
        <v>0.25641025641025639</v>
      </c>
      <c r="AH149" s="26">
        <v>3</v>
      </c>
      <c r="AI149" s="25">
        <v>19.5</v>
      </c>
      <c r="AJ149" s="24">
        <v>0.15384615384615385</v>
      </c>
      <c r="AK149" s="26">
        <v>3</v>
      </c>
      <c r="AL149" s="25">
        <v>33.5</v>
      </c>
      <c r="AM149" s="24">
        <v>8.9552238805970144E-2</v>
      </c>
      <c r="AN149" s="26">
        <v>1</v>
      </c>
      <c r="AO149" s="25">
        <v>33</v>
      </c>
      <c r="AP149" s="24">
        <v>3.0303030303030304E-2</v>
      </c>
      <c r="AQ149" s="26">
        <v>14</v>
      </c>
      <c r="AR149" s="25">
        <v>39</v>
      </c>
      <c r="AS149" s="24">
        <v>0.35897435897435898</v>
      </c>
    </row>
    <row r="150" spans="1:45" x14ac:dyDescent="0.35">
      <c r="A150" s="21" t="s">
        <v>282</v>
      </c>
      <c r="B150" s="22" t="s">
        <v>283</v>
      </c>
      <c r="C150" s="21" t="s">
        <v>817</v>
      </c>
      <c r="D150" s="22" t="s">
        <v>645</v>
      </c>
      <c r="E150" s="22" t="s">
        <v>629</v>
      </c>
      <c r="F150" s="22" t="s">
        <v>646</v>
      </c>
      <c r="G150" s="22" t="s">
        <v>646</v>
      </c>
      <c r="H150" s="22" t="s">
        <v>668</v>
      </c>
      <c r="I150" s="22" t="s">
        <v>632</v>
      </c>
      <c r="J150" s="22">
        <v>5</v>
      </c>
      <c r="K150" s="22">
        <v>11.5</v>
      </c>
      <c r="L150" s="24">
        <v>0.43478260869565216</v>
      </c>
      <c r="M150" s="22">
        <v>0</v>
      </c>
      <c r="N150" s="23">
        <v>21</v>
      </c>
      <c r="O150" s="24">
        <v>0</v>
      </c>
      <c r="P150" s="22">
        <v>0</v>
      </c>
      <c r="Q150" s="23">
        <v>22</v>
      </c>
      <c r="R150" s="24">
        <v>0</v>
      </c>
      <c r="S150" s="21">
        <v>3</v>
      </c>
      <c r="T150" s="23">
        <v>13.5</v>
      </c>
      <c r="U150" s="24">
        <v>0.22222222222222221</v>
      </c>
      <c r="V150" s="21">
        <v>2</v>
      </c>
      <c r="W150" s="23">
        <v>13</v>
      </c>
      <c r="X150" s="24">
        <v>0.15384615384615385</v>
      </c>
      <c r="Y150" s="25">
        <v>13</v>
      </c>
      <c r="Z150" s="25">
        <v>12</v>
      </c>
      <c r="AA150" s="24">
        <v>1.0833333333333333</v>
      </c>
      <c r="AB150" s="22">
        <v>2</v>
      </c>
      <c r="AC150" s="22">
        <v>14</v>
      </c>
      <c r="AD150" s="24">
        <f>Table13[[#This Row],[Gönüllü Çıkış Sayısı]]/Table13[[#This Row],[Ortalama Çalışan Sayısı]]</f>
        <v>0.43478260869565216</v>
      </c>
      <c r="AE150" s="26">
        <v>0</v>
      </c>
      <c r="AF150" s="25">
        <v>22</v>
      </c>
      <c r="AG150" s="24">
        <v>0</v>
      </c>
      <c r="AH150" s="26">
        <v>0</v>
      </c>
      <c r="AI150" s="25">
        <v>22</v>
      </c>
      <c r="AJ150" s="24">
        <v>0</v>
      </c>
      <c r="AK150" s="26">
        <v>2</v>
      </c>
      <c r="AL150" s="25">
        <v>14</v>
      </c>
      <c r="AM150" s="24">
        <v>0.14285714285714285</v>
      </c>
      <c r="AN150" s="26">
        <v>1</v>
      </c>
      <c r="AO150" s="25">
        <v>14.5</v>
      </c>
      <c r="AP150" s="24">
        <v>6.8965517241379309E-2</v>
      </c>
      <c r="AQ150" s="26">
        <v>8</v>
      </c>
      <c r="AR150" s="25">
        <v>15</v>
      </c>
      <c r="AS150" s="24">
        <v>0.53333333333333333</v>
      </c>
    </row>
    <row r="151" spans="1:45" x14ac:dyDescent="0.35">
      <c r="A151" s="21" t="s">
        <v>284</v>
      </c>
      <c r="B151" s="22" t="s">
        <v>285</v>
      </c>
      <c r="C151" s="21" t="s">
        <v>818</v>
      </c>
      <c r="D151" s="22" t="s">
        <v>661</v>
      </c>
      <c r="E151" s="22" t="s">
        <v>657</v>
      </c>
      <c r="F151" s="22" t="s">
        <v>662</v>
      </c>
      <c r="G151" s="22" t="s">
        <v>662</v>
      </c>
      <c r="H151" s="22" t="s">
        <v>625</v>
      </c>
      <c r="I151" s="22" t="s">
        <v>632</v>
      </c>
      <c r="J151" s="22">
        <v>4</v>
      </c>
      <c r="K151" s="22">
        <v>57.5</v>
      </c>
      <c r="L151" s="24">
        <v>6.9565217391304349E-2</v>
      </c>
      <c r="M151" s="22">
        <v>2</v>
      </c>
      <c r="N151" s="23">
        <v>67.5</v>
      </c>
      <c r="O151" s="24">
        <v>2.9629629629629631E-2</v>
      </c>
      <c r="P151" s="22">
        <v>1</v>
      </c>
      <c r="Q151" s="23">
        <v>68</v>
      </c>
      <c r="R151" s="24">
        <v>1.4705882352941176E-2</v>
      </c>
      <c r="S151" s="21">
        <v>3</v>
      </c>
      <c r="T151" s="23">
        <v>58.5</v>
      </c>
      <c r="U151" s="24">
        <v>5.128205128205128E-2</v>
      </c>
      <c r="V151" s="21">
        <v>3</v>
      </c>
      <c r="W151" s="23">
        <v>57</v>
      </c>
      <c r="X151" s="24">
        <v>5.2631578947368418E-2</v>
      </c>
      <c r="Y151" s="25">
        <v>14</v>
      </c>
      <c r="Z151" s="25">
        <v>58.5</v>
      </c>
      <c r="AA151" s="24">
        <v>0.23931623931623933</v>
      </c>
      <c r="AB151" s="22">
        <v>2</v>
      </c>
      <c r="AC151" s="22">
        <v>64.5</v>
      </c>
      <c r="AD151" s="24">
        <f>Table13[[#This Row],[Gönüllü Çıkış Sayısı]]/Table13[[#This Row],[Ortalama Çalışan Sayısı]]</f>
        <v>6.9565217391304349E-2</v>
      </c>
      <c r="AE151" s="26">
        <v>9</v>
      </c>
      <c r="AF151" s="25">
        <v>71.5</v>
      </c>
      <c r="AG151" s="24">
        <v>0.12587412587412589</v>
      </c>
      <c r="AH151" s="26">
        <v>9</v>
      </c>
      <c r="AI151" s="25">
        <v>73</v>
      </c>
      <c r="AJ151" s="24">
        <v>0.12328767123287671</v>
      </c>
      <c r="AK151" s="26">
        <v>3</v>
      </c>
      <c r="AL151" s="25">
        <v>66</v>
      </c>
      <c r="AM151" s="24">
        <v>4.5454545454545456E-2</v>
      </c>
      <c r="AN151" s="26">
        <v>2</v>
      </c>
      <c r="AO151" s="25">
        <v>67</v>
      </c>
      <c r="AP151" s="24">
        <v>2.9850746268656716E-2</v>
      </c>
      <c r="AQ151" s="26">
        <v>15</v>
      </c>
      <c r="AR151" s="25">
        <v>65.5</v>
      </c>
      <c r="AS151" s="24">
        <v>0.22900763358778625</v>
      </c>
    </row>
    <row r="152" spans="1:45" x14ac:dyDescent="0.35">
      <c r="A152" s="21" t="s">
        <v>286</v>
      </c>
      <c r="B152" s="22" t="s">
        <v>287</v>
      </c>
      <c r="C152" s="21" t="s">
        <v>819</v>
      </c>
      <c r="D152" s="22" t="s">
        <v>640</v>
      </c>
      <c r="E152" s="22" t="s">
        <v>623</v>
      </c>
      <c r="F152" s="22" t="s">
        <v>641</v>
      </c>
      <c r="G152" s="22" t="s">
        <v>641</v>
      </c>
      <c r="H152" s="22" t="s">
        <v>668</v>
      </c>
      <c r="I152" s="22" t="s">
        <v>754</v>
      </c>
      <c r="J152" s="22">
        <v>0</v>
      </c>
      <c r="K152" s="22">
        <v>11</v>
      </c>
      <c r="L152" s="24">
        <v>0</v>
      </c>
      <c r="M152" s="22">
        <v>2</v>
      </c>
      <c r="N152" s="23">
        <v>32</v>
      </c>
      <c r="O152" s="24">
        <v>6.25E-2</v>
      </c>
      <c r="P152" s="22">
        <v>3</v>
      </c>
      <c r="Q152" s="23">
        <v>30.5</v>
      </c>
      <c r="R152" s="24">
        <v>9.8360655737704916E-2</v>
      </c>
      <c r="S152" s="21">
        <v>0</v>
      </c>
      <c r="T152" s="23">
        <v>13</v>
      </c>
      <c r="U152" s="24">
        <v>0</v>
      </c>
      <c r="V152" s="21">
        <v>0</v>
      </c>
      <c r="W152" s="23">
        <v>13</v>
      </c>
      <c r="X152" s="24">
        <v>0</v>
      </c>
      <c r="Y152" s="25">
        <v>0</v>
      </c>
      <c r="Z152" s="25">
        <v>12</v>
      </c>
      <c r="AA152" s="24">
        <v>0</v>
      </c>
      <c r="AB152" s="22">
        <v>0</v>
      </c>
      <c r="AC152" s="22">
        <v>12</v>
      </c>
      <c r="AD152" s="24">
        <f>Table13[[#This Row],[Gönüllü Çıkış Sayısı]]/Table13[[#This Row],[Ortalama Çalışan Sayısı]]</f>
        <v>0</v>
      </c>
      <c r="AE152" s="26">
        <v>2</v>
      </c>
      <c r="AF152" s="25">
        <v>37</v>
      </c>
      <c r="AG152" s="24">
        <v>5.4054054054054057E-2</v>
      </c>
      <c r="AH152" s="26">
        <v>3</v>
      </c>
      <c r="AI152" s="25">
        <v>35</v>
      </c>
      <c r="AJ152" s="24">
        <v>8.5714285714285715E-2</v>
      </c>
      <c r="AK152" s="26">
        <v>1</v>
      </c>
      <c r="AL152" s="25">
        <v>10.5</v>
      </c>
      <c r="AM152" s="24">
        <v>9.5238095238095233E-2</v>
      </c>
      <c r="AN152" s="26">
        <v>1</v>
      </c>
      <c r="AO152" s="25">
        <v>9.5</v>
      </c>
      <c r="AP152" s="24">
        <v>0.10526315789473684</v>
      </c>
      <c r="AQ152" s="26">
        <v>3</v>
      </c>
      <c r="AR152" s="25">
        <v>10.5</v>
      </c>
      <c r="AS152" s="24">
        <v>0.2857142857142857</v>
      </c>
    </row>
    <row r="153" spans="1:45" x14ac:dyDescent="0.35">
      <c r="A153" s="21" t="s">
        <v>288</v>
      </c>
      <c r="B153" s="22" t="s">
        <v>289</v>
      </c>
      <c r="C153" s="21" t="s">
        <v>820</v>
      </c>
      <c r="D153" s="22" t="s">
        <v>634</v>
      </c>
      <c r="E153" s="22" t="s">
        <v>629</v>
      </c>
      <c r="F153" s="22" t="s">
        <v>635</v>
      </c>
      <c r="G153" s="22" t="s">
        <v>635</v>
      </c>
      <c r="H153" s="22" t="s">
        <v>642</v>
      </c>
      <c r="I153" s="22" t="s">
        <v>637</v>
      </c>
      <c r="J153" s="22">
        <v>1</v>
      </c>
      <c r="K153" s="22">
        <v>12</v>
      </c>
      <c r="L153" s="24">
        <v>8.3333333333333329E-2</v>
      </c>
      <c r="M153" s="22">
        <v>1</v>
      </c>
      <c r="N153" s="23">
        <v>11.5</v>
      </c>
      <c r="O153" s="24">
        <v>8.6956521739130432E-2</v>
      </c>
      <c r="P153" s="22">
        <v>2</v>
      </c>
      <c r="Q153" s="23">
        <v>13</v>
      </c>
      <c r="R153" s="24">
        <v>0.15384615384615385</v>
      </c>
      <c r="S153" s="21">
        <v>0</v>
      </c>
      <c r="T153" s="23">
        <v>0.5</v>
      </c>
      <c r="U153" s="24">
        <v>0</v>
      </c>
      <c r="V153" s="21" t="s">
        <v>599</v>
      </c>
      <c r="W153" s="23" t="s">
        <v>599</v>
      </c>
      <c r="X153" s="24" t="s">
        <v>599</v>
      </c>
      <c r="Y153" s="25">
        <v>5</v>
      </c>
      <c r="Z153" s="25">
        <v>6.5</v>
      </c>
      <c r="AA153" s="24">
        <v>0.76923076923076927</v>
      </c>
      <c r="AB153" s="22">
        <v>1</v>
      </c>
      <c r="AC153" s="22">
        <v>14</v>
      </c>
      <c r="AD153" s="24">
        <f>Table13[[#This Row],[Gönüllü Çıkış Sayısı]]/Table13[[#This Row],[Ortalama Çalışan Sayısı]]</f>
        <v>8.3333333333333329E-2</v>
      </c>
      <c r="AE153" s="26">
        <v>2</v>
      </c>
      <c r="AF153" s="25">
        <v>12.5</v>
      </c>
      <c r="AG153" s="24">
        <v>0.16</v>
      </c>
      <c r="AH153" s="26">
        <v>1</v>
      </c>
      <c r="AI153" s="25">
        <v>13.5</v>
      </c>
      <c r="AJ153" s="24">
        <v>7.407407407407407E-2</v>
      </c>
      <c r="AK153" s="26">
        <v>3</v>
      </c>
      <c r="AL153" s="25">
        <v>11.5</v>
      </c>
      <c r="AM153" s="24">
        <v>0.2608695652173913</v>
      </c>
      <c r="AN153" s="26">
        <v>0</v>
      </c>
      <c r="AO153" s="25">
        <v>12</v>
      </c>
      <c r="AP153" s="24">
        <v>0</v>
      </c>
      <c r="AQ153" s="26">
        <v>9</v>
      </c>
      <c r="AR153" s="25">
        <v>13</v>
      </c>
      <c r="AS153" s="24">
        <v>0.69230769230769229</v>
      </c>
    </row>
    <row r="154" spans="1:45" x14ac:dyDescent="0.35">
      <c r="A154" s="21" t="s">
        <v>290</v>
      </c>
      <c r="B154" s="22" t="s">
        <v>291</v>
      </c>
      <c r="C154" s="21" t="s">
        <v>292</v>
      </c>
      <c r="D154" s="22" t="s">
        <v>663</v>
      </c>
      <c r="E154" s="22" t="s">
        <v>629</v>
      </c>
      <c r="F154" s="22" t="s">
        <v>646</v>
      </c>
      <c r="G154" s="22" t="s">
        <v>646</v>
      </c>
      <c r="H154" s="22" t="s">
        <v>668</v>
      </c>
      <c r="I154" s="22" t="s">
        <v>639</v>
      </c>
      <c r="J154" s="22">
        <v>0</v>
      </c>
      <c r="K154" s="22">
        <v>12</v>
      </c>
      <c r="L154" s="24">
        <v>0</v>
      </c>
      <c r="M154" s="22">
        <v>2</v>
      </c>
      <c r="N154" s="23">
        <v>57</v>
      </c>
      <c r="O154" s="24">
        <v>3.5087719298245612E-2</v>
      </c>
      <c r="P154" s="22">
        <v>2</v>
      </c>
      <c r="Q154" s="23">
        <v>58.5</v>
      </c>
      <c r="R154" s="24">
        <v>3.4188034188034191E-2</v>
      </c>
      <c r="S154" s="21">
        <v>1</v>
      </c>
      <c r="T154" s="23">
        <v>14</v>
      </c>
      <c r="U154" s="24">
        <v>7.1428571428571425E-2</v>
      </c>
      <c r="V154" s="21">
        <v>1</v>
      </c>
      <c r="W154" s="23">
        <v>14</v>
      </c>
      <c r="X154" s="24">
        <v>7.1428571428571425E-2</v>
      </c>
      <c r="Y154" s="25">
        <v>2</v>
      </c>
      <c r="Z154" s="25">
        <v>13.5</v>
      </c>
      <c r="AA154" s="24">
        <v>0.14814814814814814</v>
      </c>
      <c r="AB154" s="22">
        <v>1</v>
      </c>
      <c r="AC154" s="22">
        <v>15</v>
      </c>
      <c r="AD154" s="24">
        <f>Table13[[#This Row],[Gönüllü Çıkış Sayısı]]/Table13[[#This Row],[Ortalama Çalışan Sayısı]]</f>
        <v>0</v>
      </c>
      <c r="AE154" s="26">
        <v>3</v>
      </c>
      <c r="AF154" s="25">
        <v>65</v>
      </c>
      <c r="AG154" s="24">
        <v>4.6153846153846156E-2</v>
      </c>
      <c r="AH154" s="26">
        <v>5</v>
      </c>
      <c r="AI154" s="25">
        <v>65</v>
      </c>
      <c r="AJ154" s="24">
        <v>7.6923076923076927E-2</v>
      </c>
      <c r="AK154" s="26">
        <v>2</v>
      </c>
      <c r="AL154" s="25">
        <v>14.5</v>
      </c>
      <c r="AM154" s="24">
        <v>0.13793103448275862</v>
      </c>
      <c r="AN154" s="26">
        <v>1</v>
      </c>
      <c r="AO154" s="25">
        <v>14</v>
      </c>
      <c r="AP154" s="24">
        <v>7.1428571428571425E-2</v>
      </c>
      <c r="AQ154" s="26">
        <v>7</v>
      </c>
      <c r="AR154" s="25">
        <v>14.5</v>
      </c>
      <c r="AS154" s="24">
        <v>0.48275862068965519</v>
      </c>
    </row>
    <row r="155" spans="1:45" x14ac:dyDescent="0.35">
      <c r="A155" s="21" t="s">
        <v>293</v>
      </c>
      <c r="B155" s="22" t="s">
        <v>294</v>
      </c>
      <c r="C155" s="21" t="s">
        <v>821</v>
      </c>
      <c r="D155" s="22" t="s">
        <v>634</v>
      </c>
      <c r="E155" s="22" t="s">
        <v>629</v>
      </c>
      <c r="F155" s="22" t="s">
        <v>635</v>
      </c>
      <c r="G155" s="22" t="s">
        <v>635</v>
      </c>
      <c r="H155" s="22" t="s">
        <v>654</v>
      </c>
      <c r="I155" s="22" t="s">
        <v>637</v>
      </c>
      <c r="J155" s="22">
        <v>0</v>
      </c>
      <c r="K155" s="22">
        <v>12.5</v>
      </c>
      <c r="L155" s="24">
        <v>0</v>
      </c>
      <c r="M155" s="22">
        <v>0</v>
      </c>
      <c r="N155" s="23">
        <v>11.5</v>
      </c>
      <c r="O155" s="24">
        <v>0</v>
      </c>
      <c r="P155" s="22">
        <v>0</v>
      </c>
      <c r="Q155" s="23">
        <v>12.5</v>
      </c>
      <c r="R155" s="24">
        <v>0</v>
      </c>
      <c r="S155" s="21">
        <v>1</v>
      </c>
      <c r="T155" s="23">
        <v>13.5</v>
      </c>
      <c r="U155" s="24">
        <v>7.407407407407407E-2</v>
      </c>
      <c r="V155" s="21">
        <v>0</v>
      </c>
      <c r="W155" s="23">
        <v>14</v>
      </c>
      <c r="X155" s="24">
        <v>0</v>
      </c>
      <c r="Y155" s="25">
        <v>2</v>
      </c>
      <c r="Z155" s="25">
        <v>13.5</v>
      </c>
      <c r="AA155" s="24">
        <v>0.14814814814814814</v>
      </c>
      <c r="AB155" s="22">
        <v>0</v>
      </c>
      <c r="AC155" s="22">
        <v>14</v>
      </c>
      <c r="AD155" s="24">
        <f>Table13[[#This Row],[Gönüllü Çıkış Sayısı]]/Table13[[#This Row],[Ortalama Çalışan Sayısı]]</f>
        <v>0</v>
      </c>
      <c r="AE155" s="26">
        <v>1</v>
      </c>
      <c r="AF155" s="25">
        <v>11.5</v>
      </c>
      <c r="AG155" s="24">
        <v>8.6956521739130432E-2</v>
      </c>
      <c r="AH155" s="26">
        <v>0</v>
      </c>
      <c r="AI155" s="25">
        <v>11</v>
      </c>
      <c r="AJ155" s="24">
        <v>0</v>
      </c>
      <c r="AK155" s="26">
        <v>2</v>
      </c>
      <c r="AL155" s="25">
        <v>13.5</v>
      </c>
      <c r="AM155" s="24">
        <v>0.14814814814814814</v>
      </c>
      <c r="AN155" s="26">
        <v>3</v>
      </c>
      <c r="AO155" s="25">
        <v>13</v>
      </c>
      <c r="AP155" s="24">
        <v>0.23076923076923078</v>
      </c>
      <c r="AQ155" s="26">
        <v>5</v>
      </c>
      <c r="AR155" s="25">
        <v>13.5</v>
      </c>
      <c r="AS155" s="24">
        <v>0.37037037037037035</v>
      </c>
    </row>
    <row r="156" spans="1:45" x14ac:dyDescent="0.35">
      <c r="A156" s="21" t="s">
        <v>295</v>
      </c>
      <c r="B156" s="22" t="s">
        <v>296</v>
      </c>
      <c r="C156" s="21" t="s">
        <v>822</v>
      </c>
      <c r="D156" s="22" t="s">
        <v>651</v>
      </c>
      <c r="E156" s="22" t="s">
        <v>629</v>
      </c>
      <c r="F156" s="22" t="s">
        <v>630</v>
      </c>
      <c r="G156" s="22" t="s">
        <v>1569</v>
      </c>
      <c r="H156" s="22" t="s">
        <v>654</v>
      </c>
      <c r="I156" s="22" t="s">
        <v>705</v>
      </c>
      <c r="J156" s="22">
        <v>2</v>
      </c>
      <c r="K156" s="22">
        <v>16</v>
      </c>
      <c r="L156" s="24">
        <v>0.125</v>
      </c>
      <c r="M156" s="22">
        <v>1</v>
      </c>
      <c r="N156" s="23">
        <v>11</v>
      </c>
      <c r="O156" s="24">
        <v>9.0909090909090912E-2</v>
      </c>
      <c r="P156" s="22">
        <v>3</v>
      </c>
      <c r="Q156" s="23">
        <v>10</v>
      </c>
      <c r="R156" s="24">
        <v>0.3</v>
      </c>
      <c r="S156" s="21">
        <v>0</v>
      </c>
      <c r="T156" s="23">
        <v>16.5</v>
      </c>
      <c r="U156" s="24">
        <v>0</v>
      </c>
      <c r="V156" s="21">
        <v>4</v>
      </c>
      <c r="W156" s="23">
        <v>17</v>
      </c>
      <c r="X156" s="24">
        <v>0.23529411764705882</v>
      </c>
      <c r="Y156" s="25">
        <v>9</v>
      </c>
      <c r="Z156" s="25">
        <v>17</v>
      </c>
      <c r="AA156" s="24">
        <v>0.52941176470588236</v>
      </c>
      <c r="AB156" s="22">
        <v>2</v>
      </c>
      <c r="AC156" s="22">
        <v>21</v>
      </c>
      <c r="AD156" s="24">
        <f>Table13[[#This Row],[Gönüllü Çıkış Sayısı]]/Table13[[#This Row],[Ortalama Çalışan Sayısı]]</f>
        <v>0.125</v>
      </c>
      <c r="AE156" s="26">
        <v>1</v>
      </c>
      <c r="AF156" s="25">
        <v>13.5</v>
      </c>
      <c r="AG156" s="24">
        <v>7.407407407407407E-2</v>
      </c>
      <c r="AH156" s="26">
        <v>4</v>
      </c>
      <c r="AI156" s="25">
        <v>12.5</v>
      </c>
      <c r="AJ156" s="24">
        <v>0.32</v>
      </c>
      <c r="AK156" s="26">
        <v>3</v>
      </c>
      <c r="AL156" s="25">
        <v>17.5</v>
      </c>
      <c r="AM156" s="24">
        <v>0.17142857142857143</v>
      </c>
      <c r="AN156" s="26">
        <v>0</v>
      </c>
      <c r="AO156" s="25">
        <v>17</v>
      </c>
      <c r="AP156" s="24">
        <v>0</v>
      </c>
      <c r="AQ156" s="26">
        <v>11</v>
      </c>
      <c r="AR156" s="25">
        <v>19.5</v>
      </c>
      <c r="AS156" s="24">
        <v>0.5641025641025641</v>
      </c>
    </row>
    <row r="157" spans="1:45" x14ac:dyDescent="0.35">
      <c r="A157" s="21" t="s">
        <v>297</v>
      </c>
      <c r="B157" s="22" t="s">
        <v>298</v>
      </c>
      <c r="C157" s="21" t="s">
        <v>299</v>
      </c>
      <c r="D157" s="22" t="s">
        <v>762</v>
      </c>
      <c r="E157" s="22" t="s">
        <v>629</v>
      </c>
      <c r="F157" s="22" t="s">
        <v>646</v>
      </c>
      <c r="G157" s="22" t="s">
        <v>646</v>
      </c>
      <c r="H157" s="22" t="s">
        <v>654</v>
      </c>
      <c r="I157" s="22" t="s">
        <v>823</v>
      </c>
      <c r="J157" s="22">
        <v>7</v>
      </c>
      <c r="K157" s="22">
        <v>15</v>
      </c>
      <c r="L157" s="24">
        <v>0.46666666666666667</v>
      </c>
      <c r="M157" s="22">
        <v>0</v>
      </c>
      <c r="N157" s="23">
        <v>13.5</v>
      </c>
      <c r="O157" s="24">
        <v>0</v>
      </c>
      <c r="P157" s="22">
        <v>0</v>
      </c>
      <c r="Q157" s="23">
        <v>14</v>
      </c>
      <c r="R157" s="24">
        <v>0</v>
      </c>
      <c r="S157" s="21">
        <v>0</v>
      </c>
      <c r="T157" s="23">
        <v>19.5</v>
      </c>
      <c r="U157" s="24">
        <v>0</v>
      </c>
      <c r="V157" s="21">
        <v>2</v>
      </c>
      <c r="W157" s="23">
        <v>20.5</v>
      </c>
      <c r="X157" s="24">
        <v>9.7560975609756101E-2</v>
      </c>
      <c r="Y157" s="25">
        <v>11</v>
      </c>
      <c r="Z157" s="25">
        <v>19</v>
      </c>
      <c r="AA157" s="24">
        <v>0.57894736842105265</v>
      </c>
      <c r="AB157" s="22">
        <v>2</v>
      </c>
      <c r="AC157" s="22">
        <v>18</v>
      </c>
      <c r="AD157" s="24">
        <f>Table13[[#This Row],[Gönüllü Çıkış Sayısı]]/Table13[[#This Row],[Ortalama Çalışan Sayısı]]</f>
        <v>0.46666666666666667</v>
      </c>
      <c r="AE157" s="26">
        <v>2</v>
      </c>
      <c r="AF157" s="25">
        <v>14.5</v>
      </c>
      <c r="AG157" s="24">
        <v>0.13793103448275862</v>
      </c>
      <c r="AH157" s="26">
        <v>1</v>
      </c>
      <c r="AI157" s="25">
        <v>14.5</v>
      </c>
      <c r="AJ157" s="24">
        <v>6.8965517241379309E-2</v>
      </c>
      <c r="AK157" s="26">
        <v>1</v>
      </c>
      <c r="AL157" s="25">
        <v>16.5</v>
      </c>
      <c r="AM157" s="24">
        <v>6.0606060606060608E-2</v>
      </c>
      <c r="AN157" s="26">
        <v>2</v>
      </c>
      <c r="AO157" s="25">
        <v>16.5</v>
      </c>
      <c r="AP157" s="24">
        <v>0.12121212121212122</v>
      </c>
      <c r="AQ157" s="26">
        <v>5</v>
      </c>
      <c r="AR157" s="25">
        <v>17.5</v>
      </c>
      <c r="AS157" s="24">
        <v>0.2857142857142857</v>
      </c>
    </row>
    <row r="158" spans="1:45" x14ac:dyDescent="0.35">
      <c r="A158" s="21" t="s">
        <v>300</v>
      </c>
      <c r="B158" s="22" t="s">
        <v>301</v>
      </c>
      <c r="C158" s="21" t="s">
        <v>824</v>
      </c>
      <c r="D158" s="22" t="s">
        <v>737</v>
      </c>
      <c r="E158" s="22" t="s">
        <v>657</v>
      </c>
      <c r="F158" s="22" t="s">
        <v>641</v>
      </c>
      <c r="G158" s="22" t="s">
        <v>641</v>
      </c>
      <c r="H158" s="22" t="s">
        <v>668</v>
      </c>
      <c r="I158" s="22" t="s">
        <v>738</v>
      </c>
      <c r="J158" s="22">
        <v>1</v>
      </c>
      <c r="K158" s="22">
        <v>11</v>
      </c>
      <c r="L158" s="24">
        <v>9.0909090909090912E-2</v>
      </c>
      <c r="M158" s="22">
        <v>1</v>
      </c>
      <c r="N158" s="23">
        <v>12.5</v>
      </c>
      <c r="O158" s="24">
        <v>0.08</v>
      </c>
      <c r="P158" s="22">
        <v>0</v>
      </c>
      <c r="Q158" s="23">
        <v>12.5</v>
      </c>
      <c r="R158" s="24">
        <v>0</v>
      </c>
      <c r="S158" s="21">
        <v>0</v>
      </c>
      <c r="T158" s="23">
        <v>10.5</v>
      </c>
      <c r="U158" s="24">
        <v>0</v>
      </c>
      <c r="V158" s="21">
        <v>0</v>
      </c>
      <c r="W158" s="23">
        <v>10.5</v>
      </c>
      <c r="X158" s="24">
        <v>0</v>
      </c>
      <c r="Y158" s="25">
        <v>2</v>
      </c>
      <c r="Z158" s="25">
        <v>12</v>
      </c>
      <c r="AA158" s="24">
        <v>0.16666666666666666</v>
      </c>
      <c r="AB158" s="22">
        <v>1</v>
      </c>
      <c r="AC158" s="22">
        <v>12</v>
      </c>
      <c r="AD158" s="24">
        <f>Table13[[#This Row],[Gönüllü Çıkış Sayısı]]/Table13[[#This Row],[Ortalama Çalışan Sayısı]]</f>
        <v>9.0909090909090912E-2</v>
      </c>
      <c r="AE158" s="26">
        <v>0</v>
      </c>
      <c r="AF158" s="25">
        <v>14</v>
      </c>
      <c r="AG158" s="24">
        <v>0</v>
      </c>
      <c r="AH158" s="26">
        <v>0</v>
      </c>
      <c r="AI158" s="25">
        <v>14</v>
      </c>
      <c r="AJ158" s="24">
        <v>0</v>
      </c>
      <c r="AK158" s="26">
        <v>0</v>
      </c>
      <c r="AL158" s="25">
        <v>12</v>
      </c>
      <c r="AM158" s="24">
        <v>0</v>
      </c>
      <c r="AN158" s="26">
        <v>2</v>
      </c>
      <c r="AO158" s="25">
        <v>11</v>
      </c>
      <c r="AP158" s="24">
        <v>0.18181818181818182</v>
      </c>
      <c r="AQ158" s="26">
        <v>3</v>
      </c>
      <c r="AR158" s="25">
        <v>11</v>
      </c>
      <c r="AS158" s="24">
        <v>0.27272727272727271</v>
      </c>
    </row>
    <row r="159" spans="1:45" x14ac:dyDescent="0.35">
      <c r="A159" s="21" t="s">
        <v>302</v>
      </c>
      <c r="B159" s="22" t="s">
        <v>303</v>
      </c>
      <c r="C159" s="21" t="s">
        <v>304</v>
      </c>
      <c r="D159" s="22" t="s">
        <v>737</v>
      </c>
      <c r="E159" s="22" t="s">
        <v>657</v>
      </c>
      <c r="F159" s="22" t="s">
        <v>641</v>
      </c>
      <c r="G159" s="22" t="s">
        <v>641</v>
      </c>
      <c r="H159" s="22" t="s">
        <v>668</v>
      </c>
      <c r="I159" s="22" t="s">
        <v>738</v>
      </c>
      <c r="J159" s="22">
        <v>1</v>
      </c>
      <c r="K159" s="22">
        <v>10.5</v>
      </c>
      <c r="L159" s="24">
        <v>9.5238095238095233E-2</v>
      </c>
      <c r="M159" s="22">
        <v>0</v>
      </c>
      <c r="N159" s="23">
        <v>16.5</v>
      </c>
      <c r="O159" s="24">
        <v>0</v>
      </c>
      <c r="P159" s="22">
        <v>3</v>
      </c>
      <c r="Q159" s="23">
        <v>16.5</v>
      </c>
      <c r="R159" s="24">
        <v>0.18181818181818182</v>
      </c>
      <c r="S159" s="21">
        <v>1</v>
      </c>
      <c r="T159" s="23">
        <v>12</v>
      </c>
      <c r="U159" s="24">
        <v>8.3333333333333329E-2</v>
      </c>
      <c r="V159" s="21">
        <v>4</v>
      </c>
      <c r="W159" s="23">
        <v>11</v>
      </c>
      <c r="X159" s="24">
        <v>0.36363636363636365</v>
      </c>
      <c r="Y159" s="25">
        <v>8</v>
      </c>
      <c r="Z159" s="25">
        <v>11</v>
      </c>
      <c r="AA159" s="24">
        <v>0.72727272727272729</v>
      </c>
      <c r="AB159" s="22">
        <v>2</v>
      </c>
      <c r="AC159" s="22">
        <v>10.5</v>
      </c>
      <c r="AD159" s="24">
        <f>Table13[[#This Row],[Gönüllü Çıkış Sayısı]]/Table13[[#This Row],[Ortalama Çalışan Sayısı]]</f>
        <v>9.5238095238095233E-2</v>
      </c>
      <c r="AE159" s="26">
        <v>5</v>
      </c>
      <c r="AF159" s="25">
        <v>18</v>
      </c>
      <c r="AG159" s="24">
        <v>0.27777777777777779</v>
      </c>
      <c r="AH159" s="26">
        <v>1</v>
      </c>
      <c r="AI159" s="25">
        <v>18</v>
      </c>
      <c r="AJ159" s="24">
        <v>5.5555555555555552E-2</v>
      </c>
      <c r="AK159" s="26">
        <v>1</v>
      </c>
      <c r="AL159" s="25">
        <v>10.5</v>
      </c>
      <c r="AM159" s="24">
        <v>9.5238095238095233E-2</v>
      </c>
      <c r="AN159" s="26">
        <v>2</v>
      </c>
      <c r="AO159" s="25">
        <v>11</v>
      </c>
      <c r="AP159" s="24">
        <v>0.18181818181818182</v>
      </c>
      <c r="AQ159" s="26">
        <v>6</v>
      </c>
      <c r="AR159" s="25">
        <v>11</v>
      </c>
      <c r="AS159" s="24">
        <v>0.54545454545454541</v>
      </c>
    </row>
    <row r="160" spans="1:45" x14ac:dyDescent="0.35">
      <c r="A160" s="21" t="s">
        <v>305</v>
      </c>
      <c r="B160" s="22" t="s">
        <v>306</v>
      </c>
      <c r="C160" s="21" t="s">
        <v>825</v>
      </c>
      <c r="D160" s="22" t="s">
        <v>622</v>
      </c>
      <c r="E160" s="22" t="s">
        <v>623</v>
      </c>
      <c r="F160" s="22" t="s">
        <v>624</v>
      </c>
      <c r="G160" s="22" t="s">
        <v>624</v>
      </c>
      <c r="H160" s="22" t="s">
        <v>654</v>
      </c>
      <c r="I160" s="22" t="s">
        <v>826</v>
      </c>
      <c r="J160" s="22">
        <v>0</v>
      </c>
      <c r="K160" s="22">
        <v>16.5</v>
      </c>
      <c r="L160" s="24">
        <v>0</v>
      </c>
      <c r="M160" s="22">
        <v>2</v>
      </c>
      <c r="N160" s="23">
        <v>16.5</v>
      </c>
      <c r="O160" s="24">
        <v>0.12121212121212122</v>
      </c>
      <c r="P160" s="22">
        <v>0</v>
      </c>
      <c r="Q160" s="23">
        <v>17</v>
      </c>
      <c r="R160" s="24">
        <v>0</v>
      </c>
      <c r="S160" s="21">
        <v>0</v>
      </c>
      <c r="T160" s="23">
        <v>15</v>
      </c>
      <c r="U160" s="24">
        <v>0</v>
      </c>
      <c r="V160" s="21">
        <v>1</v>
      </c>
      <c r="W160" s="23">
        <v>15</v>
      </c>
      <c r="X160" s="24">
        <v>6.6666666666666666E-2</v>
      </c>
      <c r="Y160" s="25">
        <v>3</v>
      </c>
      <c r="Z160" s="25">
        <v>16.5</v>
      </c>
      <c r="AA160" s="24">
        <v>0.18181818181818182</v>
      </c>
      <c r="AB160" s="22">
        <v>1</v>
      </c>
      <c r="AC160" s="22">
        <v>18.5</v>
      </c>
      <c r="AD160" s="24">
        <f>Table13[[#This Row],[Gönüllü Çıkış Sayısı]]/Table13[[#This Row],[Ortalama Çalışan Sayısı]]</f>
        <v>0</v>
      </c>
      <c r="AE160" s="26">
        <v>0</v>
      </c>
      <c r="AF160" s="25">
        <v>17</v>
      </c>
      <c r="AG160" s="24">
        <v>0</v>
      </c>
      <c r="AH160" s="26">
        <v>0</v>
      </c>
      <c r="AI160" s="25">
        <v>17</v>
      </c>
      <c r="AJ160" s="24">
        <v>0</v>
      </c>
      <c r="AK160" s="26">
        <v>1</v>
      </c>
      <c r="AL160" s="25">
        <v>17.5</v>
      </c>
      <c r="AM160" s="24">
        <v>5.7142857142857141E-2</v>
      </c>
      <c r="AN160" s="26">
        <v>0</v>
      </c>
      <c r="AO160" s="25">
        <v>17.5</v>
      </c>
      <c r="AP160" s="24">
        <v>0</v>
      </c>
      <c r="AQ160" s="26">
        <v>4</v>
      </c>
      <c r="AR160" s="25">
        <v>18.5</v>
      </c>
      <c r="AS160" s="24">
        <v>0.21621621621621623</v>
      </c>
    </row>
    <row r="161" spans="1:45" x14ac:dyDescent="0.35">
      <c r="A161" s="21" t="s">
        <v>307</v>
      </c>
      <c r="B161" s="22" t="s">
        <v>308</v>
      </c>
      <c r="C161" s="21" t="s">
        <v>827</v>
      </c>
      <c r="D161" s="22" t="s">
        <v>656</v>
      </c>
      <c r="E161" s="22" t="s">
        <v>657</v>
      </c>
      <c r="F161" s="22" t="s">
        <v>658</v>
      </c>
      <c r="G161" s="22" t="s">
        <v>1570</v>
      </c>
      <c r="H161" s="22" t="s">
        <v>668</v>
      </c>
      <c r="I161" s="22" t="s">
        <v>718</v>
      </c>
      <c r="J161" s="22">
        <v>1</v>
      </c>
      <c r="K161" s="22">
        <v>13</v>
      </c>
      <c r="L161" s="24">
        <v>7.6923076923076927E-2</v>
      </c>
      <c r="M161" s="22">
        <v>1</v>
      </c>
      <c r="N161" s="23">
        <v>11</v>
      </c>
      <c r="O161" s="24">
        <v>9.0909090909090912E-2</v>
      </c>
      <c r="P161" s="22">
        <v>0</v>
      </c>
      <c r="Q161" s="23">
        <v>11</v>
      </c>
      <c r="R161" s="24">
        <v>0</v>
      </c>
      <c r="S161" s="21">
        <v>1</v>
      </c>
      <c r="T161" s="23">
        <v>13</v>
      </c>
      <c r="U161" s="24">
        <v>7.6923076923076927E-2</v>
      </c>
      <c r="V161" s="21">
        <v>2</v>
      </c>
      <c r="W161" s="23">
        <v>14</v>
      </c>
      <c r="X161" s="24">
        <v>0.14285714285714285</v>
      </c>
      <c r="Y161" s="25">
        <v>7</v>
      </c>
      <c r="Z161" s="25">
        <v>14.5</v>
      </c>
      <c r="AA161" s="24">
        <v>0.48275862068965519</v>
      </c>
      <c r="AB161" s="22">
        <v>3</v>
      </c>
      <c r="AC161" s="22">
        <v>15</v>
      </c>
      <c r="AD161" s="24">
        <f>Table13[[#This Row],[Gönüllü Çıkış Sayısı]]/Table13[[#This Row],[Ortalama Çalışan Sayısı]]</f>
        <v>7.6923076923076927E-2</v>
      </c>
      <c r="AE161" s="26">
        <v>0</v>
      </c>
      <c r="AF161" s="25">
        <v>12</v>
      </c>
      <c r="AG161" s="24">
        <v>0</v>
      </c>
      <c r="AH161" s="26">
        <v>0</v>
      </c>
      <c r="AI161" s="25">
        <v>12</v>
      </c>
      <c r="AJ161" s="24">
        <v>0</v>
      </c>
      <c r="AK161" s="26">
        <v>1</v>
      </c>
      <c r="AL161" s="25">
        <v>13</v>
      </c>
      <c r="AM161" s="24">
        <v>7.6923076923076927E-2</v>
      </c>
      <c r="AN161" s="26">
        <v>0</v>
      </c>
      <c r="AO161" s="25">
        <v>13</v>
      </c>
      <c r="AP161" s="24">
        <v>0</v>
      </c>
      <c r="AQ161" s="26">
        <v>6</v>
      </c>
      <c r="AR161" s="25">
        <v>14.5</v>
      </c>
      <c r="AS161" s="24">
        <v>0.41379310344827586</v>
      </c>
    </row>
    <row r="162" spans="1:45" x14ac:dyDescent="0.35">
      <c r="A162" s="21" t="s">
        <v>309</v>
      </c>
      <c r="B162" s="22" t="s">
        <v>310</v>
      </c>
      <c r="C162" s="21" t="s">
        <v>828</v>
      </c>
      <c r="D162" s="22" t="s">
        <v>666</v>
      </c>
      <c r="E162" s="22" t="s">
        <v>629</v>
      </c>
      <c r="F162" s="22" t="s">
        <v>635</v>
      </c>
      <c r="G162" s="22" t="s">
        <v>635</v>
      </c>
      <c r="H162" s="22" t="s">
        <v>668</v>
      </c>
      <c r="I162" s="22" t="s">
        <v>637</v>
      </c>
      <c r="J162" s="22">
        <v>0</v>
      </c>
      <c r="K162" s="22">
        <v>13</v>
      </c>
      <c r="L162" s="24">
        <v>0</v>
      </c>
      <c r="M162" s="22">
        <v>2</v>
      </c>
      <c r="N162" s="23">
        <v>11</v>
      </c>
      <c r="O162" s="24">
        <v>0.18181818181818182</v>
      </c>
      <c r="P162" s="22">
        <v>0</v>
      </c>
      <c r="Q162" s="23">
        <v>11.5</v>
      </c>
      <c r="R162" s="24">
        <v>0</v>
      </c>
      <c r="S162" s="21">
        <v>0</v>
      </c>
      <c r="T162" s="23">
        <v>14.5</v>
      </c>
      <c r="U162" s="24">
        <v>0</v>
      </c>
      <c r="V162" s="21">
        <v>2</v>
      </c>
      <c r="W162" s="23">
        <v>14.5</v>
      </c>
      <c r="X162" s="24">
        <v>0.13793103448275862</v>
      </c>
      <c r="Y162" s="25">
        <v>4</v>
      </c>
      <c r="Z162" s="25">
        <v>14</v>
      </c>
      <c r="AA162" s="24">
        <v>0.2857142857142857</v>
      </c>
      <c r="AB162" s="22">
        <v>8</v>
      </c>
      <c r="AC162" s="22">
        <v>12</v>
      </c>
      <c r="AD162" s="24">
        <f>Table13[[#This Row],[Gönüllü Çıkış Sayısı]]/Table13[[#This Row],[Ortalama Çalışan Sayısı]]</f>
        <v>0</v>
      </c>
      <c r="AE162" s="26">
        <v>0</v>
      </c>
      <c r="AF162" s="25">
        <v>11</v>
      </c>
      <c r="AG162" s="24">
        <v>0</v>
      </c>
      <c r="AH162" s="26">
        <v>1</v>
      </c>
      <c r="AI162" s="25">
        <v>10.5</v>
      </c>
      <c r="AJ162" s="24">
        <v>9.5238095238095233E-2</v>
      </c>
      <c r="AK162" s="26">
        <v>1</v>
      </c>
      <c r="AL162" s="25">
        <v>14.5</v>
      </c>
      <c r="AM162" s="24">
        <v>6.8965517241379309E-2</v>
      </c>
      <c r="AN162" s="26">
        <v>2</v>
      </c>
      <c r="AO162" s="25">
        <v>13.5</v>
      </c>
      <c r="AP162" s="24">
        <v>0.14814814814814814</v>
      </c>
      <c r="AQ162" s="26">
        <v>14</v>
      </c>
      <c r="AR162" s="25">
        <v>13</v>
      </c>
      <c r="AS162" s="24">
        <v>1.0769230769230769</v>
      </c>
    </row>
    <row r="163" spans="1:45" x14ac:dyDescent="0.35">
      <c r="A163" s="21" t="s">
        <v>311</v>
      </c>
      <c r="B163" s="22" t="s">
        <v>312</v>
      </c>
      <c r="C163" s="21" t="s">
        <v>829</v>
      </c>
      <c r="D163" s="22" t="s">
        <v>628</v>
      </c>
      <c r="E163" s="22" t="s">
        <v>629</v>
      </c>
      <c r="F163" s="22" t="s">
        <v>630</v>
      </c>
      <c r="G163" s="22" t="s">
        <v>1569</v>
      </c>
      <c r="H163" s="22" t="s">
        <v>631</v>
      </c>
      <c r="I163" s="22" t="s">
        <v>632</v>
      </c>
      <c r="J163" s="22">
        <v>6</v>
      </c>
      <c r="K163" s="22">
        <v>26.5</v>
      </c>
      <c r="L163" s="24">
        <v>0.22641509433962265</v>
      </c>
      <c r="M163" s="22">
        <v>1</v>
      </c>
      <c r="N163" s="23">
        <v>17</v>
      </c>
      <c r="O163" s="24">
        <v>5.8823529411764705E-2</v>
      </c>
      <c r="P163" s="22">
        <v>1</v>
      </c>
      <c r="Q163" s="23">
        <v>15.5</v>
      </c>
      <c r="R163" s="24">
        <v>6.4516129032258063E-2</v>
      </c>
      <c r="S163" s="21">
        <v>4</v>
      </c>
      <c r="T163" s="23">
        <v>31</v>
      </c>
      <c r="U163" s="24">
        <v>0.12903225806451613</v>
      </c>
      <c r="V163" s="21">
        <v>4</v>
      </c>
      <c r="W163" s="23">
        <v>30.5</v>
      </c>
      <c r="X163" s="24">
        <v>0.13114754098360656</v>
      </c>
      <c r="Y163" s="25">
        <v>24</v>
      </c>
      <c r="Z163" s="25">
        <v>29</v>
      </c>
      <c r="AA163" s="24">
        <v>0.82758620689655171</v>
      </c>
      <c r="AB163" s="22">
        <v>2</v>
      </c>
      <c r="AC163" s="22">
        <v>27.5</v>
      </c>
      <c r="AD163" s="24">
        <f>Table13[[#This Row],[Gönüllü Çıkış Sayısı]]/Table13[[#This Row],[Ortalama Çalışan Sayısı]]</f>
        <v>0.22641509433962265</v>
      </c>
      <c r="AE163" s="26">
        <v>1</v>
      </c>
      <c r="AF163" s="25">
        <v>17.5</v>
      </c>
      <c r="AG163" s="24">
        <v>5.7142857142857141E-2</v>
      </c>
      <c r="AH163" s="26">
        <v>1</v>
      </c>
      <c r="AI163" s="25">
        <v>17.5</v>
      </c>
      <c r="AJ163" s="24">
        <v>5.7142857142857141E-2</v>
      </c>
      <c r="AK163" s="26">
        <v>7</v>
      </c>
      <c r="AL163" s="25">
        <v>30</v>
      </c>
      <c r="AM163" s="24">
        <v>0.23333333333333334</v>
      </c>
      <c r="AN163" s="26">
        <v>5</v>
      </c>
      <c r="AO163" s="25">
        <v>28.5</v>
      </c>
      <c r="AP163" s="24">
        <v>0.17543859649122806</v>
      </c>
      <c r="AQ163" s="26">
        <v>25</v>
      </c>
      <c r="AR163" s="25">
        <v>28</v>
      </c>
      <c r="AS163" s="24">
        <v>0.8928571428571429</v>
      </c>
    </row>
    <row r="164" spans="1:45" x14ac:dyDescent="0.35">
      <c r="A164" s="21" t="s">
        <v>313</v>
      </c>
      <c r="B164" s="22" t="s">
        <v>314</v>
      </c>
      <c r="C164" s="21" t="s">
        <v>830</v>
      </c>
      <c r="D164" s="22" t="s">
        <v>666</v>
      </c>
      <c r="E164" s="22" t="s">
        <v>629</v>
      </c>
      <c r="F164" s="22" t="s">
        <v>635</v>
      </c>
      <c r="G164" s="22" t="s">
        <v>635</v>
      </c>
      <c r="H164" s="22" t="s">
        <v>654</v>
      </c>
      <c r="I164" s="22" t="s">
        <v>637</v>
      </c>
      <c r="J164" s="22">
        <v>7</v>
      </c>
      <c r="K164" s="22">
        <v>11</v>
      </c>
      <c r="L164" s="24">
        <v>0.63636363636363635</v>
      </c>
      <c r="M164" s="22">
        <v>2</v>
      </c>
      <c r="N164" s="23">
        <v>12.5</v>
      </c>
      <c r="O164" s="24">
        <v>0.16</v>
      </c>
      <c r="P164" s="22">
        <v>1</v>
      </c>
      <c r="Q164" s="23">
        <v>12.5</v>
      </c>
      <c r="R164" s="24">
        <v>0.08</v>
      </c>
      <c r="S164" s="21">
        <v>5</v>
      </c>
      <c r="T164" s="23">
        <v>15</v>
      </c>
      <c r="U164" s="24">
        <v>0.33333333333333331</v>
      </c>
      <c r="V164" s="21">
        <v>1</v>
      </c>
      <c r="W164" s="23">
        <v>15.5</v>
      </c>
      <c r="X164" s="24">
        <v>6.4516129032258063E-2</v>
      </c>
      <c r="Y164" s="25">
        <v>14</v>
      </c>
      <c r="Z164" s="25">
        <v>15.5</v>
      </c>
      <c r="AA164" s="24">
        <v>0.90322580645161288</v>
      </c>
      <c r="AB164" s="22">
        <v>0</v>
      </c>
      <c r="AC164" s="22">
        <v>17</v>
      </c>
      <c r="AD164" s="24">
        <f>Table13[[#This Row],[Gönüllü Çıkış Sayısı]]/Table13[[#This Row],[Ortalama Çalışan Sayısı]]</f>
        <v>0.63636363636363635</v>
      </c>
      <c r="AE164" s="26">
        <v>2</v>
      </c>
      <c r="AF164" s="25">
        <v>14</v>
      </c>
      <c r="AG164" s="24">
        <v>0.14285714285714285</v>
      </c>
      <c r="AH164" s="26">
        <v>0</v>
      </c>
      <c r="AI164" s="25">
        <v>13</v>
      </c>
      <c r="AJ164" s="24">
        <v>0</v>
      </c>
      <c r="AK164" s="26">
        <v>1</v>
      </c>
      <c r="AL164" s="25">
        <v>16.5</v>
      </c>
      <c r="AM164" s="24">
        <v>6.0606060606060608E-2</v>
      </c>
      <c r="AN164" s="26">
        <v>1</v>
      </c>
      <c r="AO164" s="25">
        <v>15.5</v>
      </c>
      <c r="AP164" s="24">
        <v>6.4516129032258063E-2</v>
      </c>
      <c r="AQ164" s="26">
        <v>4</v>
      </c>
      <c r="AR164" s="25">
        <v>16</v>
      </c>
      <c r="AS164" s="24">
        <v>0.25</v>
      </c>
    </row>
    <row r="165" spans="1:45" x14ac:dyDescent="0.35">
      <c r="A165" s="21" t="s">
        <v>315</v>
      </c>
      <c r="B165" s="22" t="s">
        <v>316</v>
      </c>
      <c r="C165" s="21" t="s">
        <v>317</v>
      </c>
      <c r="D165" s="22" t="s">
        <v>684</v>
      </c>
      <c r="E165" s="22" t="s">
        <v>623</v>
      </c>
      <c r="F165" s="22" t="s">
        <v>662</v>
      </c>
      <c r="G165" s="22" t="s">
        <v>662</v>
      </c>
      <c r="H165" s="22" t="s">
        <v>654</v>
      </c>
      <c r="I165" s="22" t="s">
        <v>831</v>
      </c>
      <c r="J165" s="22">
        <v>0</v>
      </c>
      <c r="K165" s="22">
        <v>15</v>
      </c>
      <c r="L165" s="24">
        <v>0</v>
      </c>
      <c r="M165" s="22">
        <v>2</v>
      </c>
      <c r="N165" s="23">
        <v>14</v>
      </c>
      <c r="O165" s="24">
        <v>0.14285714285714285</v>
      </c>
      <c r="P165" s="22">
        <v>0</v>
      </c>
      <c r="Q165" s="23">
        <v>14</v>
      </c>
      <c r="R165" s="24">
        <v>0</v>
      </c>
      <c r="S165" s="21">
        <v>1</v>
      </c>
      <c r="T165" s="23">
        <v>16.5</v>
      </c>
      <c r="U165" s="24">
        <v>6.0606060606060608E-2</v>
      </c>
      <c r="V165" s="21">
        <v>1</v>
      </c>
      <c r="W165" s="23">
        <v>16.5</v>
      </c>
      <c r="X165" s="24">
        <v>6.0606060606060608E-2</v>
      </c>
      <c r="Y165" s="25">
        <v>2</v>
      </c>
      <c r="Z165" s="25">
        <v>17</v>
      </c>
      <c r="AA165" s="24">
        <v>0.11764705882352941</v>
      </c>
      <c r="AB165" s="22">
        <v>1</v>
      </c>
      <c r="AC165" s="22">
        <v>13</v>
      </c>
      <c r="AD165" s="24">
        <f>Table13[[#This Row],[Gönüllü Çıkış Sayısı]]/Table13[[#This Row],[Ortalama Çalışan Sayısı]]</f>
        <v>0</v>
      </c>
      <c r="AE165" s="26">
        <v>3</v>
      </c>
      <c r="AF165" s="25">
        <v>13.5</v>
      </c>
      <c r="AG165" s="24">
        <v>0.22222222222222221</v>
      </c>
      <c r="AH165" s="26">
        <v>0</v>
      </c>
      <c r="AI165" s="25">
        <v>15</v>
      </c>
      <c r="AJ165" s="24">
        <v>0</v>
      </c>
      <c r="AK165" s="26">
        <v>1</v>
      </c>
      <c r="AL165" s="25">
        <v>14.5</v>
      </c>
      <c r="AM165" s="24">
        <v>6.8965517241379309E-2</v>
      </c>
      <c r="AN165" s="26">
        <v>0</v>
      </c>
      <c r="AO165" s="25">
        <v>15</v>
      </c>
      <c r="AP165" s="24">
        <v>0</v>
      </c>
      <c r="AQ165" s="26">
        <v>3</v>
      </c>
      <c r="AR165" s="25">
        <v>13.5</v>
      </c>
      <c r="AS165" s="24">
        <v>0.22222222222222221</v>
      </c>
    </row>
    <row r="166" spans="1:45" x14ac:dyDescent="0.35">
      <c r="A166" s="21" t="s">
        <v>318</v>
      </c>
      <c r="B166" s="22" t="s">
        <v>319</v>
      </c>
      <c r="C166" s="21" t="s">
        <v>832</v>
      </c>
      <c r="D166" s="22" t="s">
        <v>678</v>
      </c>
      <c r="E166" s="22" t="s">
        <v>623</v>
      </c>
      <c r="F166" s="22" t="s">
        <v>624</v>
      </c>
      <c r="G166" s="22" t="s">
        <v>624</v>
      </c>
      <c r="H166" s="22" t="s">
        <v>625</v>
      </c>
      <c r="I166" s="22" t="s">
        <v>679</v>
      </c>
      <c r="J166" s="22">
        <v>3</v>
      </c>
      <c r="K166" s="22">
        <v>30.5</v>
      </c>
      <c r="L166" s="24">
        <v>9.8360655737704916E-2</v>
      </c>
      <c r="M166" s="22">
        <v>6</v>
      </c>
      <c r="N166" s="23">
        <v>27</v>
      </c>
      <c r="O166" s="24">
        <v>0.22222222222222221</v>
      </c>
      <c r="P166" s="22">
        <v>4</v>
      </c>
      <c r="Q166" s="23">
        <v>29</v>
      </c>
      <c r="R166" s="24">
        <v>0.13793103448275862</v>
      </c>
      <c r="S166" s="21">
        <v>11</v>
      </c>
      <c r="T166" s="23">
        <v>35.5</v>
      </c>
      <c r="U166" s="24">
        <v>0.30985915492957744</v>
      </c>
      <c r="V166" s="21">
        <v>11</v>
      </c>
      <c r="W166" s="23">
        <v>35.5</v>
      </c>
      <c r="X166" s="24">
        <v>0.30985915492957744</v>
      </c>
      <c r="Y166" s="25">
        <v>30</v>
      </c>
      <c r="Z166" s="25">
        <v>34.5</v>
      </c>
      <c r="AA166" s="24">
        <v>0.86956521739130432</v>
      </c>
      <c r="AB166" s="22">
        <v>4</v>
      </c>
      <c r="AC166" s="22">
        <v>42.5</v>
      </c>
      <c r="AD166" s="24">
        <f>Table13[[#This Row],[Gönüllü Çıkış Sayısı]]/Table13[[#This Row],[Ortalama Çalışan Sayısı]]</f>
        <v>9.8360655737704916E-2</v>
      </c>
      <c r="AE166" s="26">
        <v>4</v>
      </c>
      <c r="AF166" s="25">
        <v>28.5</v>
      </c>
      <c r="AG166" s="24">
        <v>0.14035087719298245</v>
      </c>
      <c r="AH166" s="26">
        <v>7</v>
      </c>
      <c r="AI166" s="25">
        <v>31.5</v>
      </c>
      <c r="AJ166" s="24">
        <v>0.22222222222222221</v>
      </c>
      <c r="AK166" s="26">
        <v>9</v>
      </c>
      <c r="AL166" s="25">
        <v>40.5</v>
      </c>
      <c r="AM166" s="24">
        <v>0.22222222222222221</v>
      </c>
      <c r="AN166" s="26">
        <v>6</v>
      </c>
      <c r="AO166" s="25">
        <v>39.5</v>
      </c>
      <c r="AP166" s="24">
        <v>0.15189873417721519</v>
      </c>
      <c r="AQ166" s="26">
        <v>30</v>
      </c>
      <c r="AR166" s="25">
        <v>42</v>
      </c>
      <c r="AS166" s="24">
        <v>0.7142857142857143</v>
      </c>
    </row>
    <row r="167" spans="1:45" x14ac:dyDescent="0.35">
      <c r="A167" s="21" t="s">
        <v>320</v>
      </c>
      <c r="B167" s="22" t="s">
        <v>321</v>
      </c>
      <c r="C167" s="21" t="s">
        <v>833</v>
      </c>
      <c r="D167" s="22" t="s">
        <v>707</v>
      </c>
      <c r="E167" s="22" t="s">
        <v>629</v>
      </c>
      <c r="F167" s="22" t="s">
        <v>635</v>
      </c>
      <c r="G167" s="22" t="s">
        <v>635</v>
      </c>
      <c r="H167" s="22" t="s">
        <v>668</v>
      </c>
      <c r="I167" s="22" t="s">
        <v>708</v>
      </c>
      <c r="J167" s="22">
        <v>1</v>
      </c>
      <c r="K167" s="22">
        <v>5.5</v>
      </c>
      <c r="L167" s="24">
        <v>0.18181818181818182</v>
      </c>
      <c r="M167" s="22">
        <v>0</v>
      </c>
      <c r="N167" s="23">
        <v>12</v>
      </c>
      <c r="O167" s="24">
        <v>0</v>
      </c>
      <c r="P167" s="22">
        <v>1</v>
      </c>
      <c r="Q167" s="23">
        <v>13.5</v>
      </c>
      <c r="R167" s="24">
        <v>7.407407407407407E-2</v>
      </c>
      <c r="S167" s="21">
        <v>1</v>
      </c>
      <c r="T167" s="23">
        <v>6.5</v>
      </c>
      <c r="U167" s="24">
        <v>0.15384615384615385</v>
      </c>
      <c r="V167" s="21">
        <v>1</v>
      </c>
      <c r="W167" s="23">
        <v>7</v>
      </c>
      <c r="X167" s="24">
        <v>0.14285714285714285</v>
      </c>
      <c r="Y167" s="25">
        <v>4</v>
      </c>
      <c r="Z167" s="25">
        <v>7.5</v>
      </c>
      <c r="AA167" s="24">
        <v>0.53333333333333333</v>
      </c>
      <c r="AB167" s="22">
        <v>1</v>
      </c>
      <c r="AC167" s="22">
        <v>8.5</v>
      </c>
      <c r="AD167" s="24">
        <f>Table13[[#This Row],[Gönüllü Çıkış Sayısı]]/Table13[[#This Row],[Ortalama Çalışan Sayısı]]</f>
        <v>0.18181818181818182</v>
      </c>
      <c r="AE167" s="26">
        <v>2</v>
      </c>
      <c r="AF167" s="25">
        <v>16.5</v>
      </c>
      <c r="AG167" s="24">
        <v>0.12121212121212122</v>
      </c>
      <c r="AH167" s="26">
        <v>0</v>
      </c>
      <c r="AI167" s="25">
        <v>17</v>
      </c>
      <c r="AJ167" s="24">
        <v>0</v>
      </c>
      <c r="AK167" s="26">
        <v>0</v>
      </c>
      <c r="AL167" s="25">
        <v>8</v>
      </c>
      <c r="AM167" s="24">
        <v>0</v>
      </c>
      <c r="AN167" s="26">
        <v>1</v>
      </c>
      <c r="AO167" s="25">
        <v>7.5</v>
      </c>
      <c r="AP167" s="24">
        <v>0.13333333333333333</v>
      </c>
      <c r="AQ167" s="26">
        <v>2</v>
      </c>
      <c r="AR167" s="25">
        <v>8</v>
      </c>
      <c r="AS167" s="24">
        <v>0.25</v>
      </c>
    </row>
    <row r="168" spans="1:45" x14ac:dyDescent="0.35">
      <c r="A168" s="21" t="s">
        <v>322</v>
      </c>
      <c r="B168" s="22" t="s">
        <v>323</v>
      </c>
      <c r="C168" s="21" t="s">
        <v>834</v>
      </c>
      <c r="D168" s="22" t="s">
        <v>628</v>
      </c>
      <c r="E168" s="22" t="s">
        <v>629</v>
      </c>
      <c r="F168" s="22" t="s">
        <v>630</v>
      </c>
      <c r="G168" s="22" t="s">
        <v>1569</v>
      </c>
      <c r="H168" s="22" t="s">
        <v>668</v>
      </c>
      <c r="I168" s="22" t="s">
        <v>632</v>
      </c>
      <c r="J168" s="22">
        <v>1</v>
      </c>
      <c r="K168" s="22">
        <v>12</v>
      </c>
      <c r="L168" s="24">
        <v>8.3333333333333329E-2</v>
      </c>
      <c r="M168" s="22">
        <v>0</v>
      </c>
      <c r="N168" s="23">
        <v>17</v>
      </c>
      <c r="O168" s="24">
        <v>0</v>
      </c>
      <c r="P168" s="22">
        <v>0</v>
      </c>
      <c r="Q168" s="23">
        <v>17</v>
      </c>
      <c r="R168" s="24">
        <v>0</v>
      </c>
      <c r="S168" s="21">
        <v>1</v>
      </c>
      <c r="T168" s="23">
        <v>11.5</v>
      </c>
      <c r="U168" s="24">
        <v>8.6956521739130432E-2</v>
      </c>
      <c r="V168" s="21">
        <v>1</v>
      </c>
      <c r="W168" s="23">
        <v>12.5</v>
      </c>
      <c r="X168" s="24">
        <v>0.08</v>
      </c>
      <c r="Y168" s="25">
        <v>5</v>
      </c>
      <c r="Z168" s="25">
        <v>13.5</v>
      </c>
      <c r="AA168" s="24">
        <v>0.37037037037037035</v>
      </c>
      <c r="AB168" s="22">
        <v>1</v>
      </c>
      <c r="AC168" s="22">
        <v>10</v>
      </c>
      <c r="AD168" s="24">
        <f>Table13[[#This Row],[Gönüllü Çıkış Sayısı]]/Table13[[#This Row],[Ortalama Çalışan Sayısı]]</f>
        <v>8.3333333333333329E-2</v>
      </c>
      <c r="AE168" s="26">
        <v>1</v>
      </c>
      <c r="AF168" s="25">
        <v>14</v>
      </c>
      <c r="AG168" s="24">
        <v>7.1428571428571425E-2</v>
      </c>
      <c r="AH168" s="26">
        <v>0</v>
      </c>
      <c r="AI168" s="25">
        <v>14.5</v>
      </c>
      <c r="AJ168" s="24">
        <v>0</v>
      </c>
      <c r="AK168" s="26">
        <v>1</v>
      </c>
      <c r="AL168" s="25">
        <v>10.5</v>
      </c>
      <c r="AM168" s="24">
        <v>9.5238095238095233E-2</v>
      </c>
      <c r="AN168" s="26">
        <v>2</v>
      </c>
      <c r="AO168" s="25">
        <v>11</v>
      </c>
      <c r="AP168" s="24">
        <v>0.18181818181818182</v>
      </c>
      <c r="AQ168" s="26">
        <v>9</v>
      </c>
      <c r="AR168" s="25">
        <v>10</v>
      </c>
      <c r="AS168" s="24">
        <v>0.9</v>
      </c>
    </row>
    <row r="169" spans="1:45" x14ac:dyDescent="0.35">
      <c r="A169" s="21" t="s">
        <v>324</v>
      </c>
      <c r="B169" s="22" t="s">
        <v>325</v>
      </c>
      <c r="C169" s="21" t="s">
        <v>835</v>
      </c>
      <c r="D169" s="22" t="s">
        <v>663</v>
      </c>
      <c r="E169" s="22" t="s">
        <v>629</v>
      </c>
      <c r="F169" s="22" t="s">
        <v>646</v>
      </c>
      <c r="G169" s="22" t="s">
        <v>646</v>
      </c>
      <c r="H169" s="22" t="s">
        <v>631</v>
      </c>
      <c r="I169" s="22" t="s">
        <v>639</v>
      </c>
      <c r="J169" s="22">
        <v>4</v>
      </c>
      <c r="K169" s="22">
        <v>24</v>
      </c>
      <c r="L169" s="24">
        <v>0.16666666666666666</v>
      </c>
      <c r="M169" s="22">
        <v>0</v>
      </c>
      <c r="N169" s="23">
        <v>31</v>
      </c>
      <c r="O169" s="24">
        <v>0</v>
      </c>
      <c r="P169" s="22">
        <v>5</v>
      </c>
      <c r="Q169" s="23">
        <v>34.5</v>
      </c>
      <c r="R169" s="24">
        <v>0.14492753623188406</v>
      </c>
      <c r="S169" s="21">
        <v>2</v>
      </c>
      <c r="T169" s="23">
        <v>31</v>
      </c>
      <c r="U169" s="24">
        <v>6.4516129032258063E-2</v>
      </c>
      <c r="V169" s="21">
        <v>5</v>
      </c>
      <c r="W169" s="23">
        <v>33.5</v>
      </c>
      <c r="X169" s="24">
        <v>0.14925373134328357</v>
      </c>
      <c r="Y169" s="25">
        <v>20</v>
      </c>
      <c r="Z169" s="25">
        <v>30</v>
      </c>
      <c r="AA169" s="24">
        <v>0.66666666666666663</v>
      </c>
      <c r="AB169" s="22">
        <v>2</v>
      </c>
      <c r="AC169" s="22">
        <v>28.5</v>
      </c>
      <c r="AD169" s="24">
        <f>Table13[[#This Row],[Gönüllü Çıkış Sayısı]]/Table13[[#This Row],[Ortalama Çalışan Sayısı]]</f>
        <v>0.16666666666666666</v>
      </c>
      <c r="AE169" s="26">
        <v>4</v>
      </c>
      <c r="AF169" s="25">
        <v>41.5</v>
      </c>
      <c r="AG169" s="24">
        <v>9.6385542168674704E-2</v>
      </c>
      <c r="AH169" s="26">
        <v>7</v>
      </c>
      <c r="AI169" s="25">
        <v>42</v>
      </c>
      <c r="AJ169" s="24">
        <v>0.16666666666666666</v>
      </c>
      <c r="AK169" s="26">
        <v>6</v>
      </c>
      <c r="AL169" s="25">
        <v>27</v>
      </c>
      <c r="AM169" s="24">
        <v>0.22222222222222221</v>
      </c>
      <c r="AN169" s="26">
        <v>2</v>
      </c>
      <c r="AO169" s="25">
        <v>27</v>
      </c>
      <c r="AP169" s="24">
        <v>7.407407407407407E-2</v>
      </c>
      <c r="AQ169" s="26">
        <v>14</v>
      </c>
      <c r="AR169" s="25">
        <v>28.5</v>
      </c>
      <c r="AS169" s="24">
        <v>0.49122807017543857</v>
      </c>
    </row>
    <row r="170" spans="1:45" x14ac:dyDescent="0.35">
      <c r="A170" s="21" t="s">
        <v>326</v>
      </c>
      <c r="B170" s="22" t="s">
        <v>327</v>
      </c>
      <c r="C170" s="21" t="s">
        <v>836</v>
      </c>
      <c r="D170" s="22" t="s">
        <v>648</v>
      </c>
      <c r="E170" s="22" t="s">
        <v>623</v>
      </c>
      <c r="F170" s="22" t="s">
        <v>624</v>
      </c>
      <c r="G170" s="22" t="s">
        <v>624</v>
      </c>
      <c r="H170" s="22" t="s">
        <v>631</v>
      </c>
      <c r="I170" s="22" t="s">
        <v>837</v>
      </c>
      <c r="J170" s="22">
        <v>0</v>
      </c>
      <c r="K170" s="22">
        <v>29.5</v>
      </c>
      <c r="L170" s="24">
        <v>0</v>
      </c>
      <c r="M170" s="22">
        <v>0</v>
      </c>
      <c r="N170" s="23">
        <v>7</v>
      </c>
      <c r="O170" s="24">
        <v>0</v>
      </c>
      <c r="P170" s="22">
        <v>1</v>
      </c>
      <c r="Q170" s="23">
        <v>7</v>
      </c>
      <c r="R170" s="24">
        <v>0.14285714285714285</v>
      </c>
      <c r="S170" s="21">
        <v>0</v>
      </c>
      <c r="T170" s="23">
        <v>34.5</v>
      </c>
      <c r="U170" s="24">
        <v>0</v>
      </c>
      <c r="V170" s="21">
        <v>2</v>
      </c>
      <c r="W170" s="23">
        <v>35.5</v>
      </c>
      <c r="X170" s="24">
        <v>5.6338028169014086E-2</v>
      </c>
      <c r="Y170" s="25">
        <v>6</v>
      </c>
      <c r="Z170" s="25">
        <v>34</v>
      </c>
      <c r="AA170" s="24">
        <v>0.17647058823529413</v>
      </c>
      <c r="AB170" s="22">
        <v>6</v>
      </c>
      <c r="AC170" s="22">
        <v>41.5</v>
      </c>
      <c r="AD170" s="24">
        <f>Table13[[#This Row],[Gönüllü Çıkış Sayısı]]/Table13[[#This Row],[Ortalama Çalışan Sayısı]]</f>
        <v>0</v>
      </c>
      <c r="AE170" s="26">
        <v>0</v>
      </c>
      <c r="AF170" s="25">
        <v>8</v>
      </c>
      <c r="AG170" s="24">
        <v>0</v>
      </c>
      <c r="AH170" s="26">
        <v>0</v>
      </c>
      <c r="AI170" s="25">
        <v>8</v>
      </c>
      <c r="AJ170" s="24">
        <v>0</v>
      </c>
      <c r="AK170" s="26">
        <v>5</v>
      </c>
      <c r="AL170" s="25">
        <v>37</v>
      </c>
      <c r="AM170" s="24">
        <v>0.13513513513513514</v>
      </c>
      <c r="AN170" s="26">
        <v>2</v>
      </c>
      <c r="AO170" s="25">
        <v>34.5</v>
      </c>
      <c r="AP170" s="24">
        <v>5.7971014492753624E-2</v>
      </c>
      <c r="AQ170" s="26">
        <v>15</v>
      </c>
      <c r="AR170" s="25">
        <v>39</v>
      </c>
      <c r="AS170" s="24">
        <v>0.38461538461538464</v>
      </c>
    </row>
    <row r="171" spans="1:45" x14ac:dyDescent="0.35">
      <c r="A171" s="21" t="s">
        <v>328</v>
      </c>
      <c r="B171" s="22" t="s">
        <v>329</v>
      </c>
      <c r="C171" s="21" t="s">
        <v>838</v>
      </c>
      <c r="D171" s="22" t="s">
        <v>645</v>
      </c>
      <c r="E171" s="22" t="s">
        <v>629</v>
      </c>
      <c r="F171" s="22" t="s">
        <v>646</v>
      </c>
      <c r="G171" s="22" t="s">
        <v>646</v>
      </c>
      <c r="H171" s="22" t="s">
        <v>631</v>
      </c>
      <c r="I171" s="22" t="s">
        <v>632</v>
      </c>
      <c r="J171" s="22">
        <v>0</v>
      </c>
      <c r="K171" s="22">
        <v>25.5</v>
      </c>
      <c r="L171" s="24">
        <v>0</v>
      </c>
      <c r="M171" s="22">
        <v>1</v>
      </c>
      <c r="N171" s="23">
        <v>11.5</v>
      </c>
      <c r="O171" s="24">
        <v>8.6956521739130432E-2</v>
      </c>
      <c r="P171" s="22">
        <v>1</v>
      </c>
      <c r="Q171" s="23">
        <v>10.5</v>
      </c>
      <c r="R171" s="24">
        <v>9.5238095238095233E-2</v>
      </c>
      <c r="S171" s="21">
        <v>1</v>
      </c>
      <c r="T171" s="23">
        <v>30</v>
      </c>
      <c r="U171" s="24">
        <v>3.3333333333333333E-2</v>
      </c>
      <c r="V171" s="21">
        <v>2</v>
      </c>
      <c r="W171" s="23">
        <v>30</v>
      </c>
      <c r="X171" s="24">
        <v>6.6666666666666666E-2</v>
      </c>
      <c r="Y171" s="25">
        <v>4</v>
      </c>
      <c r="Z171" s="25">
        <v>29.5</v>
      </c>
      <c r="AA171" s="24">
        <v>0.13559322033898305</v>
      </c>
      <c r="AB171" s="22">
        <v>1</v>
      </c>
      <c r="AC171" s="22">
        <v>37.5</v>
      </c>
      <c r="AD171" s="24">
        <f>Table13[[#This Row],[Gönüllü Çıkış Sayısı]]/Table13[[#This Row],[Ortalama Çalışan Sayısı]]</f>
        <v>0</v>
      </c>
      <c r="AE171" s="26">
        <v>2</v>
      </c>
      <c r="AF171" s="25">
        <v>11.5</v>
      </c>
      <c r="AG171" s="24">
        <v>0.17391304347826086</v>
      </c>
      <c r="AH171" s="26">
        <v>3</v>
      </c>
      <c r="AI171" s="25">
        <v>11</v>
      </c>
      <c r="AJ171" s="24">
        <v>0.27272727272727271</v>
      </c>
      <c r="AK171" s="26">
        <v>8</v>
      </c>
      <c r="AL171" s="25">
        <v>30.5</v>
      </c>
      <c r="AM171" s="24">
        <v>0.26229508196721313</v>
      </c>
      <c r="AN171" s="26">
        <v>2</v>
      </c>
      <c r="AO171" s="25">
        <v>31</v>
      </c>
      <c r="AP171" s="24">
        <v>6.4516129032258063E-2</v>
      </c>
      <c r="AQ171" s="26">
        <v>18</v>
      </c>
      <c r="AR171" s="25">
        <v>36</v>
      </c>
      <c r="AS171" s="24">
        <v>0.5</v>
      </c>
    </row>
    <row r="172" spans="1:45" x14ac:dyDescent="0.35">
      <c r="A172" s="21" t="s">
        <v>330</v>
      </c>
      <c r="B172" s="22" t="s">
        <v>331</v>
      </c>
      <c r="C172" s="21" t="s">
        <v>332</v>
      </c>
      <c r="D172" s="22" t="s">
        <v>762</v>
      </c>
      <c r="E172" s="22" t="s">
        <v>629</v>
      </c>
      <c r="F172" s="22" t="s">
        <v>646</v>
      </c>
      <c r="G172" s="22" t="s">
        <v>646</v>
      </c>
      <c r="H172" s="22" t="s">
        <v>636</v>
      </c>
      <c r="I172" s="22" t="s">
        <v>839</v>
      </c>
      <c r="J172" s="22">
        <v>2</v>
      </c>
      <c r="K172" s="22">
        <v>21</v>
      </c>
      <c r="L172" s="24">
        <v>9.5238095238095233E-2</v>
      </c>
      <c r="M172" s="22">
        <v>5</v>
      </c>
      <c r="N172" s="23">
        <v>27</v>
      </c>
      <c r="O172" s="24">
        <v>0.18518518518518517</v>
      </c>
      <c r="P172" s="22">
        <v>4</v>
      </c>
      <c r="Q172" s="23">
        <v>28.5</v>
      </c>
      <c r="R172" s="24">
        <v>0.14035087719298245</v>
      </c>
      <c r="S172" s="21">
        <v>1</v>
      </c>
      <c r="T172" s="23">
        <v>24.5</v>
      </c>
      <c r="U172" s="24">
        <v>4.0816326530612242E-2</v>
      </c>
      <c r="V172" s="21">
        <v>4</v>
      </c>
      <c r="W172" s="23">
        <v>25</v>
      </c>
      <c r="X172" s="24">
        <v>0.16</v>
      </c>
      <c r="Y172" s="25">
        <v>7</v>
      </c>
      <c r="Z172" s="25">
        <v>23.5</v>
      </c>
      <c r="AA172" s="24">
        <v>0.2978723404255319</v>
      </c>
      <c r="AB172" s="22">
        <v>2</v>
      </c>
      <c r="AC172" s="22">
        <v>23.5</v>
      </c>
      <c r="AD172" s="24">
        <f>Table13[[#This Row],[Gönüllü Çıkış Sayısı]]/Table13[[#This Row],[Ortalama Çalışan Sayısı]]</f>
        <v>9.5238095238095233E-2</v>
      </c>
      <c r="AE172" s="26">
        <v>3</v>
      </c>
      <c r="AF172" s="25">
        <v>28</v>
      </c>
      <c r="AG172" s="24">
        <v>0.10714285714285714</v>
      </c>
      <c r="AH172" s="26">
        <v>1</v>
      </c>
      <c r="AI172" s="25">
        <v>28</v>
      </c>
      <c r="AJ172" s="24">
        <v>3.5714285714285712E-2</v>
      </c>
      <c r="AK172" s="26">
        <v>2</v>
      </c>
      <c r="AL172" s="25">
        <v>22</v>
      </c>
      <c r="AM172" s="24">
        <v>9.0909090909090912E-2</v>
      </c>
      <c r="AN172" s="26">
        <v>1</v>
      </c>
      <c r="AO172" s="25">
        <v>21</v>
      </c>
      <c r="AP172" s="24">
        <v>4.7619047619047616E-2</v>
      </c>
      <c r="AQ172" s="26">
        <v>7</v>
      </c>
      <c r="AR172" s="25">
        <v>22.5</v>
      </c>
      <c r="AS172" s="24">
        <v>0.31111111111111112</v>
      </c>
    </row>
    <row r="173" spans="1:45" x14ac:dyDescent="0.35">
      <c r="A173" s="21" t="s">
        <v>333</v>
      </c>
      <c r="B173" s="22" t="s">
        <v>334</v>
      </c>
      <c r="C173" s="21" t="s">
        <v>840</v>
      </c>
      <c r="D173" s="22" t="s">
        <v>666</v>
      </c>
      <c r="E173" s="22" t="s">
        <v>629</v>
      </c>
      <c r="F173" s="22" t="s">
        <v>630</v>
      </c>
      <c r="G173" s="22" t="s">
        <v>1569</v>
      </c>
      <c r="H173" s="22" t="s">
        <v>636</v>
      </c>
      <c r="I173" s="22" t="s">
        <v>652</v>
      </c>
      <c r="J173" s="22">
        <v>2</v>
      </c>
      <c r="K173" s="22">
        <v>20</v>
      </c>
      <c r="L173" s="24">
        <v>0.1</v>
      </c>
      <c r="M173" s="22">
        <v>2</v>
      </c>
      <c r="N173" s="23">
        <v>31</v>
      </c>
      <c r="O173" s="24">
        <v>6.4516129032258063E-2</v>
      </c>
      <c r="P173" s="22">
        <v>2</v>
      </c>
      <c r="Q173" s="23">
        <v>31.5</v>
      </c>
      <c r="R173" s="24">
        <v>6.3492063492063489E-2</v>
      </c>
      <c r="S173" s="21">
        <v>1</v>
      </c>
      <c r="T173" s="23">
        <v>21.5</v>
      </c>
      <c r="U173" s="24">
        <v>4.6511627906976744E-2</v>
      </c>
      <c r="V173" s="21">
        <v>1</v>
      </c>
      <c r="W173" s="23">
        <v>22</v>
      </c>
      <c r="X173" s="24">
        <v>4.5454545454545456E-2</v>
      </c>
      <c r="Y173" s="25">
        <v>7</v>
      </c>
      <c r="Z173" s="25">
        <v>21.5</v>
      </c>
      <c r="AA173" s="24">
        <v>0.32558139534883723</v>
      </c>
      <c r="AB173" s="22">
        <v>1</v>
      </c>
      <c r="AC173" s="22">
        <v>18.5</v>
      </c>
      <c r="AD173" s="24">
        <f>Table13[[#This Row],[Gönüllü Çıkış Sayısı]]/Table13[[#This Row],[Ortalama Çalışan Sayısı]]</f>
        <v>0.1</v>
      </c>
      <c r="AE173" s="26">
        <v>2</v>
      </c>
      <c r="AF173" s="25">
        <v>38</v>
      </c>
      <c r="AG173" s="24">
        <v>5.2631578947368418E-2</v>
      </c>
      <c r="AH173" s="26">
        <v>0</v>
      </c>
      <c r="AI173" s="25">
        <v>38</v>
      </c>
      <c r="AJ173" s="24">
        <v>0</v>
      </c>
      <c r="AK173" s="26">
        <v>0</v>
      </c>
      <c r="AL173" s="25">
        <v>18.5</v>
      </c>
      <c r="AM173" s="24">
        <v>0</v>
      </c>
      <c r="AN173" s="26">
        <v>0</v>
      </c>
      <c r="AO173" s="25">
        <v>19</v>
      </c>
      <c r="AP173" s="24">
        <v>0</v>
      </c>
      <c r="AQ173" s="26">
        <v>2</v>
      </c>
      <c r="AR173" s="25">
        <v>19</v>
      </c>
      <c r="AS173" s="24">
        <v>0.10526315789473684</v>
      </c>
    </row>
    <row r="174" spans="1:45" x14ac:dyDescent="0.35">
      <c r="A174" s="21" t="s">
        <v>335</v>
      </c>
      <c r="B174" s="22" t="s">
        <v>336</v>
      </c>
      <c r="C174" s="21" t="s">
        <v>841</v>
      </c>
      <c r="D174" s="22" t="s">
        <v>622</v>
      </c>
      <c r="E174" s="22" t="s">
        <v>623</v>
      </c>
      <c r="F174" s="22" t="s">
        <v>624</v>
      </c>
      <c r="G174" s="22" t="s">
        <v>624</v>
      </c>
      <c r="H174" s="22" t="s">
        <v>636</v>
      </c>
      <c r="I174" s="22" t="s">
        <v>649</v>
      </c>
      <c r="J174" s="22">
        <v>0</v>
      </c>
      <c r="K174" s="22">
        <v>23</v>
      </c>
      <c r="L174" s="24">
        <v>0</v>
      </c>
      <c r="M174" s="22">
        <v>1</v>
      </c>
      <c r="N174" s="23">
        <v>27.5</v>
      </c>
      <c r="O174" s="24">
        <v>3.6363636363636362E-2</v>
      </c>
      <c r="P174" s="22">
        <v>0</v>
      </c>
      <c r="Q174" s="23">
        <v>28</v>
      </c>
      <c r="R174" s="24">
        <v>0</v>
      </c>
      <c r="S174" s="21">
        <v>1</v>
      </c>
      <c r="T174" s="23">
        <v>23</v>
      </c>
      <c r="U174" s="24">
        <v>4.3478260869565216E-2</v>
      </c>
      <c r="V174" s="21">
        <v>2</v>
      </c>
      <c r="W174" s="23">
        <v>26</v>
      </c>
      <c r="X174" s="24">
        <v>7.6923076923076927E-2</v>
      </c>
      <c r="Y174" s="25">
        <v>5</v>
      </c>
      <c r="Z174" s="25">
        <v>25.5</v>
      </c>
      <c r="AA174" s="24">
        <v>0.19607843137254902</v>
      </c>
      <c r="AB174" s="22">
        <v>5</v>
      </c>
      <c r="AC174" s="22">
        <v>21</v>
      </c>
      <c r="AD174" s="24">
        <f>Table13[[#This Row],[Gönüllü Çıkış Sayısı]]/Table13[[#This Row],[Ortalama Çalışan Sayısı]]</f>
        <v>0</v>
      </c>
      <c r="AE174" s="26">
        <v>5</v>
      </c>
      <c r="AF174" s="25">
        <v>35.5</v>
      </c>
      <c r="AG174" s="24">
        <v>0.14084507042253522</v>
      </c>
      <c r="AH174" s="26">
        <v>2</v>
      </c>
      <c r="AI174" s="25">
        <v>33.5</v>
      </c>
      <c r="AJ174" s="24">
        <v>5.9701492537313432E-2</v>
      </c>
      <c r="AK174" s="26">
        <v>5</v>
      </c>
      <c r="AL174" s="25">
        <v>18.5</v>
      </c>
      <c r="AM174" s="24">
        <v>0.27027027027027029</v>
      </c>
      <c r="AN174" s="26">
        <v>4</v>
      </c>
      <c r="AO174" s="25">
        <v>23</v>
      </c>
      <c r="AP174" s="24">
        <v>0.17391304347826086</v>
      </c>
      <c r="AQ174" s="26">
        <v>26</v>
      </c>
      <c r="AR174" s="25">
        <v>23.5</v>
      </c>
      <c r="AS174" s="24">
        <v>1.1063829787234043</v>
      </c>
    </row>
    <row r="175" spans="1:45" x14ac:dyDescent="0.35">
      <c r="A175" s="21" t="s">
        <v>337</v>
      </c>
      <c r="B175" s="22" t="s">
        <v>338</v>
      </c>
      <c r="C175" s="21" t="s">
        <v>842</v>
      </c>
      <c r="D175" s="22" t="s">
        <v>656</v>
      </c>
      <c r="E175" s="22" t="s">
        <v>657</v>
      </c>
      <c r="F175" s="22" t="s">
        <v>658</v>
      </c>
      <c r="G175" s="22" t="s">
        <v>1570</v>
      </c>
      <c r="H175" s="22" t="s">
        <v>668</v>
      </c>
      <c r="I175" s="22" t="s">
        <v>843</v>
      </c>
      <c r="J175" s="22">
        <v>0</v>
      </c>
      <c r="K175" s="22">
        <v>11.5</v>
      </c>
      <c r="L175" s="24">
        <v>0</v>
      </c>
      <c r="M175" s="22">
        <v>0</v>
      </c>
      <c r="N175" s="23">
        <v>22.5</v>
      </c>
      <c r="O175" s="24">
        <v>0</v>
      </c>
      <c r="P175" s="22">
        <v>0</v>
      </c>
      <c r="Q175" s="23">
        <v>23</v>
      </c>
      <c r="R175" s="24">
        <v>0</v>
      </c>
      <c r="S175" s="21">
        <v>0</v>
      </c>
      <c r="T175" s="23">
        <v>13.5</v>
      </c>
      <c r="U175" s="24">
        <v>0</v>
      </c>
      <c r="V175" s="21">
        <v>0</v>
      </c>
      <c r="W175" s="23">
        <v>14.5</v>
      </c>
      <c r="X175" s="24">
        <v>0</v>
      </c>
      <c r="Y175" s="25">
        <v>1</v>
      </c>
      <c r="Z175" s="25">
        <v>13.5</v>
      </c>
      <c r="AA175" s="24">
        <v>7.407407407407407E-2</v>
      </c>
      <c r="AB175" s="22">
        <v>1</v>
      </c>
      <c r="AC175" s="22">
        <v>14.5</v>
      </c>
      <c r="AD175" s="24">
        <f>Table13[[#This Row],[Gönüllü Çıkış Sayısı]]/Table13[[#This Row],[Ortalama Çalışan Sayısı]]</f>
        <v>0</v>
      </c>
      <c r="AE175" s="26">
        <v>2</v>
      </c>
      <c r="AF175" s="25">
        <v>22.5</v>
      </c>
      <c r="AG175" s="24">
        <v>8.8888888888888892E-2</v>
      </c>
      <c r="AH175" s="26">
        <v>0</v>
      </c>
      <c r="AI175" s="25">
        <v>23</v>
      </c>
      <c r="AJ175" s="24">
        <v>0</v>
      </c>
      <c r="AK175" s="26">
        <v>0</v>
      </c>
      <c r="AL175" s="25">
        <v>14</v>
      </c>
      <c r="AM175" s="24">
        <v>0</v>
      </c>
      <c r="AN175" s="26">
        <v>0</v>
      </c>
      <c r="AO175" s="25">
        <v>14</v>
      </c>
      <c r="AP175" s="24">
        <v>0</v>
      </c>
      <c r="AQ175" s="26">
        <v>3</v>
      </c>
      <c r="AR175" s="25">
        <v>14.5</v>
      </c>
      <c r="AS175" s="24">
        <v>0.20689655172413793</v>
      </c>
    </row>
    <row r="176" spans="1:45" x14ac:dyDescent="0.35">
      <c r="A176" s="21" t="s">
        <v>339</v>
      </c>
      <c r="B176" s="22" t="s">
        <v>340</v>
      </c>
      <c r="C176" s="21" t="s">
        <v>844</v>
      </c>
      <c r="D176" s="22" t="s">
        <v>651</v>
      </c>
      <c r="E176" s="22" t="s">
        <v>629</v>
      </c>
      <c r="F176" s="22" t="s">
        <v>630</v>
      </c>
      <c r="G176" s="22" t="s">
        <v>1569</v>
      </c>
      <c r="H176" s="22" t="s">
        <v>631</v>
      </c>
      <c r="I176" s="22" t="s">
        <v>705</v>
      </c>
      <c r="J176" s="22">
        <v>5</v>
      </c>
      <c r="K176" s="22">
        <v>30</v>
      </c>
      <c r="L176" s="24">
        <v>0.16666666666666666</v>
      </c>
      <c r="M176" s="22">
        <v>0</v>
      </c>
      <c r="N176" s="23">
        <v>20.5</v>
      </c>
      <c r="O176" s="24">
        <v>0</v>
      </c>
      <c r="P176" s="22">
        <v>3</v>
      </c>
      <c r="Q176" s="23">
        <v>21</v>
      </c>
      <c r="R176" s="24">
        <v>0.14285714285714285</v>
      </c>
      <c r="S176" s="21">
        <v>1</v>
      </c>
      <c r="T176" s="23">
        <v>33.5</v>
      </c>
      <c r="U176" s="24">
        <v>2.9850746268656716E-2</v>
      </c>
      <c r="V176" s="21">
        <v>1</v>
      </c>
      <c r="W176" s="23">
        <v>35</v>
      </c>
      <c r="X176" s="24">
        <v>2.8571428571428571E-2</v>
      </c>
      <c r="Y176" s="25">
        <v>9</v>
      </c>
      <c r="Z176" s="25">
        <v>33.5</v>
      </c>
      <c r="AA176" s="24">
        <v>0.26865671641791045</v>
      </c>
      <c r="AB176" s="22">
        <v>0</v>
      </c>
      <c r="AC176" s="22">
        <v>39</v>
      </c>
      <c r="AD176" s="24">
        <f>Table13[[#This Row],[Gönüllü Çıkış Sayısı]]/Table13[[#This Row],[Ortalama Çalışan Sayısı]]</f>
        <v>0.16666666666666666</v>
      </c>
      <c r="AE176" s="26">
        <v>1</v>
      </c>
      <c r="AF176" s="25">
        <v>17.5</v>
      </c>
      <c r="AG176" s="24">
        <v>5.7142857142857141E-2</v>
      </c>
      <c r="AH176" s="26">
        <v>0</v>
      </c>
      <c r="AI176" s="25">
        <v>17.5</v>
      </c>
      <c r="AJ176" s="24">
        <v>0</v>
      </c>
      <c r="AK176" s="26">
        <v>1</v>
      </c>
      <c r="AL176" s="25">
        <v>32</v>
      </c>
      <c r="AM176" s="24">
        <v>3.125E-2</v>
      </c>
      <c r="AN176" s="26">
        <v>3</v>
      </c>
      <c r="AO176" s="25">
        <v>30.5</v>
      </c>
      <c r="AP176" s="24">
        <v>9.8360655737704916E-2</v>
      </c>
      <c r="AQ176" s="26">
        <v>13</v>
      </c>
      <c r="AR176" s="25">
        <v>34</v>
      </c>
      <c r="AS176" s="24">
        <v>0.38235294117647056</v>
      </c>
    </row>
    <row r="177" spans="1:45" x14ac:dyDescent="0.35">
      <c r="A177" s="21" t="s">
        <v>341</v>
      </c>
      <c r="B177" s="22" t="s">
        <v>342</v>
      </c>
      <c r="C177" s="21" t="s">
        <v>845</v>
      </c>
      <c r="D177" s="22" t="s">
        <v>678</v>
      </c>
      <c r="E177" s="22" t="s">
        <v>623</v>
      </c>
      <c r="F177" s="22" t="s">
        <v>624</v>
      </c>
      <c r="G177" s="22" t="s">
        <v>624</v>
      </c>
      <c r="H177" s="22" t="s">
        <v>636</v>
      </c>
      <c r="I177" s="22" t="s">
        <v>679</v>
      </c>
      <c r="J177" s="22">
        <v>1</v>
      </c>
      <c r="K177" s="22">
        <v>23</v>
      </c>
      <c r="L177" s="24">
        <v>4.3478260869565216E-2</v>
      </c>
      <c r="M177" s="22">
        <v>2</v>
      </c>
      <c r="N177" s="23">
        <v>23.5</v>
      </c>
      <c r="O177" s="24">
        <v>8.5106382978723402E-2</v>
      </c>
      <c r="P177" s="22">
        <v>0</v>
      </c>
      <c r="Q177" s="23">
        <v>23</v>
      </c>
      <c r="R177" s="24">
        <v>0</v>
      </c>
      <c r="S177" s="21">
        <v>3</v>
      </c>
      <c r="T177" s="23">
        <v>26.5</v>
      </c>
      <c r="U177" s="24">
        <v>0.11320754716981132</v>
      </c>
      <c r="V177" s="21">
        <v>6</v>
      </c>
      <c r="W177" s="23">
        <v>25.5</v>
      </c>
      <c r="X177" s="24">
        <v>0.23529411764705882</v>
      </c>
      <c r="Y177" s="25">
        <v>14</v>
      </c>
      <c r="Z177" s="25">
        <v>24.5</v>
      </c>
      <c r="AA177" s="24">
        <v>0.5714285714285714</v>
      </c>
      <c r="AB177" s="22">
        <v>1</v>
      </c>
      <c r="AC177" s="22">
        <v>30.5</v>
      </c>
      <c r="AD177" s="24">
        <f>Table13[[#This Row],[Gönüllü Çıkış Sayısı]]/Table13[[#This Row],[Ortalama Çalışan Sayısı]]</f>
        <v>4.3478260869565216E-2</v>
      </c>
      <c r="AE177" s="26">
        <v>4</v>
      </c>
      <c r="AF177" s="25">
        <v>19.5</v>
      </c>
      <c r="AG177" s="24">
        <v>0.20512820512820512</v>
      </c>
      <c r="AH177" s="26">
        <v>8</v>
      </c>
      <c r="AI177" s="25">
        <v>18.5</v>
      </c>
      <c r="AJ177" s="24">
        <v>0.43243243243243246</v>
      </c>
      <c r="AK177" s="26">
        <v>2</v>
      </c>
      <c r="AL177" s="25">
        <v>26</v>
      </c>
      <c r="AM177" s="24">
        <v>7.6923076923076927E-2</v>
      </c>
      <c r="AN177" s="26">
        <v>8</v>
      </c>
      <c r="AO177" s="25">
        <v>25</v>
      </c>
      <c r="AP177" s="24">
        <v>0.32</v>
      </c>
      <c r="AQ177" s="26">
        <v>18</v>
      </c>
      <c r="AR177" s="25">
        <v>27</v>
      </c>
      <c r="AS177" s="24">
        <v>0.66666666666666663</v>
      </c>
    </row>
    <row r="178" spans="1:45" x14ac:dyDescent="0.35">
      <c r="A178" s="21" t="s">
        <v>343</v>
      </c>
      <c r="B178" s="22" t="s">
        <v>344</v>
      </c>
      <c r="C178" s="21" t="s">
        <v>846</v>
      </c>
      <c r="D178" s="22" t="s">
        <v>645</v>
      </c>
      <c r="E178" s="22" t="s">
        <v>629</v>
      </c>
      <c r="F178" s="22" t="s">
        <v>646</v>
      </c>
      <c r="G178" s="22" t="s">
        <v>646</v>
      </c>
      <c r="H178" s="22" t="s">
        <v>642</v>
      </c>
      <c r="I178" s="22" t="s">
        <v>632</v>
      </c>
      <c r="J178" s="22">
        <v>1</v>
      </c>
      <c r="K178" s="22">
        <v>11</v>
      </c>
      <c r="L178" s="24">
        <v>9.0909090909090912E-2</v>
      </c>
      <c r="M178" s="22">
        <v>1</v>
      </c>
      <c r="N178" s="23">
        <v>12</v>
      </c>
      <c r="O178" s="24">
        <v>8.3333333333333329E-2</v>
      </c>
      <c r="P178" s="22">
        <v>0</v>
      </c>
      <c r="Q178" s="23">
        <v>13</v>
      </c>
      <c r="R178" s="24">
        <v>0</v>
      </c>
      <c r="S178" s="21">
        <v>0</v>
      </c>
      <c r="T178" s="23">
        <v>11.5</v>
      </c>
      <c r="U178" s="24">
        <v>0</v>
      </c>
      <c r="V178" s="21">
        <v>1</v>
      </c>
      <c r="W178" s="23">
        <v>11.5</v>
      </c>
      <c r="X178" s="24">
        <v>8.6956521739130432E-2</v>
      </c>
      <c r="Y178" s="25">
        <v>3</v>
      </c>
      <c r="Z178" s="25">
        <v>11.5</v>
      </c>
      <c r="AA178" s="24">
        <v>0.2608695652173913</v>
      </c>
      <c r="AB178" s="22">
        <v>2</v>
      </c>
      <c r="AC178" s="22">
        <v>10.5</v>
      </c>
      <c r="AD178" s="24">
        <f>Table13[[#This Row],[Gönüllü Çıkış Sayısı]]/Table13[[#This Row],[Ortalama Çalışan Sayısı]]</f>
        <v>9.0909090909090912E-2</v>
      </c>
      <c r="AE178" s="26">
        <v>2</v>
      </c>
      <c r="AF178" s="25">
        <v>14</v>
      </c>
      <c r="AG178" s="24">
        <v>0.14285714285714285</v>
      </c>
      <c r="AH178" s="26">
        <v>0</v>
      </c>
      <c r="AI178" s="25">
        <v>14</v>
      </c>
      <c r="AJ178" s="24">
        <v>0</v>
      </c>
      <c r="AK178" s="26">
        <v>2</v>
      </c>
      <c r="AL178" s="25">
        <v>9.5</v>
      </c>
      <c r="AM178" s="24">
        <v>0.21052631578947367</v>
      </c>
      <c r="AN178" s="26">
        <v>1</v>
      </c>
      <c r="AO178" s="25">
        <v>10</v>
      </c>
      <c r="AP178" s="24">
        <v>0.1</v>
      </c>
      <c r="AQ178" s="26">
        <v>7</v>
      </c>
      <c r="AR178" s="25">
        <v>10.5</v>
      </c>
      <c r="AS178" s="24">
        <v>0.66666666666666663</v>
      </c>
    </row>
    <row r="179" spans="1:45" x14ac:dyDescent="0.35">
      <c r="A179" s="21" t="s">
        <v>347</v>
      </c>
      <c r="B179" s="22" t="s">
        <v>348</v>
      </c>
      <c r="C179" s="21" t="s">
        <v>847</v>
      </c>
      <c r="D179" s="22" t="s">
        <v>707</v>
      </c>
      <c r="E179" s="22" t="s">
        <v>629</v>
      </c>
      <c r="F179" s="22" t="s">
        <v>635</v>
      </c>
      <c r="G179" s="22" t="s">
        <v>635</v>
      </c>
      <c r="H179" s="22" t="s">
        <v>654</v>
      </c>
      <c r="I179" s="22" t="s">
        <v>710</v>
      </c>
      <c r="J179" s="22">
        <v>0</v>
      </c>
      <c r="K179" s="22">
        <v>9</v>
      </c>
      <c r="L179" s="24">
        <v>0</v>
      </c>
      <c r="M179" s="22">
        <v>1</v>
      </c>
      <c r="N179" s="23">
        <v>31.5</v>
      </c>
      <c r="O179" s="24">
        <v>3.1746031746031744E-2</v>
      </c>
      <c r="P179" s="22">
        <v>1</v>
      </c>
      <c r="Q179" s="23">
        <v>34</v>
      </c>
      <c r="R179" s="24">
        <v>2.9411764705882353E-2</v>
      </c>
      <c r="S179" s="21">
        <v>1</v>
      </c>
      <c r="T179" s="23">
        <v>14</v>
      </c>
      <c r="U179" s="24">
        <v>7.1428571428571425E-2</v>
      </c>
      <c r="V179" s="21">
        <v>4</v>
      </c>
      <c r="W179" s="23">
        <v>15</v>
      </c>
      <c r="X179" s="24">
        <v>0.26666666666666666</v>
      </c>
      <c r="Y179" s="25">
        <v>7</v>
      </c>
      <c r="Z179" s="25">
        <v>12</v>
      </c>
      <c r="AA179" s="24">
        <v>0.58333333333333337</v>
      </c>
      <c r="AB179" s="22">
        <v>1</v>
      </c>
      <c r="AC179" s="22">
        <v>11.5</v>
      </c>
      <c r="AD179" s="24">
        <f>Table13[[#This Row],[Gönüllü Çıkış Sayısı]]/Table13[[#This Row],[Ortalama Çalışan Sayısı]]</f>
        <v>0</v>
      </c>
      <c r="AE179" s="26">
        <v>4</v>
      </c>
      <c r="AF179" s="25">
        <v>36</v>
      </c>
      <c r="AG179" s="24">
        <v>0.1111111111111111</v>
      </c>
      <c r="AH179" s="26">
        <v>5</v>
      </c>
      <c r="AI179" s="25">
        <v>33</v>
      </c>
      <c r="AJ179" s="24">
        <v>0.15151515151515152</v>
      </c>
      <c r="AK179" s="26">
        <v>0</v>
      </c>
      <c r="AL179" s="25">
        <v>9</v>
      </c>
      <c r="AM179" s="24">
        <v>0</v>
      </c>
      <c r="AN179" s="26">
        <v>0</v>
      </c>
      <c r="AO179" s="25">
        <v>9</v>
      </c>
      <c r="AP179" s="24">
        <v>0</v>
      </c>
      <c r="AQ179" s="26">
        <v>4</v>
      </c>
      <c r="AR179" s="25">
        <v>10.5</v>
      </c>
      <c r="AS179" s="24">
        <v>0.38095238095238093</v>
      </c>
    </row>
    <row r="180" spans="1:45" x14ac:dyDescent="0.35">
      <c r="A180" s="21" t="s">
        <v>349</v>
      </c>
      <c r="B180" s="22" t="s">
        <v>350</v>
      </c>
      <c r="C180" s="21" t="s">
        <v>848</v>
      </c>
      <c r="D180" s="22" t="s">
        <v>648</v>
      </c>
      <c r="E180" s="22" t="s">
        <v>623</v>
      </c>
      <c r="F180" s="22" t="s">
        <v>624</v>
      </c>
      <c r="G180" s="22" t="s">
        <v>624</v>
      </c>
      <c r="H180" s="22" t="s">
        <v>625</v>
      </c>
      <c r="I180" s="22" t="s">
        <v>649</v>
      </c>
      <c r="J180" s="22">
        <v>10</v>
      </c>
      <c r="K180" s="22">
        <v>57.5</v>
      </c>
      <c r="L180" s="24">
        <v>0.17391304347826086</v>
      </c>
      <c r="M180" s="22">
        <v>0</v>
      </c>
      <c r="N180" s="23">
        <v>25</v>
      </c>
      <c r="O180" s="24">
        <v>0</v>
      </c>
      <c r="P180" s="22">
        <v>4</v>
      </c>
      <c r="Q180" s="23">
        <v>26</v>
      </c>
      <c r="R180" s="24">
        <v>0.15384615384615385</v>
      </c>
      <c r="S180" s="21">
        <v>4</v>
      </c>
      <c r="T180" s="23">
        <v>62.5</v>
      </c>
      <c r="U180" s="24">
        <v>6.4000000000000001E-2</v>
      </c>
      <c r="V180" s="21">
        <v>11</v>
      </c>
      <c r="W180" s="23">
        <v>64</v>
      </c>
      <c r="X180" s="24">
        <v>0.171875</v>
      </c>
      <c r="Y180" s="25">
        <v>44</v>
      </c>
      <c r="Z180" s="25">
        <v>64</v>
      </c>
      <c r="AA180" s="24">
        <v>0.6875</v>
      </c>
      <c r="AB180" s="22">
        <v>4</v>
      </c>
      <c r="AC180" s="22">
        <v>77</v>
      </c>
      <c r="AD180" s="24">
        <f>Table13[[#This Row],[Gönüllü Çıkış Sayısı]]/Table13[[#This Row],[Ortalama Çalışan Sayısı]]</f>
        <v>0.17391304347826086</v>
      </c>
      <c r="AE180" s="26">
        <v>4</v>
      </c>
      <c r="AF180" s="25">
        <v>28</v>
      </c>
      <c r="AG180" s="24">
        <v>0.14285714285714285</v>
      </c>
      <c r="AH180" s="26">
        <v>3</v>
      </c>
      <c r="AI180" s="25">
        <v>25.5</v>
      </c>
      <c r="AJ180" s="24">
        <v>0.11764705882352941</v>
      </c>
      <c r="AK180" s="26">
        <v>11</v>
      </c>
      <c r="AL180" s="25">
        <v>73</v>
      </c>
      <c r="AM180" s="24">
        <v>0.15068493150684931</v>
      </c>
      <c r="AN180" s="26">
        <v>6</v>
      </c>
      <c r="AO180" s="25">
        <v>66</v>
      </c>
      <c r="AP180" s="24">
        <v>9.0909090909090912E-2</v>
      </c>
      <c r="AQ180" s="26">
        <v>41</v>
      </c>
      <c r="AR180" s="25">
        <v>71.5</v>
      </c>
      <c r="AS180" s="24">
        <v>0.57342657342657344</v>
      </c>
    </row>
    <row r="181" spans="1:45" x14ac:dyDescent="0.35">
      <c r="A181" s="21" t="s">
        <v>351</v>
      </c>
      <c r="B181" s="22" t="s">
        <v>352</v>
      </c>
      <c r="C181" s="21" t="s">
        <v>849</v>
      </c>
      <c r="D181" s="22" t="s">
        <v>661</v>
      </c>
      <c r="E181" s="22" t="s">
        <v>657</v>
      </c>
      <c r="F181" s="22" t="s">
        <v>662</v>
      </c>
      <c r="G181" s="22" t="s">
        <v>662</v>
      </c>
      <c r="H181" s="22" t="s">
        <v>636</v>
      </c>
      <c r="I181" s="22" t="s">
        <v>632</v>
      </c>
      <c r="J181" s="22">
        <v>2</v>
      </c>
      <c r="K181" s="22">
        <v>17.5</v>
      </c>
      <c r="L181" s="24">
        <v>0.11428571428571428</v>
      </c>
      <c r="M181" s="22">
        <v>1</v>
      </c>
      <c r="N181" s="23">
        <v>11</v>
      </c>
      <c r="O181" s="24">
        <v>9.0909090909090912E-2</v>
      </c>
      <c r="P181" s="22">
        <v>0</v>
      </c>
      <c r="Q181" s="23">
        <v>11.5</v>
      </c>
      <c r="R181" s="24">
        <v>0</v>
      </c>
      <c r="S181" s="21">
        <v>0</v>
      </c>
      <c r="T181" s="23">
        <v>22</v>
      </c>
      <c r="U181" s="24">
        <v>0</v>
      </c>
      <c r="V181" s="21">
        <v>2</v>
      </c>
      <c r="W181" s="23">
        <v>22</v>
      </c>
      <c r="X181" s="24">
        <v>9.0909090909090912E-2</v>
      </c>
      <c r="Y181" s="25">
        <v>4</v>
      </c>
      <c r="Z181" s="25">
        <v>21</v>
      </c>
      <c r="AA181" s="24">
        <v>0.19047619047619047</v>
      </c>
      <c r="AB181" s="22">
        <v>5</v>
      </c>
      <c r="AC181" s="22">
        <v>24.5</v>
      </c>
      <c r="AD181" s="24">
        <f>Table13[[#This Row],[Gönüllü Çıkış Sayısı]]/Table13[[#This Row],[Ortalama Çalışan Sayısı]]</f>
        <v>0.11428571428571428</v>
      </c>
      <c r="AE181" s="26">
        <v>1</v>
      </c>
      <c r="AF181" s="25">
        <v>9.5</v>
      </c>
      <c r="AG181" s="24">
        <v>0.10526315789473684</v>
      </c>
      <c r="AH181" s="26">
        <v>1</v>
      </c>
      <c r="AI181" s="25">
        <v>9</v>
      </c>
      <c r="AJ181" s="24">
        <v>0.1111111111111111</v>
      </c>
      <c r="AK181" s="26">
        <v>3</v>
      </c>
      <c r="AL181" s="25">
        <v>21.5</v>
      </c>
      <c r="AM181" s="24">
        <v>0.13953488372093023</v>
      </c>
      <c r="AN181" s="26">
        <v>3</v>
      </c>
      <c r="AO181" s="25">
        <v>19.5</v>
      </c>
      <c r="AP181" s="24">
        <v>0.15384615384615385</v>
      </c>
      <c r="AQ181" s="26">
        <v>13</v>
      </c>
      <c r="AR181" s="25">
        <v>22.5</v>
      </c>
      <c r="AS181" s="24">
        <v>0.57777777777777772</v>
      </c>
    </row>
    <row r="182" spans="1:45" x14ac:dyDescent="0.35">
      <c r="A182" s="21" t="s">
        <v>353</v>
      </c>
      <c r="B182" s="22" t="s">
        <v>354</v>
      </c>
      <c r="C182" s="21" t="s">
        <v>850</v>
      </c>
      <c r="D182" s="22" t="s">
        <v>640</v>
      </c>
      <c r="E182" s="22" t="s">
        <v>623</v>
      </c>
      <c r="F182" s="22" t="s">
        <v>624</v>
      </c>
      <c r="G182" s="22" t="s">
        <v>624</v>
      </c>
      <c r="H182" s="22" t="s">
        <v>654</v>
      </c>
      <c r="I182" s="22" t="s">
        <v>789</v>
      </c>
      <c r="J182" s="22">
        <v>1</v>
      </c>
      <c r="K182" s="22">
        <v>14</v>
      </c>
      <c r="L182" s="24">
        <v>7.1428571428571425E-2</v>
      </c>
      <c r="M182" s="22">
        <v>1</v>
      </c>
      <c r="N182" s="23">
        <v>12</v>
      </c>
      <c r="O182" s="24">
        <v>8.3333333333333329E-2</v>
      </c>
      <c r="P182" s="22">
        <v>1</v>
      </c>
      <c r="Q182" s="23">
        <v>12.5</v>
      </c>
      <c r="R182" s="24">
        <v>0.08</v>
      </c>
      <c r="S182" s="21">
        <v>2</v>
      </c>
      <c r="T182" s="23">
        <v>15</v>
      </c>
      <c r="U182" s="24">
        <v>0.13333333333333333</v>
      </c>
      <c r="V182" s="21">
        <v>0</v>
      </c>
      <c r="W182" s="23">
        <v>16.5</v>
      </c>
      <c r="X182" s="24">
        <v>0</v>
      </c>
      <c r="Y182" s="25">
        <v>5</v>
      </c>
      <c r="Z182" s="25">
        <v>16.5</v>
      </c>
      <c r="AA182" s="24">
        <v>0.30303030303030304</v>
      </c>
      <c r="AB182" s="22">
        <v>0</v>
      </c>
      <c r="AC182" s="22">
        <v>16</v>
      </c>
      <c r="AD182" s="24">
        <f>Table13[[#This Row],[Gönüllü Çıkış Sayısı]]/Table13[[#This Row],[Ortalama Çalışan Sayısı]]</f>
        <v>7.1428571428571425E-2</v>
      </c>
      <c r="AE182" s="26">
        <v>0</v>
      </c>
      <c r="AF182" s="25">
        <v>11</v>
      </c>
      <c r="AG182" s="24">
        <v>0</v>
      </c>
      <c r="AH182" s="26">
        <v>3</v>
      </c>
      <c r="AI182" s="25">
        <v>9.5</v>
      </c>
      <c r="AJ182" s="24">
        <v>0.31578947368421051</v>
      </c>
      <c r="AK182" s="26">
        <v>0</v>
      </c>
      <c r="AL182" s="25">
        <v>15</v>
      </c>
      <c r="AM182" s="24">
        <v>0</v>
      </c>
      <c r="AN182" s="26">
        <v>0</v>
      </c>
      <c r="AO182" s="25">
        <v>15</v>
      </c>
      <c r="AP182" s="24">
        <v>0</v>
      </c>
      <c r="AQ182" s="26">
        <v>1</v>
      </c>
      <c r="AR182" s="25">
        <v>15.5</v>
      </c>
      <c r="AS182" s="24">
        <v>6.4516129032258063E-2</v>
      </c>
    </row>
    <row r="183" spans="1:45" x14ac:dyDescent="0.35">
      <c r="A183" s="21" t="s">
        <v>355</v>
      </c>
      <c r="B183" s="22" t="s">
        <v>356</v>
      </c>
      <c r="C183" s="21" t="s">
        <v>851</v>
      </c>
      <c r="D183" s="22" t="s">
        <v>622</v>
      </c>
      <c r="E183" s="22" t="s">
        <v>623</v>
      </c>
      <c r="F183" s="22" t="s">
        <v>624</v>
      </c>
      <c r="G183" s="22" t="s">
        <v>624</v>
      </c>
      <c r="H183" s="22" t="s">
        <v>625</v>
      </c>
      <c r="I183" s="22" t="s">
        <v>649</v>
      </c>
      <c r="J183" s="22">
        <v>4</v>
      </c>
      <c r="K183" s="22">
        <v>44.5</v>
      </c>
      <c r="L183" s="24">
        <v>8.98876404494382E-2</v>
      </c>
      <c r="M183" s="22">
        <v>7</v>
      </c>
      <c r="N183" s="23">
        <v>59.5</v>
      </c>
      <c r="O183" s="24">
        <v>0.11764705882352941</v>
      </c>
      <c r="P183" s="22">
        <v>12</v>
      </c>
      <c r="Q183" s="23">
        <v>62.5</v>
      </c>
      <c r="R183" s="24">
        <v>0.192</v>
      </c>
      <c r="S183" s="21">
        <v>2</v>
      </c>
      <c r="T183" s="23">
        <v>46</v>
      </c>
      <c r="U183" s="24">
        <v>4.3478260869565216E-2</v>
      </c>
      <c r="V183" s="21">
        <v>6</v>
      </c>
      <c r="W183" s="23">
        <v>44.5</v>
      </c>
      <c r="X183" s="24">
        <v>0.1348314606741573</v>
      </c>
      <c r="Y183" s="25">
        <v>20</v>
      </c>
      <c r="Z183" s="25">
        <v>46.5</v>
      </c>
      <c r="AA183" s="24">
        <v>0.43010752688172044</v>
      </c>
      <c r="AB183" s="22">
        <v>2</v>
      </c>
      <c r="AC183" s="22">
        <v>43.5</v>
      </c>
      <c r="AD183" s="24">
        <f>Table13[[#This Row],[Gönüllü Çıkış Sayısı]]/Table13[[#This Row],[Ortalama Çalışan Sayısı]]</f>
        <v>8.98876404494382E-2</v>
      </c>
      <c r="AE183" s="26">
        <v>7</v>
      </c>
      <c r="AF183" s="25">
        <v>77</v>
      </c>
      <c r="AG183" s="24">
        <v>9.0909090909090912E-2</v>
      </c>
      <c r="AH183" s="26">
        <v>13</v>
      </c>
      <c r="AI183" s="25">
        <v>79.5</v>
      </c>
      <c r="AJ183" s="24">
        <v>0.16352201257861634</v>
      </c>
      <c r="AK183" s="26">
        <v>3</v>
      </c>
      <c r="AL183" s="25">
        <v>44</v>
      </c>
      <c r="AM183" s="24">
        <v>6.8181818181818177E-2</v>
      </c>
      <c r="AN183" s="26">
        <v>4</v>
      </c>
      <c r="AO183" s="25">
        <v>46.5</v>
      </c>
      <c r="AP183" s="24">
        <v>8.6021505376344093E-2</v>
      </c>
      <c r="AQ183" s="26">
        <v>12</v>
      </c>
      <c r="AR183" s="25">
        <v>46</v>
      </c>
      <c r="AS183" s="24">
        <v>0.2608695652173913</v>
      </c>
    </row>
    <row r="184" spans="1:45" x14ac:dyDescent="0.35">
      <c r="A184" s="21" t="s">
        <v>357</v>
      </c>
      <c r="B184" s="22" t="s">
        <v>358</v>
      </c>
      <c r="C184" s="21" t="s">
        <v>359</v>
      </c>
      <c r="D184" s="22" t="s">
        <v>640</v>
      </c>
      <c r="E184" s="22" t="s">
        <v>623</v>
      </c>
      <c r="F184" s="22" t="s">
        <v>641</v>
      </c>
      <c r="G184" s="22" t="s">
        <v>641</v>
      </c>
      <c r="H184" s="22" t="s">
        <v>668</v>
      </c>
      <c r="I184" s="22" t="s">
        <v>852</v>
      </c>
      <c r="J184" s="22">
        <v>1</v>
      </c>
      <c r="K184" s="22">
        <v>16</v>
      </c>
      <c r="L184" s="24">
        <v>6.25E-2</v>
      </c>
      <c r="M184" s="22">
        <v>0</v>
      </c>
      <c r="N184" s="23">
        <v>17</v>
      </c>
      <c r="O184" s="24">
        <v>0</v>
      </c>
      <c r="P184" s="22">
        <v>0</v>
      </c>
      <c r="Q184" s="23">
        <v>20</v>
      </c>
      <c r="R184" s="24">
        <v>0</v>
      </c>
      <c r="S184" s="21">
        <v>0</v>
      </c>
      <c r="T184" s="23">
        <v>16</v>
      </c>
      <c r="U184" s="24">
        <v>0</v>
      </c>
      <c r="V184" s="21">
        <v>3</v>
      </c>
      <c r="W184" s="23">
        <v>15.5</v>
      </c>
      <c r="X184" s="24">
        <v>0.19354838709677419</v>
      </c>
      <c r="Y184" s="25">
        <v>4</v>
      </c>
      <c r="Z184" s="25">
        <v>16</v>
      </c>
      <c r="AA184" s="24">
        <v>0.25</v>
      </c>
      <c r="AB184" s="22">
        <v>0</v>
      </c>
      <c r="AC184" s="22">
        <v>14</v>
      </c>
      <c r="AD184" s="24">
        <f>Table13[[#This Row],[Gönüllü Çıkış Sayısı]]/Table13[[#This Row],[Ortalama Çalışan Sayısı]]</f>
        <v>6.25E-2</v>
      </c>
      <c r="AE184" s="26">
        <v>1</v>
      </c>
      <c r="AF184" s="25">
        <v>23.5</v>
      </c>
      <c r="AG184" s="24">
        <v>4.2553191489361701E-2</v>
      </c>
      <c r="AH184" s="26">
        <v>1</v>
      </c>
      <c r="AI184" s="25">
        <v>22.5</v>
      </c>
      <c r="AJ184" s="24">
        <v>4.4444444444444446E-2</v>
      </c>
      <c r="AK184" s="26">
        <v>0</v>
      </c>
      <c r="AL184" s="25">
        <v>15</v>
      </c>
      <c r="AM184" s="24">
        <v>0</v>
      </c>
      <c r="AN184" s="26">
        <v>0</v>
      </c>
      <c r="AO184" s="25">
        <v>15</v>
      </c>
      <c r="AP184" s="24">
        <v>0</v>
      </c>
      <c r="AQ184" s="26">
        <v>1</v>
      </c>
      <c r="AR184" s="25">
        <v>14.5</v>
      </c>
      <c r="AS184" s="24">
        <v>6.8965517241379309E-2</v>
      </c>
    </row>
    <row r="185" spans="1:45" x14ac:dyDescent="0.35">
      <c r="A185" s="21" t="s">
        <v>360</v>
      </c>
      <c r="B185" s="22" t="s">
        <v>361</v>
      </c>
      <c r="C185" s="21" t="s">
        <v>853</v>
      </c>
      <c r="D185" s="22" t="s">
        <v>670</v>
      </c>
      <c r="E185" s="22" t="s">
        <v>657</v>
      </c>
      <c r="F185" s="22" t="s">
        <v>641</v>
      </c>
      <c r="G185" s="22" t="s">
        <v>641</v>
      </c>
      <c r="H185" s="22" t="s">
        <v>642</v>
      </c>
      <c r="I185" s="22" t="s">
        <v>671</v>
      </c>
      <c r="J185" s="22">
        <v>0</v>
      </c>
      <c r="K185" s="22">
        <v>12.5</v>
      </c>
      <c r="L185" s="24">
        <v>0</v>
      </c>
      <c r="M185" s="22">
        <v>1</v>
      </c>
      <c r="N185" s="23">
        <v>15</v>
      </c>
      <c r="O185" s="24">
        <v>6.6666666666666666E-2</v>
      </c>
      <c r="P185" s="22">
        <v>1</v>
      </c>
      <c r="Q185" s="23">
        <v>14.5</v>
      </c>
      <c r="R185" s="24">
        <v>6.8965517241379309E-2</v>
      </c>
      <c r="S185" s="21">
        <v>0</v>
      </c>
      <c r="T185" s="23">
        <v>14</v>
      </c>
      <c r="U185" s="24">
        <v>0</v>
      </c>
      <c r="V185" s="21">
        <v>0</v>
      </c>
      <c r="W185" s="23">
        <v>15.5</v>
      </c>
      <c r="X185" s="24">
        <v>0</v>
      </c>
      <c r="Y185" s="25">
        <v>4</v>
      </c>
      <c r="Z185" s="25">
        <v>14.5</v>
      </c>
      <c r="AA185" s="24">
        <v>0.27586206896551724</v>
      </c>
      <c r="AB185" s="22">
        <v>0</v>
      </c>
      <c r="AC185" s="22">
        <v>13</v>
      </c>
      <c r="AD185" s="24">
        <f>Table13[[#This Row],[Gönüllü Çıkış Sayısı]]/Table13[[#This Row],[Ortalama Çalışan Sayısı]]</f>
        <v>0</v>
      </c>
      <c r="AE185" s="26">
        <v>1</v>
      </c>
      <c r="AF185" s="25">
        <v>15.5</v>
      </c>
      <c r="AG185" s="24">
        <v>6.4516129032258063E-2</v>
      </c>
      <c r="AH185" s="26">
        <v>0</v>
      </c>
      <c r="AI185" s="25">
        <v>15</v>
      </c>
      <c r="AJ185" s="24">
        <v>0</v>
      </c>
      <c r="AK185" s="26">
        <v>2</v>
      </c>
      <c r="AL185" s="25">
        <v>12</v>
      </c>
      <c r="AM185" s="24">
        <v>0.16666666666666666</v>
      </c>
      <c r="AN185" s="26">
        <v>1</v>
      </c>
      <c r="AO185" s="25">
        <v>11</v>
      </c>
      <c r="AP185" s="24">
        <v>9.0909090909090912E-2</v>
      </c>
      <c r="AQ185" s="26">
        <v>3</v>
      </c>
      <c r="AR185" s="25">
        <v>12</v>
      </c>
      <c r="AS185" s="24">
        <v>0.25</v>
      </c>
    </row>
    <row r="186" spans="1:45" x14ac:dyDescent="0.35">
      <c r="A186" s="21" t="s">
        <v>362</v>
      </c>
      <c r="B186" s="22" t="s">
        <v>363</v>
      </c>
      <c r="C186" s="21" t="s">
        <v>364</v>
      </c>
      <c r="D186" s="22" t="s">
        <v>663</v>
      </c>
      <c r="E186" s="22" t="s">
        <v>629</v>
      </c>
      <c r="F186" s="22" t="s">
        <v>646</v>
      </c>
      <c r="G186" s="22" t="s">
        <v>646</v>
      </c>
      <c r="H186" s="22" t="s">
        <v>654</v>
      </c>
      <c r="I186" s="22" t="s">
        <v>810</v>
      </c>
      <c r="J186" s="22">
        <v>2</v>
      </c>
      <c r="K186" s="22">
        <v>15.5</v>
      </c>
      <c r="L186" s="24">
        <v>0.12903225806451613</v>
      </c>
      <c r="M186" s="22">
        <v>6</v>
      </c>
      <c r="N186" s="23">
        <v>50</v>
      </c>
      <c r="O186" s="24">
        <v>0.12</v>
      </c>
      <c r="P186" s="22">
        <v>2</v>
      </c>
      <c r="Q186" s="23">
        <v>47</v>
      </c>
      <c r="R186" s="24">
        <v>4.2553191489361701E-2</v>
      </c>
      <c r="S186" s="21">
        <v>3</v>
      </c>
      <c r="T186" s="23">
        <v>18.5</v>
      </c>
      <c r="U186" s="24">
        <v>0.16216216216216217</v>
      </c>
      <c r="V186" s="21">
        <v>9</v>
      </c>
      <c r="W186" s="23">
        <v>18.5</v>
      </c>
      <c r="X186" s="24">
        <v>0.48648648648648651</v>
      </c>
      <c r="Y186" s="25">
        <v>17</v>
      </c>
      <c r="Z186" s="25">
        <v>17.5</v>
      </c>
      <c r="AA186" s="24">
        <v>0.97142857142857142</v>
      </c>
      <c r="AB186" s="22">
        <v>1</v>
      </c>
      <c r="AC186" s="22">
        <v>19.5</v>
      </c>
      <c r="AD186" s="24">
        <f>Table13[[#This Row],[Gönüllü Çıkış Sayısı]]/Table13[[#This Row],[Ortalama Çalışan Sayısı]]</f>
        <v>0.12903225806451613</v>
      </c>
      <c r="AE186" s="26">
        <v>2</v>
      </c>
      <c r="AF186" s="25">
        <v>43</v>
      </c>
      <c r="AG186" s="24">
        <v>4.6511627906976744E-2</v>
      </c>
      <c r="AH186" s="26">
        <v>1</v>
      </c>
      <c r="AI186" s="25">
        <v>45.5</v>
      </c>
      <c r="AJ186" s="24">
        <v>2.197802197802198E-2</v>
      </c>
      <c r="AK186" s="26">
        <v>3</v>
      </c>
      <c r="AL186" s="25">
        <v>19.5</v>
      </c>
      <c r="AM186" s="24">
        <v>0.15384615384615385</v>
      </c>
      <c r="AN186" s="26">
        <v>3</v>
      </c>
      <c r="AO186" s="25">
        <v>17.5</v>
      </c>
      <c r="AP186" s="24">
        <v>0.17142857142857143</v>
      </c>
      <c r="AQ186" s="26">
        <v>9</v>
      </c>
      <c r="AR186" s="25">
        <v>18.5</v>
      </c>
      <c r="AS186" s="24">
        <v>0.48648648648648651</v>
      </c>
    </row>
    <row r="187" spans="1:45" x14ac:dyDescent="0.35">
      <c r="A187" s="21" t="s">
        <v>365</v>
      </c>
      <c r="B187" s="22" t="s">
        <v>366</v>
      </c>
      <c r="C187" s="21" t="s">
        <v>854</v>
      </c>
      <c r="D187" s="22" t="s">
        <v>691</v>
      </c>
      <c r="E187" s="22" t="s">
        <v>657</v>
      </c>
      <c r="F187" s="22" t="s">
        <v>658</v>
      </c>
      <c r="G187" s="22" t="s">
        <v>662</v>
      </c>
      <c r="H187" s="22" t="s">
        <v>668</v>
      </c>
      <c r="I187" s="22" t="s">
        <v>632</v>
      </c>
      <c r="J187" s="22">
        <v>0</v>
      </c>
      <c r="K187" s="22">
        <v>13.5</v>
      </c>
      <c r="L187" s="24">
        <v>0</v>
      </c>
      <c r="M187" s="22">
        <v>0</v>
      </c>
      <c r="N187" s="23">
        <v>16</v>
      </c>
      <c r="O187" s="24">
        <v>0</v>
      </c>
      <c r="P187" s="22">
        <v>0</v>
      </c>
      <c r="Q187" s="23">
        <v>16</v>
      </c>
      <c r="R187" s="24">
        <v>0</v>
      </c>
      <c r="S187" s="21">
        <v>2</v>
      </c>
      <c r="T187" s="23">
        <v>17</v>
      </c>
      <c r="U187" s="24">
        <v>0.11764705882352941</v>
      </c>
      <c r="V187" s="21">
        <v>3</v>
      </c>
      <c r="W187" s="23">
        <v>20.5</v>
      </c>
      <c r="X187" s="24">
        <v>0.14634146341463414</v>
      </c>
      <c r="Y187" s="25">
        <v>8</v>
      </c>
      <c r="Z187" s="25">
        <v>17.5</v>
      </c>
      <c r="AA187" s="24">
        <v>0.45714285714285713</v>
      </c>
      <c r="AB187" s="22">
        <v>1</v>
      </c>
      <c r="AC187" s="22">
        <v>17</v>
      </c>
      <c r="AD187" s="24">
        <f>Table13[[#This Row],[Gönüllü Çıkış Sayısı]]/Table13[[#This Row],[Ortalama Çalışan Sayısı]]</f>
        <v>0</v>
      </c>
      <c r="AE187" s="26">
        <v>1</v>
      </c>
      <c r="AF187" s="25">
        <v>13.5</v>
      </c>
      <c r="AG187" s="24">
        <v>7.407407407407407E-2</v>
      </c>
      <c r="AH187" s="26">
        <v>0</v>
      </c>
      <c r="AI187" s="25">
        <v>14</v>
      </c>
      <c r="AJ187" s="24">
        <v>0</v>
      </c>
      <c r="AK187" s="26">
        <v>0</v>
      </c>
      <c r="AL187" s="25">
        <v>17</v>
      </c>
      <c r="AM187" s="24">
        <v>0</v>
      </c>
      <c r="AN187" s="26">
        <v>0</v>
      </c>
      <c r="AO187" s="25">
        <v>17</v>
      </c>
      <c r="AP187" s="24">
        <v>0</v>
      </c>
      <c r="AQ187" s="26">
        <v>3</v>
      </c>
      <c r="AR187" s="25">
        <v>17</v>
      </c>
      <c r="AS187" s="24">
        <v>0.17647058823529413</v>
      </c>
    </row>
    <row r="188" spans="1:45" x14ac:dyDescent="0.35">
      <c r="A188" s="21" t="s">
        <v>367</v>
      </c>
      <c r="B188" s="22" t="s">
        <v>368</v>
      </c>
      <c r="C188" s="21" t="s">
        <v>855</v>
      </c>
      <c r="D188" s="22" t="s">
        <v>737</v>
      </c>
      <c r="E188" s="22" t="s">
        <v>657</v>
      </c>
      <c r="F188" s="22" t="s">
        <v>641</v>
      </c>
      <c r="G188" s="22" t="s">
        <v>641</v>
      </c>
      <c r="H188" s="22" t="s">
        <v>636</v>
      </c>
      <c r="I188" s="22" t="s">
        <v>738</v>
      </c>
      <c r="J188" s="22">
        <v>0</v>
      </c>
      <c r="K188" s="22">
        <v>17</v>
      </c>
      <c r="L188" s="24">
        <v>0</v>
      </c>
      <c r="M188" s="22">
        <v>1</v>
      </c>
      <c r="N188" s="23">
        <v>13</v>
      </c>
      <c r="O188" s="24">
        <v>7.6923076923076927E-2</v>
      </c>
      <c r="P188" s="22">
        <v>3</v>
      </c>
      <c r="Q188" s="23">
        <v>13</v>
      </c>
      <c r="R188" s="24">
        <v>0.23076923076923078</v>
      </c>
      <c r="S188" s="21">
        <v>1</v>
      </c>
      <c r="T188" s="23">
        <v>18</v>
      </c>
      <c r="U188" s="24">
        <v>5.5555555555555552E-2</v>
      </c>
      <c r="V188" s="21">
        <v>0</v>
      </c>
      <c r="W188" s="23">
        <v>18</v>
      </c>
      <c r="X188" s="24">
        <v>0</v>
      </c>
      <c r="Y188" s="25">
        <v>1</v>
      </c>
      <c r="Z188" s="25">
        <v>17</v>
      </c>
      <c r="AA188" s="24">
        <v>5.8823529411764705E-2</v>
      </c>
      <c r="AB188" s="22">
        <v>1</v>
      </c>
      <c r="AC188" s="22">
        <v>17.5</v>
      </c>
      <c r="AD188" s="24">
        <f>Table13[[#This Row],[Gönüllü Çıkış Sayısı]]/Table13[[#This Row],[Ortalama Çalışan Sayısı]]</f>
        <v>0</v>
      </c>
      <c r="AE188" s="26">
        <v>0</v>
      </c>
      <c r="AF188" s="25">
        <v>13</v>
      </c>
      <c r="AG188" s="24">
        <v>0</v>
      </c>
      <c r="AH188" s="26">
        <v>0</v>
      </c>
      <c r="AI188" s="25">
        <v>13</v>
      </c>
      <c r="AJ188" s="24">
        <v>0</v>
      </c>
      <c r="AK188" s="26">
        <v>1</v>
      </c>
      <c r="AL188" s="25">
        <v>16.5</v>
      </c>
      <c r="AM188" s="24">
        <v>6.0606060606060608E-2</v>
      </c>
      <c r="AN188" s="26">
        <v>1</v>
      </c>
      <c r="AO188" s="25">
        <v>16.5</v>
      </c>
      <c r="AP188" s="24">
        <v>6.0606060606060608E-2</v>
      </c>
      <c r="AQ188" s="26">
        <v>4</v>
      </c>
      <c r="AR188" s="25">
        <v>17.5</v>
      </c>
      <c r="AS188" s="24">
        <v>0.22857142857142856</v>
      </c>
    </row>
    <row r="189" spans="1:45" x14ac:dyDescent="0.35">
      <c r="A189" s="21" t="s">
        <v>369</v>
      </c>
      <c r="B189" s="22" t="s">
        <v>370</v>
      </c>
      <c r="C189" s="21" t="s">
        <v>856</v>
      </c>
      <c r="D189" s="22" t="s">
        <v>684</v>
      </c>
      <c r="E189" s="22" t="s">
        <v>623</v>
      </c>
      <c r="F189" s="22" t="s">
        <v>662</v>
      </c>
      <c r="G189" s="22" t="s">
        <v>662</v>
      </c>
      <c r="H189" s="22" t="s">
        <v>654</v>
      </c>
      <c r="I189" s="22" t="s">
        <v>857</v>
      </c>
      <c r="J189" s="22">
        <v>1</v>
      </c>
      <c r="K189" s="22">
        <v>16.5</v>
      </c>
      <c r="L189" s="24">
        <v>6.0606060606060608E-2</v>
      </c>
      <c r="M189" s="22">
        <v>2</v>
      </c>
      <c r="N189" s="23">
        <v>18</v>
      </c>
      <c r="O189" s="24">
        <v>0.1111111111111111</v>
      </c>
      <c r="P189" s="22">
        <v>1</v>
      </c>
      <c r="Q189" s="23">
        <v>18</v>
      </c>
      <c r="R189" s="24">
        <v>5.5555555555555552E-2</v>
      </c>
      <c r="S189" s="21">
        <v>0</v>
      </c>
      <c r="T189" s="23">
        <v>17</v>
      </c>
      <c r="U189" s="24">
        <v>0</v>
      </c>
      <c r="V189" s="21">
        <v>1</v>
      </c>
      <c r="W189" s="23">
        <v>18</v>
      </c>
      <c r="X189" s="24">
        <v>5.5555555555555552E-2</v>
      </c>
      <c r="Y189" s="25">
        <v>8</v>
      </c>
      <c r="Z189" s="25">
        <v>18</v>
      </c>
      <c r="AA189" s="24">
        <v>0.44444444444444442</v>
      </c>
      <c r="AB189" s="22">
        <v>1</v>
      </c>
      <c r="AC189" s="22">
        <v>16.5</v>
      </c>
      <c r="AD189" s="24">
        <f>Table13[[#This Row],[Gönüllü Çıkış Sayısı]]/Table13[[#This Row],[Ortalama Çalışan Sayısı]]</f>
        <v>6.0606060606060608E-2</v>
      </c>
      <c r="AE189" s="26">
        <v>1</v>
      </c>
      <c r="AF189" s="25">
        <v>19</v>
      </c>
      <c r="AG189" s="24">
        <v>5.2631578947368418E-2</v>
      </c>
      <c r="AH189" s="26">
        <v>1</v>
      </c>
      <c r="AI189" s="25">
        <v>20</v>
      </c>
      <c r="AJ189" s="24">
        <v>0.05</v>
      </c>
      <c r="AK189" s="26">
        <v>0</v>
      </c>
      <c r="AL189" s="25">
        <v>16</v>
      </c>
      <c r="AM189" s="24">
        <v>0</v>
      </c>
      <c r="AN189" s="26">
        <v>1</v>
      </c>
      <c r="AO189" s="25">
        <v>16</v>
      </c>
      <c r="AP189" s="24">
        <v>6.25E-2</v>
      </c>
      <c r="AQ189" s="26">
        <v>3</v>
      </c>
      <c r="AR189" s="25">
        <v>16.5</v>
      </c>
      <c r="AS189" s="24">
        <v>0.18181818181818182</v>
      </c>
    </row>
    <row r="190" spans="1:45" x14ac:dyDescent="0.35">
      <c r="A190" s="21" t="s">
        <v>371</v>
      </c>
      <c r="B190" s="22" t="s">
        <v>372</v>
      </c>
      <c r="C190" s="21" t="s">
        <v>858</v>
      </c>
      <c r="D190" s="22" t="s">
        <v>640</v>
      </c>
      <c r="E190" s="22" t="s">
        <v>623</v>
      </c>
      <c r="F190" s="22" t="s">
        <v>641</v>
      </c>
      <c r="G190" s="22" t="s">
        <v>641</v>
      </c>
      <c r="H190" s="22" t="s">
        <v>668</v>
      </c>
      <c r="I190" s="22" t="s">
        <v>859</v>
      </c>
      <c r="J190" s="22">
        <v>0</v>
      </c>
      <c r="K190" s="22">
        <v>12</v>
      </c>
      <c r="L190" s="24">
        <v>0</v>
      </c>
      <c r="M190" s="22">
        <v>3</v>
      </c>
      <c r="N190" s="23">
        <v>14</v>
      </c>
      <c r="O190" s="24">
        <v>0.21428571428571427</v>
      </c>
      <c r="P190" s="22">
        <v>0</v>
      </c>
      <c r="Q190" s="23">
        <v>14.5</v>
      </c>
      <c r="R190" s="24">
        <v>0</v>
      </c>
      <c r="S190" s="21">
        <v>1</v>
      </c>
      <c r="T190" s="23">
        <v>13</v>
      </c>
      <c r="U190" s="24">
        <v>7.6923076923076927E-2</v>
      </c>
      <c r="V190" s="21">
        <v>0</v>
      </c>
      <c r="W190" s="23">
        <v>14.5</v>
      </c>
      <c r="X190" s="24">
        <v>0</v>
      </c>
      <c r="Y190" s="25">
        <v>3</v>
      </c>
      <c r="Z190" s="25">
        <v>14</v>
      </c>
      <c r="AA190" s="24">
        <v>0.21428571428571427</v>
      </c>
      <c r="AB190" s="22">
        <v>0</v>
      </c>
      <c r="AC190" s="22">
        <v>13</v>
      </c>
      <c r="AD190" s="24">
        <f>Table13[[#This Row],[Gönüllü Çıkış Sayısı]]/Table13[[#This Row],[Ortalama Çalışan Sayısı]]</f>
        <v>0</v>
      </c>
      <c r="AE190" s="26">
        <v>1</v>
      </c>
      <c r="AF190" s="25">
        <v>16.5</v>
      </c>
      <c r="AG190" s="24">
        <v>6.0606060606060608E-2</v>
      </c>
      <c r="AH190" s="26">
        <v>1</v>
      </c>
      <c r="AI190" s="25">
        <v>16.5</v>
      </c>
      <c r="AJ190" s="24">
        <v>6.0606060606060608E-2</v>
      </c>
      <c r="AK190" s="26">
        <v>0</v>
      </c>
      <c r="AL190" s="25">
        <v>12</v>
      </c>
      <c r="AM190" s="24">
        <v>0</v>
      </c>
      <c r="AN190" s="26">
        <v>0</v>
      </c>
      <c r="AO190" s="25">
        <v>12</v>
      </c>
      <c r="AP190" s="24">
        <v>0</v>
      </c>
      <c r="AQ190" s="26">
        <v>1</v>
      </c>
      <c r="AR190" s="25">
        <v>12.5</v>
      </c>
      <c r="AS190" s="24">
        <v>0.08</v>
      </c>
    </row>
    <row r="191" spans="1:45" x14ac:dyDescent="0.35">
      <c r="A191" s="21" t="s">
        <v>373</v>
      </c>
      <c r="B191" s="22" t="s">
        <v>374</v>
      </c>
      <c r="C191" s="21" t="s">
        <v>860</v>
      </c>
      <c r="D191" s="22" t="s">
        <v>634</v>
      </c>
      <c r="E191" s="22" t="s">
        <v>629</v>
      </c>
      <c r="F191" s="22" t="s">
        <v>635</v>
      </c>
      <c r="G191" s="22" t="s">
        <v>635</v>
      </c>
      <c r="H191" s="22" t="s">
        <v>654</v>
      </c>
      <c r="I191" s="22" t="s">
        <v>637</v>
      </c>
      <c r="J191" s="22">
        <v>0</v>
      </c>
      <c r="K191" s="22">
        <v>13</v>
      </c>
      <c r="L191" s="24">
        <v>0</v>
      </c>
      <c r="M191" s="22">
        <v>0</v>
      </c>
      <c r="N191" s="23">
        <v>18</v>
      </c>
      <c r="O191" s="24">
        <v>0</v>
      </c>
      <c r="P191" s="22">
        <v>0</v>
      </c>
      <c r="Q191" s="23">
        <v>18</v>
      </c>
      <c r="R191" s="24">
        <v>0</v>
      </c>
      <c r="S191" s="21">
        <v>1</v>
      </c>
      <c r="T191" s="23">
        <v>15</v>
      </c>
      <c r="U191" s="24">
        <v>6.6666666666666666E-2</v>
      </c>
      <c r="V191" s="21">
        <v>2</v>
      </c>
      <c r="W191" s="23">
        <v>14.5</v>
      </c>
      <c r="X191" s="24">
        <v>0.13793103448275862</v>
      </c>
      <c r="Y191" s="25">
        <v>4</v>
      </c>
      <c r="Z191" s="25">
        <v>14</v>
      </c>
      <c r="AA191" s="24">
        <v>0.2857142857142857</v>
      </c>
      <c r="AB191" s="22">
        <v>0</v>
      </c>
      <c r="AC191" s="22">
        <v>14</v>
      </c>
      <c r="AD191" s="24">
        <f>Table13[[#This Row],[Gönüllü Çıkış Sayısı]]/Table13[[#This Row],[Ortalama Çalışan Sayısı]]</f>
        <v>0</v>
      </c>
      <c r="AE191" s="26">
        <v>1</v>
      </c>
      <c r="AF191" s="25">
        <v>17</v>
      </c>
      <c r="AG191" s="24">
        <v>5.8823529411764705E-2</v>
      </c>
      <c r="AH191" s="26">
        <v>0</v>
      </c>
      <c r="AI191" s="25">
        <v>17</v>
      </c>
      <c r="AJ191" s="24">
        <v>0</v>
      </c>
      <c r="AK191" s="26">
        <v>0</v>
      </c>
      <c r="AL191" s="25">
        <v>13.5</v>
      </c>
      <c r="AM191" s="24">
        <v>0</v>
      </c>
      <c r="AN191" s="26">
        <v>2</v>
      </c>
      <c r="AO191" s="25">
        <v>13</v>
      </c>
      <c r="AP191" s="24">
        <v>0.15384615384615385</v>
      </c>
      <c r="AQ191" s="26">
        <v>4</v>
      </c>
      <c r="AR191" s="25">
        <v>13.5</v>
      </c>
      <c r="AS191" s="24">
        <v>0.29629629629629628</v>
      </c>
    </row>
    <row r="192" spans="1:45" x14ac:dyDescent="0.35">
      <c r="A192" s="21" t="s">
        <v>375</v>
      </c>
      <c r="B192" s="22" t="s">
        <v>376</v>
      </c>
      <c r="C192" s="21" t="s">
        <v>861</v>
      </c>
      <c r="D192" s="22" t="s">
        <v>678</v>
      </c>
      <c r="E192" s="22" t="s">
        <v>623</v>
      </c>
      <c r="F192" s="22" t="s">
        <v>624</v>
      </c>
      <c r="G192" s="22" t="s">
        <v>624</v>
      </c>
      <c r="H192" s="22" t="s">
        <v>636</v>
      </c>
      <c r="I192" s="22" t="s">
        <v>679</v>
      </c>
      <c r="J192" s="22">
        <v>2</v>
      </c>
      <c r="K192" s="22">
        <v>25.5</v>
      </c>
      <c r="L192" s="24">
        <v>7.8431372549019607E-2</v>
      </c>
      <c r="M192" s="22">
        <v>3</v>
      </c>
      <c r="N192" s="23">
        <v>17.5</v>
      </c>
      <c r="O192" s="24">
        <v>0.17142857142857143</v>
      </c>
      <c r="P192" s="22">
        <v>3</v>
      </c>
      <c r="Q192" s="23">
        <v>16.5</v>
      </c>
      <c r="R192" s="24">
        <v>0.18181818181818182</v>
      </c>
      <c r="S192" s="21">
        <v>4</v>
      </c>
      <c r="T192" s="23">
        <v>27.5</v>
      </c>
      <c r="U192" s="24">
        <v>0.14545454545454545</v>
      </c>
      <c r="V192" s="21">
        <v>4</v>
      </c>
      <c r="W192" s="23">
        <v>28</v>
      </c>
      <c r="X192" s="24">
        <v>0.14285714285714285</v>
      </c>
      <c r="Y192" s="25">
        <v>13</v>
      </c>
      <c r="Z192" s="25">
        <v>26.5</v>
      </c>
      <c r="AA192" s="24">
        <v>0.49056603773584906</v>
      </c>
      <c r="AB192" s="22">
        <v>1</v>
      </c>
      <c r="AC192" s="22">
        <v>30.5</v>
      </c>
      <c r="AD192" s="24">
        <f>Table13[[#This Row],[Gönüllü Çıkış Sayısı]]/Table13[[#This Row],[Ortalama Çalışan Sayısı]]</f>
        <v>7.8431372549019607E-2</v>
      </c>
      <c r="AE192" s="26">
        <v>0</v>
      </c>
      <c r="AF192" s="25">
        <v>16</v>
      </c>
      <c r="AG192" s="24">
        <v>0</v>
      </c>
      <c r="AH192" s="26">
        <v>1</v>
      </c>
      <c r="AI192" s="25">
        <v>16</v>
      </c>
      <c r="AJ192" s="24">
        <v>6.25E-2</v>
      </c>
      <c r="AK192" s="26">
        <v>0</v>
      </c>
      <c r="AL192" s="25">
        <v>29.5</v>
      </c>
      <c r="AM192" s="24">
        <v>0</v>
      </c>
      <c r="AN192" s="26">
        <v>2</v>
      </c>
      <c r="AO192" s="25">
        <v>30</v>
      </c>
      <c r="AP192" s="24">
        <v>6.6666666666666666E-2</v>
      </c>
      <c r="AQ192" s="26">
        <v>4</v>
      </c>
      <c r="AR192" s="25">
        <v>30.5</v>
      </c>
      <c r="AS192" s="24">
        <v>0.13114754098360656</v>
      </c>
    </row>
    <row r="193" spans="1:45" x14ac:dyDescent="0.35">
      <c r="A193" s="21" t="s">
        <v>377</v>
      </c>
      <c r="B193" s="22" t="s">
        <v>378</v>
      </c>
      <c r="C193" s="21" t="s">
        <v>862</v>
      </c>
      <c r="D193" s="22" t="s">
        <v>661</v>
      </c>
      <c r="E193" s="22" t="s">
        <v>657</v>
      </c>
      <c r="F193" s="22" t="s">
        <v>662</v>
      </c>
      <c r="G193" s="22" t="s">
        <v>662</v>
      </c>
      <c r="H193" s="22" t="s">
        <v>631</v>
      </c>
      <c r="I193" s="22" t="s">
        <v>632</v>
      </c>
      <c r="J193" s="22">
        <v>0</v>
      </c>
      <c r="K193" s="22">
        <v>41</v>
      </c>
      <c r="L193" s="24">
        <v>0</v>
      </c>
      <c r="M193" s="22">
        <v>0</v>
      </c>
      <c r="N193" s="23">
        <v>13</v>
      </c>
      <c r="O193" s="24">
        <v>0</v>
      </c>
      <c r="P193" s="22">
        <v>2</v>
      </c>
      <c r="Q193" s="23">
        <v>12.5</v>
      </c>
      <c r="R193" s="24">
        <v>0.16</v>
      </c>
      <c r="S193" s="21">
        <v>2</v>
      </c>
      <c r="T193" s="23">
        <v>39</v>
      </c>
      <c r="U193" s="24">
        <v>5.128205128205128E-2</v>
      </c>
      <c r="V193" s="21">
        <v>2</v>
      </c>
      <c r="W193" s="23">
        <v>39</v>
      </c>
      <c r="X193" s="24">
        <v>5.128205128205128E-2</v>
      </c>
      <c r="Y193" s="25">
        <v>12</v>
      </c>
      <c r="Z193" s="25">
        <v>40.5</v>
      </c>
      <c r="AA193" s="24">
        <v>0.29629629629629628</v>
      </c>
      <c r="AB193" s="22">
        <v>3</v>
      </c>
      <c r="AC193" s="22">
        <v>44.5</v>
      </c>
      <c r="AD193" s="24">
        <f>Table13[[#This Row],[Gönüllü Çıkış Sayısı]]/Table13[[#This Row],[Ortalama Çalışan Sayısı]]</f>
        <v>0</v>
      </c>
      <c r="AE193" s="26">
        <v>0</v>
      </c>
      <c r="AF193" s="25">
        <v>13</v>
      </c>
      <c r="AG193" s="24">
        <v>0</v>
      </c>
      <c r="AH193" s="26">
        <v>1</v>
      </c>
      <c r="AI193" s="25">
        <v>12.5</v>
      </c>
      <c r="AJ193" s="24">
        <v>0.08</v>
      </c>
      <c r="AK193" s="26">
        <v>3</v>
      </c>
      <c r="AL193" s="25">
        <v>45</v>
      </c>
      <c r="AM193" s="24">
        <v>6.6666666666666666E-2</v>
      </c>
      <c r="AN193" s="26">
        <v>5</v>
      </c>
      <c r="AO193" s="25">
        <v>43</v>
      </c>
      <c r="AP193" s="24">
        <v>0.11627906976744186</v>
      </c>
      <c r="AQ193" s="26">
        <v>17</v>
      </c>
      <c r="AR193" s="25">
        <v>43.5</v>
      </c>
      <c r="AS193" s="24">
        <v>0.39080459770114945</v>
      </c>
    </row>
    <row r="194" spans="1:45" x14ac:dyDescent="0.35">
      <c r="A194" s="21" t="s">
        <v>379</v>
      </c>
      <c r="B194" s="22" t="s">
        <v>380</v>
      </c>
      <c r="C194" s="21" t="s">
        <v>381</v>
      </c>
      <c r="D194" s="22" t="s">
        <v>628</v>
      </c>
      <c r="E194" s="22" t="s">
        <v>629</v>
      </c>
      <c r="F194" s="22" t="s">
        <v>630</v>
      </c>
      <c r="G194" s="22" t="s">
        <v>1569</v>
      </c>
      <c r="H194" s="22" t="s">
        <v>636</v>
      </c>
      <c r="I194" s="22" t="s">
        <v>632</v>
      </c>
      <c r="J194" s="22">
        <v>1</v>
      </c>
      <c r="K194" s="22">
        <v>22</v>
      </c>
      <c r="L194" s="24">
        <v>4.5454545454545456E-2</v>
      </c>
      <c r="M194" s="22">
        <v>0</v>
      </c>
      <c r="N194" s="23">
        <v>14.5</v>
      </c>
      <c r="O194" s="24">
        <v>0</v>
      </c>
      <c r="P194" s="22">
        <v>1</v>
      </c>
      <c r="Q194" s="23">
        <v>14.5</v>
      </c>
      <c r="R194" s="24">
        <v>6.8965517241379309E-2</v>
      </c>
      <c r="S194" s="21">
        <v>1</v>
      </c>
      <c r="T194" s="23">
        <v>21</v>
      </c>
      <c r="U194" s="24">
        <v>4.7619047619047616E-2</v>
      </c>
      <c r="V194" s="21">
        <v>6</v>
      </c>
      <c r="W194" s="23">
        <v>20.5</v>
      </c>
      <c r="X194" s="24">
        <v>0.29268292682926828</v>
      </c>
      <c r="Y194" s="25">
        <v>14</v>
      </c>
      <c r="Z194" s="25">
        <v>22</v>
      </c>
      <c r="AA194" s="24">
        <v>0.63636363636363635</v>
      </c>
      <c r="AB194" s="22">
        <v>5</v>
      </c>
      <c r="AC194" s="22">
        <v>23</v>
      </c>
      <c r="AD194" s="24">
        <f>Table13[[#This Row],[Gönüllü Çıkış Sayısı]]/Table13[[#This Row],[Ortalama Çalışan Sayısı]]</f>
        <v>4.5454545454545456E-2</v>
      </c>
      <c r="AE194" s="26">
        <v>1</v>
      </c>
      <c r="AF194" s="25">
        <v>12.5</v>
      </c>
      <c r="AG194" s="24">
        <v>0.08</v>
      </c>
      <c r="AH194" s="26">
        <v>1</v>
      </c>
      <c r="AI194" s="25">
        <v>12.5</v>
      </c>
      <c r="AJ194" s="24">
        <v>0.08</v>
      </c>
      <c r="AK194" s="26">
        <v>2</v>
      </c>
      <c r="AL194" s="25">
        <v>20</v>
      </c>
      <c r="AM194" s="24">
        <v>0.1</v>
      </c>
      <c r="AN194" s="26">
        <v>3</v>
      </c>
      <c r="AO194" s="25">
        <v>20</v>
      </c>
      <c r="AP194" s="24">
        <v>0.15</v>
      </c>
      <c r="AQ194" s="26">
        <v>17</v>
      </c>
      <c r="AR194" s="25">
        <v>22</v>
      </c>
      <c r="AS194" s="24">
        <v>0.77272727272727271</v>
      </c>
    </row>
    <row r="195" spans="1:45" x14ac:dyDescent="0.35">
      <c r="A195" s="21" t="s">
        <v>382</v>
      </c>
      <c r="B195" s="22" t="s">
        <v>383</v>
      </c>
      <c r="C195" s="21" t="s">
        <v>384</v>
      </c>
      <c r="D195" s="22" t="s">
        <v>656</v>
      </c>
      <c r="E195" s="22" t="s">
        <v>657</v>
      </c>
      <c r="F195" s="22" t="s">
        <v>658</v>
      </c>
      <c r="G195" s="22" t="s">
        <v>1570</v>
      </c>
      <c r="H195" s="22" t="s">
        <v>636</v>
      </c>
      <c r="I195" s="22" t="s">
        <v>843</v>
      </c>
      <c r="J195" s="22">
        <v>2</v>
      </c>
      <c r="K195" s="22">
        <v>18.5</v>
      </c>
      <c r="L195" s="24">
        <v>0.10810810810810811</v>
      </c>
      <c r="M195" s="22">
        <v>1</v>
      </c>
      <c r="N195" s="23">
        <v>25.5</v>
      </c>
      <c r="O195" s="24">
        <v>3.9215686274509803E-2</v>
      </c>
      <c r="P195" s="22">
        <v>2</v>
      </c>
      <c r="Q195" s="23">
        <v>25</v>
      </c>
      <c r="R195" s="24">
        <v>0.08</v>
      </c>
      <c r="S195" s="21">
        <v>3</v>
      </c>
      <c r="T195" s="23">
        <v>22.5</v>
      </c>
      <c r="U195" s="24">
        <v>0.13333333333333333</v>
      </c>
      <c r="V195" s="21">
        <v>2</v>
      </c>
      <c r="W195" s="23">
        <v>22</v>
      </c>
      <c r="X195" s="24">
        <v>9.0909090909090912E-2</v>
      </c>
      <c r="Y195" s="25">
        <v>10</v>
      </c>
      <c r="Z195" s="25">
        <v>21.5</v>
      </c>
      <c r="AA195" s="24">
        <v>0.46511627906976744</v>
      </c>
      <c r="AB195" s="22">
        <v>2</v>
      </c>
      <c r="AC195" s="22">
        <v>24.5</v>
      </c>
      <c r="AD195" s="24">
        <f>Table13[[#This Row],[Gönüllü Çıkış Sayısı]]/Table13[[#This Row],[Ortalama Çalışan Sayısı]]</f>
        <v>0.10810810810810811</v>
      </c>
      <c r="AE195" s="26">
        <v>0</v>
      </c>
      <c r="AF195" s="25">
        <v>30</v>
      </c>
      <c r="AG195" s="24">
        <v>0</v>
      </c>
      <c r="AH195" s="26">
        <v>1</v>
      </c>
      <c r="AI195" s="25">
        <v>29.5</v>
      </c>
      <c r="AJ195" s="24">
        <v>3.3898305084745763E-2</v>
      </c>
      <c r="AK195" s="26">
        <v>5</v>
      </c>
      <c r="AL195" s="25">
        <v>23.5</v>
      </c>
      <c r="AM195" s="24">
        <v>0.21276595744680851</v>
      </c>
      <c r="AN195" s="26">
        <v>5</v>
      </c>
      <c r="AO195" s="25">
        <v>21.5</v>
      </c>
      <c r="AP195" s="24">
        <v>0.23255813953488372</v>
      </c>
      <c r="AQ195" s="26">
        <v>17</v>
      </c>
      <c r="AR195" s="25">
        <v>22.5</v>
      </c>
      <c r="AS195" s="24">
        <v>0.75555555555555554</v>
      </c>
    </row>
    <row r="196" spans="1:45" x14ac:dyDescent="0.35">
      <c r="A196" s="21" t="s">
        <v>385</v>
      </c>
      <c r="B196" s="22" t="s">
        <v>386</v>
      </c>
      <c r="C196" s="21" t="s">
        <v>863</v>
      </c>
      <c r="D196" s="22" t="s">
        <v>663</v>
      </c>
      <c r="E196" s="22" t="s">
        <v>629</v>
      </c>
      <c r="F196" s="22" t="s">
        <v>646</v>
      </c>
      <c r="G196" s="22" t="s">
        <v>646</v>
      </c>
      <c r="H196" s="22" t="s">
        <v>631</v>
      </c>
      <c r="I196" s="22" t="s">
        <v>810</v>
      </c>
      <c r="J196" s="22">
        <v>1</v>
      </c>
      <c r="K196" s="22">
        <v>20</v>
      </c>
      <c r="L196" s="24">
        <v>0.05</v>
      </c>
      <c r="M196" s="22">
        <v>4</v>
      </c>
      <c r="N196" s="23">
        <v>42.5</v>
      </c>
      <c r="O196" s="24">
        <v>9.4117647058823528E-2</v>
      </c>
      <c r="P196" s="22">
        <v>4</v>
      </c>
      <c r="Q196" s="23">
        <v>40</v>
      </c>
      <c r="R196" s="24">
        <v>0.1</v>
      </c>
      <c r="S196" s="21">
        <v>4</v>
      </c>
      <c r="T196" s="23">
        <v>18.5</v>
      </c>
      <c r="U196" s="24">
        <v>0.21621621621621623</v>
      </c>
      <c r="V196" s="21">
        <v>3</v>
      </c>
      <c r="W196" s="23">
        <v>21</v>
      </c>
      <c r="X196" s="24">
        <v>0.14285714285714285</v>
      </c>
      <c r="Y196" s="25">
        <v>18</v>
      </c>
      <c r="Z196" s="25">
        <v>20.5</v>
      </c>
      <c r="AA196" s="24">
        <v>0.87804878048780488</v>
      </c>
      <c r="AB196" s="22">
        <v>3</v>
      </c>
      <c r="AC196" s="22">
        <v>23.5</v>
      </c>
      <c r="AD196" s="24">
        <f>Table13[[#This Row],[Gönüllü Çıkış Sayısı]]/Table13[[#This Row],[Ortalama Çalışan Sayısı]]</f>
        <v>0.05</v>
      </c>
      <c r="AE196" s="26">
        <v>4</v>
      </c>
      <c r="AF196" s="25">
        <v>45</v>
      </c>
      <c r="AG196" s="24">
        <v>8.8888888888888892E-2</v>
      </c>
      <c r="AH196" s="26">
        <v>2</v>
      </c>
      <c r="AI196" s="25">
        <v>46</v>
      </c>
      <c r="AJ196" s="24">
        <v>4.3478260869565216E-2</v>
      </c>
      <c r="AK196" s="26">
        <v>4</v>
      </c>
      <c r="AL196" s="25">
        <v>20</v>
      </c>
      <c r="AM196" s="24">
        <v>0.2</v>
      </c>
      <c r="AN196" s="26">
        <v>4</v>
      </c>
      <c r="AO196" s="25">
        <v>21.5</v>
      </c>
      <c r="AP196" s="24">
        <v>0.18604651162790697</v>
      </c>
      <c r="AQ196" s="26">
        <v>17</v>
      </c>
      <c r="AR196" s="25">
        <v>23</v>
      </c>
      <c r="AS196" s="24">
        <v>0.73913043478260865</v>
      </c>
    </row>
    <row r="197" spans="1:45" x14ac:dyDescent="0.35">
      <c r="A197" s="21" t="s">
        <v>387</v>
      </c>
      <c r="B197" s="22" t="s">
        <v>388</v>
      </c>
      <c r="C197" s="21" t="s">
        <v>864</v>
      </c>
      <c r="D197" s="22" t="s">
        <v>634</v>
      </c>
      <c r="E197" s="22" t="s">
        <v>629</v>
      </c>
      <c r="F197" s="22" t="s">
        <v>630</v>
      </c>
      <c r="G197" s="22" t="s">
        <v>1569</v>
      </c>
      <c r="H197" s="22" t="s">
        <v>642</v>
      </c>
      <c r="I197" s="22" t="s">
        <v>734</v>
      </c>
      <c r="J197" s="22">
        <v>1</v>
      </c>
      <c r="K197" s="22">
        <v>14</v>
      </c>
      <c r="L197" s="24">
        <v>7.1428571428571425E-2</v>
      </c>
      <c r="M197" s="22">
        <v>3</v>
      </c>
      <c r="N197" s="23">
        <v>22.5</v>
      </c>
      <c r="O197" s="24">
        <v>0.13333333333333333</v>
      </c>
      <c r="P197" s="22">
        <v>3</v>
      </c>
      <c r="Q197" s="23">
        <v>21</v>
      </c>
      <c r="R197" s="24">
        <v>0.14285714285714285</v>
      </c>
      <c r="S197" s="21">
        <v>1</v>
      </c>
      <c r="T197" s="23">
        <v>13.5</v>
      </c>
      <c r="U197" s="24">
        <v>7.407407407407407E-2</v>
      </c>
      <c r="V197" s="21">
        <v>2</v>
      </c>
      <c r="W197" s="23">
        <v>15</v>
      </c>
      <c r="X197" s="24">
        <v>0.13333333333333333</v>
      </c>
      <c r="Y197" s="25">
        <v>6</v>
      </c>
      <c r="Z197" s="25">
        <v>15</v>
      </c>
      <c r="AA197" s="24">
        <v>0.4</v>
      </c>
      <c r="AB197" s="22">
        <v>3</v>
      </c>
      <c r="AC197" s="22">
        <v>13.5</v>
      </c>
      <c r="AD197" s="24">
        <f>Table13[[#This Row],[Gönüllü Çıkış Sayısı]]/Table13[[#This Row],[Ortalama Çalışan Sayısı]]</f>
        <v>7.1428571428571425E-2</v>
      </c>
      <c r="AE197" s="26">
        <v>0</v>
      </c>
      <c r="AF197" s="25">
        <v>22</v>
      </c>
      <c r="AG197" s="24">
        <v>0</v>
      </c>
      <c r="AH197" s="26">
        <v>7</v>
      </c>
      <c r="AI197" s="25">
        <v>21</v>
      </c>
      <c r="AJ197" s="24">
        <v>0.33333333333333331</v>
      </c>
      <c r="AK197" s="26">
        <v>0</v>
      </c>
      <c r="AL197" s="25">
        <v>12</v>
      </c>
      <c r="AM197" s="24">
        <v>0</v>
      </c>
      <c r="AN197" s="26">
        <v>0</v>
      </c>
      <c r="AO197" s="25">
        <v>13</v>
      </c>
      <c r="AP197" s="24">
        <v>0</v>
      </c>
      <c r="AQ197" s="26">
        <v>4</v>
      </c>
      <c r="AR197" s="25">
        <v>14</v>
      </c>
      <c r="AS197" s="24">
        <v>0.2857142857142857</v>
      </c>
    </row>
    <row r="198" spans="1:45" x14ac:dyDescent="0.35">
      <c r="A198" s="21" t="s">
        <v>393</v>
      </c>
      <c r="B198" s="22" t="s">
        <v>394</v>
      </c>
      <c r="C198" s="21" t="s">
        <v>865</v>
      </c>
      <c r="D198" s="22" t="s">
        <v>684</v>
      </c>
      <c r="E198" s="22" t="s">
        <v>623</v>
      </c>
      <c r="F198" s="22" t="s">
        <v>662</v>
      </c>
      <c r="G198" s="22" t="s">
        <v>662</v>
      </c>
      <c r="H198" s="22" t="s">
        <v>631</v>
      </c>
      <c r="I198" s="22" t="s">
        <v>685</v>
      </c>
      <c r="J198" s="22">
        <v>0</v>
      </c>
      <c r="K198" s="22">
        <v>23</v>
      </c>
      <c r="L198" s="24">
        <v>0</v>
      </c>
      <c r="M198" s="22">
        <v>0</v>
      </c>
      <c r="N198" s="23">
        <v>21</v>
      </c>
      <c r="O198" s="24">
        <v>0</v>
      </c>
      <c r="P198" s="22">
        <v>3</v>
      </c>
      <c r="Q198" s="23">
        <v>22.5</v>
      </c>
      <c r="R198" s="24">
        <v>0.13333333333333333</v>
      </c>
      <c r="S198" s="21">
        <v>0</v>
      </c>
      <c r="T198" s="23">
        <v>25</v>
      </c>
      <c r="U198" s="24">
        <v>0</v>
      </c>
      <c r="V198" s="21">
        <v>2</v>
      </c>
      <c r="W198" s="23">
        <v>24.5</v>
      </c>
      <c r="X198" s="24">
        <v>8.1632653061224483E-2</v>
      </c>
      <c r="Y198" s="25">
        <v>2</v>
      </c>
      <c r="Z198" s="25">
        <v>23.5</v>
      </c>
      <c r="AA198" s="24">
        <v>8.5106382978723402E-2</v>
      </c>
      <c r="AB198" s="22">
        <v>0</v>
      </c>
      <c r="AC198" s="22">
        <v>23</v>
      </c>
      <c r="AD198" s="24">
        <f>Table13[[#This Row],[Gönüllü Çıkış Sayısı]]/Table13[[#This Row],[Ortalama Çalışan Sayısı]]</f>
        <v>0</v>
      </c>
      <c r="AE198" s="26">
        <v>3</v>
      </c>
      <c r="AF198" s="25">
        <v>22.5</v>
      </c>
      <c r="AG198" s="24">
        <v>0.13333333333333333</v>
      </c>
      <c r="AH198" s="26">
        <v>2</v>
      </c>
      <c r="AI198" s="25">
        <v>25</v>
      </c>
      <c r="AJ198" s="24">
        <v>0.08</v>
      </c>
      <c r="AK198" s="26">
        <v>1</v>
      </c>
      <c r="AL198" s="25">
        <v>23.5</v>
      </c>
      <c r="AM198" s="24">
        <v>4.2553191489361701E-2</v>
      </c>
      <c r="AN198" s="26">
        <v>0</v>
      </c>
      <c r="AO198" s="25">
        <v>23.5</v>
      </c>
      <c r="AP198" s="24">
        <v>0</v>
      </c>
      <c r="AQ198" s="26">
        <v>3</v>
      </c>
      <c r="AR198" s="25">
        <v>23.5</v>
      </c>
      <c r="AS198" s="24">
        <v>0.1276595744680851</v>
      </c>
    </row>
    <row r="199" spans="1:45" x14ac:dyDescent="0.35">
      <c r="A199" s="21" t="s">
        <v>395</v>
      </c>
      <c r="B199" s="22" t="s">
        <v>396</v>
      </c>
      <c r="C199" s="21" t="s">
        <v>866</v>
      </c>
      <c r="D199" s="22" t="s">
        <v>678</v>
      </c>
      <c r="E199" s="22" t="s">
        <v>623</v>
      </c>
      <c r="F199" s="22" t="s">
        <v>624</v>
      </c>
      <c r="G199" s="22" t="s">
        <v>624</v>
      </c>
      <c r="H199" s="22" t="s">
        <v>642</v>
      </c>
      <c r="I199" s="22" t="s">
        <v>679</v>
      </c>
      <c r="J199" s="22">
        <v>0</v>
      </c>
      <c r="K199" s="22">
        <v>10</v>
      </c>
      <c r="L199" s="24">
        <v>0</v>
      </c>
      <c r="M199" s="22">
        <v>3</v>
      </c>
      <c r="N199" s="23">
        <v>24</v>
      </c>
      <c r="O199" s="24">
        <v>0.125</v>
      </c>
      <c r="P199" s="22">
        <v>7</v>
      </c>
      <c r="Q199" s="23">
        <v>20</v>
      </c>
      <c r="R199" s="24">
        <v>0.35</v>
      </c>
      <c r="S199" s="21">
        <v>0</v>
      </c>
      <c r="T199" s="23">
        <v>10</v>
      </c>
      <c r="U199" s="24">
        <v>0</v>
      </c>
      <c r="V199" s="21">
        <v>1</v>
      </c>
      <c r="W199" s="23">
        <v>9.5</v>
      </c>
      <c r="X199" s="24">
        <v>0.10526315789473684</v>
      </c>
      <c r="Y199" s="25">
        <v>2</v>
      </c>
      <c r="Z199" s="25">
        <v>9.5</v>
      </c>
      <c r="AA199" s="24">
        <v>0.21052631578947367</v>
      </c>
      <c r="AB199" s="22">
        <v>1</v>
      </c>
      <c r="AC199" s="22">
        <v>9</v>
      </c>
      <c r="AD199" s="24">
        <f>Table13[[#This Row],[Gönüllü Çıkış Sayısı]]/Table13[[#This Row],[Ortalama Çalışan Sayısı]]</f>
        <v>0</v>
      </c>
      <c r="AE199" s="26">
        <v>3</v>
      </c>
      <c r="AF199" s="25">
        <v>21.5</v>
      </c>
      <c r="AG199" s="24">
        <v>0.13953488372093023</v>
      </c>
      <c r="AH199" s="26">
        <v>3</v>
      </c>
      <c r="AI199" s="25">
        <v>21.5</v>
      </c>
      <c r="AJ199" s="24">
        <v>0.13953488372093023</v>
      </c>
      <c r="AK199" s="26">
        <v>0</v>
      </c>
      <c r="AL199" s="25">
        <v>9</v>
      </c>
      <c r="AM199" s="24">
        <v>0</v>
      </c>
      <c r="AN199" s="26">
        <v>1</v>
      </c>
      <c r="AO199" s="25">
        <v>9.5</v>
      </c>
      <c r="AP199" s="24">
        <v>0.10526315789473684</v>
      </c>
      <c r="AQ199" s="26">
        <v>3</v>
      </c>
      <c r="AR199" s="25">
        <v>9.5</v>
      </c>
      <c r="AS199" s="24">
        <v>0.31578947368421051</v>
      </c>
    </row>
    <row r="200" spans="1:45" x14ac:dyDescent="0.35">
      <c r="A200" s="21" t="s">
        <v>397</v>
      </c>
      <c r="B200" s="22" t="s">
        <v>398</v>
      </c>
      <c r="C200" s="21" t="s">
        <v>867</v>
      </c>
      <c r="D200" s="22" t="s">
        <v>634</v>
      </c>
      <c r="E200" s="22" t="s">
        <v>629</v>
      </c>
      <c r="F200" s="22" t="s">
        <v>635</v>
      </c>
      <c r="G200" s="22" t="s">
        <v>635</v>
      </c>
      <c r="H200" s="22" t="s">
        <v>625</v>
      </c>
      <c r="I200" s="22" t="s">
        <v>637</v>
      </c>
      <c r="J200" s="22">
        <v>4</v>
      </c>
      <c r="K200" s="22">
        <v>40</v>
      </c>
      <c r="L200" s="24">
        <v>0.1</v>
      </c>
      <c r="M200" s="22">
        <v>1</v>
      </c>
      <c r="N200" s="23">
        <v>14</v>
      </c>
      <c r="O200" s="24">
        <v>7.1428571428571425E-2</v>
      </c>
      <c r="P200" s="22">
        <v>1</v>
      </c>
      <c r="Q200" s="23">
        <v>13</v>
      </c>
      <c r="R200" s="24">
        <v>7.6923076923076927E-2</v>
      </c>
      <c r="S200" s="21">
        <v>0</v>
      </c>
      <c r="T200" s="23">
        <v>39</v>
      </c>
      <c r="U200" s="24">
        <v>0</v>
      </c>
      <c r="V200" s="21">
        <v>1</v>
      </c>
      <c r="W200" s="23">
        <v>40</v>
      </c>
      <c r="X200" s="24">
        <v>2.5000000000000001E-2</v>
      </c>
      <c r="Y200" s="25">
        <v>12</v>
      </c>
      <c r="Z200" s="25">
        <v>41.5</v>
      </c>
      <c r="AA200" s="24">
        <v>0.28915662650602408</v>
      </c>
      <c r="AB200" s="22">
        <v>2</v>
      </c>
      <c r="AC200" s="22">
        <v>43.5</v>
      </c>
      <c r="AD200" s="24">
        <f>Table13[[#This Row],[Gönüllü Çıkış Sayısı]]/Table13[[#This Row],[Ortalama Çalışan Sayısı]]</f>
        <v>0.1</v>
      </c>
      <c r="AE200" s="26">
        <v>0</v>
      </c>
      <c r="AF200" s="25">
        <v>12</v>
      </c>
      <c r="AG200" s="24">
        <v>0</v>
      </c>
      <c r="AH200" s="26">
        <v>1</v>
      </c>
      <c r="AI200" s="25">
        <v>12.5</v>
      </c>
      <c r="AJ200" s="24">
        <v>0.08</v>
      </c>
      <c r="AK200" s="26">
        <v>4</v>
      </c>
      <c r="AL200" s="25">
        <v>42</v>
      </c>
      <c r="AM200" s="24">
        <v>9.5238095238095233E-2</v>
      </c>
      <c r="AN200" s="26">
        <v>2</v>
      </c>
      <c r="AO200" s="25">
        <v>39</v>
      </c>
      <c r="AP200" s="24">
        <v>5.128205128205128E-2</v>
      </c>
      <c r="AQ200" s="26">
        <v>15</v>
      </c>
      <c r="AR200" s="25">
        <v>40.5</v>
      </c>
      <c r="AS200" s="24">
        <v>0.37037037037037035</v>
      </c>
    </row>
    <row r="201" spans="1:45" x14ac:dyDescent="0.35">
      <c r="A201" s="21" t="s">
        <v>399</v>
      </c>
      <c r="B201" s="22" t="s">
        <v>400</v>
      </c>
      <c r="C201" s="21" t="s">
        <v>868</v>
      </c>
      <c r="D201" s="22" t="s">
        <v>684</v>
      </c>
      <c r="E201" s="22" t="s">
        <v>623</v>
      </c>
      <c r="F201" s="22" t="s">
        <v>662</v>
      </c>
      <c r="G201" s="22" t="s">
        <v>662</v>
      </c>
      <c r="H201" s="22" t="s">
        <v>642</v>
      </c>
      <c r="I201" s="22" t="s">
        <v>795</v>
      </c>
      <c r="J201" s="22">
        <v>1</v>
      </c>
      <c r="K201" s="22">
        <v>11</v>
      </c>
      <c r="L201" s="24">
        <v>9.0909090909090912E-2</v>
      </c>
      <c r="M201" s="22">
        <v>0</v>
      </c>
      <c r="N201" s="23">
        <v>18</v>
      </c>
      <c r="O201" s="24">
        <v>0</v>
      </c>
      <c r="P201" s="22">
        <v>1</v>
      </c>
      <c r="Q201" s="23">
        <v>10.5</v>
      </c>
      <c r="R201" s="24">
        <v>9.5238095238095233E-2</v>
      </c>
      <c r="S201" s="21">
        <v>0</v>
      </c>
      <c r="T201" s="23">
        <v>11</v>
      </c>
      <c r="U201" s="24">
        <v>0</v>
      </c>
      <c r="V201" s="21">
        <v>0</v>
      </c>
      <c r="W201" s="23">
        <v>11.5</v>
      </c>
      <c r="X201" s="24">
        <v>0</v>
      </c>
      <c r="Y201" s="25">
        <v>3</v>
      </c>
      <c r="Z201" s="25">
        <v>11.5</v>
      </c>
      <c r="AA201" s="24">
        <v>0.2608695652173913</v>
      </c>
      <c r="AB201" s="22">
        <v>0</v>
      </c>
      <c r="AC201" s="22">
        <v>13</v>
      </c>
      <c r="AD201" s="24">
        <f>Table13[[#This Row],[Gönüllü Çıkış Sayısı]]/Table13[[#This Row],[Ortalama Çalışan Sayısı]]</f>
        <v>9.0909090909090912E-2</v>
      </c>
      <c r="AE201" s="26">
        <v>0</v>
      </c>
      <c r="AF201" s="25">
        <v>18</v>
      </c>
      <c r="AG201" s="24">
        <v>0</v>
      </c>
      <c r="AH201" s="26">
        <v>0</v>
      </c>
      <c r="AI201" s="25">
        <v>18</v>
      </c>
      <c r="AJ201" s="24">
        <v>0</v>
      </c>
      <c r="AK201" s="26">
        <v>1</v>
      </c>
      <c r="AL201" s="25">
        <v>12.5</v>
      </c>
      <c r="AM201" s="24">
        <v>0.08</v>
      </c>
      <c r="AN201" s="26">
        <v>0</v>
      </c>
      <c r="AO201" s="25">
        <v>12</v>
      </c>
      <c r="AP201" s="24">
        <v>0</v>
      </c>
      <c r="AQ201" s="26">
        <v>1</v>
      </c>
      <c r="AR201" s="25">
        <v>12.5</v>
      </c>
      <c r="AS201" s="24">
        <v>0.08</v>
      </c>
    </row>
    <row r="202" spans="1:45" x14ac:dyDescent="0.35">
      <c r="A202" s="21" t="s">
        <v>401</v>
      </c>
      <c r="B202" s="22" t="s">
        <v>402</v>
      </c>
      <c r="C202" s="21" t="s">
        <v>869</v>
      </c>
      <c r="D202" s="22" t="s">
        <v>691</v>
      </c>
      <c r="E202" s="22" t="s">
        <v>657</v>
      </c>
      <c r="F202" s="22" t="s">
        <v>658</v>
      </c>
      <c r="G202" s="22" t="s">
        <v>662</v>
      </c>
      <c r="H202" s="22" t="s">
        <v>668</v>
      </c>
      <c r="I202" s="22" t="s">
        <v>632</v>
      </c>
      <c r="J202" s="22">
        <v>2</v>
      </c>
      <c r="K202" s="22">
        <v>14.5</v>
      </c>
      <c r="L202" s="24">
        <v>0.13793103448275862</v>
      </c>
      <c r="M202" s="22">
        <v>0</v>
      </c>
      <c r="N202" s="23">
        <v>23</v>
      </c>
      <c r="O202" s="24">
        <v>0</v>
      </c>
      <c r="P202" s="22">
        <v>0</v>
      </c>
      <c r="Q202" s="23">
        <v>23</v>
      </c>
      <c r="R202" s="24">
        <v>0</v>
      </c>
      <c r="S202" s="21">
        <v>1</v>
      </c>
      <c r="T202" s="23">
        <v>16.5</v>
      </c>
      <c r="U202" s="24">
        <v>6.0606060606060608E-2</v>
      </c>
      <c r="V202" s="21">
        <v>1</v>
      </c>
      <c r="W202" s="23">
        <v>17</v>
      </c>
      <c r="X202" s="24">
        <v>5.8823529411764705E-2</v>
      </c>
      <c r="Y202" s="25">
        <v>8</v>
      </c>
      <c r="Z202" s="25">
        <v>18</v>
      </c>
      <c r="AA202" s="24">
        <v>0.44444444444444442</v>
      </c>
      <c r="AB202" s="22">
        <v>0</v>
      </c>
      <c r="AC202" s="22">
        <v>20</v>
      </c>
      <c r="AD202" s="24">
        <f>Table13[[#This Row],[Gönüllü Çıkış Sayısı]]/Table13[[#This Row],[Ortalama Çalışan Sayısı]]</f>
        <v>0.13793103448275862</v>
      </c>
      <c r="AE202" s="26">
        <v>1</v>
      </c>
      <c r="AF202" s="25">
        <v>23</v>
      </c>
      <c r="AG202" s="24">
        <v>4.3478260869565216E-2</v>
      </c>
      <c r="AH202" s="26">
        <v>1</v>
      </c>
      <c r="AI202" s="25">
        <v>24</v>
      </c>
      <c r="AJ202" s="24">
        <v>4.1666666666666664E-2</v>
      </c>
      <c r="AK202" s="26">
        <v>2</v>
      </c>
      <c r="AL202" s="25">
        <v>19</v>
      </c>
      <c r="AM202" s="24">
        <v>0.10526315789473684</v>
      </c>
      <c r="AN202" s="26">
        <v>1</v>
      </c>
      <c r="AO202" s="25">
        <v>17.5</v>
      </c>
      <c r="AP202" s="24">
        <v>5.7142857142857141E-2</v>
      </c>
      <c r="AQ202" s="26">
        <v>5</v>
      </c>
      <c r="AR202" s="25">
        <v>18.5</v>
      </c>
      <c r="AS202" s="24">
        <v>0.27027027027027029</v>
      </c>
    </row>
    <row r="203" spans="1:45" x14ac:dyDescent="0.35">
      <c r="A203" s="21" t="s">
        <v>403</v>
      </c>
      <c r="B203" s="22" t="s">
        <v>404</v>
      </c>
      <c r="C203" s="21" t="s">
        <v>870</v>
      </c>
      <c r="D203" s="22" t="s">
        <v>691</v>
      </c>
      <c r="E203" s="22" t="s">
        <v>657</v>
      </c>
      <c r="F203" s="22" t="s">
        <v>658</v>
      </c>
      <c r="G203" s="22" t="s">
        <v>662</v>
      </c>
      <c r="H203" s="22" t="s">
        <v>631</v>
      </c>
      <c r="I203" s="22" t="s">
        <v>632</v>
      </c>
      <c r="J203" s="22">
        <v>2</v>
      </c>
      <c r="K203" s="22">
        <v>35</v>
      </c>
      <c r="L203" s="24">
        <v>5.7142857142857141E-2</v>
      </c>
      <c r="M203" s="22">
        <v>1</v>
      </c>
      <c r="N203" s="23">
        <v>10</v>
      </c>
      <c r="O203" s="24">
        <v>0.1</v>
      </c>
      <c r="P203" s="22">
        <v>0</v>
      </c>
      <c r="Q203" s="23">
        <v>10</v>
      </c>
      <c r="R203" s="24">
        <v>0</v>
      </c>
      <c r="S203" s="21">
        <v>2</v>
      </c>
      <c r="T203" s="23">
        <v>36</v>
      </c>
      <c r="U203" s="24">
        <v>5.5555555555555552E-2</v>
      </c>
      <c r="V203" s="21">
        <v>1</v>
      </c>
      <c r="W203" s="23">
        <v>39</v>
      </c>
      <c r="X203" s="24">
        <v>2.564102564102564E-2</v>
      </c>
      <c r="Y203" s="25">
        <v>8</v>
      </c>
      <c r="Z203" s="25">
        <v>38</v>
      </c>
      <c r="AA203" s="24">
        <v>0.21052631578947367</v>
      </c>
      <c r="AB203" s="22">
        <v>1</v>
      </c>
      <c r="AC203" s="22">
        <v>32.5</v>
      </c>
      <c r="AD203" s="24">
        <f>Table13[[#This Row],[Gönüllü Çıkış Sayısı]]/Table13[[#This Row],[Ortalama Çalışan Sayısı]]</f>
        <v>5.7142857142857141E-2</v>
      </c>
      <c r="AE203" s="26">
        <v>1</v>
      </c>
      <c r="AF203" s="25">
        <v>8.5</v>
      </c>
      <c r="AG203" s="24">
        <v>0.11764705882352941</v>
      </c>
      <c r="AH203" s="26">
        <v>0</v>
      </c>
      <c r="AI203" s="25">
        <v>8.5</v>
      </c>
      <c r="AJ203" s="24">
        <v>0</v>
      </c>
      <c r="AK203" s="26">
        <v>0</v>
      </c>
      <c r="AL203" s="25">
        <v>31.5</v>
      </c>
      <c r="AM203" s="24">
        <v>0</v>
      </c>
      <c r="AN203" s="26">
        <v>3</v>
      </c>
      <c r="AO203" s="25">
        <v>33.5</v>
      </c>
      <c r="AP203" s="24">
        <v>8.9552238805970144E-2</v>
      </c>
      <c r="AQ203" s="26">
        <v>10</v>
      </c>
      <c r="AR203" s="25">
        <v>32.5</v>
      </c>
      <c r="AS203" s="24">
        <v>0.30769230769230771</v>
      </c>
    </row>
    <row r="204" spans="1:45" x14ac:dyDescent="0.35">
      <c r="A204" s="21" t="s">
        <v>405</v>
      </c>
      <c r="B204" s="22" t="s">
        <v>406</v>
      </c>
      <c r="C204" s="21" t="s">
        <v>871</v>
      </c>
      <c r="D204" s="22" t="s">
        <v>684</v>
      </c>
      <c r="E204" s="22" t="s">
        <v>623</v>
      </c>
      <c r="F204" s="22" t="s">
        <v>662</v>
      </c>
      <c r="G204" s="22" t="s">
        <v>662</v>
      </c>
      <c r="H204" s="22" t="s">
        <v>654</v>
      </c>
      <c r="I204" s="22" t="s">
        <v>872</v>
      </c>
      <c r="J204" s="22">
        <v>3</v>
      </c>
      <c r="K204" s="22">
        <v>15.5</v>
      </c>
      <c r="L204" s="24">
        <v>0.19354838709677419</v>
      </c>
      <c r="M204" s="22">
        <v>4</v>
      </c>
      <c r="N204" s="23">
        <v>38.5</v>
      </c>
      <c r="O204" s="24">
        <v>0.1038961038961039</v>
      </c>
      <c r="P204" s="22">
        <v>3</v>
      </c>
      <c r="Q204" s="23">
        <v>38</v>
      </c>
      <c r="R204" s="24">
        <v>7.8947368421052627E-2</v>
      </c>
      <c r="S204" s="21">
        <v>3</v>
      </c>
      <c r="T204" s="23">
        <v>17.5</v>
      </c>
      <c r="U204" s="24">
        <v>0.17142857142857143</v>
      </c>
      <c r="V204" s="21">
        <v>1</v>
      </c>
      <c r="W204" s="23">
        <v>17</v>
      </c>
      <c r="X204" s="24">
        <v>5.8823529411764705E-2</v>
      </c>
      <c r="Y204" s="25">
        <v>12</v>
      </c>
      <c r="Z204" s="25">
        <v>16.5</v>
      </c>
      <c r="AA204" s="24">
        <v>0.72727272727272729</v>
      </c>
      <c r="AB204" s="22">
        <v>0</v>
      </c>
      <c r="AC204" s="22">
        <v>17</v>
      </c>
      <c r="AD204" s="24">
        <f>Table13[[#This Row],[Gönüllü Çıkış Sayısı]]/Table13[[#This Row],[Ortalama Çalışan Sayısı]]</f>
        <v>0.19354838709677419</v>
      </c>
      <c r="AE204" s="26">
        <v>5</v>
      </c>
      <c r="AF204" s="25">
        <v>45</v>
      </c>
      <c r="AG204" s="24">
        <v>0.1111111111111111</v>
      </c>
      <c r="AH204" s="26">
        <v>2</v>
      </c>
      <c r="AI204" s="25">
        <v>44</v>
      </c>
      <c r="AJ204" s="24">
        <v>4.5454545454545456E-2</v>
      </c>
      <c r="AK204" s="26">
        <v>0</v>
      </c>
      <c r="AL204" s="25">
        <v>13.5</v>
      </c>
      <c r="AM204" s="24">
        <v>0</v>
      </c>
      <c r="AN204" s="26">
        <v>0</v>
      </c>
      <c r="AO204" s="25">
        <v>15</v>
      </c>
      <c r="AP204" s="24">
        <v>0</v>
      </c>
      <c r="AQ204" s="26">
        <v>7</v>
      </c>
      <c r="AR204" s="25">
        <v>16</v>
      </c>
      <c r="AS204" s="24">
        <v>0.4375</v>
      </c>
    </row>
    <row r="205" spans="1:45" x14ac:dyDescent="0.35">
      <c r="A205" s="21" t="s">
        <v>407</v>
      </c>
      <c r="B205" s="22" t="s">
        <v>408</v>
      </c>
      <c r="C205" s="21" t="s">
        <v>873</v>
      </c>
      <c r="D205" s="22" t="s">
        <v>622</v>
      </c>
      <c r="E205" s="22" t="s">
        <v>623</v>
      </c>
      <c r="F205" s="22" t="s">
        <v>624</v>
      </c>
      <c r="G205" s="22" t="s">
        <v>624</v>
      </c>
      <c r="H205" s="22" t="s">
        <v>636</v>
      </c>
      <c r="I205" s="22" t="s">
        <v>730</v>
      </c>
      <c r="J205" s="22">
        <v>0</v>
      </c>
      <c r="K205" s="22">
        <v>15.5</v>
      </c>
      <c r="L205" s="24">
        <v>0</v>
      </c>
      <c r="M205" s="22">
        <v>2</v>
      </c>
      <c r="N205" s="23">
        <v>11.5</v>
      </c>
      <c r="O205" s="24">
        <v>0.17391304347826086</v>
      </c>
      <c r="P205" s="22">
        <v>0</v>
      </c>
      <c r="Q205" s="23">
        <v>11</v>
      </c>
      <c r="R205" s="24">
        <v>0</v>
      </c>
      <c r="S205" s="21">
        <v>0</v>
      </c>
      <c r="T205" s="23">
        <v>18</v>
      </c>
      <c r="U205" s="24">
        <v>0</v>
      </c>
      <c r="V205" s="21">
        <v>4</v>
      </c>
      <c r="W205" s="23">
        <v>17</v>
      </c>
      <c r="X205" s="24">
        <v>0.23529411764705882</v>
      </c>
      <c r="Y205" s="25">
        <v>6</v>
      </c>
      <c r="Z205" s="25">
        <v>16.5</v>
      </c>
      <c r="AA205" s="24">
        <v>0.36363636363636365</v>
      </c>
      <c r="AB205" s="22">
        <v>0</v>
      </c>
      <c r="AC205" s="22">
        <v>17</v>
      </c>
      <c r="AD205" s="24">
        <f>Table13[[#This Row],[Gönüllü Çıkış Sayısı]]/Table13[[#This Row],[Ortalama Çalışan Sayısı]]</f>
        <v>0</v>
      </c>
      <c r="AE205" s="26">
        <v>0</v>
      </c>
      <c r="AF205" s="25">
        <v>13</v>
      </c>
      <c r="AG205" s="24">
        <v>0</v>
      </c>
      <c r="AH205" s="26">
        <v>0</v>
      </c>
      <c r="AI205" s="25">
        <v>13</v>
      </c>
      <c r="AJ205" s="24">
        <v>0</v>
      </c>
      <c r="AK205" s="26">
        <v>0</v>
      </c>
      <c r="AL205" s="25">
        <v>18</v>
      </c>
      <c r="AM205" s="24">
        <v>0</v>
      </c>
      <c r="AN205" s="26">
        <v>2</v>
      </c>
      <c r="AO205" s="25">
        <v>17</v>
      </c>
      <c r="AP205" s="24">
        <v>0.11764705882352941</v>
      </c>
      <c r="AQ205" s="26">
        <v>3</v>
      </c>
      <c r="AR205" s="25">
        <v>16</v>
      </c>
      <c r="AS205" s="24">
        <v>0.1875</v>
      </c>
    </row>
    <row r="206" spans="1:45" x14ac:dyDescent="0.35">
      <c r="A206" s="21" t="s">
        <v>409</v>
      </c>
      <c r="B206" s="22" t="s">
        <v>410</v>
      </c>
      <c r="C206" s="21" t="s">
        <v>874</v>
      </c>
      <c r="D206" s="22" t="s">
        <v>666</v>
      </c>
      <c r="E206" s="22" t="s">
        <v>629</v>
      </c>
      <c r="F206" s="22" t="s">
        <v>635</v>
      </c>
      <c r="G206" s="22" t="s">
        <v>635</v>
      </c>
      <c r="H206" s="22" t="s">
        <v>631</v>
      </c>
      <c r="I206" s="22" t="s">
        <v>637</v>
      </c>
      <c r="J206" s="22">
        <v>4</v>
      </c>
      <c r="K206" s="22">
        <v>31.5</v>
      </c>
      <c r="L206" s="24">
        <v>0.12698412698412698</v>
      </c>
      <c r="M206" s="22">
        <v>3</v>
      </c>
      <c r="N206" s="23">
        <v>15.5</v>
      </c>
      <c r="O206" s="24">
        <v>0.19354838709677419</v>
      </c>
      <c r="P206" s="22">
        <v>1</v>
      </c>
      <c r="Q206" s="23">
        <v>16</v>
      </c>
      <c r="R206" s="24">
        <v>6.25E-2</v>
      </c>
      <c r="S206" s="21">
        <v>6</v>
      </c>
      <c r="T206" s="23">
        <v>32</v>
      </c>
      <c r="U206" s="24">
        <v>0.1875</v>
      </c>
      <c r="V206" s="21">
        <v>0</v>
      </c>
      <c r="W206" s="23">
        <v>30</v>
      </c>
      <c r="X206" s="24">
        <v>0</v>
      </c>
      <c r="Y206" s="25">
        <v>12</v>
      </c>
      <c r="Z206" s="25">
        <v>31</v>
      </c>
      <c r="AA206" s="24">
        <v>0.38709677419354838</v>
      </c>
      <c r="AB206" s="22">
        <v>2</v>
      </c>
      <c r="AC206" s="22">
        <v>41</v>
      </c>
      <c r="AD206" s="24">
        <f>Table13[[#This Row],[Gönüllü Çıkış Sayısı]]/Table13[[#This Row],[Ortalama Çalışan Sayısı]]</f>
        <v>0.12698412698412698</v>
      </c>
      <c r="AE206" s="26">
        <v>1</v>
      </c>
      <c r="AF206" s="25">
        <v>18.5</v>
      </c>
      <c r="AG206" s="24">
        <v>5.4054054054054057E-2</v>
      </c>
      <c r="AH206" s="26">
        <v>1</v>
      </c>
      <c r="AI206" s="25">
        <v>20</v>
      </c>
      <c r="AJ206" s="24">
        <v>0.05</v>
      </c>
      <c r="AK206" s="26">
        <v>2</v>
      </c>
      <c r="AL206" s="25">
        <v>36</v>
      </c>
      <c r="AM206" s="24">
        <v>5.5555555555555552E-2</v>
      </c>
      <c r="AN206" s="26">
        <v>2</v>
      </c>
      <c r="AO206" s="25">
        <v>33.5</v>
      </c>
      <c r="AP206" s="24">
        <v>5.9701492537313432E-2</v>
      </c>
      <c r="AQ206" s="26">
        <v>11</v>
      </c>
      <c r="AR206" s="25">
        <v>37</v>
      </c>
      <c r="AS206" s="24">
        <v>0.29729729729729731</v>
      </c>
    </row>
    <row r="207" spans="1:45" x14ac:dyDescent="0.35">
      <c r="A207" s="21" t="s">
        <v>411</v>
      </c>
      <c r="B207" s="22" t="s">
        <v>412</v>
      </c>
      <c r="C207" s="21" t="s">
        <v>875</v>
      </c>
      <c r="D207" s="22" t="s">
        <v>691</v>
      </c>
      <c r="E207" s="22" t="s">
        <v>657</v>
      </c>
      <c r="F207" s="22" t="s">
        <v>658</v>
      </c>
      <c r="G207" s="22" t="s">
        <v>662</v>
      </c>
      <c r="H207" s="22" t="s">
        <v>636</v>
      </c>
      <c r="I207" s="22" t="s">
        <v>632</v>
      </c>
      <c r="J207" s="22">
        <v>2</v>
      </c>
      <c r="K207" s="22">
        <v>21.5</v>
      </c>
      <c r="L207" s="24">
        <v>9.3023255813953487E-2</v>
      </c>
      <c r="M207" s="22">
        <v>2</v>
      </c>
      <c r="N207" s="23">
        <v>37</v>
      </c>
      <c r="O207" s="24">
        <v>5.4054054054054057E-2</v>
      </c>
      <c r="P207" s="22">
        <v>1</v>
      </c>
      <c r="Q207" s="23">
        <v>36</v>
      </c>
      <c r="R207" s="24">
        <v>2.7777777777777776E-2</v>
      </c>
      <c r="S207" s="21">
        <v>2</v>
      </c>
      <c r="T207" s="23">
        <v>22</v>
      </c>
      <c r="U207" s="24">
        <v>9.0909090909090912E-2</v>
      </c>
      <c r="V207" s="21">
        <v>1</v>
      </c>
      <c r="W207" s="23">
        <v>24</v>
      </c>
      <c r="X207" s="24">
        <v>4.1666666666666664E-2</v>
      </c>
      <c r="Y207" s="25">
        <v>5</v>
      </c>
      <c r="Z207" s="25">
        <v>23.5</v>
      </c>
      <c r="AA207" s="24">
        <v>0.21276595744680851</v>
      </c>
      <c r="AB207" s="22">
        <v>1</v>
      </c>
      <c r="AC207" s="22">
        <v>26.5</v>
      </c>
      <c r="AD207" s="24">
        <f>Table13[[#This Row],[Gönüllü Çıkış Sayısı]]/Table13[[#This Row],[Ortalama Çalışan Sayısı]]</f>
        <v>9.3023255813953487E-2</v>
      </c>
      <c r="AE207" s="26">
        <v>3</v>
      </c>
      <c r="AF207" s="25">
        <v>33.5</v>
      </c>
      <c r="AG207" s="24">
        <v>8.9552238805970144E-2</v>
      </c>
      <c r="AH207" s="26">
        <v>3</v>
      </c>
      <c r="AI207" s="25">
        <v>32.5</v>
      </c>
      <c r="AJ207" s="24">
        <v>9.2307692307692313E-2</v>
      </c>
      <c r="AK207" s="26">
        <v>1</v>
      </c>
      <c r="AL207" s="25">
        <v>25.5</v>
      </c>
      <c r="AM207" s="24">
        <v>3.9215686274509803E-2</v>
      </c>
      <c r="AN207" s="26">
        <v>2</v>
      </c>
      <c r="AO207" s="25">
        <v>26</v>
      </c>
      <c r="AP207" s="24">
        <v>7.6923076923076927E-2</v>
      </c>
      <c r="AQ207" s="26">
        <v>11</v>
      </c>
      <c r="AR207" s="25">
        <v>26</v>
      </c>
      <c r="AS207" s="24">
        <v>0.42307692307692307</v>
      </c>
    </row>
    <row r="208" spans="1:45" x14ac:dyDescent="0.35">
      <c r="A208" s="21" t="s">
        <v>413</v>
      </c>
      <c r="B208" s="22" t="s">
        <v>414</v>
      </c>
      <c r="C208" s="21" t="s">
        <v>876</v>
      </c>
      <c r="D208" s="22" t="s">
        <v>691</v>
      </c>
      <c r="E208" s="22" t="s">
        <v>657</v>
      </c>
      <c r="F208" s="22" t="s">
        <v>658</v>
      </c>
      <c r="G208" s="22" t="s">
        <v>1570</v>
      </c>
      <c r="H208" s="22" t="s">
        <v>668</v>
      </c>
      <c r="I208" s="22" t="s">
        <v>632</v>
      </c>
      <c r="J208" s="22">
        <v>1</v>
      </c>
      <c r="K208" s="22">
        <v>17.5</v>
      </c>
      <c r="L208" s="24">
        <v>5.7142857142857141E-2</v>
      </c>
      <c r="M208" s="22">
        <v>4</v>
      </c>
      <c r="N208" s="23">
        <v>16</v>
      </c>
      <c r="O208" s="24">
        <v>0.25</v>
      </c>
      <c r="P208" s="22">
        <v>1</v>
      </c>
      <c r="Q208" s="23">
        <v>17.5</v>
      </c>
      <c r="R208" s="24">
        <v>5.7142857142857141E-2</v>
      </c>
      <c r="S208" s="21">
        <v>3</v>
      </c>
      <c r="T208" s="23">
        <v>15.5</v>
      </c>
      <c r="U208" s="24">
        <v>0.19354838709677419</v>
      </c>
      <c r="V208" s="21">
        <v>0</v>
      </c>
      <c r="W208" s="23">
        <v>14.5</v>
      </c>
      <c r="X208" s="24">
        <v>0</v>
      </c>
      <c r="Y208" s="25">
        <v>4</v>
      </c>
      <c r="Z208" s="25">
        <v>17</v>
      </c>
      <c r="AA208" s="24">
        <v>0.23529411764705882</v>
      </c>
      <c r="AB208" s="22">
        <v>3</v>
      </c>
      <c r="AC208" s="22">
        <v>16.5</v>
      </c>
      <c r="AD208" s="24">
        <f>Table13[[#This Row],[Gönüllü Çıkış Sayısı]]/Table13[[#This Row],[Ortalama Çalışan Sayısı]]</f>
        <v>5.7142857142857141E-2</v>
      </c>
      <c r="AE208" s="26">
        <v>2</v>
      </c>
      <c r="AF208" s="25">
        <v>16</v>
      </c>
      <c r="AG208" s="24">
        <v>0.125</v>
      </c>
      <c r="AH208" s="26">
        <v>5</v>
      </c>
      <c r="AI208" s="25">
        <v>13.5</v>
      </c>
      <c r="AJ208" s="24">
        <v>0.37037037037037035</v>
      </c>
      <c r="AK208" s="26">
        <v>0</v>
      </c>
      <c r="AL208" s="25">
        <v>15</v>
      </c>
      <c r="AM208" s="24">
        <v>0</v>
      </c>
      <c r="AN208" s="26">
        <v>0</v>
      </c>
      <c r="AO208" s="25">
        <v>15</v>
      </c>
      <c r="AP208" s="24">
        <v>0</v>
      </c>
      <c r="AQ208" s="26">
        <v>6</v>
      </c>
      <c r="AR208" s="25">
        <v>16.5</v>
      </c>
      <c r="AS208" s="24">
        <v>0.36363636363636365</v>
      </c>
    </row>
    <row r="209" spans="1:45" x14ac:dyDescent="0.35">
      <c r="A209" s="21" t="s">
        <v>415</v>
      </c>
      <c r="B209" s="22" t="s">
        <v>416</v>
      </c>
      <c r="C209" s="21" t="s">
        <v>877</v>
      </c>
      <c r="D209" s="22" t="s">
        <v>666</v>
      </c>
      <c r="E209" s="22" t="s">
        <v>629</v>
      </c>
      <c r="F209" s="22" t="s">
        <v>635</v>
      </c>
      <c r="G209" s="22" t="s">
        <v>635</v>
      </c>
      <c r="H209" s="22" t="s">
        <v>668</v>
      </c>
      <c r="I209" s="22" t="s">
        <v>637</v>
      </c>
      <c r="J209" s="22">
        <v>0</v>
      </c>
      <c r="K209" s="22">
        <v>12.5</v>
      </c>
      <c r="L209" s="24">
        <v>0</v>
      </c>
      <c r="M209" s="22">
        <v>2</v>
      </c>
      <c r="N209" s="23">
        <v>17.5</v>
      </c>
      <c r="O209" s="24">
        <v>0.11428571428571428</v>
      </c>
      <c r="P209" s="22">
        <v>0</v>
      </c>
      <c r="Q209" s="23">
        <v>17.5</v>
      </c>
      <c r="R209" s="24">
        <v>0</v>
      </c>
      <c r="S209" s="21">
        <v>1</v>
      </c>
      <c r="T209" s="23">
        <v>12</v>
      </c>
      <c r="U209" s="24">
        <v>8.3333333333333329E-2</v>
      </c>
      <c r="V209" s="21">
        <v>3</v>
      </c>
      <c r="W209" s="23">
        <v>12</v>
      </c>
      <c r="X209" s="24">
        <v>0.25</v>
      </c>
      <c r="Y209" s="25">
        <v>8</v>
      </c>
      <c r="Z209" s="25">
        <v>12</v>
      </c>
      <c r="AA209" s="24">
        <v>0.66666666666666663</v>
      </c>
      <c r="AB209" s="22">
        <v>0</v>
      </c>
      <c r="AC209" s="22">
        <v>13.5</v>
      </c>
      <c r="AD209" s="24">
        <f>Table13[[#This Row],[Gönüllü Çıkış Sayısı]]/Table13[[#This Row],[Ortalama Çalışan Sayısı]]</f>
        <v>0</v>
      </c>
      <c r="AE209" s="26">
        <v>1</v>
      </c>
      <c r="AF209" s="25">
        <v>18</v>
      </c>
      <c r="AG209" s="24">
        <v>5.5555555555555552E-2</v>
      </c>
      <c r="AH209" s="26">
        <v>0</v>
      </c>
      <c r="AI209" s="25">
        <v>18</v>
      </c>
      <c r="AJ209" s="24">
        <v>0</v>
      </c>
      <c r="AK209" s="26">
        <v>3</v>
      </c>
      <c r="AL209" s="25">
        <v>14</v>
      </c>
      <c r="AM209" s="24">
        <v>0.21428571428571427</v>
      </c>
      <c r="AN209" s="26">
        <v>1</v>
      </c>
      <c r="AO209" s="25">
        <v>13.5</v>
      </c>
      <c r="AP209" s="24">
        <v>7.407407407407407E-2</v>
      </c>
      <c r="AQ209" s="26">
        <v>5</v>
      </c>
      <c r="AR209" s="25">
        <v>13</v>
      </c>
      <c r="AS209" s="24">
        <v>0.38461538461538464</v>
      </c>
    </row>
    <row r="210" spans="1:45" x14ac:dyDescent="0.35">
      <c r="A210" s="21" t="s">
        <v>29</v>
      </c>
      <c r="B210" s="22" t="s">
        <v>29</v>
      </c>
      <c r="C210" s="21" t="s">
        <v>878</v>
      </c>
      <c r="D210" s="22" t="s">
        <v>628</v>
      </c>
      <c r="E210" s="22" t="s">
        <v>629</v>
      </c>
      <c r="F210" s="22" t="s">
        <v>630</v>
      </c>
      <c r="G210" s="22" t="s">
        <v>1569</v>
      </c>
      <c r="H210" s="22" t="s">
        <v>642</v>
      </c>
      <c r="I210" s="22" t="s">
        <v>632</v>
      </c>
      <c r="J210" s="22">
        <v>1</v>
      </c>
      <c r="K210" s="22">
        <v>9</v>
      </c>
      <c r="L210" s="24">
        <v>0.1111111111111111</v>
      </c>
      <c r="M210" s="22">
        <v>0</v>
      </c>
      <c r="N210" s="23">
        <v>34</v>
      </c>
      <c r="O210" s="24">
        <v>0</v>
      </c>
      <c r="P210" s="22">
        <v>2</v>
      </c>
      <c r="Q210" s="23">
        <v>34</v>
      </c>
      <c r="R210" s="24">
        <v>5.8823529411764705E-2</v>
      </c>
      <c r="S210" s="22" t="s">
        <v>599</v>
      </c>
      <c r="T210" s="22" t="s">
        <v>599</v>
      </c>
      <c r="U210" s="22" t="s">
        <v>599</v>
      </c>
      <c r="V210" s="21" t="s">
        <v>599</v>
      </c>
      <c r="W210" s="23" t="s">
        <v>599</v>
      </c>
      <c r="X210" s="24" t="s">
        <v>599</v>
      </c>
      <c r="Y210" s="25">
        <v>4</v>
      </c>
      <c r="Z210" s="25">
        <v>4.5</v>
      </c>
      <c r="AA210" s="24">
        <v>0.88888888888888884</v>
      </c>
      <c r="AB210" s="22">
        <v>0</v>
      </c>
      <c r="AC210" s="22">
        <v>10</v>
      </c>
      <c r="AD210" s="24">
        <f>Table13[[#This Row],[Gönüllü Çıkış Sayısı]]/Table13[[#This Row],[Ortalama Çalışan Sayısı]]</f>
        <v>0.1111111111111111</v>
      </c>
      <c r="AE210" s="26">
        <v>3</v>
      </c>
      <c r="AF210" s="25">
        <v>40.5</v>
      </c>
      <c r="AG210" s="24">
        <v>7.407407407407407E-2</v>
      </c>
      <c r="AH210" s="26">
        <v>2</v>
      </c>
      <c r="AI210" s="25">
        <v>38</v>
      </c>
      <c r="AJ210" s="24">
        <v>5.2631578947368418E-2</v>
      </c>
      <c r="AK210" s="26">
        <v>0</v>
      </c>
      <c r="AL210" s="25">
        <v>10</v>
      </c>
      <c r="AM210" s="24">
        <v>0</v>
      </c>
      <c r="AN210" s="26">
        <v>1</v>
      </c>
      <c r="AO210" s="25">
        <v>9.5</v>
      </c>
      <c r="AP210" s="24">
        <v>0.10526315789473684</v>
      </c>
      <c r="AQ210" s="26">
        <v>2</v>
      </c>
      <c r="AR210" s="25">
        <v>9</v>
      </c>
      <c r="AS210" s="24">
        <v>0.22222222222222221</v>
      </c>
    </row>
    <row r="211" spans="1:45" x14ac:dyDescent="0.35">
      <c r="A211" s="22" t="s">
        <v>122</v>
      </c>
      <c r="B211" s="22" t="s">
        <v>123</v>
      </c>
      <c r="C211" s="22" t="s">
        <v>879</v>
      </c>
      <c r="D211" s="22" t="s">
        <v>645</v>
      </c>
      <c r="E211" s="22" t="s">
        <v>629</v>
      </c>
      <c r="F211" s="22" t="s">
        <v>646</v>
      </c>
      <c r="G211" s="22" t="s">
        <v>646</v>
      </c>
      <c r="H211" s="22" t="s">
        <v>642</v>
      </c>
      <c r="I211" s="22" t="s">
        <v>632</v>
      </c>
      <c r="J211" s="22">
        <v>2</v>
      </c>
      <c r="K211" s="22">
        <v>10.5</v>
      </c>
      <c r="L211" s="24">
        <v>0.19047619047619047</v>
      </c>
      <c r="M211" s="22">
        <v>0</v>
      </c>
      <c r="N211" s="23">
        <v>22</v>
      </c>
      <c r="O211" s="24">
        <v>0</v>
      </c>
      <c r="P211" s="22">
        <v>0</v>
      </c>
      <c r="Q211" s="23">
        <v>21</v>
      </c>
      <c r="R211" s="24">
        <v>0</v>
      </c>
      <c r="S211" s="22" t="s">
        <v>599</v>
      </c>
      <c r="T211" s="22" t="s">
        <v>599</v>
      </c>
      <c r="U211" s="22" t="s">
        <v>599</v>
      </c>
      <c r="V211" s="21" t="s">
        <v>599</v>
      </c>
      <c r="W211" s="23" t="s">
        <v>599</v>
      </c>
      <c r="X211" s="24" t="s">
        <v>599</v>
      </c>
      <c r="Y211" s="25">
        <v>6</v>
      </c>
      <c r="Z211" s="25">
        <v>6</v>
      </c>
      <c r="AA211" s="24">
        <v>1</v>
      </c>
      <c r="AB211" s="22">
        <v>1</v>
      </c>
      <c r="AC211" s="22">
        <v>14.5</v>
      </c>
      <c r="AD211" s="24">
        <f>Table13[[#This Row],[Gönüllü Çıkış Sayısı]]/Table13[[#This Row],[Ortalama Çalışan Sayısı]]</f>
        <v>0.19047619047619047</v>
      </c>
      <c r="AE211" s="26">
        <v>4</v>
      </c>
      <c r="AF211" s="25">
        <v>25.5</v>
      </c>
      <c r="AG211" s="24">
        <v>0.15686274509803921</v>
      </c>
      <c r="AH211" s="26">
        <v>3</v>
      </c>
      <c r="AI211" s="25">
        <v>24</v>
      </c>
      <c r="AJ211" s="24">
        <v>0.125</v>
      </c>
      <c r="AK211" s="26">
        <v>0</v>
      </c>
      <c r="AL211" s="25">
        <v>12.5</v>
      </c>
      <c r="AM211" s="24">
        <v>0</v>
      </c>
      <c r="AN211" s="26">
        <v>3</v>
      </c>
      <c r="AO211" s="25">
        <v>13</v>
      </c>
      <c r="AP211" s="24">
        <v>0.23076923076923078</v>
      </c>
      <c r="AQ211" s="26">
        <v>8</v>
      </c>
      <c r="AR211" s="25">
        <v>13.5</v>
      </c>
      <c r="AS211" s="24">
        <v>0.59259259259259256</v>
      </c>
    </row>
    <row r="212" spans="1:45" x14ac:dyDescent="0.35">
      <c r="A212" s="22" t="s">
        <v>254</v>
      </c>
      <c r="B212" s="22" t="s">
        <v>255</v>
      </c>
      <c r="C212" s="22" t="s">
        <v>880</v>
      </c>
      <c r="D212" s="22" t="s">
        <v>656</v>
      </c>
      <c r="E212" s="22" t="s">
        <v>657</v>
      </c>
      <c r="F212" s="22" t="s">
        <v>658</v>
      </c>
      <c r="G212" s="22" t="s">
        <v>1570</v>
      </c>
      <c r="H212" s="22" t="s">
        <v>642</v>
      </c>
      <c r="I212" s="22" t="s">
        <v>632</v>
      </c>
      <c r="J212" s="22">
        <v>2</v>
      </c>
      <c r="K212" s="22">
        <v>13.5</v>
      </c>
      <c r="L212" s="24">
        <v>0.14814814814814814</v>
      </c>
      <c r="M212" s="22">
        <v>0</v>
      </c>
      <c r="N212" s="23">
        <v>18</v>
      </c>
      <c r="O212" s="24">
        <v>0</v>
      </c>
      <c r="P212" s="22">
        <v>0</v>
      </c>
      <c r="Q212" s="23">
        <v>18</v>
      </c>
      <c r="R212" s="24">
        <v>0</v>
      </c>
      <c r="S212" s="22" t="s">
        <v>599</v>
      </c>
      <c r="T212" s="22" t="s">
        <v>599</v>
      </c>
      <c r="U212" s="22" t="s">
        <v>599</v>
      </c>
      <c r="V212" s="21" t="s">
        <v>599</v>
      </c>
      <c r="W212" s="23" t="s">
        <v>599</v>
      </c>
      <c r="X212" s="24" t="s">
        <v>599</v>
      </c>
      <c r="Y212" s="25">
        <v>5</v>
      </c>
      <c r="Z212" s="25">
        <v>7.5</v>
      </c>
      <c r="AA212" s="24">
        <v>0.66666666666666663</v>
      </c>
      <c r="AB212" s="22">
        <v>1</v>
      </c>
      <c r="AC212" s="22">
        <v>18.5</v>
      </c>
      <c r="AD212" s="24">
        <f>Table13[[#This Row],[Gönüllü Çıkış Sayısı]]/Table13[[#This Row],[Ortalama Çalışan Sayısı]]</f>
        <v>0.14814814814814814</v>
      </c>
      <c r="AE212" s="26">
        <v>1</v>
      </c>
      <c r="AF212" s="25">
        <v>15</v>
      </c>
      <c r="AG212" s="24">
        <v>6.6666666666666666E-2</v>
      </c>
      <c r="AH212" s="26">
        <v>2</v>
      </c>
      <c r="AI212" s="25">
        <v>14.5</v>
      </c>
      <c r="AJ212" s="24">
        <v>0.13793103448275862</v>
      </c>
      <c r="AK212" s="26">
        <v>2</v>
      </c>
      <c r="AL212" s="25">
        <v>14</v>
      </c>
      <c r="AM212" s="24">
        <v>0.14285714285714285</v>
      </c>
      <c r="AN212" s="26">
        <v>0</v>
      </c>
      <c r="AO212" s="25">
        <v>13</v>
      </c>
      <c r="AP212" s="24">
        <v>0</v>
      </c>
      <c r="AQ212" s="26">
        <v>7</v>
      </c>
      <c r="AR212" s="25">
        <v>16</v>
      </c>
      <c r="AS212" s="24">
        <v>0.4375</v>
      </c>
    </row>
    <row r="213" spans="1:45" x14ac:dyDescent="0.35">
      <c r="A213" s="22" t="s">
        <v>391</v>
      </c>
      <c r="B213" s="22" t="s">
        <v>392</v>
      </c>
      <c r="C213" s="22" t="s">
        <v>881</v>
      </c>
      <c r="D213" s="22" t="s">
        <v>673</v>
      </c>
      <c r="E213" s="22" t="s">
        <v>623</v>
      </c>
      <c r="F213" s="22" t="s">
        <v>641</v>
      </c>
      <c r="G213" s="22" t="s">
        <v>641</v>
      </c>
      <c r="H213" s="22" t="s">
        <v>668</v>
      </c>
      <c r="I213" s="22" t="s">
        <v>748</v>
      </c>
      <c r="J213" s="22">
        <v>0</v>
      </c>
      <c r="K213" s="22">
        <v>16.5</v>
      </c>
      <c r="L213" s="24">
        <v>0</v>
      </c>
      <c r="M213" s="22">
        <v>3</v>
      </c>
      <c r="N213" s="23">
        <v>13</v>
      </c>
      <c r="O213" s="24">
        <v>0.23076923076923078</v>
      </c>
      <c r="P213" s="22">
        <v>1</v>
      </c>
      <c r="Q213" s="23">
        <v>12.5</v>
      </c>
      <c r="R213" s="24">
        <v>0.08</v>
      </c>
      <c r="S213" s="22" t="s">
        <v>599</v>
      </c>
      <c r="T213" s="22" t="s">
        <v>599</v>
      </c>
      <c r="U213" s="22" t="s">
        <v>599</v>
      </c>
      <c r="V213" s="21" t="s">
        <v>599</v>
      </c>
      <c r="W213" s="23" t="s">
        <v>599</v>
      </c>
      <c r="X213" s="24" t="s">
        <v>599</v>
      </c>
      <c r="Y213" s="25">
        <v>1</v>
      </c>
      <c r="Z213" s="25">
        <v>8</v>
      </c>
      <c r="AA213" s="24">
        <v>0.125</v>
      </c>
      <c r="AB213" s="22">
        <v>1</v>
      </c>
      <c r="AC213" s="22">
        <v>18</v>
      </c>
      <c r="AD213" s="24">
        <f>Table13[[#This Row],[Gönüllü Çıkış Sayısı]]/Table13[[#This Row],[Ortalama Çalışan Sayısı]]</f>
        <v>0</v>
      </c>
      <c r="AE213" s="26">
        <v>0</v>
      </c>
      <c r="AF213" s="25">
        <v>14</v>
      </c>
      <c r="AG213" s="24">
        <v>0</v>
      </c>
      <c r="AH213" s="26">
        <v>1</v>
      </c>
      <c r="AI213" s="25">
        <v>14.5</v>
      </c>
      <c r="AJ213" s="24">
        <v>6.8965517241379309E-2</v>
      </c>
      <c r="AK213" s="26">
        <v>3</v>
      </c>
      <c r="AL213" s="25">
        <v>16</v>
      </c>
      <c r="AM213" s="24">
        <v>0.1875</v>
      </c>
      <c r="AN213" s="26">
        <v>0</v>
      </c>
      <c r="AO213" s="25">
        <v>16.5</v>
      </c>
      <c r="AP213" s="24">
        <v>0</v>
      </c>
      <c r="AQ213" s="26">
        <v>4</v>
      </c>
      <c r="AR213" s="25">
        <v>17.5</v>
      </c>
      <c r="AS213" s="24">
        <v>0.22857142857142856</v>
      </c>
    </row>
  </sheetData>
  <autoFilter ref="V2:AS2" xr:uid="{DC826658-33E1-4FE9-AA26-E6CB35039295}"/>
  <mergeCells count="12">
    <mergeCell ref="M1:O1"/>
    <mergeCell ref="AE1:AG1"/>
    <mergeCell ref="J1:L1"/>
    <mergeCell ref="AB1:AD1"/>
    <mergeCell ref="V1:X1"/>
    <mergeCell ref="Y1:AA1"/>
    <mergeCell ref="AN1:AP1"/>
    <mergeCell ref="AQ1:AS1"/>
    <mergeCell ref="S1:U1"/>
    <mergeCell ref="AK1:AM1"/>
    <mergeCell ref="P1:R1"/>
    <mergeCell ref="AH1:AJ1"/>
  </mergeCells>
  <phoneticPr fontId="8" type="noConversion"/>
  <pageMargins left="0.7" right="0.7" top="0.75" bottom="0.75" header="0.3" footer="0.3"/>
  <pageSetup paperSize="9" orientation="portrait" r:id="rId1"/>
  <headerFooter>
    <oddHeader>&amp;R&amp;"Aptos"&amp;10&amp;KFF8C00 Genel&amp;1#_x000D_</oddHeader>
    <oddFooter>&amp;R_x000D_&amp;1#&amp;"Aptos"&amp;10&amp;KFF8C00 Genel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CE6A9-4DC6-48C3-81DD-B9FB1C46E0B5}">
  <dimension ref="A1:AH208"/>
  <sheetViews>
    <sheetView topLeftCell="W1" workbookViewId="0">
      <selection activeCell="AF5" sqref="AF5"/>
    </sheetView>
  </sheetViews>
  <sheetFormatPr defaultRowHeight="14.5" x14ac:dyDescent="0.35"/>
  <cols>
    <col min="1" max="1" width="15.6328125" style="63" bestFit="1" customWidth="1"/>
    <col min="2" max="2" width="19.81640625" style="63" customWidth="1"/>
    <col min="3" max="3" width="32.54296875" style="63" customWidth="1"/>
    <col min="4" max="4" width="13.54296875" style="63" customWidth="1"/>
    <col min="5" max="5" width="13.1796875" style="63" customWidth="1"/>
    <col min="6" max="6" width="14.1796875" style="63" customWidth="1"/>
    <col min="7" max="7" width="9.54296875" style="63" customWidth="1"/>
    <col min="8" max="8" width="13" style="63" customWidth="1"/>
    <col min="9" max="9" width="17" customWidth="1"/>
    <col min="10" max="10" width="12.7265625" customWidth="1"/>
    <col min="11" max="11" width="15.7265625" customWidth="1"/>
    <col min="12" max="12" width="12.1796875" customWidth="1"/>
    <col min="13" max="13" width="13.453125" customWidth="1"/>
    <col min="14" max="14" width="12" customWidth="1"/>
    <col min="15" max="15" width="17.26953125" customWidth="1"/>
    <col min="16" max="16" width="12.26953125" customWidth="1"/>
    <col min="17" max="20" width="9.26953125" customWidth="1"/>
    <col min="21" max="21" width="14" customWidth="1"/>
    <col min="22" max="22" width="15" customWidth="1"/>
    <col min="23" max="23" width="14.90625" customWidth="1"/>
    <col min="24" max="24" width="12.453125" customWidth="1"/>
    <col min="25" max="25" width="13.453125" customWidth="1"/>
    <col min="26" max="26" width="11" customWidth="1"/>
    <col min="27" max="27" width="22.1796875" customWidth="1"/>
    <col min="28" max="29" width="19.7265625" customWidth="1"/>
    <col min="30" max="30" width="17.36328125" customWidth="1"/>
    <col min="31" max="31" width="12.453125" customWidth="1"/>
    <col min="32" max="32" width="16.6328125" customWidth="1"/>
    <col min="33" max="33" width="13.08984375" customWidth="1"/>
    <col min="34" max="34" width="15.54296875" bestFit="1" customWidth="1"/>
  </cols>
  <sheetData>
    <row r="1" spans="1:34" x14ac:dyDescent="0.35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72" t="s">
        <v>955</v>
      </c>
      <c r="V1" s="72"/>
      <c r="W1" s="72"/>
      <c r="X1" s="72"/>
      <c r="Y1" s="72"/>
      <c r="Z1" s="72"/>
      <c r="AA1" s="72"/>
      <c r="AB1" s="72"/>
      <c r="AC1" s="72"/>
      <c r="AD1" s="72"/>
      <c r="AE1" s="73" t="s">
        <v>983</v>
      </c>
      <c r="AF1" s="73"/>
      <c r="AG1" s="74" t="s">
        <v>982</v>
      </c>
      <c r="AH1" s="74"/>
    </row>
    <row r="2" spans="1:34" x14ac:dyDescent="0.35">
      <c r="A2" s="45"/>
      <c r="B2" s="46"/>
      <c r="C2" s="46"/>
      <c r="D2" s="46"/>
      <c r="E2" s="46"/>
      <c r="F2" s="46"/>
      <c r="G2" s="46"/>
      <c r="H2" s="46"/>
      <c r="I2" s="46">
        <f t="shared" ref="I2:P2" si="0">SUBTOTAL(9,I4:I207)</f>
        <v>4053</v>
      </c>
      <c r="J2" s="46">
        <f t="shared" si="0"/>
        <v>487</v>
      </c>
      <c r="K2" s="46">
        <f t="shared" si="0"/>
        <v>435</v>
      </c>
      <c r="L2" s="46">
        <f t="shared" si="0"/>
        <v>414</v>
      </c>
      <c r="M2" s="46">
        <f t="shared" si="0"/>
        <v>16</v>
      </c>
      <c r="N2" s="46">
        <f t="shared" si="0"/>
        <v>5</v>
      </c>
      <c r="O2" s="46">
        <f t="shared" si="0"/>
        <v>4105</v>
      </c>
      <c r="P2" s="47">
        <f t="shared" si="0"/>
        <v>4079</v>
      </c>
      <c r="Q2" s="48">
        <f>K2/P2</f>
        <v>0.10664378524148076</v>
      </c>
      <c r="R2" s="48">
        <f>L2/P2</f>
        <v>0.10149546457465065</v>
      </c>
      <c r="S2" s="48">
        <f>M2/P2</f>
        <v>3.9225300318705561E-3</v>
      </c>
      <c r="T2" s="48">
        <f>N2/P2</f>
        <v>1.225790634959549E-3</v>
      </c>
      <c r="U2" s="46">
        <f>SUBTOTAL(9,U4:U207)</f>
        <v>5</v>
      </c>
      <c r="V2" s="48">
        <f>U2/173.5</f>
        <v>2.8818443804034581E-2</v>
      </c>
      <c r="W2" s="46">
        <f>SUBTOTAL(9,W4:W207)</f>
        <v>4</v>
      </c>
      <c r="X2" s="48">
        <f>W2/141</f>
        <v>2.8368794326241134E-2</v>
      </c>
      <c r="Y2" s="46">
        <f>SUBTOTAL(9,Y4:Y207)</f>
        <v>6</v>
      </c>
      <c r="Z2" s="48">
        <f>Y2/267</f>
        <v>2.247191011235955E-2</v>
      </c>
      <c r="AA2" s="46">
        <f>SUBTOTAL(9,AA4:AA207)</f>
        <v>3</v>
      </c>
      <c r="AB2" s="48">
        <f>AA2/251.5</f>
        <v>1.1928429423459244E-2</v>
      </c>
      <c r="AC2" s="46">
        <f>SUBTOTAL(9,AC4:AC207)</f>
        <v>392</v>
      </c>
      <c r="AD2" s="48">
        <f>AC2/3207.5</f>
        <v>0.12221356196414652</v>
      </c>
      <c r="AE2" s="48">
        <f>SUM(AF2:AF2)</f>
        <v>3.7701974865350089E-2</v>
      </c>
      <c r="AF2" s="48">
        <f>84/2228</f>
        <v>3.7701974865350089E-2</v>
      </c>
      <c r="AG2" s="48">
        <f>SUM(AH2:AH2)</f>
        <v>0.12311015118790497</v>
      </c>
      <c r="AH2" s="48">
        <f>228/1852</f>
        <v>0.12311015118790497</v>
      </c>
    </row>
    <row r="3" spans="1:34" s="52" customFormat="1" ht="57" customHeight="1" x14ac:dyDescent="0.35">
      <c r="A3" s="49" t="s">
        <v>602</v>
      </c>
      <c r="B3" s="50" t="s">
        <v>603</v>
      </c>
      <c r="C3" s="50" t="s">
        <v>2</v>
      </c>
      <c r="D3" s="50" t="s">
        <v>605</v>
      </c>
      <c r="E3" s="50" t="s">
        <v>606</v>
      </c>
      <c r="F3" s="50" t="s">
        <v>607</v>
      </c>
      <c r="G3" s="50" t="s">
        <v>608</v>
      </c>
      <c r="H3" s="50" t="s">
        <v>609</v>
      </c>
      <c r="I3" s="51" t="s">
        <v>956</v>
      </c>
      <c r="J3" s="51" t="s">
        <v>957</v>
      </c>
      <c r="K3" s="51" t="s">
        <v>958</v>
      </c>
      <c r="L3" s="51" t="s">
        <v>610</v>
      </c>
      <c r="M3" s="51" t="s">
        <v>959</v>
      </c>
      <c r="N3" s="51" t="s">
        <v>960</v>
      </c>
      <c r="O3" s="51" t="s">
        <v>961</v>
      </c>
      <c r="P3" s="51" t="s">
        <v>962</v>
      </c>
      <c r="Q3" s="51" t="s">
        <v>963</v>
      </c>
      <c r="R3" s="51" t="s">
        <v>964</v>
      </c>
      <c r="S3" s="51" t="s">
        <v>965</v>
      </c>
      <c r="T3" s="51" t="s">
        <v>966</v>
      </c>
      <c r="U3" s="51" t="s">
        <v>967</v>
      </c>
      <c r="V3" s="51" t="s">
        <v>968</v>
      </c>
      <c r="W3" s="51" t="s">
        <v>969</v>
      </c>
      <c r="X3" s="51" t="s">
        <v>970</v>
      </c>
      <c r="Y3" s="51" t="s">
        <v>971</v>
      </c>
      <c r="Z3" s="51" t="s">
        <v>972</v>
      </c>
      <c r="AA3" s="51" t="s">
        <v>973</v>
      </c>
      <c r="AB3" s="51" t="s">
        <v>974</v>
      </c>
      <c r="AC3" s="51" t="s">
        <v>975</v>
      </c>
      <c r="AD3" s="51" t="s">
        <v>976</v>
      </c>
      <c r="AE3" s="51" t="s">
        <v>977</v>
      </c>
      <c r="AF3" s="51" t="s">
        <v>978</v>
      </c>
      <c r="AG3" s="51" t="s">
        <v>979</v>
      </c>
      <c r="AH3" s="51" t="s">
        <v>980</v>
      </c>
    </row>
    <row r="4" spans="1:34" x14ac:dyDescent="0.35">
      <c r="A4" t="s">
        <v>8</v>
      </c>
      <c r="B4" s="53" t="s">
        <v>8</v>
      </c>
      <c r="C4" s="53" t="s">
        <v>9</v>
      </c>
      <c r="D4" s="53" t="s">
        <v>622</v>
      </c>
      <c r="E4" s="53" t="s">
        <v>623</v>
      </c>
      <c r="F4" s="53" t="s">
        <v>624</v>
      </c>
      <c r="G4" s="53" t="s">
        <v>625</v>
      </c>
      <c r="H4" s="53" t="s">
        <v>626</v>
      </c>
      <c r="I4" s="54">
        <v>35</v>
      </c>
      <c r="J4" s="54">
        <v>7</v>
      </c>
      <c r="K4" s="54">
        <v>1</v>
      </c>
      <c r="L4" s="54">
        <v>1</v>
      </c>
      <c r="M4" s="54">
        <v>0</v>
      </c>
      <c r="N4" s="54">
        <v>0</v>
      </c>
      <c r="O4" s="54">
        <v>41</v>
      </c>
      <c r="P4" s="55">
        <v>38</v>
      </c>
      <c r="Q4" s="56">
        <v>2.6315789473684209E-2</v>
      </c>
      <c r="R4" s="57">
        <v>2.6315789473684209E-2</v>
      </c>
      <c r="S4" s="57">
        <v>0</v>
      </c>
      <c r="T4" s="57">
        <v>0</v>
      </c>
      <c r="U4" s="58">
        <v>0</v>
      </c>
      <c r="V4" s="57">
        <v>0</v>
      </c>
      <c r="W4" s="58" t="s">
        <v>981</v>
      </c>
      <c r="X4" s="57">
        <v>0</v>
      </c>
      <c r="Y4" s="58">
        <v>0</v>
      </c>
      <c r="Z4" s="57">
        <v>0</v>
      </c>
      <c r="AA4" s="58">
        <v>0</v>
      </c>
      <c r="AB4" s="57">
        <v>0</v>
      </c>
      <c r="AC4" s="58">
        <v>1</v>
      </c>
      <c r="AD4" s="57">
        <v>3.1176929072486361E-4</v>
      </c>
      <c r="AE4" s="59">
        <v>0</v>
      </c>
      <c r="AF4" s="60">
        <v>0</v>
      </c>
      <c r="AG4" s="59">
        <v>5.3995680345572358E-4</v>
      </c>
      <c r="AH4" s="60">
        <v>5.3995680345572358E-4</v>
      </c>
    </row>
    <row r="5" spans="1:34" x14ac:dyDescent="0.35">
      <c r="A5" t="s">
        <v>11</v>
      </c>
      <c r="B5" s="61" t="s">
        <v>11</v>
      </c>
      <c r="C5" s="53" t="s">
        <v>627</v>
      </c>
      <c r="D5" s="53" t="s">
        <v>628</v>
      </c>
      <c r="E5" s="53" t="s">
        <v>629</v>
      </c>
      <c r="F5" s="53" t="s">
        <v>630</v>
      </c>
      <c r="G5" s="53" t="s">
        <v>631</v>
      </c>
      <c r="H5" s="53" t="s">
        <v>632</v>
      </c>
      <c r="I5" s="54">
        <v>28</v>
      </c>
      <c r="J5" s="54">
        <v>2</v>
      </c>
      <c r="K5" s="54">
        <v>4</v>
      </c>
      <c r="L5" s="54">
        <v>4</v>
      </c>
      <c r="M5" s="54">
        <v>0</v>
      </c>
      <c r="N5" s="54">
        <v>0</v>
      </c>
      <c r="O5" s="54">
        <v>26</v>
      </c>
      <c r="P5" s="55">
        <v>27</v>
      </c>
      <c r="Q5" s="56">
        <v>0.14814814814814814</v>
      </c>
      <c r="R5" s="57">
        <v>0.14814814814814814</v>
      </c>
      <c r="S5" s="57">
        <v>0</v>
      </c>
      <c r="T5" s="57">
        <v>0</v>
      </c>
      <c r="U5" s="58">
        <v>0</v>
      </c>
      <c r="V5" s="57">
        <v>0</v>
      </c>
      <c r="W5" s="58" t="s">
        <v>981</v>
      </c>
      <c r="X5" s="57">
        <v>0</v>
      </c>
      <c r="Y5" s="58">
        <v>0</v>
      </c>
      <c r="Z5" s="57">
        <v>0</v>
      </c>
      <c r="AA5" s="58">
        <v>0</v>
      </c>
      <c r="AB5" s="57">
        <v>0</v>
      </c>
      <c r="AC5" s="58">
        <v>4</v>
      </c>
      <c r="AD5" s="57">
        <v>1.2470771628994544E-3</v>
      </c>
      <c r="AE5" s="59">
        <v>0</v>
      </c>
      <c r="AF5" s="60">
        <v>0</v>
      </c>
      <c r="AG5" s="59">
        <v>2.1598272138228943E-3</v>
      </c>
      <c r="AH5" s="60">
        <v>2.1598272138228943E-3</v>
      </c>
    </row>
    <row r="6" spans="1:34" x14ac:dyDescent="0.35">
      <c r="A6" t="s">
        <v>12</v>
      </c>
      <c r="B6" s="53" t="s">
        <v>12</v>
      </c>
      <c r="C6" s="53" t="s">
        <v>633</v>
      </c>
      <c r="D6" s="53" t="s">
        <v>634</v>
      </c>
      <c r="E6" s="53" t="s">
        <v>629</v>
      </c>
      <c r="F6" s="53" t="s">
        <v>635</v>
      </c>
      <c r="G6" s="53" t="s">
        <v>636</v>
      </c>
      <c r="H6" s="53" t="s">
        <v>637</v>
      </c>
      <c r="I6" s="54">
        <v>20</v>
      </c>
      <c r="J6" s="54">
        <v>1</v>
      </c>
      <c r="K6" s="54">
        <v>3</v>
      </c>
      <c r="L6" s="54">
        <v>3</v>
      </c>
      <c r="M6" s="54">
        <v>0</v>
      </c>
      <c r="N6" s="54">
        <v>0</v>
      </c>
      <c r="O6" s="54">
        <v>18</v>
      </c>
      <c r="P6" s="55">
        <v>19</v>
      </c>
      <c r="Q6" s="56">
        <v>0.15789473684210525</v>
      </c>
      <c r="R6" s="57">
        <v>0.15789473684210525</v>
      </c>
      <c r="S6" s="57">
        <v>0</v>
      </c>
      <c r="T6" s="57">
        <v>0</v>
      </c>
      <c r="U6" s="58">
        <v>0</v>
      </c>
      <c r="V6" s="57">
        <v>0</v>
      </c>
      <c r="W6" s="58">
        <v>0</v>
      </c>
      <c r="X6" s="57">
        <v>0</v>
      </c>
      <c r="Y6" s="58" t="s">
        <v>981</v>
      </c>
      <c r="Z6" s="57">
        <v>0</v>
      </c>
      <c r="AA6" s="58">
        <v>0</v>
      </c>
      <c r="AB6" s="57">
        <v>0</v>
      </c>
      <c r="AC6" s="58">
        <v>3</v>
      </c>
      <c r="AD6" s="57">
        <v>9.3530787217459082E-4</v>
      </c>
      <c r="AE6" s="59">
        <v>4.4883303411131061E-4</v>
      </c>
      <c r="AF6" s="60">
        <v>4.4883303411131061E-4</v>
      </c>
      <c r="AG6" s="59">
        <v>1.0799136069114472E-3</v>
      </c>
      <c r="AH6" s="60">
        <v>1.0799136069114472E-3</v>
      </c>
    </row>
    <row r="7" spans="1:34" x14ac:dyDescent="0.35">
      <c r="A7" t="s">
        <v>13</v>
      </c>
      <c r="B7" s="61" t="s">
        <v>13</v>
      </c>
      <c r="C7" s="53" t="s">
        <v>638</v>
      </c>
      <c r="D7" s="53" t="s">
        <v>628</v>
      </c>
      <c r="E7" s="53" t="s">
        <v>629</v>
      </c>
      <c r="F7" s="53" t="s">
        <v>630</v>
      </c>
      <c r="G7" s="53" t="s">
        <v>631</v>
      </c>
      <c r="H7" s="53" t="s">
        <v>639</v>
      </c>
      <c r="I7" s="54">
        <v>27</v>
      </c>
      <c r="J7" s="54">
        <v>2</v>
      </c>
      <c r="K7" s="54">
        <v>2</v>
      </c>
      <c r="L7" s="54">
        <v>2</v>
      </c>
      <c r="M7" s="54">
        <v>0</v>
      </c>
      <c r="N7" s="54">
        <v>0</v>
      </c>
      <c r="O7" s="54">
        <v>27</v>
      </c>
      <c r="P7" s="55">
        <v>27</v>
      </c>
      <c r="Q7" s="56">
        <v>7.407407407407407E-2</v>
      </c>
      <c r="R7" s="57">
        <v>7.407407407407407E-2</v>
      </c>
      <c r="S7" s="57">
        <v>0</v>
      </c>
      <c r="T7" s="57">
        <v>0</v>
      </c>
      <c r="U7" s="58">
        <v>0</v>
      </c>
      <c r="V7" s="57">
        <v>0</v>
      </c>
      <c r="W7" s="58" t="s">
        <v>981</v>
      </c>
      <c r="X7" s="57">
        <v>0</v>
      </c>
      <c r="Y7" s="58">
        <v>0</v>
      </c>
      <c r="Z7" s="57">
        <v>0</v>
      </c>
      <c r="AA7" s="58" t="s">
        <v>981</v>
      </c>
      <c r="AB7" s="57">
        <v>0</v>
      </c>
      <c r="AC7" s="58">
        <v>2</v>
      </c>
      <c r="AD7" s="57">
        <v>6.2353858144972721E-4</v>
      </c>
      <c r="AE7" s="59">
        <v>0</v>
      </c>
      <c r="AF7" s="60">
        <v>0</v>
      </c>
      <c r="AG7" s="59">
        <v>1.0799136069114472E-3</v>
      </c>
      <c r="AH7" s="60">
        <v>1.0799136069114472E-3</v>
      </c>
    </row>
    <row r="8" spans="1:34" x14ac:dyDescent="0.35">
      <c r="A8" t="s">
        <v>14</v>
      </c>
      <c r="B8" s="53" t="s">
        <v>14</v>
      </c>
      <c r="C8" s="53" t="s">
        <v>15</v>
      </c>
      <c r="D8" s="53" t="s">
        <v>640</v>
      </c>
      <c r="E8" s="53" t="s">
        <v>623</v>
      </c>
      <c r="F8" s="53" t="s">
        <v>641</v>
      </c>
      <c r="G8" s="53" t="s">
        <v>642</v>
      </c>
      <c r="H8" s="53" t="s">
        <v>643</v>
      </c>
      <c r="I8" s="54">
        <v>10</v>
      </c>
      <c r="J8" s="54">
        <v>1</v>
      </c>
      <c r="K8" s="54">
        <v>2</v>
      </c>
      <c r="L8" s="54">
        <v>2</v>
      </c>
      <c r="M8" s="54">
        <v>0</v>
      </c>
      <c r="N8" s="54">
        <v>0</v>
      </c>
      <c r="O8" s="54">
        <v>9</v>
      </c>
      <c r="P8" s="55">
        <v>9.5</v>
      </c>
      <c r="Q8" s="56">
        <v>0.21052631578947367</v>
      </c>
      <c r="R8" s="57">
        <v>0.21052631578947367</v>
      </c>
      <c r="S8" s="57">
        <v>0</v>
      </c>
      <c r="T8" s="57">
        <v>0</v>
      </c>
      <c r="U8" s="58">
        <v>0</v>
      </c>
      <c r="V8" s="57">
        <v>0</v>
      </c>
      <c r="W8" s="58">
        <v>0</v>
      </c>
      <c r="X8" s="57">
        <v>0</v>
      </c>
      <c r="Y8" s="58">
        <v>0</v>
      </c>
      <c r="Z8" s="57">
        <v>0</v>
      </c>
      <c r="AA8" s="58" t="s">
        <v>981</v>
      </c>
      <c r="AB8" s="57">
        <v>0</v>
      </c>
      <c r="AC8" s="58">
        <v>2</v>
      </c>
      <c r="AD8" s="57">
        <v>6.2353858144972721E-4</v>
      </c>
      <c r="AE8" s="59">
        <v>4.4883303411131061E-4</v>
      </c>
      <c r="AF8" s="60">
        <v>4.4883303411131061E-4</v>
      </c>
      <c r="AG8" s="59">
        <v>5.3995680345572358E-4</v>
      </c>
      <c r="AH8" s="60">
        <v>5.3995680345572358E-4</v>
      </c>
    </row>
    <row r="9" spans="1:34" x14ac:dyDescent="0.35">
      <c r="A9" t="s">
        <v>16</v>
      </c>
      <c r="B9" s="61" t="s">
        <v>16</v>
      </c>
      <c r="C9" s="53" t="s">
        <v>644</v>
      </c>
      <c r="D9" s="53" t="s">
        <v>645</v>
      </c>
      <c r="E9" s="53" t="s">
        <v>629</v>
      </c>
      <c r="F9" s="53" t="s">
        <v>646</v>
      </c>
      <c r="G9" s="53" t="s">
        <v>631</v>
      </c>
      <c r="H9" s="53" t="s">
        <v>632</v>
      </c>
      <c r="I9" s="54">
        <v>29</v>
      </c>
      <c r="J9" s="54">
        <v>5</v>
      </c>
      <c r="K9" s="54">
        <v>3</v>
      </c>
      <c r="L9" s="54">
        <v>3</v>
      </c>
      <c r="M9" s="54">
        <v>0</v>
      </c>
      <c r="N9" s="54">
        <v>0</v>
      </c>
      <c r="O9" s="54">
        <v>31</v>
      </c>
      <c r="P9" s="55">
        <v>30</v>
      </c>
      <c r="Q9" s="56">
        <v>0.1</v>
      </c>
      <c r="R9" s="57">
        <v>0.1</v>
      </c>
      <c r="S9" s="57">
        <v>0</v>
      </c>
      <c r="T9" s="57">
        <v>0</v>
      </c>
      <c r="U9" s="58">
        <v>0</v>
      </c>
      <c r="V9" s="57">
        <v>0</v>
      </c>
      <c r="W9" s="58" t="s">
        <v>981</v>
      </c>
      <c r="X9" s="57">
        <v>0</v>
      </c>
      <c r="Y9" s="58">
        <v>0</v>
      </c>
      <c r="Z9" s="57">
        <v>0</v>
      </c>
      <c r="AA9" s="58">
        <v>0</v>
      </c>
      <c r="AB9" s="57">
        <v>0</v>
      </c>
      <c r="AC9" s="58">
        <v>3</v>
      </c>
      <c r="AD9" s="57">
        <v>9.3530787217459082E-4</v>
      </c>
      <c r="AE9" s="59">
        <v>0</v>
      </c>
      <c r="AF9" s="60">
        <v>0</v>
      </c>
      <c r="AG9" s="59">
        <v>1.6198704103671706E-3</v>
      </c>
      <c r="AH9" s="60">
        <v>1.6198704103671706E-3</v>
      </c>
    </row>
    <row r="10" spans="1:34" x14ac:dyDescent="0.35">
      <c r="A10" t="s">
        <v>17</v>
      </c>
      <c r="B10" s="53" t="s">
        <v>17</v>
      </c>
      <c r="C10" s="53" t="s">
        <v>647</v>
      </c>
      <c r="D10" s="53" t="s">
        <v>648</v>
      </c>
      <c r="E10" s="53" t="s">
        <v>623</v>
      </c>
      <c r="F10" s="53" t="s">
        <v>624</v>
      </c>
      <c r="G10" s="53" t="s">
        <v>636</v>
      </c>
      <c r="H10" s="53" t="s">
        <v>649</v>
      </c>
      <c r="I10" s="54">
        <v>23</v>
      </c>
      <c r="J10" s="54">
        <v>1</v>
      </c>
      <c r="K10" s="54">
        <v>5</v>
      </c>
      <c r="L10" s="54">
        <v>5</v>
      </c>
      <c r="M10" s="54">
        <v>0</v>
      </c>
      <c r="N10" s="54">
        <v>0</v>
      </c>
      <c r="O10" s="54">
        <v>19</v>
      </c>
      <c r="P10" s="55">
        <v>21</v>
      </c>
      <c r="Q10" s="56">
        <v>0.23809523809523808</v>
      </c>
      <c r="R10" s="57">
        <v>0.23809523809523808</v>
      </c>
      <c r="S10" s="57">
        <v>0</v>
      </c>
      <c r="T10" s="57">
        <v>0</v>
      </c>
      <c r="U10" s="58">
        <v>0</v>
      </c>
      <c r="V10" s="57">
        <v>0</v>
      </c>
      <c r="W10" s="58" t="s">
        <v>981</v>
      </c>
      <c r="X10" s="57">
        <v>0</v>
      </c>
      <c r="Y10" s="58">
        <v>0</v>
      </c>
      <c r="Z10" s="57">
        <v>0</v>
      </c>
      <c r="AA10" s="58">
        <v>0</v>
      </c>
      <c r="AB10" s="57">
        <v>0</v>
      </c>
      <c r="AC10" s="58">
        <v>5</v>
      </c>
      <c r="AD10" s="57">
        <v>1.558846453624318E-3</v>
      </c>
      <c r="AE10" s="59">
        <v>8.9766606822262122E-4</v>
      </c>
      <c r="AF10" s="60">
        <v>8.9766606822262122E-4</v>
      </c>
      <c r="AG10" s="59">
        <v>1.6198704103671706E-3</v>
      </c>
      <c r="AH10" s="60">
        <v>1.6198704103671706E-3</v>
      </c>
    </row>
    <row r="11" spans="1:34" x14ac:dyDescent="0.35">
      <c r="A11" t="s">
        <v>18</v>
      </c>
      <c r="B11" s="61" t="s">
        <v>18</v>
      </c>
      <c r="C11" s="53" t="s">
        <v>650</v>
      </c>
      <c r="D11" s="53" t="s">
        <v>651</v>
      </c>
      <c r="E11" s="53" t="s">
        <v>629</v>
      </c>
      <c r="F11" s="53" t="s">
        <v>630</v>
      </c>
      <c r="G11" s="53" t="s">
        <v>636</v>
      </c>
      <c r="H11" s="53" t="s">
        <v>652</v>
      </c>
      <c r="I11" s="54">
        <v>18</v>
      </c>
      <c r="J11" s="54">
        <v>0</v>
      </c>
      <c r="K11" s="54">
        <v>0</v>
      </c>
      <c r="L11" s="54">
        <v>0</v>
      </c>
      <c r="M11" s="54">
        <v>0</v>
      </c>
      <c r="N11" s="54">
        <v>0</v>
      </c>
      <c r="O11" s="54">
        <v>18</v>
      </c>
      <c r="P11" s="55">
        <v>18</v>
      </c>
      <c r="Q11" s="56">
        <v>0</v>
      </c>
      <c r="R11" s="57">
        <v>0</v>
      </c>
      <c r="S11" s="57">
        <v>0</v>
      </c>
      <c r="T11" s="57">
        <v>0</v>
      </c>
      <c r="U11" s="58">
        <v>0</v>
      </c>
      <c r="V11" s="57">
        <v>0</v>
      </c>
      <c r="W11" s="58">
        <v>0</v>
      </c>
      <c r="X11" s="57">
        <v>0</v>
      </c>
      <c r="Y11" s="58" t="s">
        <v>981</v>
      </c>
      <c r="Z11" s="57">
        <v>0</v>
      </c>
      <c r="AA11" s="58">
        <v>0</v>
      </c>
      <c r="AB11" s="57">
        <v>0</v>
      </c>
      <c r="AC11" s="58">
        <v>0</v>
      </c>
      <c r="AD11" s="57">
        <v>0</v>
      </c>
      <c r="AE11" s="59">
        <v>0</v>
      </c>
      <c r="AF11" s="60">
        <v>0</v>
      </c>
      <c r="AG11" s="59">
        <v>0</v>
      </c>
      <c r="AH11" s="60">
        <v>0</v>
      </c>
    </row>
    <row r="12" spans="1:34" x14ac:dyDescent="0.35">
      <c r="A12" t="s">
        <v>19</v>
      </c>
      <c r="B12" s="53" t="s">
        <v>19</v>
      </c>
      <c r="C12" s="53" t="s">
        <v>653</v>
      </c>
      <c r="D12" s="53" t="s">
        <v>645</v>
      </c>
      <c r="E12" s="53" t="s">
        <v>629</v>
      </c>
      <c r="F12" s="53" t="s">
        <v>646</v>
      </c>
      <c r="G12" s="53" t="s">
        <v>654</v>
      </c>
      <c r="H12" s="53" t="s">
        <v>632</v>
      </c>
      <c r="I12" s="54">
        <v>18</v>
      </c>
      <c r="J12" s="54">
        <v>3</v>
      </c>
      <c r="K12" s="54">
        <v>1</v>
      </c>
      <c r="L12" s="54">
        <v>1</v>
      </c>
      <c r="M12" s="54">
        <v>0</v>
      </c>
      <c r="N12" s="54">
        <v>0</v>
      </c>
      <c r="O12" s="54">
        <v>20</v>
      </c>
      <c r="P12" s="55">
        <v>19</v>
      </c>
      <c r="Q12" s="56">
        <v>5.2631578947368418E-2</v>
      </c>
      <c r="R12" s="57">
        <v>5.2631578947368418E-2</v>
      </c>
      <c r="S12" s="57">
        <v>0</v>
      </c>
      <c r="T12" s="57">
        <v>0</v>
      </c>
      <c r="U12" s="58">
        <v>0</v>
      </c>
      <c r="V12" s="57">
        <v>0</v>
      </c>
      <c r="W12" s="58" t="s">
        <v>981</v>
      </c>
      <c r="X12" s="57">
        <v>0</v>
      </c>
      <c r="Y12" s="58">
        <v>0</v>
      </c>
      <c r="Z12" s="57">
        <v>0</v>
      </c>
      <c r="AA12" s="58">
        <v>0</v>
      </c>
      <c r="AB12" s="57">
        <v>0</v>
      </c>
      <c r="AC12" s="58">
        <v>1</v>
      </c>
      <c r="AD12" s="57">
        <v>3.1176929072486361E-4</v>
      </c>
      <c r="AE12" s="59">
        <v>0</v>
      </c>
      <c r="AF12" s="60">
        <v>0</v>
      </c>
      <c r="AG12" s="59">
        <v>5.3995680345572358E-4</v>
      </c>
      <c r="AH12" s="60">
        <v>5.3995680345572358E-4</v>
      </c>
    </row>
    <row r="13" spans="1:34" x14ac:dyDescent="0.35">
      <c r="A13" t="s">
        <v>20</v>
      </c>
      <c r="B13" s="61" t="s">
        <v>20</v>
      </c>
      <c r="C13" s="53" t="s">
        <v>655</v>
      </c>
      <c r="D13" s="53" t="s">
        <v>634</v>
      </c>
      <c r="E13" s="53" t="s">
        <v>629</v>
      </c>
      <c r="F13" s="53" t="s">
        <v>635</v>
      </c>
      <c r="G13" s="53" t="s">
        <v>654</v>
      </c>
      <c r="H13" s="53" t="s">
        <v>637</v>
      </c>
      <c r="I13" s="54">
        <v>15</v>
      </c>
      <c r="J13" s="54">
        <v>2</v>
      </c>
      <c r="K13" s="54">
        <v>2</v>
      </c>
      <c r="L13" s="54">
        <v>2</v>
      </c>
      <c r="M13" s="54">
        <v>0</v>
      </c>
      <c r="N13" s="54">
        <v>0</v>
      </c>
      <c r="O13" s="54">
        <v>15</v>
      </c>
      <c r="P13" s="55">
        <v>15</v>
      </c>
      <c r="Q13" s="56">
        <v>0.13333333333333333</v>
      </c>
      <c r="R13" s="57">
        <v>0.13333333333333333</v>
      </c>
      <c r="S13" s="57">
        <v>0</v>
      </c>
      <c r="T13" s="57">
        <v>0</v>
      </c>
      <c r="U13" s="58">
        <v>0</v>
      </c>
      <c r="V13" s="57">
        <v>0</v>
      </c>
      <c r="W13" s="58" t="s">
        <v>981</v>
      </c>
      <c r="X13" s="57">
        <v>0</v>
      </c>
      <c r="Y13" s="58" t="s">
        <v>981</v>
      </c>
      <c r="Z13" s="57">
        <v>0</v>
      </c>
      <c r="AA13" s="58" t="s">
        <v>981</v>
      </c>
      <c r="AB13" s="57">
        <v>0</v>
      </c>
      <c r="AC13" s="58">
        <v>2</v>
      </c>
      <c r="AD13" s="57">
        <v>6.2353858144972721E-4</v>
      </c>
      <c r="AE13" s="59">
        <v>0</v>
      </c>
      <c r="AF13" s="60">
        <v>0</v>
      </c>
      <c r="AG13" s="59">
        <v>1.0799136069114472E-3</v>
      </c>
      <c r="AH13" s="60">
        <v>1.0799136069114472E-3</v>
      </c>
    </row>
    <row r="14" spans="1:34" x14ac:dyDescent="0.35">
      <c r="A14" t="s">
        <v>21</v>
      </c>
      <c r="B14" s="53" t="s">
        <v>21</v>
      </c>
      <c r="C14" s="53" t="s">
        <v>22</v>
      </c>
      <c r="D14" s="53" t="s">
        <v>656</v>
      </c>
      <c r="E14" s="53" t="s">
        <v>657</v>
      </c>
      <c r="F14" s="53" t="s">
        <v>658</v>
      </c>
      <c r="G14" s="53" t="s">
        <v>654</v>
      </c>
      <c r="H14" s="53" t="s">
        <v>659</v>
      </c>
      <c r="I14" s="54">
        <v>15</v>
      </c>
      <c r="J14" s="54">
        <v>5</v>
      </c>
      <c r="K14" s="54">
        <v>2</v>
      </c>
      <c r="L14" s="54">
        <v>2</v>
      </c>
      <c r="M14" s="54">
        <v>0</v>
      </c>
      <c r="N14" s="54">
        <v>0</v>
      </c>
      <c r="O14" s="54">
        <v>18</v>
      </c>
      <c r="P14" s="55">
        <v>16.5</v>
      </c>
      <c r="Q14" s="56">
        <v>0.12121212121212122</v>
      </c>
      <c r="R14" s="57">
        <v>0.12121212121212122</v>
      </c>
      <c r="S14" s="57">
        <v>0</v>
      </c>
      <c r="T14" s="57">
        <v>0</v>
      </c>
      <c r="U14" s="58">
        <v>1</v>
      </c>
      <c r="V14" s="57">
        <v>5.763688760806916E-3</v>
      </c>
      <c r="W14" s="58">
        <v>0</v>
      </c>
      <c r="X14" s="57">
        <v>0</v>
      </c>
      <c r="Y14" s="58">
        <v>0</v>
      </c>
      <c r="Z14" s="57">
        <v>0</v>
      </c>
      <c r="AA14" s="58" t="s">
        <v>981</v>
      </c>
      <c r="AB14" s="57">
        <v>0</v>
      </c>
      <c r="AC14" s="58">
        <v>1</v>
      </c>
      <c r="AD14" s="57">
        <v>3.1176929072486361E-4</v>
      </c>
      <c r="AE14" s="59">
        <v>4.4883303411131061E-4</v>
      </c>
      <c r="AF14" s="60">
        <v>4.4883303411131061E-4</v>
      </c>
      <c r="AG14" s="59">
        <v>5.3995680345572358E-4</v>
      </c>
      <c r="AH14" s="60">
        <v>5.3995680345572358E-4</v>
      </c>
    </row>
    <row r="15" spans="1:34" x14ac:dyDescent="0.35">
      <c r="A15" t="s">
        <v>23</v>
      </c>
      <c r="B15" s="61" t="s">
        <v>23</v>
      </c>
      <c r="C15" s="53" t="s">
        <v>660</v>
      </c>
      <c r="D15" s="53" t="s">
        <v>661</v>
      </c>
      <c r="E15" s="53" t="s">
        <v>657</v>
      </c>
      <c r="F15" s="53" t="s">
        <v>662</v>
      </c>
      <c r="G15" s="53" t="s">
        <v>631</v>
      </c>
      <c r="H15" s="53" t="s">
        <v>632</v>
      </c>
      <c r="I15" s="54">
        <v>33</v>
      </c>
      <c r="J15" s="54">
        <v>4</v>
      </c>
      <c r="K15" s="54">
        <v>5</v>
      </c>
      <c r="L15" s="54">
        <v>5</v>
      </c>
      <c r="M15" s="54">
        <v>0</v>
      </c>
      <c r="N15" s="54">
        <v>0</v>
      </c>
      <c r="O15" s="54">
        <v>32</v>
      </c>
      <c r="P15" s="55">
        <v>32.5</v>
      </c>
      <c r="Q15" s="56">
        <v>0.15384615384615385</v>
      </c>
      <c r="R15" s="57">
        <v>0.15384615384615385</v>
      </c>
      <c r="S15" s="57">
        <v>0</v>
      </c>
      <c r="T15" s="57">
        <v>0</v>
      </c>
      <c r="U15" s="58">
        <v>0</v>
      </c>
      <c r="V15" s="57">
        <v>0</v>
      </c>
      <c r="W15" s="58">
        <v>0</v>
      </c>
      <c r="X15" s="57">
        <v>0</v>
      </c>
      <c r="Y15" s="58">
        <v>0</v>
      </c>
      <c r="Z15" s="57">
        <v>0</v>
      </c>
      <c r="AA15" s="58">
        <v>0</v>
      </c>
      <c r="AB15" s="57">
        <v>0</v>
      </c>
      <c r="AC15" s="58">
        <v>5</v>
      </c>
      <c r="AD15" s="57">
        <v>1.558846453624318E-3</v>
      </c>
      <c r="AE15" s="59">
        <v>4.4883303411131061E-4</v>
      </c>
      <c r="AF15" s="60">
        <v>4.4883303411131061E-4</v>
      </c>
      <c r="AG15" s="59">
        <v>2.1598272138228943E-3</v>
      </c>
      <c r="AH15" s="60">
        <v>2.1598272138228943E-3</v>
      </c>
    </row>
    <row r="16" spans="1:34" x14ac:dyDescent="0.35">
      <c r="A16" t="s">
        <v>24</v>
      </c>
      <c r="B16" s="53" t="s">
        <v>24</v>
      </c>
      <c r="C16" s="53" t="s">
        <v>25</v>
      </c>
      <c r="D16" s="53" t="s">
        <v>663</v>
      </c>
      <c r="E16" s="53" t="s">
        <v>629</v>
      </c>
      <c r="F16" s="53" t="s">
        <v>646</v>
      </c>
      <c r="G16" s="53" t="s">
        <v>664</v>
      </c>
      <c r="H16" s="53" t="s">
        <v>639</v>
      </c>
      <c r="I16" s="54">
        <v>9</v>
      </c>
      <c r="J16" s="54">
        <v>1</v>
      </c>
      <c r="K16" s="54">
        <v>0</v>
      </c>
      <c r="L16" s="54">
        <v>0</v>
      </c>
      <c r="M16" s="54">
        <v>0</v>
      </c>
      <c r="N16" s="54">
        <v>0</v>
      </c>
      <c r="O16" s="54">
        <v>10</v>
      </c>
      <c r="P16" s="55">
        <v>9.5</v>
      </c>
      <c r="Q16" s="56">
        <v>0</v>
      </c>
      <c r="R16" s="57">
        <v>0</v>
      </c>
      <c r="S16" s="57">
        <v>0</v>
      </c>
      <c r="T16" s="57">
        <v>0</v>
      </c>
      <c r="U16" s="58" t="s">
        <v>981</v>
      </c>
      <c r="V16" s="57">
        <v>0</v>
      </c>
      <c r="W16" s="58">
        <v>0</v>
      </c>
      <c r="X16" s="57">
        <v>0</v>
      </c>
      <c r="Y16" s="58">
        <v>0</v>
      </c>
      <c r="Z16" s="57">
        <v>0</v>
      </c>
      <c r="AA16" s="58" t="s">
        <v>981</v>
      </c>
      <c r="AB16" s="57">
        <v>0</v>
      </c>
      <c r="AC16" s="58">
        <v>0</v>
      </c>
      <c r="AD16" s="57">
        <v>0</v>
      </c>
      <c r="AE16" s="59">
        <v>0</v>
      </c>
      <c r="AF16" s="60">
        <v>0</v>
      </c>
      <c r="AG16" s="59">
        <v>0</v>
      </c>
      <c r="AH16" s="60">
        <v>0</v>
      </c>
    </row>
    <row r="17" spans="1:34" x14ac:dyDescent="0.35">
      <c r="A17" t="s">
        <v>26</v>
      </c>
      <c r="B17" s="61" t="s">
        <v>26</v>
      </c>
      <c r="C17" s="53" t="s">
        <v>665</v>
      </c>
      <c r="D17" s="53" t="s">
        <v>666</v>
      </c>
      <c r="E17" s="53" t="s">
        <v>629</v>
      </c>
      <c r="F17" s="53" t="s">
        <v>635</v>
      </c>
      <c r="G17" s="53" t="s">
        <v>636</v>
      </c>
      <c r="H17" s="53" t="s">
        <v>637</v>
      </c>
      <c r="I17" s="54">
        <v>16</v>
      </c>
      <c r="J17" s="54">
        <v>3</v>
      </c>
      <c r="K17" s="54">
        <v>3</v>
      </c>
      <c r="L17" s="54">
        <v>3</v>
      </c>
      <c r="M17" s="54">
        <v>0</v>
      </c>
      <c r="N17" s="54">
        <v>0</v>
      </c>
      <c r="O17" s="54">
        <v>16</v>
      </c>
      <c r="P17" s="55">
        <v>16</v>
      </c>
      <c r="Q17" s="56">
        <v>0.1875</v>
      </c>
      <c r="R17" s="57">
        <v>0.1875</v>
      </c>
      <c r="S17" s="57">
        <v>0</v>
      </c>
      <c r="T17" s="57">
        <v>0</v>
      </c>
      <c r="U17" s="58">
        <v>0</v>
      </c>
      <c r="V17" s="57">
        <v>0</v>
      </c>
      <c r="W17" s="58">
        <v>0</v>
      </c>
      <c r="X17" s="57">
        <v>0</v>
      </c>
      <c r="Y17" s="58">
        <v>0</v>
      </c>
      <c r="Z17" s="57">
        <v>0</v>
      </c>
      <c r="AA17" s="58" t="s">
        <v>981</v>
      </c>
      <c r="AB17" s="57">
        <v>0</v>
      </c>
      <c r="AC17" s="58">
        <v>3</v>
      </c>
      <c r="AD17" s="57">
        <v>9.3530787217459082E-4</v>
      </c>
      <c r="AE17" s="59">
        <v>4.4883303411131061E-4</v>
      </c>
      <c r="AF17" s="60">
        <v>4.4883303411131061E-4</v>
      </c>
      <c r="AG17" s="59">
        <v>1.0799136069114472E-3</v>
      </c>
      <c r="AH17" s="60">
        <v>1.0799136069114472E-3</v>
      </c>
    </row>
    <row r="18" spans="1:34" x14ac:dyDescent="0.35">
      <c r="A18" t="s">
        <v>27</v>
      </c>
      <c r="B18" s="53" t="s">
        <v>27</v>
      </c>
      <c r="C18" s="53" t="s">
        <v>667</v>
      </c>
      <c r="D18" s="53" t="s">
        <v>645</v>
      </c>
      <c r="E18" s="53" t="s">
        <v>629</v>
      </c>
      <c r="F18" s="53" t="s">
        <v>646</v>
      </c>
      <c r="G18" s="53" t="s">
        <v>668</v>
      </c>
      <c r="H18" s="53" t="s">
        <v>632</v>
      </c>
      <c r="I18" s="54">
        <v>13</v>
      </c>
      <c r="J18" s="54">
        <v>3</v>
      </c>
      <c r="K18" s="54">
        <v>2</v>
      </c>
      <c r="L18" s="54">
        <v>2</v>
      </c>
      <c r="M18" s="54">
        <v>0</v>
      </c>
      <c r="N18" s="54">
        <v>0</v>
      </c>
      <c r="O18" s="54">
        <v>14</v>
      </c>
      <c r="P18" s="55">
        <v>13.5</v>
      </c>
      <c r="Q18" s="56">
        <v>0.14814814814814814</v>
      </c>
      <c r="R18" s="57">
        <v>0.14814814814814814</v>
      </c>
      <c r="S18" s="57">
        <v>0</v>
      </c>
      <c r="T18" s="57">
        <v>0</v>
      </c>
      <c r="U18" s="58" t="s">
        <v>981</v>
      </c>
      <c r="V18" s="57">
        <v>0</v>
      </c>
      <c r="W18" s="58">
        <v>0</v>
      </c>
      <c r="X18" s="57">
        <v>0</v>
      </c>
      <c r="Y18" s="58">
        <v>0</v>
      </c>
      <c r="Z18" s="57">
        <v>0</v>
      </c>
      <c r="AA18" s="58">
        <v>0</v>
      </c>
      <c r="AB18" s="57">
        <v>0</v>
      </c>
      <c r="AC18" s="58">
        <v>2</v>
      </c>
      <c r="AD18" s="57">
        <v>6.2353858144972721E-4</v>
      </c>
      <c r="AE18" s="59">
        <v>0</v>
      </c>
      <c r="AF18" s="60">
        <v>0</v>
      </c>
      <c r="AG18" s="59">
        <v>1.0799136069114472E-3</v>
      </c>
      <c r="AH18" s="60">
        <v>1.0799136069114472E-3</v>
      </c>
    </row>
    <row r="19" spans="1:34" x14ac:dyDescent="0.35">
      <c r="A19" t="s">
        <v>28</v>
      </c>
      <c r="B19" s="61" t="s">
        <v>28</v>
      </c>
      <c r="C19" s="53" t="s">
        <v>669</v>
      </c>
      <c r="D19" s="53" t="s">
        <v>670</v>
      </c>
      <c r="E19" s="53" t="s">
        <v>657</v>
      </c>
      <c r="F19" s="53" t="s">
        <v>641</v>
      </c>
      <c r="G19" s="53" t="s">
        <v>654</v>
      </c>
      <c r="H19" s="53" t="s">
        <v>671</v>
      </c>
      <c r="I19" s="54">
        <v>19</v>
      </c>
      <c r="J19" s="54">
        <v>1</v>
      </c>
      <c r="K19" s="54">
        <v>2</v>
      </c>
      <c r="L19" s="54">
        <v>2</v>
      </c>
      <c r="M19" s="54">
        <v>0</v>
      </c>
      <c r="N19" s="54">
        <v>0</v>
      </c>
      <c r="O19" s="54">
        <v>18</v>
      </c>
      <c r="P19" s="55">
        <v>18.5</v>
      </c>
      <c r="Q19" s="56">
        <v>0.10810810810810811</v>
      </c>
      <c r="R19" s="57">
        <v>0.10810810810810811</v>
      </c>
      <c r="S19" s="57">
        <v>0</v>
      </c>
      <c r="T19" s="57">
        <v>0</v>
      </c>
      <c r="U19" s="58">
        <v>0</v>
      </c>
      <c r="V19" s="57">
        <v>0</v>
      </c>
      <c r="W19" s="58" t="s">
        <v>981</v>
      </c>
      <c r="X19" s="57">
        <v>0</v>
      </c>
      <c r="Y19" s="58">
        <v>0</v>
      </c>
      <c r="Z19" s="57">
        <v>0</v>
      </c>
      <c r="AA19" s="58">
        <v>0</v>
      </c>
      <c r="AB19" s="57">
        <v>0</v>
      </c>
      <c r="AC19" s="58">
        <v>2</v>
      </c>
      <c r="AD19" s="57">
        <v>6.2353858144972721E-4</v>
      </c>
      <c r="AE19" s="59">
        <v>4.4883303411131061E-4</v>
      </c>
      <c r="AF19" s="60">
        <v>4.4883303411131061E-4</v>
      </c>
      <c r="AG19" s="59">
        <v>5.3995680345572358E-4</v>
      </c>
      <c r="AH19" s="60">
        <v>5.3995680345572358E-4</v>
      </c>
    </row>
    <row r="20" spans="1:34" x14ac:dyDescent="0.35">
      <c r="A20" t="s">
        <v>30</v>
      </c>
      <c r="B20" s="53" t="s">
        <v>30</v>
      </c>
      <c r="C20" s="53" t="s">
        <v>672</v>
      </c>
      <c r="D20" s="53" t="s">
        <v>673</v>
      </c>
      <c r="E20" s="53" t="s">
        <v>623</v>
      </c>
      <c r="F20" s="53" t="s">
        <v>641</v>
      </c>
      <c r="G20" s="53" t="s">
        <v>636</v>
      </c>
      <c r="H20" s="53" t="s">
        <v>674</v>
      </c>
      <c r="I20" s="54">
        <v>22</v>
      </c>
      <c r="J20" s="54">
        <v>2</v>
      </c>
      <c r="K20" s="54">
        <v>2</v>
      </c>
      <c r="L20" s="54">
        <v>1</v>
      </c>
      <c r="M20" s="54">
        <v>1</v>
      </c>
      <c r="N20" s="54">
        <v>0</v>
      </c>
      <c r="O20" s="54">
        <v>22</v>
      </c>
      <c r="P20" s="55">
        <v>22</v>
      </c>
      <c r="Q20" s="56">
        <v>9.0909090909090912E-2</v>
      </c>
      <c r="R20" s="57">
        <v>4.5454545454545456E-2</v>
      </c>
      <c r="S20" s="57">
        <v>4.5454545454545456E-2</v>
      </c>
      <c r="T20" s="57">
        <v>0</v>
      </c>
      <c r="U20" s="58" t="s">
        <v>981</v>
      </c>
      <c r="V20" s="57">
        <v>0</v>
      </c>
      <c r="W20" s="58">
        <v>0</v>
      </c>
      <c r="X20" s="57">
        <v>0</v>
      </c>
      <c r="Y20" s="58">
        <v>0</v>
      </c>
      <c r="Z20" s="57">
        <v>0</v>
      </c>
      <c r="AA20" s="58" t="s">
        <v>981</v>
      </c>
      <c r="AB20" s="57">
        <v>0</v>
      </c>
      <c r="AC20" s="58">
        <v>1</v>
      </c>
      <c r="AD20" s="57">
        <v>3.1176929072486361E-4</v>
      </c>
      <c r="AE20" s="59">
        <v>8.9766606822262122E-4</v>
      </c>
      <c r="AF20" s="60">
        <v>4.4883303411131061E-4</v>
      </c>
      <c r="AG20" s="59">
        <v>0</v>
      </c>
      <c r="AH20" s="60">
        <v>0</v>
      </c>
    </row>
    <row r="21" spans="1:34" x14ac:dyDescent="0.35">
      <c r="A21" t="s">
        <v>31</v>
      </c>
      <c r="B21" s="61" t="s">
        <v>31</v>
      </c>
      <c r="C21" s="53" t="s">
        <v>675</v>
      </c>
      <c r="D21" s="53" t="s">
        <v>670</v>
      </c>
      <c r="E21" s="53" t="s">
        <v>657</v>
      </c>
      <c r="F21" s="53" t="s">
        <v>641</v>
      </c>
      <c r="G21" s="53" t="s">
        <v>654</v>
      </c>
      <c r="H21" s="53" t="s">
        <v>676</v>
      </c>
      <c r="I21" s="54">
        <v>14</v>
      </c>
      <c r="J21" s="54">
        <v>3</v>
      </c>
      <c r="K21" s="54">
        <v>1</v>
      </c>
      <c r="L21" s="54">
        <v>1</v>
      </c>
      <c r="M21" s="54">
        <v>0</v>
      </c>
      <c r="N21" s="54">
        <v>0</v>
      </c>
      <c r="O21" s="54">
        <v>16</v>
      </c>
      <c r="P21" s="55">
        <v>15</v>
      </c>
      <c r="Q21" s="56">
        <v>6.6666666666666666E-2</v>
      </c>
      <c r="R21" s="57">
        <v>6.6666666666666666E-2</v>
      </c>
      <c r="S21" s="57">
        <v>0</v>
      </c>
      <c r="T21" s="57">
        <v>0</v>
      </c>
      <c r="U21" s="58">
        <v>0</v>
      </c>
      <c r="V21" s="57">
        <v>0</v>
      </c>
      <c r="W21" s="58">
        <v>0</v>
      </c>
      <c r="X21" s="57">
        <v>0</v>
      </c>
      <c r="Y21" s="58">
        <v>0</v>
      </c>
      <c r="Z21" s="57">
        <v>0</v>
      </c>
      <c r="AA21" s="58" t="s">
        <v>981</v>
      </c>
      <c r="AB21" s="57">
        <v>0</v>
      </c>
      <c r="AC21" s="58">
        <v>1</v>
      </c>
      <c r="AD21" s="57">
        <v>3.1176929072486361E-4</v>
      </c>
      <c r="AE21" s="59">
        <v>0</v>
      </c>
      <c r="AF21" s="60">
        <v>0</v>
      </c>
      <c r="AG21" s="59">
        <v>5.3995680345572358E-4</v>
      </c>
      <c r="AH21" s="60">
        <v>5.3995680345572358E-4</v>
      </c>
    </row>
    <row r="22" spans="1:34" x14ac:dyDescent="0.35">
      <c r="A22" t="s">
        <v>429</v>
      </c>
      <c r="B22" s="53" t="s">
        <v>429</v>
      </c>
      <c r="C22" s="53" t="s">
        <v>677</v>
      </c>
      <c r="D22" s="53" t="s">
        <v>678</v>
      </c>
      <c r="E22" s="53" t="s">
        <v>623</v>
      </c>
      <c r="F22" s="53" t="s">
        <v>624</v>
      </c>
      <c r="G22" s="53" t="s">
        <v>654</v>
      </c>
      <c r="H22" s="53" t="s">
        <v>679</v>
      </c>
      <c r="I22" s="54">
        <v>12</v>
      </c>
      <c r="J22" s="54">
        <v>3</v>
      </c>
      <c r="K22" s="54">
        <v>2</v>
      </c>
      <c r="L22" s="54">
        <v>2</v>
      </c>
      <c r="M22" s="54">
        <v>0</v>
      </c>
      <c r="N22" s="54">
        <v>0</v>
      </c>
      <c r="O22" s="54">
        <v>13</v>
      </c>
      <c r="P22" s="55">
        <v>12.5</v>
      </c>
      <c r="Q22" s="56">
        <v>0.16</v>
      </c>
      <c r="R22" s="57">
        <v>0.16</v>
      </c>
      <c r="S22" s="57">
        <v>0</v>
      </c>
      <c r="T22" s="57">
        <v>0</v>
      </c>
      <c r="U22" s="58" t="s">
        <v>981</v>
      </c>
      <c r="V22" s="57">
        <v>0</v>
      </c>
      <c r="W22" s="58">
        <v>0</v>
      </c>
      <c r="X22" s="57">
        <v>0</v>
      </c>
      <c r="Y22" s="58" t="s">
        <v>981</v>
      </c>
      <c r="Z22" s="57">
        <v>0</v>
      </c>
      <c r="AA22" s="58">
        <v>0</v>
      </c>
      <c r="AB22" s="57">
        <v>0</v>
      </c>
      <c r="AC22" s="58">
        <v>2</v>
      </c>
      <c r="AD22" s="57">
        <v>6.2353858144972721E-4</v>
      </c>
      <c r="AE22" s="59">
        <v>4.4883303411131061E-4</v>
      </c>
      <c r="AF22" s="60">
        <v>4.4883303411131061E-4</v>
      </c>
      <c r="AG22" s="59">
        <v>5.3995680345572358E-4</v>
      </c>
      <c r="AH22" s="60">
        <v>5.3995680345572358E-4</v>
      </c>
    </row>
    <row r="23" spans="1:34" x14ac:dyDescent="0.35">
      <c r="A23" t="s">
        <v>32</v>
      </c>
      <c r="B23" s="61" t="s">
        <v>33</v>
      </c>
      <c r="C23" s="53" t="s">
        <v>680</v>
      </c>
      <c r="D23" s="53" t="s">
        <v>622</v>
      </c>
      <c r="E23" s="53" t="s">
        <v>623</v>
      </c>
      <c r="F23" s="53" t="s">
        <v>624</v>
      </c>
      <c r="G23" s="53" t="s">
        <v>654</v>
      </c>
      <c r="H23" s="53" t="s">
        <v>681</v>
      </c>
      <c r="I23" s="54">
        <v>17</v>
      </c>
      <c r="J23" s="54">
        <v>0</v>
      </c>
      <c r="K23" s="54">
        <v>3</v>
      </c>
      <c r="L23" s="54">
        <v>3</v>
      </c>
      <c r="M23" s="54">
        <v>0</v>
      </c>
      <c r="N23" s="54">
        <v>0</v>
      </c>
      <c r="O23" s="54">
        <v>14</v>
      </c>
      <c r="P23" s="55">
        <v>15.5</v>
      </c>
      <c r="Q23" s="56">
        <v>0.19354838709677419</v>
      </c>
      <c r="R23" s="57">
        <v>0.19354838709677419</v>
      </c>
      <c r="S23" s="57">
        <v>0</v>
      </c>
      <c r="T23" s="57">
        <v>0</v>
      </c>
      <c r="U23" s="58">
        <v>0</v>
      </c>
      <c r="V23" s="57">
        <v>0</v>
      </c>
      <c r="W23" s="58">
        <v>0</v>
      </c>
      <c r="X23" s="57">
        <v>0</v>
      </c>
      <c r="Y23" s="58">
        <v>0</v>
      </c>
      <c r="Z23" s="57">
        <v>0</v>
      </c>
      <c r="AA23" s="58">
        <v>0</v>
      </c>
      <c r="AB23" s="57">
        <v>0</v>
      </c>
      <c r="AC23" s="58">
        <v>3</v>
      </c>
      <c r="AD23" s="57">
        <v>9.3530787217459082E-4</v>
      </c>
      <c r="AE23" s="59">
        <v>0</v>
      </c>
      <c r="AF23" s="60">
        <v>0</v>
      </c>
      <c r="AG23" s="59">
        <v>1.6198704103671706E-3</v>
      </c>
      <c r="AH23" s="60">
        <v>1.6198704103671706E-3</v>
      </c>
    </row>
    <row r="24" spans="1:34" x14ac:dyDescent="0.35">
      <c r="A24" t="s">
        <v>34</v>
      </c>
      <c r="B24" s="53" t="s">
        <v>34</v>
      </c>
      <c r="C24" s="53" t="s">
        <v>682</v>
      </c>
      <c r="D24" s="53" t="s">
        <v>656</v>
      </c>
      <c r="E24" s="53" t="s">
        <v>657</v>
      </c>
      <c r="F24" s="53" t="s">
        <v>658</v>
      </c>
      <c r="G24" s="53" t="s">
        <v>654</v>
      </c>
      <c r="H24" s="53" t="s">
        <v>632</v>
      </c>
      <c r="I24" s="54">
        <v>15</v>
      </c>
      <c r="J24" s="54">
        <v>4</v>
      </c>
      <c r="K24" s="54">
        <v>2</v>
      </c>
      <c r="L24" s="54">
        <v>2</v>
      </c>
      <c r="M24" s="54">
        <v>0</v>
      </c>
      <c r="N24" s="54">
        <v>0</v>
      </c>
      <c r="O24" s="54">
        <v>17</v>
      </c>
      <c r="P24" s="55">
        <v>16</v>
      </c>
      <c r="Q24" s="56">
        <v>0.125</v>
      </c>
      <c r="R24" s="57">
        <v>0.125</v>
      </c>
      <c r="S24" s="57">
        <v>0</v>
      </c>
      <c r="T24" s="57">
        <v>0</v>
      </c>
      <c r="U24" s="58" t="s">
        <v>981</v>
      </c>
      <c r="V24" s="57">
        <v>0</v>
      </c>
      <c r="W24" s="58">
        <v>0</v>
      </c>
      <c r="X24" s="57">
        <v>0</v>
      </c>
      <c r="Y24" s="58">
        <v>0</v>
      </c>
      <c r="Z24" s="57">
        <v>0</v>
      </c>
      <c r="AA24" s="58">
        <v>0</v>
      </c>
      <c r="AB24" s="57">
        <v>0</v>
      </c>
      <c r="AC24" s="58">
        <v>1</v>
      </c>
      <c r="AD24" s="57">
        <v>3.1176929072486361E-4</v>
      </c>
      <c r="AE24" s="59">
        <v>0</v>
      </c>
      <c r="AF24" s="60">
        <v>0</v>
      </c>
      <c r="AG24" s="59">
        <v>1.0799136069114472E-3</v>
      </c>
      <c r="AH24" s="60">
        <v>1.0799136069114472E-3</v>
      </c>
    </row>
    <row r="25" spans="1:34" x14ac:dyDescent="0.35">
      <c r="A25" t="s">
        <v>35</v>
      </c>
      <c r="B25" s="61" t="s">
        <v>35</v>
      </c>
      <c r="C25" s="53" t="s">
        <v>683</v>
      </c>
      <c r="D25" s="53" t="s">
        <v>684</v>
      </c>
      <c r="E25" s="53" t="s">
        <v>623</v>
      </c>
      <c r="F25" s="53" t="s">
        <v>662</v>
      </c>
      <c r="G25" s="53" t="s">
        <v>654</v>
      </c>
      <c r="H25" s="53" t="s">
        <v>685</v>
      </c>
      <c r="I25" s="54">
        <v>16</v>
      </c>
      <c r="J25" s="54">
        <v>1</v>
      </c>
      <c r="K25" s="54">
        <v>0</v>
      </c>
      <c r="L25" s="54">
        <v>0</v>
      </c>
      <c r="M25" s="54">
        <v>0</v>
      </c>
      <c r="N25" s="54">
        <v>0</v>
      </c>
      <c r="O25" s="54">
        <v>17</v>
      </c>
      <c r="P25" s="55">
        <v>16.5</v>
      </c>
      <c r="Q25" s="56">
        <v>0</v>
      </c>
      <c r="R25" s="57">
        <v>0</v>
      </c>
      <c r="S25" s="57">
        <v>0</v>
      </c>
      <c r="T25" s="57">
        <v>0</v>
      </c>
      <c r="U25" s="58">
        <v>0</v>
      </c>
      <c r="V25" s="57">
        <v>0</v>
      </c>
      <c r="W25" s="58">
        <v>0</v>
      </c>
      <c r="X25" s="57">
        <v>0</v>
      </c>
      <c r="Y25" s="58">
        <v>0</v>
      </c>
      <c r="Z25" s="57">
        <v>0</v>
      </c>
      <c r="AA25" s="58">
        <v>0</v>
      </c>
      <c r="AB25" s="57">
        <v>0</v>
      </c>
      <c r="AC25" s="58">
        <v>0</v>
      </c>
      <c r="AD25" s="57">
        <v>0</v>
      </c>
      <c r="AE25" s="59">
        <v>0</v>
      </c>
      <c r="AF25" s="60">
        <v>0</v>
      </c>
      <c r="AG25" s="59">
        <v>0</v>
      </c>
      <c r="AH25" s="60" t="s">
        <v>599</v>
      </c>
    </row>
    <row r="26" spans="1:34" x14ac:dyDescent="0.35">
      <c r="A26" t="s">
        <v>420</v>
      </c>
      <c r="B26" s="53" t="s">
        <v>420</v>
      </c>
      <c r="C26" s="53" t="s">
        <v>686</v>
      </c>
      <c r="D26" s="53" t="s">
        <v>634</v>
      </c>
      <c r="E26" s="53" t="s">
        <v>629</v>
      </c>
      <c r="F26" s="53" t="s">
        <v>635</v>
      </c>
      <c r="G26" s="53" t="s">
        <v>631</v>
      </c>
      <c r="H26" s="53" t="s">
        <v>637</v>
      </c>
      <c r="I26" s="54">
        <v>27</v>
      </c>
      <c r="J26" s="54">
        <v>5</v>
      </c>
      <c r="K26" s="54">
        <v>4</v>
      </c>
      <c r="L26" s="54">
        <v>4</v>
      </c>
      <c r="M26" s="54">
        <v>0</v>
      </c>
      <c r="N26" s="54">
        <v>0</v>
      </c>
      <c r="O26" s="54">
        <v>28</v>
      </c>
      <c r="P26" s="55">
        <v>27.5</v>
      </c>
      <c r="Q26" s="56">
        <v>0.14545454545454545</v>
      </c>
      <c r="R26" s="57">
        <v>0.14545454545454545</v>
      </c>
      <c r="S26" s="57">
        <v>0</v>
      </c>
      <c r="T26" s="57">
        <v>0</v>
      </c>
      <c r="U26" s="58">
        <v>0</v>
      </c>
      <c r="V26" s="57">
        <v>0</v>
      </c>
      <c r="W26" s="58">
        <v>0</v>
      </c>
      <c r="X26" s="57">
        <v>0</v>
      </c>
      <c r="Y26" s="58">
        <v>0</v>
      </c>
      <c r="Z26" s="57">
        <v>0</v>
      </c>
      <c r="AA26" s="58">
        <v>1</v>
      </c>
      <c r="AB26" s="57">
        <v>3.9761431411530811E-3</v>
      </c>
      <c r="AC26" s="58">
        <v>3</v>
      </c>
      <c r="AD26" s="57">
        <v>9.3530787217459082E-4</v>
      </c>
      <c r="AE26" s="59">
        <v>4.4883303411131061E-4</v>
      </c>
      <c r="AF26" s="60">
        <v>4.4883303411131061E-4</v>
      </c>
      <c r="AG26" s="59">
        <v>1.6198704103671706E-3</v>
      </c>
      <c r="AH26" s="60">
        <v>1.6198704103671706E-3</v>
      </c>
    </row>
    <row r="27" spans="1:34" x14ac:dyDescent="0.35">
      <c r="A27" t="s">
        <v>417</v>
      </c>
      <c r="B27" s="61" t="s">
        <v>417</v>
      </c>
      <c r="C27" s="53" t="s">
        <v>418</v>
      </c>
      <c r="D27" s="53" t="s">
        <v>684</v>
      </c>
      <c r="E27" s="53" t="s">
        <v>623</v>
      </c>
      <c r="F27" s="53" t="s">
        <v>662</v>
      </c>
      <c r="G27" s="53" t="s">
        <v>654</v>
      </c>
      <c r="H27" s="53" t="s">
        <v>687</v>
      </c>
      <c r="I27" s="54">
        <v>16</v>
      </c>
      <c r="J27" s="54">
        <v>3</v>
      </c>
      <c r="K27" s="54">
        <v>1</v>
      </c>
      <c r="L27" s="54">
        <v>0</v>
      </c>
      <c r="M27" s="54">
        <v>1</v>
      </c>
      <c r="N27" s="54">
        <v>0</v>
      </c>
      <c r="O27" s="54">
        <v>18</v>
      </c>
      <c r="P27" s="55">
        <v>17</v>
      </c>
      <c r="Q27" s="56">
        <v>5.8823529411764705E-2</v>
      </c>
      <c r="R27" s="57">
        <v>0</v>
      </c>
      <c r="S27" s="57">
        <v>5.8823529411764705E-2</v>
      </c>
      <c r="T27" s="57">
        <v>0</v>
      </c>
      <c r="U27" s="58">
        <v>0</v>
      </c>
      <c r="V27" s="57">
        <v>0</v>
      </c>
      <c r="W27" s="58" t="s">
        <v>981</v>
      </c>
      <c r="X27" s="57">
        <v>0</v>
      </c>
      <c r="Y27" s="58">
        <v>0</v>
      </c>
      <c r="Z27" s="57">
        <v>0</v>
      </c>
      <c r="AA27" s="58">
        <v>0</v>
      </c>
      <c r="AB27" s="57">
        <v>0</v>
      </c>
      <c r="AC27" s="58">
        <v>0</v>
      </c>
      <c r="AD27" s="57">
        <v>0</v>
      </c>
      <c r="AE27" s="59">
        <v>0</v>
      </c>
      <c r="AF27" s="60">
        <v>0</v>
      </c>
      <c r="AG27" s="59">
        <v>5.3995680345572358E-4</v>
      </c>
      <c r="AH27" s="60">
        <v>0</v>
      </c>
    </row>
    <row r="28" spans="1:34" x14ac:dyDescent="0.35">
      <c r="A28" t="s">
        <v>425</v>
      </c>
      <c r="B28" s="53" t="s">
        <v>425</v>
      </c>
      <c r="C28" s="53" t="s">
        <v>688</v>
      </c>
      <c r="D28" s="53" t="s">
        <v>678</v>
      </c>
      <c r="E28" s="53" t="s">
        <v>623</v>
      </c>
      <c r="F28" s="53" t="s">
        <v>624</v>
      </c>
      <c r="G28" s="53" t="s">
        <v>654</v>
      </c>
      <c r="H28" s="53" t="s">
        <v>689</v>
      </c>
      <c r="I28" s="54">
        <v>20</v>
      </c>
      <c r="J28" s="54">
        <v>0</v>
      </c>
      <c r="K28" s="54">
        <v>1</v>
      </c>
      <c r="L28" s="54">
        <v>1</v>
      </c>
      <c r="M28" s="54">
        <v>0</v>
      </c>
      <c r="N28" s="54">
        <v>0</v>
      </c>
      <c r="O28" s="54">
        <v>19</v>
      </c>
      <c r="P28" s="55">
        <v>19.5</v>
      </c>
      <c r="Q28" s="56">
        <v>5.128205128205128E-2</v>
      </c>
      <c r="R28" s="57">
        <v>5.128205128205128E-2</v>
      </c>
      <c r="S28" s="57">
        <v>0</v>
      </c>
      <c r="T28" s="57">
        <v>0</v>
      </c>
      <c r="U28" s="58">
        <v>0</v>
      </c>
      <c r="V28" s="57">
        <v>0</v>
      </c>
      <c r="W28" s="58">
        <v>0</v>
      </c>
      <c r="X28" s="57">
        <v>0</v>
      </c>
      <c r="Y28" s="58">
        <v>0</v>
      </c>
      <c r="Z28" s="57">
        <v>0</v>
      </c>
      <c r="AA28" s="58" t="s">
        <v>981</v>
      </c>
      <c r="AB28" s="57">
        <v>0</v>
      </c>
      <c r="AC28" s="58">
        <v>1</v>
      </c>
      <c r="AD28" s="57">
        <v>3.1176929072486361E-4</v>
      </c>
      <c r="AE28" s="59">
        <v>0</v>
      </c>
      <c r="AF28" s="60">
        <v>0</v>
      </c>
      <c r="AG28" s="59">
        <v>5.3995680345572358E-4</v>
      </c>
      <c r="AH28" s="60">
        <v>5.3995680345572358E-4</v>
      </c>
    </row>
    <row r="29" spans="1:34" x14ac:dyDescent="0.35">
      <c r="A29" t="s">
        <v>36</v>
      </c>
      <c r="B29" s="61" t="s">
        <v>36</v>
      </c>
      <c r="C29" s="53" t="s">
        <v>690</v>
      </c>
      <c r="D29" s="53" t="s">
        <v>691</v>
      </c>
      <c r="E29" s="53" t="s">
        <v>657</v>
      </c>
      <c r="F29" s="53" t="s">
        <v>658</v>
      </c>
      <c r="G29" s="53" t="s">
        <v>668</v>
      </c>
      <c r="H29" s="53" t="s">
        <v>632</v>
      </c>
      <c r="I29" s="54">
        <v>16</v>
      </c>
      <c r="J29" s="54">
        <v>2</v>
      </c>
      <c r="K29" s="54">
        <v>1</v>
      </c>
      <c r="L29" s="54">
        <v>1</v>
      </c>
      <c r="M29" s="54">
        <v>0</v>
      </c>
      <c r="N29" s="54">
        <v>0</v>
      </c>
      <c r="O29" s="54">
        <v>17</v>
      </c>
      <c r="P29" s="55">
        <v>16.5</v>
      </c>
      <c r="Q29" s="56">
        <v>6.0606060606060608E-2</v>
      </c>
      <c r="R29" s="57">
        <v>6.0606060606060608E-2</v>
      </c>
      <c r="S29" s="57">
        <v>0</v>
      </c>
      <c r="T29" s="57">
        <v>0</v>
      </c>
      <c r="U29" s="58">
        <v>0</v>
      </c>
      <c r="V29" s="57">
        <v>0</v>
      </c>
      <c r="W29" s="58">
        <v>0</v>
      </c>
      <c r="X29" s="57">
        <v>0</v>
      </c>
      <c r="Y29" s="58">
        <v>0</v>
      </c>
      <c r="Z29" s="57">
        <v>0</v>
      </c>
      <c r="AA29" s="58" t="s">
        <v>981</v>
      </c>
      <c r="AB29" s="57">
        <v>0</v>
      </c>
      <c r="AC29" s="58">
        <v>1</v>
      </c>
      <c r="AD29" s="57">
        <v>3.1176929072486361E-4</v>
      </c>
      <c r="AE29" s="59">
        <v>0</v>
      </c>
      <c r="AF29" s="60">
        <v>0</v>
      </c>
      <c r="AG29" s="59">
        <v>5.3995680345572358E-4</v>
      </c>
      <c r="AH29" s="60">
        <v>5.3995680345572358E-4</v>
      </c>
    </row>
    <row r="30" spans="1:34" x14ac:dyDescent="0.35">
      <c r="A30" t="s">
        <v>37</v>
      </c>
      <c r="B30" s="53" t="s">
        <v>37</v>
      </c>
      <c r="C30" s="53" t="s">
        <v>692</v>
      </c>
      <c r="D30" s="53" t="s">
        <v>648</v>
      </c>
      <c r="E30" s="53" t="s">
        <v>623</v>
      </c>
      <c r="F30" s="53" t="s">
        <v>624</v>
      </c>
      <c r="G30" s="53" t="s">
        <v>654</v>
      </c>
      <c r="H30" s="53" t="s">
        <v>649</v>
      </c>
      <c r="I30" s="54">
        <v>15</v>
      </c>
      <c r="J30" s="54">
        <v>0</v>
      </c>
      <c r="K30" s="54">
        <v>1</v>
      </c>
      <c r="L30" s="54">
        <v>1</v>
      </c>
      <c r="M30" s="54">
        <v>0</v>
      </c>
      <c r="N30" s="54">
        <v>0</v>
      </c>
      <c r="O30" s="54">
        <v>14</v>
      </c>
      <c r="P30" s="55">
        <v>14.5</v>
      </c>
      <c r="Q30" s="56">
        <v>6.8965517241379309E-2</v>
      </c>
      <c r="R30" s="57">
        <v>6.8965517241379309E-2</v>
      </c>
      <c r="S30" s="57">
        <v>0</v>
      </c>
      <c r="T30" s="57">
        <v>0</v>
      </c>
      <c r="U30" s="58">
        <v>0</v>
      </c>
      <c r="V30" s="57">
        <v>0</v>
      </c>
      <c r="W30" s="58">
        <v>0</v>
      </c>
      <c r="X30" s="57">
        <v>0</v>
      </c>
      <c r="Y30" s="58" t="s">
        <v>981</v>
      </c>
      <c r="Z30" s="57">
        <v>0</v>
      </c>
      <c r="AA30" s="58">
        <v>0</v>
      </c>
      <c r="AB30" s="57">
        <v>0</v>
      </c>
      <c r="AC30" s="58">
        <v>1</v>
      </c>
      <c r="AD30" s="57">
        <v>3.1176929072486361E-4</v>
      </c>
      <c r="AE30" s="59">
        <v>0</v>
      </c>
      <c r="AF30" s="60">
        <v>0</v>
      </c>
      <c r="AG30" s="59">
        <v>5.3995680345572358E-4</v>
      </c>
      <c r="AH30" s="60">
        <v>5.3995680345572358E-4</v>
      </c>
    </row>
    <row r="31" spans="1:34" x14ac:dyDescent="0.35">
      <c r="A31" t="s">
        <v>39</v>
      </c>
      <c r="B31" s="61" t="s">
        <v>39</v>
      </c>
      <c r="C31" s="53" t="s">
        <v>40</v>
      </c>
      <c r="D31" s="53" t="s">
        <v>661</v>
      </c>
      <c r="E31" s="53" t="s">
        <v>657</v>
      </c>
      <c r="F31" s="53" t="s">
        <v>662</v>
      </c>
      <c r="G31" s="53" t="s">
        <v>636</v>
      </c>
      <c r="H31" s="53" t="s">
        <v>632</v>
      </c>
      <c r="I31" s="54">
        <v>23</v>
      </c>
      <c r="J31" s="54">
        <v>1</v>
      </c>
      <c r="K31" s="54">
        <v>1</v>
      </c>
      <c r="L31" s="54">
        <v>1</v>
      </c>
      <c r="M31" s="54">
        <v>0</v>
      </c>
      <c r="N31" s="54">
        <v>0</v>
      </c>
      <c r="O31" s="54">
        <v>23</v>
      </c>
      <c r="P31" s="55">
        <v>23</v>
      </c>
      <c r="Q31" s="56">
        <v>4.3478260869565216E-2</v>
      </c>
      <c r="R31" s="57">
        <v>4.3478260869565216E-2</v>
      </c>
      <c r="S31" s="57">
        <v>0</v>
      </c>
      <c r="T31" s="57">
        <v>0</v>
      </c>
      <c r="U31" s="58">
        <v>0</v>
      </c>
      <c r="V31" s="57">
        <v>0</v>
      </c>
      <c r="W31" s="58">
        <v>0</v>
      </c>
      <c r="X31" s="57">
        <v>0</v>
      </c>
      <c r="Y31" s="58">
        <v>0</v>
      </c>
      <c r="Z31" s="57">
        <v>0</v>
      </c>
      <c r="AA31" s="58" t="s">
        <v>981</v>
      </c>
      <c r="AB31" s="57">
        <v>0</v>
      </c>
      <c r="AC31" s="58">
        <v>1</v>
      </c>
      <c r="AD31" s="57">
        <v>3.1176929072486361E-4</v>
      </c>
      <c r="AE31" s="59">
        <v>0</v>
      </c>
      <c r="AF31" s="60">
        <v>0</v>
      </c>
      <c r="AG31" s="59">
        <v>5.3995680345572358E-4</v>
      </c>
      <c r="AH31" s="60">
        <v>5.3995680345572358E-4</v>
      </c>
    </row>
    <row r="32" spans="1:34" x14ac:dyDescent="0.35">
      <c r="A32" t="s">
        <v>41</v>
      </c>
      <c r="B32" s="53" t="s">
        <v>41</v>
      </c>
      <c r="C32" s="53" t="s">
        <v>693</v>
      </c>
      <c r="D32" s="53" t="s">
        <v>691</v>
      </c>
      <c r="E32" s="53" t="s">
        <v>657</v>
      </c>
      <c r="F32" s="53" t="s">
        <v>658</v>
      </c>
      <c r="G32" s="53" t="s">
        <v>625</v>
      </c>
      <c r="H32" s="53" t="s">
        <v>632</v>
      </c>
      <c r="I32" s="54">
        <v>39</v>
      </c>
      <c r="J32" s="54">
        <v>4</v>
      </c>
      <c r="K32" s="54">
        <v>2</v>
      </c>
      <c r="L32" s="54">
        <v>2</v>
      </c>
      <c r="M32" s="54">
        <v>0</v>
      </c>
      <c r="N32" s="54">
        <v>0</v>
      </c>
      <c r="O32" s="54">
        <v>41</v>
      </c>
      <c r="P32" s="55">
        <v>40</v>
      </c>
      <c r="Q32" s="56">
        <v>0.05</v>
      </c>
      <c r="R32" s="57">
        <v>0.05</v>
      </c>
      <c r="S32" s="57">
        <v>0</v>
      </c>
      <c r="T32" s="57">
        <v>0</v>
      </c>
      <c r="U32" s="58">
        <v>0</v>
      </c>
      <c r="V32" s="57">
        <v>0</v>
      </c>
      <c r="W32" s="58">
        <v>0</v>
      </c>
      <c r="X32" s="57">
        <v>0</v>
      </c>
      <c r="Y32" s="58">
        <v>0</v>
      </c>
      <c r="Z32" s="57">
        <v>0</v>
      </c>
      <c r="AA32" s="58">
        <v>0</v>
      </c>
      <c r="AB32" s="57">
        <v>0</v>
      </c>
      <c r="AC32" s="58">
        <v>2</v>
      </c>
      <c r="AD32" s="57">
        <v>6.2353858144972721E-4</v>
      </c>
      <c r="AE32" s="59">
        <v>4.4883303411131061E-4</v>
      </c>
      <c r="AF32" s="60">
        <v>4.4883303411131061E-4</v>
      </c>
      <c r="AG32" s="59">
        <v>5.3995680345572358E-4</v>
      </c>
      <c r="AH32" s="60">
        <v>5.3995680345572358E-4</v>
      </c>
    </row>
    <row r="33" spans="1:34" x14ac:dyDescent="0.35">
      <c r="A33" t="s">
        <v>42</v>
      </c>
      <c r="B33" s="61" t="s">
        <v>42</v>
      </c>
      <c r="C33" s="53" t="s">
        <v>694</v>
      </c>
      <c r="D33" s="53" t="s">
        <v>628</v>
      </c>
      <c r="E33" s="53" t="s">
        <v>629</v>
      </c>
      <c r="F33" s="53" t="s">
        <v>630</v>
      </c>
      <c r="G33" s="53" t="s">
        <v>625</v>
      </c>
      <c r="H33" s="53" t="s">
        <v>632</v>
      </c>
      <c r="I33" s="54">
        <v>43</v>
      </c>
      <c r="J33" s="54">
        <v>7</v>
      </c>
      <c r="K33" s="54">
        <v>4</v>
      </c>
      <c r="L33" s="54">
        <v>4</v>
      </c>
      <c r="M33" s="54">
        <v>0</v>
      </c>
      <c r="N33" s="54">
        <v>0</v>
      </c>
      <c r="O33" s="54">
        <v>46</v>
      </c>
      <c r="P33" s="55">
        <v>44.5</v>
      </c>
      <c r="Q33" s="56">
        <v>8.98876404494382E-2</v>
      </c>
      <c r="R33" s="57">
        <v>8.98876404494382E-2</v>
      </c>
      <c r="S33" s="57">
        <v>0</v>
      </c>
      <c r="T33" s="57">
        <v>0</v>
      </c>
      <c r="U33" s="58">
        <v>0</v>
      </c>
      <c r="V33" s="57">
        <v>0</v>
      </c>
      <c r="W33" s="58">
        <v>0</v>
      </c>
      <c r="X33" s="57">
        <v>0</v>
      </c>
      <c r="Y33" s="58">
        <v>0</v>
      </c>
      <c r="Z33" s="57">
        <v>0</v>
      </c>
      <c r="AA33" s="58">
        <v>0</v>
      </c>
      <c r="AB33" s="57">
        <v>0</v>
      </c>
      <c r="AC33" s="58">
        <v>3</v>
      </c>
      <c r="AD33" s="57">
        <v>9.3530787217459082E-4</v>
      </c>
      <c r="AE33" s="59">
        <v>4.4883303411131061E-4</v>
      </c>
      <c r="AF33" s="60">
        <v>4.4883303411131061E-4</v>
      </c>
      <c r="AG33" s="59">
        <v>1.6198704103671706E-3</v>
      </c>
      <c r="AH33" s="60">
        <v>1.6198704103671706E-3</v>
      </c>
    </row>
    <row r="34" spans="1:34" x14ac:dyDescent="0.35">
      <c r="A34" t="s">
        <v>419</v>
      </c>
      <c r="B34" s="53" t="s">
        <v>419</v>
      </c>
      <c r="C34" s="53" t="s">
        <v>695</v>
      </c>
      <c r="D34" s="53" t="s">
        <v>628</v>
      </c>
      <c r="E34" s="53" t="s">
        <v>629</v>
      </c>
      <c r="F34" s="53" t="s">
        <v>630</v>
      </c>
      <c r="G34" s="53" t="s">
        <v>654</v>
      </c>
      <c r="H34" s="53" t="s">
        <v>632</v>
      </c>
      <c r="I34" s="54">
        <v>18</v>
      </c>
      <c r="J34" s="54">
        <v>1</v>
      </c>
      <c r="K34" s="54">
        <v>3</v>
      </c>
      <c r="L34" s="54">
        <v>3</v>
      </c>
      <c r="M34" s="54">
        <v>0</v>
      </c>
      <c r="N34" s="54">
        <v>0</v>
      </c>
      <c r="O34" s="54">
        <v>16</v>
      </c>
      <c r="P34" s="55">
        <v>17</v>
      </c>
      <c r="Q34" s="56">
        <v>0.17647058823529413</v>
      </c>
      <c r="R34" s="57">
        <v>0.17647058823529413</v>
      </c>
      <c r="S34" s="57">
        <v>0</v>
      </c>
      <c r="T34" s="57">
        <v>0</v>
      </c>
      <c r="U34" s="58">
        <v>0</v>
      </c>
      <c r="V34" s="57">
        <v>0</v>
      </c>
      <c r="W34" s="58">
        <v>0</v>
      </c>
      <c r="X34" s="57">
        <v>0</v>
      </c>
      <c r="Y34" s="58" t="s">
        <v>981</v>
      </c>
      <c r="Z34" s="57">
        <v>0</v>
      </c>
      <c r="AA34" s="58" t="s">
        <v>981</v>
      </c>
      <c r="AB34" s="57">
        <v>0</v>
      </c>
      <c r="AC34" s="58">
        <v>3</v>
      </c>
      <c r="AD34" s="57">
        <v>9.3530787217459082E-4</v>
      </c>
      <c r="AE34" s="59">
        <v>0</v>
      </c>
      <c r="AF34" s="60">
        <v>0</v>
      </c>
      <c r="AG34" s="59">
        <v>1.6198704103671706E-3</v>
      </c>
      <c r="AH34" s="60">
        <v>1.6198704103671706E-3</v>
      </c>
    </row>
    <row r="35" spans="1:34" x14ac:dyDescent="0.35">
      <c r="A35" t="s">
        <v>426</v>
      </c>
      <c r="B35" s="61" t="s">
        <v>426</v>
      </c>
      <c r="C35" s="53" t="s">
        <v>696</v>
      </c>
      <c r="D35" s="53" t="s">
        <v>622</v>
      </c>
      <c r="E35" s="53" t="s">
        <v>623</v>
      </c>
      <c r="F35" s="53" t="s">
        <v>624</v>
      </c>
      <c r="G35" s="53" t="s">
        <v>654</v>
      </c>
      <c r="H35" s="53" t="s">
        <v>649</v>
      </c>
      <c r="I35" s="54">
        <v>20</v>
      </c>
      <c r="J35" s="54">
        <v>1</v>
      </c>
      <c r="K35" s="54">
        <v>5</v>
      </c>
      <c r="L35" s="54">
        <v>4</v>
      </c>
      <c r="M35" s="54">
        <v>1</v>
      </c>
      <c r="N35" s="54">
        <v>0</v>
      </c>
      <c r="O35" s="54">
        <v>16</v>
      </c>
      <c r="P35" s="55">
        <v>18</v>
      </c>
      <c r="Q35" s="56">
        <v>0.27777777777777779</v>
      </c>
      <c r="R35" s="57">
        <v>0.22222222222222221</v>
      </c>
      <c r="S35" s="57">
        <v>5.5555555555555552E-2</v>
      </c>
      <c r="T35" s="57">
        <v>0</v>
      </c>
      <c r="U35" s="58">
        <v>0</v>
      </c>
      <c r="V35" s="57">
        <v>0</v>
      </c>
      <c r="W35" s="58">
        <v>0</v>
      </c>
      <c r="X35" s="57">
        <v>0</v>
      </c>
      <c r="Y35" s="58">
        <v>0</v>
      </c>
      <c r="Z35" s="57">
        <v>0</v>
      </c>
      <c r="AA35" s="58">
        <v>0</v>
      </c>
      <c r="AB35" s="57">
        <v>0</v>
      </c>
      <c r="AC35" s="58">
        <v>4</v>
      </c>
      <c r="AD35" s="57">
        <v>1.2470771628994544E-3</v>
      </c>
      <c r="AE35" s="59">
        <v>0</v>
      </c>
      <c r="AF35" s="60">
        <v>0</v>
      </c>
      <c r="AG35" s="59">
        <v>2.699784017278618E-3</v>
      </c>
      <c r="AH35" s="60">
        <v>2.1598272138228943E-3</v>
      </c>
    </row>
    <row r="36" spans="1:34" x14ac:dyDescent="0.35">
      <c r="A36" t="s">
        <v>422</v>
      </c>
      <c r="B36" s="53" t="s">
        <v>422</v>
      </c>
      <c r="C36" s="53" t="s">
        <v>423</v>
      </c>
      <c r="D36" s="53" t="s">
        <v>673</v>
      </c>
      <c r="E36" s="53" t="s">
        <v>623</v>
      </c>
      <c r="F36" s="53" t="s">
        <v>641</v>
      </c>
      <c r="G36" s="53" t="s">
        <v>654</v>
      </c>
      <c r="H36" s="53" t="s">
        <v>697</v>
      </c>
      <c r="I36" s="54">
        <v>20</v>
      </c>
      <c r="J36" s="54">
        <v>3</v>
      </c>
      <c r="K36" s="54">
        <v>4</v>
      </c>
      <c r="L36" s="54">
        <v>4</v>
      </c>
      <c r="M36" s="54">
        <v>0</v>
      </c>
      <c r="N36" s="54">
        <v>0</v>
      </c>
      <c r="O36" s="54">
        <v>19</v>
      </c>
      <c r="P36" s="55">
        <v>19.5</v>
      </c>
      <c r="Q36" s="56">
        <v>0.20512820512820512</v>
      </c>
      <c r="R36" s="57">
        <v>0.20512820512820512</v>
      </c>
      <c r="S36" s="57">
        <v>0</v>
      </c>
      <c r="T36" s="57">
        <v>0</v>
      </c>
      <c r="U36" s="58">
        <v>0</v>
      </c>
      <c r="V36" s="57">
        <v>0</v>
      </c>
      <c r="W36" s="58" t="s">
        <v>981</v>
      </c>
      <c r="X36" s="57">
        <v>0</v>
      </c>
      <c r="Y36" s="58" t="s">
        <v>981</v>
      </c>
      <c r="Z36" s="57">
        <v>0</v>
      </c>
      <c r="AA36" s="58">
        <v>0</v>
      </c>
      <c r="AB36" s="57">
        <v>0</v>
      </c>
      <c r="AC36" s="58">
        <v>4</v>
      </c>
      <c r="AD36" s="57">
        <v>1.2470771628994544E-3</v>
      </c>
      <c r="AE36" s="59">
        <v>8.9766606822262122E-4</v>
      </c>
      <c r="AF36" s="60">
        <v>8.9766606822262122E-4</v>
      </c>
      <c r="AG36" s="59">
        <v>1.0799136069114472E-3</v>
      </c>
      <c r="AH36" s="60">
        <v>1.0799136069114472E-3</v>
      </c>
    </row>
    <row r="37" spans="1:34" x14ac:dyDescent="0.35">
      <c r="A37" t="s">
        <v>421</v>
      </c>
      <c r="B37" s="61" t="s">
        <v>421</v>
      </c>
      <c r="C37" s="53" t="s">
        <v>698</v>
      </c>
      <c r="D37" s="53" t="s">
        <v>678</v>
      </c>
      <c r="E37" s="53" t="s">
        <v>623</v>
      </c>
      <c r="F37" s="53" t="s">
        <v>624</v>
      </c>
      <c r="G37" s="53" t="s">
        <v>636</v>
      </c>
      <c r="H37" s="53" t="s">
        <v>679</v>
      </c>
      <c r="I37" s="54">
        <v>19</v>
      </c>
      <c r="J37" s="54">
        <v>1</v>
      </c>
      <c r="K37" s="54">
        <v>0</v>
      </c>
      <c r="L37" s="54">
        <v>0</v>
      </c>
      <c r="M37" s="54">
        <v>0</v>
      </c>
      <c r="N37" s="54">
        <v>0</v>
      </c>
      <c r="O37" s="54">
        <v>20</v>
      </c>
      <c r="P37" s="55">
        <v>19.5</v>
      </c>
      <c r="Q37" s="56">
        <v>0</v>
      </c>
      <c r="R37" s="57">
        <v>0</v>
      </c>
      <c r="S37" s="57">
        <v>0</v>
      </c>
      <c r="T37" s="57">
        <v>0</v>
      </c>
      <c r="U37" s="58">
        <v>0</v>
      </c>
      <c r="V37" s="57">
        <v>0</v>
      </c>
      <c r="W37" s="58">
        <v>0</v>
      </c>
      <c r="X37" s="57">
        <v>0</v>
      </c>
      <c r="Y37" s="58" t="s">
        <v>981</v>
      </c>
      <c r="Z37" s="57">
        <v>0</v>
      </c>
      <c r="AA37" s="58">
        <v>0</v>
      </c>
      <c r="AB37" s="57">
        <v>0</v>
      </c>
      <c r="AC37" s="58">
        <v>0</v>
      </c>
      <c r="AD37" s="57">
        <v>0</v>
      </c>
      <c r="AE37" s="59">
        <v>0</v>
      </c>
      <c r="AF37" s="60">
        <v>0</v>
      </c>
      <c r="AG37" s="59">
        <v>0</v>
      </c>
      <c r="AH37" s="60">
        <v>0</v>
      </c>
    </row>
    <row r="38" spans="1:34" x14ac:dyDescent="0.35">
      <c r="A38" t="s">
        <v>424</v>
      </c>
      <c r="B38" s="53" t="s">
        <v>424</v>
      </c>
      <c r="C38" s="53" t="s">
        <v>699</v>
      </c>
      <c r="D38" s="53" t="s">
        <v>628</v>
      </c>
      <c r="E38" s="53" t="s">
        <v>629</v>
      </c>
      <c r="F38" s="53" t="s">
        <v>646</v>
      </c>
      <c r="G38" s="53" t="s">
        <v>642</v>
      </c>
      <c r="H38" s="53" t="s">
        <v>632</v>
      </c>
      <c r="I38" s="54">
        <v>10</v>
      </c>
      <c r="J38" s="54">
        <v>0</v>
      </c>
      <c r="K38" s="54">
        <v>1</v>
      </c>
      <c r="L38" s="54">
        <v>1</v>
      </c>
      <c r="M38" s="54">
        <v>0</v>
      </c>
      <c r="N38" s="54">
        <v>0</v>
      </c>
      <c r="O38" s="54">
        <v>9</v>
      </c>
      <c r="P38" s="55">
        <v>9.5</v>
      </c>
      <c r="Q38" s="56">
        <v>0.10526315789473684</v>
      </c>
      <c r="R38" s="57">
        <v>0.10526315789473684</v>
      </c>
      <c r="S38" s="57">
        <v>0</v>
      </c>
      <c r="T38" s="57">
        <v>0</v>
      </c>
      <c r="U38" s="58" t="s">
        <v>981</v>
      </c>
      <c r="V38" s="57">
        <v>0</v>
      </c>
      <c r="W38" s="58">
        <v>0</v>
      </c>
      <c r="X38" s="57">
        <v>0</v>
      </c>
      <c r="Y38" s="58">
        <v>0</v>
      </c>
      <c r="Z38" s="57">
        <v>0</v>
      </c>
      <c r="AA38" s="58">
        <v>0</v>
      </c>
      <c r="AB38" s="57">
        <v>0</v>
      </c>
      <c r="AC38" s="58">
        <v>1</v>
      </c>
      <c r="AD38" s="57">
        <v>3.1176929072486361E-4</v>
      </c>
      <c r="AE38" s="59">
        <v>4.4883303411131061E-4</v>
      </c>
      <c r="AF38" s="60">
        <v>4.4883303411131061E-4</v>
      </c>
      <c r="AG38" s="59">
        <v>0</v>
      </c>
      <c r="AH38" s="60">
        <v>0</v>
      </c>
    </row>
    <row r="39" spans="1:34" x14ac:dyDescent="0.35">
      <c r="A39" t="s">
        <v>430</v>
      </c>
      <c r="B39" s="61" t="s">
        <v>430</v>
      </c>
      <c r="C39" s="53" t="s">
        <v>700</v>
      </c>
      <c r="D39" s="53" t="s">
        <v>645</v>
      </c>
      <c r="E39" s="53" t="s">
        <v>629</v>
      </c>
      <c r="F39" s="53" t="s">
        <v>646</v>
      </c>
      <c r="G39" s="53" t="s">
        <v>654</v>
      </c>
      <c r="H39" s="53" t="s">
        <v>632</v>
      </c>
      <c r="I39" s="54">
        <v>16</v>
      </c>
      <c r="J39" s="54">
        <v>3</v>
      </c>
      <c r="K39" s="54">
        <v>2</v>
      </c>
      <c r="L39" s="54">
        <v>2</v>
      </c>
      <c r="M39" s="54">
        <v>0</v>
      </c>
      <c r="N39" s="54">
        <v>0</v>
      </c>
      <c r="O39" s="54">
        <v>17</v>
      </c>
      <c r="P39" s="55">
        <v>16.5</v>
      </c>
      <c r="Q39" s="56">
        <v>0.12121212121212122</v>
      </c>
      <c r="R39" s="57">
        <v>0.12121212121212122</v>
      </c>
      <c r="S39" s="57">
        <v>0</v>
      </c>
      <c r="T39" s="57">
        <v>0</v>
      </c>
      <c r="U39" s="58">
        <v>0</v>
      </c>
      <c r="V39" s="57">
        <v>0</v>
      </c>
      <c r="W39" s="58">
        <v>0</v>
      </c>
      <c r="X39" s="57">
        <v>0</v>
      </c>
      <c r="Y39" s="58">
        <v>0</v>
      </c>
      <c r="Z39" s="57">
        <v>0</v>
      </c>
      <c r="AA39" s="58" t="s">
        <v>981</v>
      </c>
      <c r="AB39" s="57">
        <v>0</v>
      </c>
      <c r="AC39" s="58">
        <v>2</v>
      </c>
      <c r="AD39" s="57">
        <v>6.2353858144972721E-4</v>
      </c>
      <c r="AE39" s="59">
        <v>4.4883303411131061E-4</v>
      </c>
      <c r="AF39" s="60">
        <v>4.4883303411131061E-4</v>
      </c>
      <c r="AG39" s="59">
        <v>5.3995680345572358E-4</v>
      </c>
      <c r="AH39" s="60">
        <v>5.3995680345572358E-4</v>
      </c>
    </row>
    <row r="40" spans="1:34" x14ac:dyDescent="0.35">
      <c r="A40" t="s">
        <v>427</v>
      </c>
      <c r="B40" s="53" t="s">
        <v>427</v>
      </c>
      <c r="C40" s="53" t="s">
        <v>701</v>
      </c>
      <c r="D40" s="53" t="s">
        <v>651</v>
      </c>
      <c r="E40" s="53" t="s">
        <v>629</v>
      </c>
      <c r="F40" s="53" t="s">
        <v>630</v>
      </c>
      <c r="G40" s="53" t="s">
        <v>654</v>
      </c>
      <c r="H40" s="53" t="s">
        <v>652</v>
      </c>
      <c r="I40" s="54">
        <v>16</v>
      </c>
      <c r="J40" s="54">
        <v>2</v>
      </c>
      <c r="K40" s="54">
        <v>1</v>
      </c>
      <c r="L40" s="54">
        <v>1</v>
      </c>
      <c r="M40" s="54">
        <v>0</v>
      </c>
      <c r="N40" s="54">
        <v>0</v>
      </c>
      <c r="O40" s="54">
        <v>17</v>
      </c>
      <c r="P40" s="55">
        <v>16.5</v>
      </c>
      <c r="Q40" s="56">
        <v>6.0606060606060608E-2</v>
      </c>
      <c r="R40" s="57">
        <v>6.0606060606060608E-2</v>
      </c>
      <c r="S40" s="57">
        <v>0</v>
      </c>
      <c r="T40" s="57">
        <v>0</v>
      </c>
      <c r="U40" s="58">
        <v>0</v>
      </c>
      <c r="V40" s="57">
        <v>0</v>
      </c>
      <c r="W40" s="58" t="s">
        <v>981</v>
      </c>
      <c r="X40" s="57">
        <v>0</v>
      </c>
      <c r="Y40" s="58" t="s">
        <v>981</v>
      </c>
      <c r="Z40" s="57">
        <v>0</v>
      </c>
      <c r="AA40" s="58">
        <v>0</v>
      </c>
      <c r="AB40" s="57">
        <v>0</v>
      </c>
      <c r="AC40" s="58">
        <v>1</v>
      </c>
      <c r="AD40" s="57">
        <v>3.1176929072486361E-4</v>
      </c>
      <c r="AE40" s="59">
        <v>0</v>
      </c>
      <c r="AF40" s="60">
        <v>0</v>
      </c>
      <c r="AG40" s="59">
        <v>5.3995680345572358E-4</v>
      </c>
      <c r="AH40" s="60">
        <v>5.3995680345572358E-4</v>
      </c>
    </row>
    <row r="41" spans="1:34" x14ac:dyDescent="0.35">
      <c r="A41" t="s">
        <v>428</v>
      </c>
      <c r="B41" s="61" t="s">
        <v>428</v>
      </c>
      <c r="C41" s="53" t="s">
        <v>702</v>
      </c>
      <c r="D41" s="53" t="s">
        <v>656</v>
      </c>
      <c r="E41" s="53" t="s">
        <v>657</v>
      </c>
      <c r="F41" s="53" t="s">
        <v>658</v>
      </c>
      <c r="G41" s="53" t="s">
        <v>668</v>
      </c>
      <c r="H41" s="53" t="s">
        <v>632</v>
      </c>
      <c r="I41" s="54">
        <v>14</v>
      </c>
      <c r="J41" s="54">
        <v>3</v>
      </c>
      <c r="K41" s="54">
        <v>4</v>
      </c>
      <c r="L41" s="54">
        <v>4</v>
      </c>
      <c r="M41" s="54">
        <v>0</v>
      </c>
      <c r="N41" s="54">
        <v>0</v>
      </c>
      <c r="O41" s="54">
        <v>13</v>
      </c>
      <c r="P41" s="55">
        <v>13.5</v>
      </c>
      <c r="Q41" s="56">
        <v>0.29629629629629628</v>
      </c>
      <c r="R41" s="57">
        <v>0.29629629629629628</v>
      </c>
      <c r="S41" s="57">
        <v>0</v>
      </c>
      <c r="T41" s="57">
        <v>0</v>
      </c>
      <c r="U41" s="58">
        <v>0</v>
      </c>
      <c r="V41" s="57">
        <v>0</v>
      </c>
      <c r="W41" s="58">
        <v>1</v>
      </c>
      <c r="X41" s="57">
        <v>7.0921985815602835E-3</v>
      </c>
      <c r="Y41" s="58" t="s">
        <v>981</v>
      </c>
      <c r="Z41" s="57">
        <v>0</v>
      </c>
      <c r="AA41" s="58">
        <v>0</v>
      </c>
      <c r="AB41" s="57">
        <v>0</v>
      </c>
      <c r="AC41" s="58">
        <v>3</v>
      </c>
      <c r="AD41" s="57">
        <v>9.3530787217459082E-4</v>
      </c>
      <c r="AE41" s="59">
        <v>4.4883303411131061E-4</v>
      </c>
      <c r="AF41" s="60">
        <v>4.4883303411131061E-4</v>
      </c>
      <c r="AG41" s="59">
        <v>1.6198704103671706E-3</v>
      </c>
      <c r="AH41" s="60">
        <v>1.6198704103671706E-3</v>
      </c>
    </row>
    <row r="42" spans="1:34" x14ac:dyDescent="0.35">
      <c r="A42" t="s">
        <v>43</v>
      </c>
      <c r="B42" s="53" t="s">
        <v>44</v>
      </c>
      <c r="C42" s="53" t="s">
        <v>703</v>
      </c>
      <c r="D42" s="53" t="s">
        <v>634</v>
      </c>
      <c r="E42" s="53" t="s">
        <v>629</v>
      </c>
      <c r="F42" s="53" t="s">
        <v>635</v>
      </c>
      <c r="G42" s="53" t="s">
        <v>654</v>
      </c>
      <c r="H42" s="53" t="s">
        <v>637</v>
      </c>
      <c r="I42" s="54">
        <v>14</v>
      </c>
      <c r="J42" s="54">
        <v>0</v>
      </c>
      <c r="K42" s="54">
        <v>0</v>
      </c>
      <c r="L42" s="54">
        <v>0</v>
      </c>
      <c r="M42" s="54">
        <v>0</v>
      </c>
      <c r="N42" s="54">
        <v>0</v>
      </c>
      <c r="O42" s="54">
        <v>14</v>
      </c>
      <c r="P42" s="55">
        <v>14</v>
      </c>
      <c r="Q42" s="56">
        <v>0</v>
      </c>
      <c r="R42" s="57">
        <v>0</v>
      </c>
      <c r="S42" s="57">
        <v>0</v>
      </c>
      <c r="T42" s="57">
        <v>0</v>
      </c>
      <c r="U42" s="58">
        <v>0</v>
      </c>
      <c r="V42" s="57">
        <v>0</v>
      </c>
      <c r="W42" s="58" t="s">
        <v>981</v>
      </c>
      <c r="X42" s="57">
        <v>0</v>
      </c>
      <c r="Y42" s="58">
        <v>0</v>
      </c>
      <c r="Z42" s="57">
        <v>0</v>
      </c>
      <c r="AA42" s="58">
        <v>0</v>
      </c>
      <c r="AB42" s="57">
        <v>0</v>
      </c>
      <c r="AC42" s="58">
        <v>0</v>
      </c>
      <c r="AD42" s="57">
        <v>0</v>
      </c>
      <c r="AE42" s="59">
        <v>0</v>
      </c>
      <c r="AF42" s="60">
        <v>0</v>
      </c>
      <c r="AG42" s="59">
        <v>0</v>
      </c>
      <c r="AH42" s="60">
        <v>0</v>
      </c>
    </row>
    <row r="43" spans="1:34" x14ac:dyDescent="0.35">
      <c r="A43" t="s">
        <v>45</v>
      </c>
      <c r="B43" s="61" t="s">
        <v>46</v>
      </c>
      <c r="C43" s="53" t="s">
        <v>704</v>
      </c>
      <c r="D43" s="53" t="s">
        <v>651</v>
      </c>
      <c r="E43" s="53" t="s">
        <v>629</v>
      </c>
      <c r="F43" s="53" t="s">
        <v>630</v>
      </c>
      <c r="G43" s="53" t="s">
        <v>631</v>
      </c>
      <c r="H43" s="53" t="s">
        <v>705</v>
      </c>
      <c r="I43" s="54">
        <v>26</v>
      </c>
      <c r="J43" s="54">
        <v>5</v>
      </c>
      <c r="K43" s="54">
        <v>2</v>
      </c>
      <c r="L43" s="54">
        <v>2</v>
      </c>
      <c r="M43" s="54">
        <v>0</v>
      </c>
      <c r="N43" s="54">
        <v>0</v>
      </c>
      <c r="O43" s="54">
        <v>29</v>
      </c>
      <c r="P43" s="55">
        <v>27.5</v>
      </c>
      <c r="Q43" s="56">
        <v>7.2727272727272724E-2</v>
      </c>
      <c r="R43" s="57">
        <v>7.2727272727272724E-2</v>
      </c>
      <c r="S43" s="57">
        <v>0</v>
      </c>
      <c r="T43" s="57">
        <v>0</v>
      </c>
      <c r="U43" s="58">
        <v>0</v>
      </c>
      <c r="V43" s="57">
        <v>0</v>
      </c>
      <c r="W43" s="58">
        <v>0</v>
      </c>
      <c r="X43" s="57">
        <v>0</v>
      </c>
      <c r="Y43" s="58">
        <v>0</v>
      </c>
      <c r="Z43" s="57">
        <v>0</v>
      </c>
      <c r="AA43" s="58">
        <v>0</v>
      </c>
      <c r="AB43" s="57">
        <v>0</v>
      </c>
      <c r="AC43" s="58">
        <v>2</v>
      </c>
      <c r="AD43" s="57">
        <v>6.2353858144972721E-4</v>
      </c>
      <c r="AE43" s="59">
        <v>4.4883303411131061E-4</v>
      </c>
      <c r="AF43" s="60">
        <v>4.4883303411131061E-4</v>
      </c>
      <c r="AG43" s="59">
        <v>5.3995680345572358E-4</v>
      </c>
      <c r="AH43" s="60">
        <v>5.3995680345572358E-4</v>
      </c>
    </row>
    <row r="44" spans="1:34" x14ac:dyDescent="0.35">
      <c r="A44" t="s">
        <v>432</v>
      </c>
      <c r="B44" s="53" t="s">
        <v>432</v>
      </c>
      <c r="C44" s="53" t="s">
        <v>706</v>
      </c>
      <c r="D44" s="53" t="s">
        <v>707</v>
      </c>
      <c r="E44" s="53" t="s">
        <v>629</v>
      </c>
      <c r="F44" s="53" t="s">
        <v>635</v>
      </c>
      <c r="G44" s="53" t="s">
        <v>668</v>
      </c>
      <c r="H44" s="53" t="s">
        <v>708</v>
      </c>
      <c r="I44" s="54">
        <v>8</v>
      </c>
      <c r="J44" s="54">
        <v>4</v>
      </c>
      <c r="K44" s="54">
        <v>2</v>
      </c>
      <c r="L44" s="54">
        <v>2</v>
      </c>
      <c r="M44" s="54">
        <v>0</v>
      </c>
      <c r="N44" s="54">
        <v>0</v>
      </c>
      <c r="O44" s="54">
        <v>10</v>
      </c>
      <c r="P44" s="55">
        <v>9</v>
      </c>
      <c r="Q44" s="56">
        <v>0.22222222222222221</v>
      </c>
      <c r="R44" s="57">
        <v>0.22222222222222221</v>
      </c>
      <c r="S44" s="57">
        <v>0</v>
      </c>
      <c r="T44" s="57">
        <v>0</v>
      </c>
      <c r="U44" s="58">
        <v>1</v>
      </c>
      <c r="V44" s="57">
        <v>5.763688760806916E-3</v>
      </c>
      <c r="W44" s="58" t="s">
        <v>981</v>
      </c>
      <c r="X44" s="57">
        <v>0</v>
      </c>
      <c r="Y44" s="58">
        <v>0</v>
      </c>
      <c r="Z44" s="57">
        <v>0</v>
      </c>
      <c r="AA44" s="58">
        <v>0</v>
      </c>
      <c r="AB44" s="57">
        <v>0</v>
      </c>
      <c r="AC44" s="58">
        <v>1</v>
      </c>
      <c r="AD44" s="57">
        <v>3.1176929072486361E-4</v>
      </c>
      <c r="AE44" s="59">
        <v>4.4883303411131061E-4</v>
      </c>
      <c r="AF44" s="60">
        <v>4.4883303411131061E-4</v>
      </c>
      <c r="AG44" s="59">
        <v>5.3995680345572358E-4</v>
      </c>
      <c r="AH44" s="60">
        <v>5.3995680345572358E-4</v>
      </c>
    </row>
    <row r="45" spans="1:34" x14ac:dyDescent="0.35">
      <c r="A45" t="s">
        <v>431</v>
      </c>
      <c r="B45" s="61" t="s">
        <v>431</v>
      </c>
      <c r="C45" s="53" t="s">
        <v>709</v>
      </c>
      <c r="D45" s="53" t="s">
        <v>707</v>
      </c>
      <c r="E45" s="53" t="s">
        <v>629</v>
      </c>
      <c r="F45" s="53" t="s">
        <v>635</v>
      </c>
      <c r="G45" s="53" t="s">
        <v>654</v>
      </c>
      <c r="H45" s="53" t="s">
        <v>710</v>
      </c>
      <c r="I45" s="54">
        <v>17</v>
      </c>
      <c r="J45" s="54">
        <v>2</v>
      </c>
      <c r="K45" s="54">
        <v>2</v>
      </c>
      <c r="L45" s="54">
        <v>2</v>
      </c>
      <c r="M45" s="54">
        <v>0</v>
      </c>
      <c r="N45" s="54">
        <v>0</v>
      </c>
      <c r="O45" s="54">
        <v>17</v>
      </c>
      <c r="P45" s="55">
        <v>17</v>
      </c>
      <c r="Q45" s="56">
        <v>0.11764705882352941</v>
      </c>
      <c r="R45" s="57">
        <v>0.11764705882352941</v>
      </c>
      <c r="S45" s="57">
        <v>0</v>
      </c>
      <c r="T45" s="57">
        <v>0</v>
      </c>
      <c r="U45" s="58">
        <v>0</v>
      </c>
      <c r="V45" s="57">
        <v>0</v>
      </c>
      <c r="W45" s="58" t="s">
        <v>981</v>
      </c>
      <c r="X45" s="57">
        <v>0</v>
      </c>
      <c r="Y45" s="58">
        <v>0</v>
      </c>
      <c r="Z45" s="57">
        <v>0</v>
      </c>
      <c r="AA45" s="58">
        <v>0</v>
      </c>
      <c r="AB45" s="57">
        <v>0</v>
      </c>
      <c r="AC45" s="58">
        <v>2</v>
      </c>
      <c r="AD45" s="57">
        <v>6.2353858144972721E-4</v>
      </c>
      <c r="AE45" s="59">
        <v>4.4883303411131061E-4</v>
      </c>
      <c r="AF45" s="60">
        <v>4.4883303411131061E-4</v>
      </c>
      <c r="AG45" s="59">
        <v>5.3995680345572358E-4</v>
      </c>
      <c r="AH45" s="60">
        <v>5.3995680345572358E-4</v>
      </c>
    </row>
    <row r="46" spans="1:34" x14ac:dyDescent="0.35">
      <c r="A46" t="s">
        <v>38</v>
      </c>
      <c r="B46" s="53" t="s">
        <v>38</v>
      </c>
      <c r="C46" s="53" t="s">
        <v>711</v>
      </c>
      <c r="D46" s="53" t="s">
        <v>691</v>
      </c>
      <c r="E46" s="53" t="s">
        <v>657</v>
      </c>
      <c r="F46" s="53" t="s">
        <v>658</v>
      </c>
      <c r="G46" s="53" t="s">
        <v>668</v>
      </c>
      <c r="H46" s="53" t="s">
        <v>632</v>
      </c>
      <c r="I46" s="54">
        <v>16</v>
      </c>
      <c r="J46" s="54">
        <v>1</v>
      </c>
      <c r="K46" s="54">
        <v>0</v>
      </c>
      <c r="L46" s="54">
        <v>0</v>
      </c>
      <c r="M46" s="54">
        <v>0</v>
      </c>
      <c r="N46" s="54">
        <v>0</v>
      </c>
      <c r="O46" s="54">
        <v>17</v>
      </c>
      <c r="P46" s="55">
        <v>16.5</v>
      </c>
      <c r="Q46" s="56">
        <v>0</v>
      </c>
      <c r="R46" s="57">
        <v>0</v>
      </c>
      <c r="S46" s="57">
        <v>0</v>
      </c>
      <c r="T46" s="57">
        <v>0</v>
      </c>
      <c r="U46" s="58" t="s">
        <v>981</v>
      </c>
      <c r="V46" s="57">
        <v>0</v>
      </c>
      <c r="W46" s="58">
        <v>0</v>
      </c>
      <c r="X46" s="57">
        <v>0</v>
      </c>
      <c r="Y46" s="58" t="s">
        <v>981</v>
      </c>
      <c r="Z46" s="57">
        <v>0</v>
      </c>
      <c r="AA46" s="58">
        <v>0</v>
      </c>
      <c r="AB46" s="57">
        <v>0</v>
      </c>
      <c r="AC46" s="58">
        <v>0</v>
      </c>
      <c r="AD46" s="57">
        <v>0</v>
      </c>
      <c r="AE46" s="59">
        <v>0</v>
      </c>
      <c r="AF46" s="60">
        <v>0</v>
      </c>
      <c r="AG46" s="59">
        <v>0</v>
      </c>
      <c r="AH46" s="60">
        <v>0</v>
      </c>
    </row>
    <row r="47" spans="1:34" x14ac:dyDescent="0.35">
      <c r="A47" t="s">
        <v>47</v>
      </c>
      <c r="B47" s="61" t="s">
        <v>48</v>
      </c>
      <c r="C47" s="53" t="s">
        <v>712</v>
      </c>
      <c r="D47" s="53" t="s">
        <v>622</v>
      </c>
      <c r="E47" s="53" t="s">
        <v>623</v>
      </c>
      <c r="F47" s="53" t="s">
        <v>624</v>
      </c>
      <c r="G47" s="53" t="s">
        <v>636</v>
      </c>
      <c r="H47" s="53" t="s">
        <v>649</v>
      </c>
      <c r="I47" s="54">
        <v>20</v>
      </c>
      <c r="J47" s="54">
        <v>4</v>
      </c>
      <c r="K47" s="54">
        <v>2</v>
      </c>
      <c r="L47" s="54">
        <v>2</v>
      </c>
      <c r="M47" s="54">
        <v>0</v>
      </c>
      <c r="N47" s="54">
        <v>0</v>
      </c>
      <c r="O47" s="54">
        <v>22</v>
      </c>
      <c r="P47" s="55">
        <v>21</v>
      </c>
      <c r="Q47" s="56">
        <v>9.5238095238095233E-2</v>
      </c>
      <c r="R47" s="57">
        <v>9.5238095238095233E-2</v>
      </c>
      <c r="S47" s="57">
        <v>0</v>
      </c>
      <c r="T47" s="57">
        <v>0</v>
      </c>
      <c r="U47" s="58">
        <v>0</v>
      </c>
      <c r="V47" s="57">
        <v>0</v>
      </c>
      <c r="W47" s="58">
        <v>0</v>
      </c>
      <c r="X47" s="57">
        <v>0</v>
      </c>
      <c r="Y47" s="58">
        <v>0</v>
      </c>
      <c r="Z47" s="57">
        <v>0</v>
      </c>
      <c r="AA47" s="58">
        <v>0</v>
      </c>
      <c r="AB47" s="57">
        <v>0</v>
      </c>
      <c r="AC47" s="58">
        <v>2</v>
      </c>
      <c r="AD47" s="57">
        <v>6.2353858144972721E-4</v>
      </c>
      <c r="AE47" s="59">
        <v>0</v>
      </c>
      <c r="AF47" s="60">
        <v>0</v>
      </c>
      <c r="AG47" s="59">
        <v>1.0799136069114472E-3</v>
      </c>
      <c r="AH47" s="60">
        <v>1.0799136069114472E-3</v>
      </c>
    </row>
    <row r="48" spans="1:34" x14ac:dyDescent="0.35">
      <c r="A48" t="s">
        <v>600</v>
      </c>
      <c r="B48" s="53" t="s">
        <v>600</v>
      </c>
      <c r="C48" s="53" t="s">
        <v>713</v>
      </c>
      <c r="D48" s="53" t="s">
        <v>622</v>
      </c>
      <c r="E48" s="53" t="s">
        <v>623</v>
      </c>
      <c r="F48" s="53" t="s">
        <v>624</v>
      </c>
      <c r="G48" s="53" t="s">
        <v>668</v>
      </c>
      <c r="H48" s="53" t="s">
        <v>649</v>
      </c>
      <c r="I48" s="54">
        <v>16</v>
      </c>
      <c r="J48" s="54">
        <v>0</v>
      </c>
      <c r="K48" s="54">
        <v>2</v>
      </c>
      <c r="L48" s="54">
        <v>2</v>
      </c>
      <c r="M48" s="54">
        <v>0</v>
      </c>
      <c r="N48" s="54">
        <v>0</v>
      </c>
      <c r="O48" s="54">
        <v>14</v>
      </c>
      <c r="P48" s="55">
        <v>15</v>
      </c>
      <c r="Q48" s="56">
        <v>0.13333333333333333</v>
      </c>
      <c r="R48" s="57">
        <v>0.13333333333333333</v>
      </c>
      <c r="S48" s="57">
        <v>0</v>
      </c>
      <c r="T48" s="57">
        <v>0</v>
      </c>
      <c r="U48" s="58" t="s">
        <v>981</v>
      </c>
      <c r="V48" s="57">
        <v>0</v>
      </c>
      <c r="W48" s="58">
        <v>1</v>
      </c>
      <c r="X48" s="57">
        <v>7.0921985815602835E-3</v>
      </c>
      <c r="Y48" s="58">
        <v>0</v>
      </c>
      <c r="Z48" s="57">
        <v>0</v>
      </c>
      <c r="AA48" s="58">
        <v>0</v>
      </c>
      <c r="AB48" s="57">
        <v>0</v>
      </c>
      <c r="AC48" s="58">
        <v>0</v>
      </c>
      <c r="AD48" s="57">
        <v>0</v>
      </c>
      <c r="AE48" s="59">
        <v>4.4883303411131061E-4</v>
      </c>
      <c r="AF48" s="60">
        <v>4.4883303411131061E-4</v>
      </c>
      <c r="AG48" s="59">
        <v>5.3995680345572358E-4</v>
      </c>
      <c r="AH48" s="60">
        <v>5.3995680345572358E-4</v>
      </c>
    </row>
    <row r="49" spans="1:34" x14ac:dyDescent="0.35">
      <c r="A49" t="s">
        <v>601</v>
      </c>
      <c r="B49" s="61" t="s">
        <v>601</v>
      </c>
      <c r="C49" s="53" t="s">
        <v>714</v>
      </c>
      <c r="D49" s="53" t="s">
        <v>651</v>
      </c>
      <c r="E49" s="53" t="s">
        <v>629</v>
      </c>
      <c r="F49" s="53" t="s">
        <v>630</v>
      </c>
      <c r="G49" s="53" t="s">
        <v>654</v>
      </c>
      <c r="H49" s="53" t="s">
        <v>715</v>
      </c>
      <c r="I49" s="54">
        <v>18</v>
      </c>
      <c r="J49" s="54">
        <v>1</v>
      </c>
      <c r="K49" s="54">
        <v>2</v>
      </c>
      <c r="L49" s="54">
        <v>2</v>
      </c>
      <c r="M49" s="54">
        <v>0</v>
      </c>
      <c r="N49" s="54">
        <v>0</v>
      </c>
      <c r="O49" s="54">
        <v>17</v>
      </c>
      <c r="P49" s="55">
        <v>17.5</v>
      </c>
      <c r="Q49" s="56">
        <v>0.11428571428571428</v>
      </c>
      <c r="R49" s="57">
        <v>0.11428571428571428</v>
      </c>
      <c r="S49" s="57">
        <v>0</v>
      </c>
      <c r="T49" s="57">
        <v>0</v>
      </c>
      <c r="U49" s="58">
        <v>0</v>
      </c>
      <c r="V49" s="57">
        <v>0</v>
      </c>
      <c r="W49" s="58">
        <v>0</v>
      </c>
      <c r="X49" s="57">
        <v>0</v>
      </c>
      <c r="Y49" s="58" t="s">
        <v>981</v>
      </c>
      <c r="Z49" s="57">
        <v>0</v>
      </c>
      <c r="AA49" s="58">
        <v>0</v>
      </c>
      <c r="AB49" s="57">
        <v>0</v>
      </c>
      <c r="AC49" s="58">
        <v>2</v>
      </c>
      <c r="AD49" s="57">
        <v>6.2353858144972721E-4</v>
      </c>
      <c r="AE49" s="59">
        <v>0</v>
      </c>
      <c r="AF49" s="60">
        <v>0</v>
      </c>
      <c r="AG49" s="59">
        <v>1.0799136069114472E-3</v>
      </c>
      <c r="AH49" s="60">
        <v>1.0799136069114472E-3</v>
      </c>
    </row>
    <row r="50" spans="1:34" x14ac:dyDescent="0.35">
      <c r="A50" t="s">
        <v>49</v>
      </c>
      <c r="B50" s="53" t="s">
        <v>50</v>
      </c>
      <c r="C50" s="53" t="s">
        <v>716</v>
      </c>
      <c r="D50" s="53" t="s">
        <v>648</v>
      </c>
      <c r="E50" s="53" t="s">
        <v>623</v>
      </c>
      <c r="F50" s="53" t="s">
        <v>624</v>
      </c>
      <c r="G50" s="53" t="s">
        <v>625</v>
      </c>
      <c r="H50" s="53" t="s">
        <v>649</v>
      </c>
      <c r="I50" s="54">
        <v>31</v>
      </c>
      <c r="J50" s="54">
        <v>4</v>
      </c>
      <c r="K50" s="54">
        <v>3</v>
      </c>
      <c r="L50" s="54">
        <v>3</v>
      </c>
      <c r="M50" s="54">
        <v>0</v>
      </c>
      <c r="N50" s="54">
        <v>0</v>
      </c>
      <c r="O50" s="54">
        <v>32</v>
      </c>
      <c r="P50" s="55">
        <v>31.5</v>
      </c>
      <c r="Q50" s="56">
        <v>9.5238095238095233E-2</v>
      </c>
      <c r="R50" s="57">
        <v>9.5238095238095233E-2</v>
      </c>
      <c r="S50" s="57">
        <v>0</v>
      </c>
      <c r="T50" s="57">
        <v>0</v>
      </c>
      <c r="U50" s="58" t="s">
        <v>981</v>
      </c>
      <c r="V50" s="57">
        <v>0</v>
      </c>
      <c r="W50" s="58" t="s">
        <v>981</v>
      </c>
      <c r="X50" s="57">
        <v>0</v>
      </c>
      <c r="Y50" s="58">
        <v>0</v>
      </c>
      <c r="Z50" s="57">
        <v>0</v>
      </c>
      <c r="AA50" s="58">
        <v>0</v>
      </c>
      <c r="AB50" s="57">
        <v>0</v>
      </c>
      <c r="AC50" s="58">
        <v>3</v>
      </c>
      <c r="AD50" s="57">
        <v>9.3530787217459082E-4</v>
      </c>
      <c r="AE50" s="59">
        <v>4.4883303411131061E-4</v>
      </c>
      <c r="AF50" s="60">
        <v>4.4883303411131061E-4</v>
      </c>
      <c r="AG50" s="59">
        <v>1.0799136069114472E-3</v>
      </c>
      <c r="AH50" s="60">
        <v>1.0799136069114472E-3</v>
      </c>
    </row>
    <row r="51" spans="1:34" x14ac:dyDescent="0.35">
      <c r="A51" t="s">
        <v>51</v>
      </c>
      <c r="B51" s="61" t="s">
        <v>52</v>
      </c>
      <c r="C51" s="53" t="s">
        <v>717</v>
      </c>
      <c r="D51" s="53" t="s">
        <v>656</v>
      </c>
      <c r="E51" s="53" t="s">
        <v>657</v>
      </c>
      <c r="F51" s="53" t="s">
        <v>658</v>
      </c>
      <c r="G51" s="53" t="s">
        <v>636</v>
      </c>
      <c r="H51" s="53" t="s">
        <v>718</v>
      </c>
      <c r="I51" s="54">
        <v>23</v>
      </c>
      <c r="J51" s="54">
        <v>3</v>
      </c>
      <c r="K51" s="54">
        <v>1</v>
      </c>
      <c r="L51" s="54">
        <v>1</v>
      </c>
      <c r="M51" s="54">
        <v>0</v>
      </c>
      <c r="N51" s="54">
        <v>0</v>
      </c>
      <c r="O51" s="54">
        <v>25</v>
      </c>
      <c r="P51" s="55">
        <v>24</v>
      </c>
      <c r="Q51" s="56">
        <v>4.1666666666666664E-2</v>
      </c>
      <c r="R51" s="57">
        <v>4.1666666666666664E-2</v>
      </c>
      <c r="S51" s="57">
        <v>0</v>
      </c>
      <c r="T51" s="57">
        <v>0</v>
      </c>
      <c r="U51" s="58">
        <v>0</v>
      </c>
      <c r="V51" s="57">
        <v>0</v>
      </c>
      <c r="W51" s="58">
        <v>0</v>
      </c>
      <c r="X51" s="57">
        <v>0</v>
      </c>
      <c r="Y51" s="58">
        <v>0</v>
      </c>
      <c r="Z51" s="57">
        <v>0</v>
      </c>
      <c r="AA51" s="58">
        <v>0</v>
      </c>
      <c r="AB51" s="57">
        <v>0</v>
      </c>
      <c r="AC51" s="58">
        <v>1</v>
      </c>
      <c r="AD51" s="57">
        <v>3.1176929072486361E-4</v>
      </c>
      <c r="AE51" s="59">
        <v>0</v>
      </c>
      <c r="AF51" s="60">
        <v>0</v>
      </c>
      <c r="AG51" s="59">
        <v>5.3995680345572358E-4</v>
      </c>
      <c r="AH51" s="60">
        <v>5.3995680345572358E-4</v>
      </c>
    </row>
    <row r="52" spans="1:34" x14ac:dyDescent="0.35">
      <c r="A52" t="s">
        <v>53</v>
      </c>
      <c r="B52" s="53" t="s">
        <v>54</v>
      </c>
      <c r="C52" s="53" t="s">
        <v>719</v>
      </c>
      <c r="D52" s="53" t="s">
        <v>691</v>
      </c>
      <c r="E52" s="53" t="s">
        <v>657</v>
      </c>
      <c r="F52" s="53" t="s">
        <v>658</v>
      </c>
      <c r="G52" s="53" t="s">
        <v>668</v>
      </c>
      <c r="H52" s="53" t="s">
        <v>632</v>
      </c>
      <c r="I52" s="54">
        <v>14</v>
      </c>
      <c r="J52" s="54">
        <v>0</v>
      </c>
      <c r="K52" s="54">
        <v>1</v>
      </c>
      <c r="L52" s="54">
        <v>1</v>
      </c>
      <c r="M52" s="54">
        <v>0</v>
      </c>
      <c r="N52" s="54">
        <v>0</v>
      </c>
      <c r="O52" s="54">
        <v>13</v>
      </c>
      <c r="P52" s="55">
        <v>13.5</v>
      </c>
      <c r="Q52" s="56">
        <v>7.407407407407407E-2</v>
      </c>
      <c r="R52" s="57">
        <v>7.407407407407407E-2</v>
      </c>
      <c r="S52" s="57">
        <v>0</v>
      </c>
      <c r="T52" s="57">
        <v>0</v>
      </c>
      <c r="U52" s="58">
        <v>0</v>
      </c>
      <c r="V52" s="57">
        <v>0</v>
      </c>
      <c r="W52" s="58" t="s">
        <v>981</v>
      </c>
      <c r="X52" s="57">
        <v>0</v>
      </c>
      <c r="Y52" s="58">
        <v>0</v>
      </c>
      <c r="Z52" s="57">
        <v>0</v>
      </c>
      <c r="AA52" s="58">
        <v>0</v>
      </c>
      <c r="AB52" s="57">
        <v>0</v>
      </c>
      <c r="AC52" s="58">
        <v>1</v>
      </c>
      <c r="AD52" s="57">
        <v>3.1176929072486361E-4</v>
      </c>
      <c r="AE52" s="59">
        <v>0</v>
      </c>
      <c r="AF52" s="60">
        <v>0</v>
      </c>
      <c r="AG52" s="59">
        <v>5.3995680345572358E-4</v>
      </c>
      <c r="AH52" s="60">
        <v>5.3995680345572358E-4</v>
      </c>
    </row>
    <row r="53" spans="1:34" x14ac:dyDescent="0.35">
      <c r="A53" t="s">
        <v>55</v>
      </c>
      <c r="B53" s="61" t="s">
        <v>56</v>
      </c>
      <c r="C53" s="53" t="s">
        <v>57</v>
      </c>
      <c r="D53" s="53" t="s">
        <v>707</v>
      </c>
      <c r="E53" s="53" t="s">
        <v>629</v>
      </c>
      <c r="F53" s="53" t="s">
        <v>635</v>
      </c>
      <c r="G53" s="53" t="s">
        <v>668</v>
      </c>
      <c r="H53" s="53" t="s">
        <v>708</v>
      </c>
      <c r="I53" s="54">
        <v>10</v>
      </c>
      <c r="J53" s="54">
        <v>1</v>
      </c>
      <c r="K53" s="54">
        <v>0</v>
      </c>
      <c r="L53" s="54">
        <v>0</v>
      </c>
      <c r="M53" s="54">
        <v>0</v>
      </c>
      <c r="N53" s="54">
        <v>0</v>
      </c>
      <c r="O53" s="54">
        <v>11</v>
      </c>
      <c r="P53" s="55">
        <v>10.5</v>
      </c>
      <c r="Q53" s="56">
        <v>0</v>
      </c>
      <c r="R53" s="57">
        <v>0</v>
      </c>
      <c r="S53" s="57">
        <v>0</v>
      </c>
      <c r="T53" s="57">
        <v>0</v>
      </c>
      <c r="U53" s="58">
        <v>0</v>
      </c>
      <c r="V53" s="57">
        <v>0</v>
      </c>
      <c r="W53" s="58" t="s">
        <v>981</v>
      </c>
      <c r="X53" s="57">
        <v>0</v>
      </c>
      <c r="Y53" s="58">
        <v>0</v>
      </c>
      <c r="Z53" s="57">
        <v>0</v>
      </c>
      <c r="AA53" s="58">
        <v>0</v>
      </c>
      <c r="AB53" s="57">
        <v>0</v>
      </c>
      <c r="AC53" s="58">
        <v>0</v>
      </c>
      <c r="AD53" s="57">
        <v>0</v>
      </c>
      <c r="AE53" s="59">
        <v>0</v>
      </c>
      <c r="AF53" s="60">
        <v>0</v>
      </c>
      <c r="AG53" s="59">
        <v>0</v>
      </c>
      <c r="AH53" s="60">
        <v>0</v>
      </c>
    </row>
    <row r="54" spans="1:34" x14ac:dyDescent="0.35">
      <c r="A54" t="s">
        <v>58</v>
      </c>
      <c r="B54" s="53" t="s">
        <v>59</v>
      </c>
      <c r="C54" s="53" t="s">
        <v>720</v>
      </c>
      <c r="D54" s="53" t="s">
        <v>651</v>
      </c>
      <c r="E54" s="53" t="s">
        <v>629</v>
      </c>
      <c r="F54" s="53" t="s">
        <v>630</v>
      </c>
      <c r="G54" s="53" t="s">
        <v>668</v>
      </c>
      <c r="H54" s="53" t="s">
        <v>705</v>
      </c>
      <c r="I54" s="54">
        <v>13</v>
      </c>
      <c r="J54" s="54">
        <v>0</v>
      </c>
      <c r="K54" s="54">
        <v>0</v>
      </c>
      <c r="L54" s="54">
        <v>0</v>
      </c>
      <c r="M54" s="54">
        <v>0</v>
      </c>
      <c r="N54" s="54">
        <v>0</v>
      </c>
      <c r="O54" s="54">
        <v>13</v>
      </c>
      <c r="P54" s="55">
        <v>13</v>
      </c>
      <c r="Q54" s="56">
        <v>0</v>
      </c>
      <c r="R54" s="57">
        <v>0</v>
      </c>
      <c r="S54" s="57">
        <v>0</v>
      </c>
      <c r="T54" s="57">
        <v>0</v>
      </c>
      <c r="U54" s="58" t="s">
        <v>981</v>
      </c>
      <c r="V54" s="57">
        <v>0</v>
      </c>
      <c r="W54" s="58">
        <v>0</v>
      </c>
      <c r="X54" s="57">
        <v>0</v>
      </c>
      <c r="Y54" s="58" t="s">
        <v>981</v>
      </c>
      <c r="Z54" s="57">
        <v>0</v>
      </c>
      <c r="AA54" s="58">
        <v>0</v>
      </c>
      <c r="AB54" s="57">
        <v>0</v>
      </c>
      <c r="AC54" s="58">
        <v>0</v>
      </c>
      <c r="AD54" s="57">
        <v>0</v>
      </c>
      <c r="AE54" s="59">
        <v>0</v>
      </c>
      <c r="AF54" s="60">
        <v>0</v>
      </c>
      <c r="AG54" s="59">
        <v>0</v>
      </c>
      <c r="AH54" s="60">
        <v>0</v>
      </c>
    </row>
    <row r="55" spans="1:34" x14ac:dyDescent="0.35">
      <c r="A55" t="s">
        <v>60</v>
      </c>
      <c r="B55" s="61" t="s">
        <v>61</v>
      </c>
      <c r="C55" s="53" t="s">
        <v>721</v>
      </c>
      <c r="D55" s="53" t="s">
        <v>651</v>
      </c>
      <c r="E55" s="53" t="s">
        <v>629</v>
      </c>
      <c r="F55" s="53" t="s">
        <v>630</v>
      </c>
      <c r="G55" s="53" t="s">
        <v>654</v>
      </c>
      <c r="H55" s="53" t="s">
        <v>705</v>
      </c>
      <c r="I55" s="54">
        <v>17</v>
      </c>
      <c r="J55" s="54">
        <v>2</v>
      </c>
      <c r="K55" s="54">
        <v>2</v>
      </c>
      <c r="L55" s="54">
        <v>2</v>
      </c>
      <c r="M55" s="54">
        <v>0</v>
      </c>
      <c r="N55" s="54">
        <v>0</v>
      </c>
      <c r="O55" s="54">
        <v>17</v>
      </c>
      <c r="P55" s="55">
        <v>17</v>
      </c>
      <c r="Q55" s="56">
        <v>0.11764705882352941</v>
      </c>
      <c r="R55" s="57">
        <v>0.11764705882352941</v>
      </c>
      <c r="S55" s="57">
        <v>0</v>
      </c>
      <c r="T55" s="57">
        <v>0</v>
      </c>
      <c r="U55" s="58">
        <v>0</v>
      </c>
      <c r="V55" s="57">
        <v>0</v>
      </c>
      <c r="W55" s="58" t="s">
        <v>981</v>
      </c>
      <c r="X55" s="57">
        <v>0</v>
      </c>
      <c r="Y55" s="58">
        <v>0</v>
      </c>
      <c r="Z55" s="57">
        <v>0</v>
      </c>
      <c r="AA55" s="58">
        <v>0</v>
      </c>
      <c r="AB55" s="57">
        <v>0</v>
      </c>
      <c r="AC55" s="58">
        <v>2</v>
      </c>
      <c r="AD55" s="57">
        <v>6.2353858144972721E-4</v>
      </c>
      <c r="AE55" s="59">
        <v>0</v>
      </c>
      <c r="AF55" s="60">
        <v>0</v>
      </c>
      <c r="AG55" s="59">
        <v>1.0799136069114472E-3</v>
      </c>
      <c r="AH55" s="60">
        <v>1.0799136069114472E-3</v>
      </c>
    </row>
    <row r="56" spans="1:34" x14ac:dyDescent="0.35">
      <c r="A56" t="s">
        <v>62</v>
      </c>
      <c r="B56" s="53" t="s">
        <v>63</v>
      </c>
      <c r="C56" s="53" t="s">
        <v>722</v>
      </c>
      <c r="D56" s="53" t="s">
        <v>645</v>
      </c>
      <c r="E56" s="53" t="s">
        <v>629</v>
      </c>
      <c r="F56" s="53" t="s">
        <v>646</v>
      </c>
      <c r="G56" s="53" t="s">
        <v>636</v>
      </c>
      <c r="H56" s="53" t="s">
        <v>632</v>
      </c>
      <c r="I56" s="54">
        <v>21</v>
      </c>
      <c r="J56" s="54">
        <v>1</v>
      </c>
      <c r="K56" s="54">
        <v>3</v>
      </c>
      <c r="L56" s="54">
        <v>3</v>
      </c>
      <c r="M56" s="54">
        <v>0</v>
      </c>
      <c r="N56" s="54">
        <v>0</v>
      </c>
      <c r="O56" s="54">
        <v>19</v>
      </c>
      <c r="P56" s="55">
        <v>20</v>
      </c>
      <c r="Q56" s="56">
        <v>0.15</v>
      </c>
      <c r="R56" s="57">
        <v>0.15</v>
      </c>
      <c r="S56" s="57">
        <v>0</v>
      </c>
      <c r="T56" s="57">
        <v>0</v>
      </c>
      <c r="U56" s="58">
        <v>0</v>
      </c>
      <c r="V56" s="57">
        <v>0</v>
      </c>
      <c r="W56" s="58" t="s">
        <v>981</v>
      </c>
      <c r="X56" s="57">
        <v>0</v>
      </c>
      <c r="Y56" s="58">
        <v>0</v>
      </c>
      <c r="Z56" s="57">
        <v>0</v>
      </c>
      <c r="AA56" s="58">
        <v>0</v>
      </c>
      <c r="AB56" s="57">
        <v>0</v>
      </c>
      <c r="AC56" s="58">
        <v>3</v>
      </c>
      <c r="AD56" s="57">
        <v>9.3530787217459082E-4</v>
      </c>
      <c r="AE56" s="59">
        <v>0</v>
      </c>
      <c r="AF56" s="60">
        <v>0</v>
      </c>
      <c r="AG56" s="59">
        <v>1.6198704103671706E-3</v>
      </c>
      <c r="AH56" s="60">
        <v>1.6198704103671706E-3</v>
      </c>
    </row>
    <row r="57" spans="1:34" x14ac:dyDescent="0.35">
      <c r="A57" t="s">
        <v>64</v>
      </c>
      <c r="B57" s="61" t="s">
        <v>65</v>
      </c>
      <c r="C57" s="53" t="s">
        <v>723</v>
      </c>
      <c r="D57" s="53" t="s">
        <v>651</v>
      </c>
      <c r="E57" s="53" t="s">
        <v>629</v>
      </c>
      <c r="F57" s="53" t="s">
        <v>630</v>
      </c>
      <c r="G57" s="53" t="s">
        <v>654</v>
      </c>
      <c r="H57" s="53" t="s">
        <v>705</v>
      </c>
      <c r="I57" s="54">
        <v>14</v>
      </c>
      <c r="J57" s="54">
        <v>2</v>
      </c>
      <c r="K57" s="54">
        <v>1</v>
      </c>
      <c r="L57" s="54">
        <v>1</v>
      </c>
      <c r="M57" s="54">
        <v>0</v>
      </c>
      <c r="N57" s="54">
        <v>0</v>
      </c>
      <c r="O57" s="54">
        <v>15</v>
      </c>
      <c r="P57" s="55">
        <v>14.5</v>
      </c>
      <c r="Q57" s="56">
        <v>6.8965517241379309E-2</v>
      </c>
      <c r="R57" s="57">
        <v>6.8965517241379309E-2</v>
      </c>
      <c r="S57" s="57">
        <v>0</v>
      </c>
      <c r="T57" s="57">
        <v>0</v>
      </c>
      <c r="U57" s="58">
        <v>0</v>
      </c>
      <c r="V57" s="57">
        <v>0</v>
      </c>
      <c r="W57" s="58" t="s">
        <v>981</v>
      </c>
      <c r="X57" s="57">
        <v>0</v>
      </c>
      <c r="Y57" s="58">
        <v>0</v>
      </c>
      <c r="Z57" s="57">
        <v>0</v>
      </c>
      <c r="AA57" s="58">
        <v>0</v>
      </c>
      <c r="AB57" s="57">
        <v>0</v>
      </c>
      <c r="AC57" s="58">
        <v>1</v>
      </c>
      <c r="AD57" s="57">
        <v>3.1176929072486361E-4</v>
      </c>
      <c r="AE57" s="59">
        <v>4.4883303411131061E-4</v>
      </c>
      <c r="AF57" s="60">
        <v>4.4883303411131061E-4</v>
      </c>
      <c r="AG57" s="59">
        <v>0</v>
      </c>
      <c r="AH57" s="60">
        <v>0</v>
      </c>
    </row>
    <row r="58" spans="1:34" x14ac:dyDescent="0.35">
      <c r="A58" t="s">
        <v>66</v>
      </c>
      <c r="B58" s="53" t="s">
        <v>67</v>
      </c>
      <c r="C58" s="53" t="s">
        <v>724</v>
      </c>
      <c r="D58" s="53" t="s">
        <v>645</v>
      </c>
      <c r="E58" s="53" t="s">
        <v>629</v>
      </c>
      <c r="F58" s="53" t="s">
        <v>646</v>
      </c>
      <c r="G58" s="53" t="s">
        <v>654</v>
      </c>
      <c r="H58" s="53" t="s">
        <v>632</v>
      </c>
      <c r="I58" s="54">
        <v>17</v>
      </c>
      <c r="J58" s="54">
        <v>1</v>
      </c>
      <c r="K58" s="54">
        <v>0</v>
      </c>
      <c r="L58" s="54">
        <v>0</v>
      </c>
      <c r="M58" s="54">
        <v>0</v>
      </c>
      <c r="N58" s="54">
        <v>0</v>
      </c>
      <c r="O58" s="54">
        <v>18</v>
      </c>
      <c r="P58" s="55">
        <v>17.5</v>
      </c>
      <c r="Q58" s="56">
        <v>0</v>
      </c>
      <c r="R58" s="57">
        <v>0</v>
      </c>
      <c r="S58" s="57">
        <v>0</v>
      </c>
      <c r="T58" s="57">
        <v>0</v>
      </c>
      <c r="U58" s="58">
        <v>0</v>
      </c>
      <c r="V58" s="57">
        <v>0</v>
      </c>
      <c r="W58" s="58">
        <v>0</v>
      </c>
      <c r="X58" s="57">
        <v>0</v>
      </c>
      <c r="Y58" s="58">
        <v>0</v>
      </c>
      <c r="Z58" s="57">
        <v>0</v>
      </c>
      <c r="AA58" s="58">
        <v>0</v>
      </c>
      <c r="AB58" s="57">
        <v>0</v>
      </c>
      <c r="AC58" s="58">
        <v>0</v>
      </c>
      <c r="AD58" s="57">
        <v>0</v>
      </c>
      <c r="AE58" s="59">
        <v>0</v>
      </c>
      <c r="AF58" s="60">
        <v>0</v>
      </c>
      <c r="AG58" s="59">
        <v>0</v>
      </c>
      <c r="AH58" s="60">
        <v>0</v>
      </c>
    </row>
    <row r="59" spans="1:34" x14ac:dyDescent="0.35">
      <c r="A59" t="s">
        <v>68</v>
      </c>
      <c r="B59" s="61" t="s">
        <v>69</v>
      </c>
      <c r="C59" s="53" t="s">
        <v>70</v>
      </c>
      <c r="D59" s="53" t="s">
        <v>670</v>
      </c>
      <c r="E59" s="53" t="s">
        <v>657</v>
      </c>
      <c r="F59" s="53" t="s">
        <v>641</v>
      </c>
      <c r="G59" s="53" t="s">
        <v>636</v>
      </c>
      <c r="H59" s="53" t="s">
        <v>671</v>
      </c>
      <c r="I59" s="54">
        <v>17</v>
      </c>
      <c r="J59" s="54">
        <v>6</v>
      </c>
      <c r="K59" s="54">
        <v>3</v>
      </c>
      <c r="L59" s="54">
        <v>3</v>
      </c>
      <c r="M59" s="54">
        <v>0</v>
      </c>
      <c r="N59" s="54">
        <v>0</v>
      </c>
      <c r="O59" s="54">
        <v>20</v>
      </c>
      <c r="P59" s="55">
        <v>18.5</v>
      </c>
      <c r="Q59" s="56">
        <v>0.16216216216216217</v>
      </c>
      <c r="R59" s="57">
        <v>0.16216216216216217</v>
      </c>
      <c r="S59" s="57">
        <v>0</v>
      </c>
      <c r="T59" s="57">
        <v>0</v>
      </c>
      <c r="U59" s="58">
        <v>0</v>
      </c>
      <c r="V59" s="57">
        <v>0</v>
      </c>
      <c r="W59" s="58" t="s">
        <v>981</v>
      </c>
      <c r="X59" s="57">
        <v>0</v>
      </c>
      <c r="Y59" s="58">
        <v>0</v>
      </c>
      <c r="Z59" s="57">
        <v>0</v>
      </c>
      <c r="AA59" s="58">
        <v>0</v>
      </c>
      <c r="AB59" s="57">
        <v>0</v>
      </c>
      <c r="AC59" s="58">
        <v>3</v>
      </c>
      <c r="AD59" s="57">
        <v>9.3530787217459082E-4</v>
      </c>
      <c r="AE59" s="59">
        <v>8.9766606822262122E-4</v>
      </c>
      <c r="AF59" s="60">
        <v>8.9766606822262122E-4</v>
      </c>
      <c r="AG59" s="59">
        <v>5.3995680345572358E-4</v>
      </c>
      <c r="AH59" s="60">
        <v>5.3995680345572358E-4</v>
      </c>
    </row>
    <row r="60" spans="1:34" x14ac:dyDescent="0.35">
      <c r="A60" t="s">
        <v>73</v>
      </c>
      <c r="B60" s="53" t="s">
        <v>74</v>
      </c>
      <c r="C60" s="53" t="s">
        <v>75</v>
      </c>
      <c r="D60" s="53" t="s">
        <v>648</v>
      </c>
      <c r="E60" s="53" t="s">
        <v>623</v>
      </c>
      <c r="F60" s="53" t="s">
        <v>624</v>
      </c>
      <c r="G60" s="53" t="s">
        <v>654</v>
      </c>
      <c r="H60" s="53" t="s">
        <v>725</v>
      </c>
      <c r="I60" s="54">
        <v>16</v>
      </c>
      <c r="J60" s="54">
        <v>3</v>
      </c>
      <c r="K60" s="54">
        <v>2</v>
      </c>
      <c r="L60" s="54">
        <v>2</v>
      </c>
      <c r="M60" s="54">
        <v>0</v>
      </c>
      <c r="N60" s="54">
        <v>0</v>
      </c>
      <c r="O60" s="54">
        <v>17</v>
      </c>
      <c r="P60" s="55">
        <v>16.5</v>
      </c>
      <c r="Q60" s="56">
        <v>0.12121212121212122</v>
      </c>
      <c r="R60" s="57">
        <v>0.12121212121212122</v>
      </c>
      <c r="S60" s="57">
        <v>0</v>
      </c>
      <c r="T60" s="57">
        <v>0</v>
      </c>
      <c r="U60" s="58" t="s">
        <v>981</v>
      </c>
      <c r="V60" s="57">
        <v>0</v>
      </c>
      <c r="W60" s="58">
        <v>0</v>
      </c>
      <c r="X60" s="57">
        <v>0</v>
      </c>
      <c r="Y60" s="58">
        <v>0</v>
      </c>
      <c r="Z60" s="57">
        <v>0</v>
      </c>
      <c r="AA60" s="58">
        <v>0</v>
      </c>
      <c r="AB60" s="57">
        <v>0</v>
      </c>
      <c r="AC60" s="58">
        <v>2</v>
      </c>
      <c r="AD60" s="57">
        <v>6.2353858144972721E-4</v>
      </c>
      <c r="AE60" s="59">
        <v>0</v>
      </c>
      <c r="AF60" s="60">
        <v>0</v>
      </c>
      <c r="AG60" s="59">
        <v>1.0799136069114472E-3</v>
      </c>
      <c r="AH60" s="60">
        <v>1.0799136069114472E-3</v>
      </c>
    </row>
    <row r="61" spans="1:34" x14ac:dyDescent="0.35">
      <c r="A61" t="s">
        <v>76</v>
      </c>
      <c r="B61" s="61" t="s">
        <v>77</v>
      </c>
      <c r="C61" s="53" t="s">
        <v>726</v>
      </c>
      <c r="D61" s="53" t="s">
        <v>645</v>
      </c>
      <c r="E61" s="53" t="s">
        <v>629</v>
      </c>
      <c r="F61" s="53" t="s">
        <v>646</v>
      </c>
      <c r="G61" s="53" t="s">
        <v>636</v>
      </c>
      <c r="H61" s="53" t="s">
        <v>632</v>
      </c>
      <c r="I61" s="54">
        <v>24</v>
      </c>
      <c r="J61" s="54">
        <v>5</v>
      </c>
      <c r="K61" s="54">
        <v>5</v>
      </c>
      <c r="L61" s="54">
        <v>4</v>
      </c>
      <c r="M61" s="54">
        <v>0</v>
      </c>
      <c r="N61" s="54">
        <v>1</v>
      </c>
      <c r="O61" s="54">
        <v>24</v>
      </c>
      <c r="P61" s="55">
        <v>24</v>
      </c>
      <c r="Q61" s="56">
        <v>0.20833333333333334</v>
      </c>
      <c r="R61" s="57">
        <v>0.16666666666666666</v>
      </c>
      <c r="S61" s="57">
        <v>0</v>
      </c>
      <c r="T61" s="57">
        <v>4.1666666666666664E-2</v>
      </c>
      <c r="U61" s="58">
        <v>0</v>
      </c>
      <c r="V61" s="57">
        <v>0</v>
      </c>
      <c r="W61" s="58">
        <v>0</v>
      </c>
      <c r="X61" s="57">
        <v>0</v>
      </c>
      <c r="Y61" s="58">
        <v>0</v>
      </c>
      <c r="Z61" s="57">
        <v>0</v>
      </c>
      <c r="AA61" s="58" t="s">
        <v>981</v>
      </c>
      <c r="AB61" s="57">
        <v>0</v>
      </c>
      <c r="AC61" s="58">
        <v>4</v>
      </c>
      <c r="AD61" s="57">
        <v>1.2470771628994544E-3</v>
      </c>
      <c r="AE61" s="59">
        <v>4.4883303411131061E-4</v>
      </c>
      <c r="AF61" s="60">
        <v>0</v>
      </c>
      <c r="AG61" s="59">
        <v>2.1598272138228943E-3</v>
      </c>
      <c r="AH61" s="60">
        <v>2.1598272138228943E-3</v>
      </c>
    </row>
    <row r="62" spans="1:34" x14ac:dyDescent="0.35">
      <c r="A62" t="s">
        <v>78</v>
      </c>
      <c r="B62" s="53" t="s">
        <v>79</v>
      </c>
      <c r="C62" s="53" t="s">
        <v>727</v>
      </c>
      <c r="D62" s="53" t="s">
        <v>661</v>
      </c>
      <c r="E62" s="53" t="s">
        <v>657</v>
      </c>
      <c r="F62" s="53" t="s">
        <v>658</v>
      </c>
      <c r="G62" s="53" t="s">
        <v>654</v>
      </c>
      <c r="H62" s="53" t="s">
        <v>632</v>
      </c>
      <c r="I62" s="54">
        <v>18</v>
      </c>
      <c r="J62" s="54">
        <v>1</v>
      </c>
      <c r="K62" s="54">
        <v>1</v>
      </c>
      <c r="L62" s="54">
        <v>1</v>
      </c>
      <c r="M62" s="54">
        <v>0</v>
      </c>
      <c r="N62" s="54">
        <v>0</v>
      </c>
      <c r="O62" s="54">
        <v>18</v>
      </c>
      <c r="P62" s="55">
        <v>18</v>
      </c>
      <c r="Q62" s="56">
        <v>5.5555555555555552E-2</v>
      </c>
      <c r="R62" s="57">
        <v>5.5555555555555552E-2</v>
      </c>
      <c r="S62" s="57">
        <v>0</v>
      </c>
      <c r="T62" s="57">
        <v>0</v>
      </c>
      <c r="U62" s="58">
        <v>0</v>
      </c>
      <c r="V62" s="57">
        <v>0</v>
      </c>
      <c r="W62" s="58" t="s">
        <v>981</v>
      </c>
      <c r="X62" s="57">
        <v>0</v>
      </c>
      <c r="Y62" s="58">
        <v>0</v>
      </c>
      <c r="Z62" s="57">
        <v>0</v>
      </c>
      <c r="AA62" s="58">
        <v>0</v>
      </c>
      <c r="AB62" s="57">
        <v>0</v>
      </c>
      <c r="AC62" s="58">
        <v>1</v>
      </c>
      <c r="AD62" s="57">
        <v>3.1176929072486361E-4</v>
      </c>
      <c r="AE62" s="59">
        <v>4.4883303411131061E-4</v>
      </c>
      <c r="AF62" s="60">
        <v>4.4883303411131061E-4</v>
      </c>
      <c r="AG62" s="59">
        <v>0</v>
      </c>
      <c r="AH62" s="60">
        <v>0</v>
      </c>
    </row>
    <row r="63" spans="1:34" x14ac:dyDescent="0.35">
      <c r="A63" t="s">
        <v>80</v>
      </c>
      <c r="B63" s="61" t="s">
        <v>81</v>
      </c>
      <c r="C63" s="53" t="s">
        <v>728</v>
      </c>
      <c r="D63" s="53" t="s">
        <v>628</v>
      </c>
      <c r="E63" s="53" t="s">
        <v>629</v>
      </c>
      <c r="F63" s="53" t="s">
        <v>630</v>
      </c>
      <c r="G63" s="53" t="s">
        <v>654</v>
      </c>
      <c r="H63" s="53" t="s">
        <v>632</v>
      </c>
      <c r="I63" s="54">
        <v>20</v>
      </c>
      <c r="J63" s="54">
        <v>5</v>
      </c>
      <c r="K63" s="54">
        <v>4</v>
      </c>
      <c r="L63" s="54">
        <v>3</v>
      </c>
      <c r="M63" s="54">
        <v>1</v>
      </c>
      <c r="N63" s="54">
        <v>0</v>
      </c>
      <c r="O63" s="54">
        <v>21</v>
      </c>
      <c r="P63" s="55">
        <v>20.5</v>
      </c>
      <c r="Q63" s="56">
        <v>0.1951219512195122</v>
      </c>
      <c r="R63" s="57">
        <v>0.14634146341463414</v>
      </c>
      <c r="S63" s="57">
        <v>4.878048780487805E-2</v>
      </c>
      <c r="T63" s="57">
        <v>0</v>
      </c>
      <c r="U63" s="58">
        <v>1</v>
      </c>
      <c r="V63" s="57">
        <v>5.763688760806916E-3</v>
      </c>
      <c r="W63" s="58" t="s">
        <v>981</v>
      </c>
      <c r="X63" s="57">
        <v>0</v>
      </c>
      <c r="Y63" s="58">
        <v>0</v>
      </c>
      <c r="Z63" s="57">
        <v>0</v>
      </c>
      <c r="AA63" s="58">
        <v>0</v>
      </c>
      <c r="AB63" s="57">
        <v>0</v>
      </c>
      <c r="AC63" s="58">
        <v>2</v>
      </c>
      <c r="AD63" s="57">
        <v>6.2353858144972721E-4</v>
      </c>
      <c r="AE63" s="59">
        <v>8.9766606822262122E-4</v>
      </c>
      <c r="AF63" s="60">
        <v>8.9766606822262122E-4</v>
      </c>
      <c r="AG63" s="59">
        <v>1.0799136069114472E-3</v>
      </c>
      <c r="AH63" s="60">
        <v>5.3995680345572358E-4</v>
      </c>
    </row>
    <row r="64" spans="1:34" x14ac:dyDescent="0.35">
      <c r="A64" t="s">
        <v>82</v>
      </c>
      <c r="B64" s="53" t="s">
        <v>83</v>
      </c>
      <c r="C64" s="53" t="s">
        <v>729</v>
      </c>
      <c r="D64" s="53" t="s">
        <v>661</v>
      </c>
      <c r="E64" s="53" t="s">
        <v>657</v>
      </c>
      <c r="F64" s="53" t="s">
        <v>662</v>
      </c>
      <c r="G64" s="53" t="s">
        <v>642</v>
      </c>
      <c r="H64" s="53" t="s">
        <v>632</v>
      </c>
      <c r="I64" s="54">
        <v>12</v>
      </c>
      <c r="J64" s="54">
        <v>1</v>
      </c>
      <c r="K64" s="54">
        <v>1</v>
      </c>
      <c r="L64" s="54">
        <v>1</v>
      </c>
      <c r="M64" s="54">
        <v>0</v>
      </c>
      <c r="N64" s="54">
        <v>0</v>
      </c>
      <c r="O64" s="54">
        <v>12</v>
      </c>
      <c r="P64" s="55">
        <v>12</v>
      </c>
      <c r="Q64" s="56">
        <v>8.3333333333333329E-2</v>
      </c>
      <c r="R64" s="57">
        <v>8.3333333333333329E-2</v>
      </c>
      <c r="S64" s="57">
        <v>0</v>
      </c>
      <c r="T64" s="57">
        <v>0</v>
      </c>
      <c r="U64" s="58" t="s">
        <v>981</v>
      </c>
      <c r="V64" s="57">
        <v>0</v>
      </c>
      <c r="W64" s="58" t="s">
        <v>981</v>
      </c>
      <c r="X64" s="57">
        <v>0</v>
      </c>
      <c r="Y64" s="58" t="s">
        <v>981</v>
      </c>
      <c r="Z64" s="57">
        <v>0</v>
      </c>
      <c r="AA64" s="58">
        <v>0</v>
      </c>
      <c r="AB64" s="57">
        <v>0</v>
      </c>
      <c r="AC64" s="58">
        <v>1</v>
      </c>
      <c r="AD64" s="57">
        <v>3.1176929072486361E-4</v>
      </c>
      <c r="AE64" s="59">
        <v>0</v>
      </c>
      <c r="AF64" s="60">
        <v>0</v>
      </c>
      <c r="AG64" s="59">
        <v>5.3995680345572358E-4</v>
      </c>
      <c r="AH64" s="60">
        <v>5.3995680345572358E-4</v>
      </c>
    </row>
    <row r="65" spans="1:34" x14ac:dyDescent="0.35">
      <c r="A65" t="s">
        <v>84</v>
      </c>
      <c r="B65" s="61" t="s">
        <v>85</v>
      </c>
      <c r="C65" s="53" t="s">
        <v>86</v>
      </c>
      <c r="D65" s="53" t="s">
        <v>622</v>
      </c>
      <c r="E65" s="53" t="s">
        <v>623</v>
      </c>
      <c r="F65" s="53" t="s">
        <v>624</v>
      </c>
      <c r="G65" s="53" t="s">
        <v>642</v>
      </c>
      <c r="H65" s="53" t="s">
        <v>730</v>
      </c>
      <c r="I65" s="54">
        <v>8</v>
      </c>
      <c r="J65" s="54">
        <v>0</v>
      </c>
      <c r="K65" s="54">
        <v>0</v>
      </c>
      <c r="L65" s="54">
        <v>0</v>
      </c>
      <c r="M65" s="54">
        <v>0</v>
      </c>
      <c r="N65" s="54">
        <v>0</v>
      </c>
      <c r="O65" s="54">
        <v>8</v>
      </c>
      <c r="P65" s="55">
        <v>8</v>
      </c>
      <c r="Q65" s="56">
        <v>0</v>
      </c>
      <c r="R65" s="57">
        <v>0</v>
      </c>
      <c r="S65" s="57">
        <v>0</v>
      </c>
      <c r="T65" s="57">
        <v>0</v>
      </c>
      <c r="U65" s="58">
        <v>0</v>
      </c>
      <c r="V65" s="57">
        <v>0</v>
      </c>
      <c r="W65" s="58" t="s">
        <v>981</v>
      </c>
      <c r="X65" s="57">
        <v>0</v>
      </c>
      <c r="Y65" s="58" t="s">
        <v>981</v>
      </c>
      <c r="Z65" s="57">
        <v>0</v>
      </c>
      <c r="AA65" s="58">
        <v>0</v>
      </c>
      <c r="AB65" s="57">
        <v>0</v>
      </c>
      <c r="AC65" s="58">
        <v>0</v>
      </c>
      <c r="AD65" s="57">
        <v>0</v>
      </c>
      <c r="AE65" s="59">
        <v>0</v>
      </c>
      <c r="AF65" s="60">
        <v>0</v>
      </c>
      <c r="AG65" s="59">
        <v>0</v>
      </c>
      <c r="AH65" s="60">
        <v>0</v>
      </c>
    </row>
    <row r="66" spans="1:34" x14ac:dyDescent="0.35">
      <c r="A66" t="s">
        <v>87</v>
      </c>
      <c r="B66" s="53" t="s">
        <v>88</v>
      </c>
      <c r="C66" s="53" t="s">
        <v>731</v>
      </c>
      <c r="D66" s="53" t="s">
        <v>661</v>
      </c>
      <c r="E66" s="53" t="s">
        <v>657</v>
      </c>
      <c r="F66" s="53" t="s">
        <v>662</v>
      </c>
      <c r="G66" s="53" t="s">
        <v>642</v>
      </c>
      <c r="H66" s="53" t="s">
        <v>632</v>
      </c>
      <c r="I66" s="54">
        <v>11</v>
      </c>
      <c r="J66" s="54">
        <v>5</v>
      </c>
      <c r="K66" s="54">
        <v>2</v>
      </c>
      <c r="L66" s="54">
        <v>2</v>
      </c>
      <c r="M66" s="54">
        <v>0</v>
      </c>
      <c r="N66" s="54">
        <v>0</v>
      </c>
      <c r="O66" s="54">
        <v>14</v>
      </c>
      <c r="P66" s="55">
        <v>12.5</v>
      </c>
      <c r="Q66" s="56">
        <v>0.16</v>
      </c>
      <c r="R66" s="57">
        <v>0.16</v>
      </c>
      <c r="S66" s="57">
        <v>0</v>
      </c>
      <c r="T66" s="57">
        <v>0</v>
      </c>
      <c r="U66" s="58">
        <v>0</v>
      </c>
      <c r="V66" s="57">
        <v>0</v>
      </c>
      <c r="W66" s="58" t="s">
        <v>981</v>
      </c>
      <c r="X66" s="57">
        <v>0</v>
      </c>
      <c r="Y66" s="58">
        <v>0</v>
      </c>
      <c r="Z66" s="57">
        <v>0</v>
      </c>
      <c r="AA66" s="58" t="s">
        <v>981</v>
      </c>
      <c r="AB66" s="57">
        <v>0</v>
      </c>
      <c r="AC66" s="58">
        <v>2</v>
      </c>
      <c r="AD66" s="57">
        <v>6.2353858144972721E-4</v>
      </c>
      <c r="AE66" s="59">
        <v>0</v>
      </c>
      <c r="AF66" s="60">
        <v>0</v>
      </c>
      <c r="AG66" s="59">
        <v>1.0799136069114472E-3</v>
      </c>
      <c r="AH66" s="60">
        <v>1.0799136069114472E-3</v>
      </c>
    </row>
    <row r="67" spans="1:34" x14ac:dyDescent="0.35">
      <c r="A67" t="s">
        <v>89</v>
      </c>
      <c r="B67" s="61" t="s">
        <v>90</v>
      </c>
      <c r="C67" s="53" t="s">
        <v>732</v>
      </c>
      <c r="D67" s="53" t="s">
        <v>666</v>
      </c>
      <c r="E67" s="53" t="s">
        <v>629</v>
      </c>
      <c r="F67" s="53" t="s">
        <v>635</v>
      </c>
      <c r="G67" s="53" t="s">
        <v>636</v>
      </c>
      <c r="H67" s="53" t="s">
        <v>637</v>
      </c>
      <c r="I67" s="54">
        <v>17</v>
      </c>
      <c r="J67" s="54">
        <v>2</v>
      </c>
      <c r="K67" s="54">
        <v>7</v>
      </c>
      <c r="L67" s="54">
        <v>7</v>
      </c>
      <c r="M67" s="54">
        <v>0</v>
      </c>
      <c r="N67" s="54">
        <v>0</v>
      </c>
      <c r="O67" s="54">
        <v>12</v>
      </c>
      <c r="P67" s="55">
        <v>14.5</v>
      </c>
      <c r="Q67" s="56">
        <v>0.48275862068965519</v>
      </c>
      <c r="R67" s="57">
        <v>0.48275862068965519</v>
      </c>
      <c r="S67" s="57">
        <v>0</v>
      </c>
      <c r="T67" s="57">
        <v>0</v>
      </c>
      <c r="U67" s="58" t="s">
        <v>981</v>
      </c>
      <c r="V67" s="57">
        <v>0</v>
      </c>
      <c r="W67" s="58">
        <v>0</v>
      </c>
      <c r="X67" s="57">
        <v>0</v>
      </c>
      <c r="Y67" s="58">
        <v>0</v>
      </c>
      <c r="Z67" s="57">
        <v>0</v>
      </c>
      <c r="AA67" s="58" t="s">
        <v>981</v>
      </c>
      <c r="AB67" s="57">
        <v>0</v>
      </c>
      <c r="AC67" s="58">
        <v>7</v>
      </c>
      <c r="AD67" s="57">
        <v>2.182385035074045E-3</v>
      </c>
      <c r="AE67" s="59">
        <v>0</v>
      </c>
      <c r="AF67" s="60">
        <v>0</v>
      </c>
      <c r="AG67" s="59">
        <v>3.7796976241900649E-3</v>
      </c>
      <c r="AH67" s="60">
        <v>3.7796976241900649E-3</v>
      </c>
    </row>
    <row r="68" spans="1:34" x14ac:dyDescent="0.35">
      <c r="A68" t="s">
        <v>91</v>
      </c>
      <c r="B68" s="53" t="s">
        <v>92</v>
      </c>
      <c r="C68" s="53" t="s">
        <v>733</v>
      </c>
      <c r="D68" s="53" t="s">
        <v>634</v>
      </c>
      <c r="E68" s="53" t="s">
        <v>629</v>
      </c>
      <c r="F68" s="53" t="s">
        <v>630</v>
      </c>
      <c r="G68" s="53" t="s">
        <v>636</v>
      </c>
      <c r="H68" s="53" t="s">
        <v>734</v>
      </c>
      <c r="I68" s="54">
        <v>22</v>
      </c>
      <c r="J68" s="54">
        <v>3</v>
      </c>
      <c r="K68" s="54">
        <v>4</v>
      </c>
      <c r="L68" s="54">
        <v>4</v>
      </c>
      <c r="M68" s="54">
        <v>0</v>
      </c>
      <c r="N68" s="54">
        <v>0</v>
      </c>
      <c r="O68" s="54">
        <v>21</v>
      </c>
      <c r="P68" s="55">
        <v>21.5</v>
      </c>
      <c r="Q68" s="56">
        <v>0.18604651162790697</v>
      </c>
      <c r="R68" s="57">
        <v>0.18604651162790697</v>
      </c>
      <c r="S68" s="57">
        <v>0</v>
      </c>
      <c r="T68" s="57">
        <v>0</v>
      </c>
      <c r="U68" s="58">
        <v>0</v>
      </c>
      <c r="V68" s="57">
        <v>0</v>
      </c>
      <c r="W68" s="58" t="s">
        <v>981</v>
      </c>
      <c r="X68" s="57">
        <v>0</v>
      </c>
      <c r="Y68" s="58">
        <v>0</v>
      </c>
      <c r="Z68" s="57">
        <v>0</v>
      </c>
      <c r="AA68" s="58">
        <v>0</v>
      </c>
      <c r="AB68" s="57">
        <v>0</v>
      </c>
      <c r="AC68" s="58">
        <v>4</v>
      </c>
      <c r="AD68" s="57">
        <v>1.2470771628994544E-3</v>
      </c>
      <c r="AE68" s="59">
        <v>0</v>
      </c>
      <c r="AF68" s="60">
        <v>0</v>
      </c>
      <c r="AG68" s="59">
        <v>2.1598272138228943E-3</v>
      </c>
      <c r="AH68" s="60">
        <v>2.1598272138228943E-3</v>
      </c>
    </row>
    <row r="69" spans="1:34" x14ac:dyDescent="0.35">
      <c r="A69" t="s">
        <v>93</v>
      </c>
      <c r="B69" s="61" t="s">
        <v>94</v>
      </c>
      <c r="C69" s="53" t="s">
        <v>735</v>
      </c>
      <c r="D69" s="53" t="s">
        <v>691</v>
      </c>
      <c r="E69" s="53" t="s">
        <v>657</v>
      </c>
      <c r="F69" s="53" t="s">
        <v>658</v>
      </c>
      <c r="G69" s="53" t="s">
        <v>654</v>
      </c>
      <c r="H69" s="53" t="s">
        <v>632</v>
      </c>
      <c r="I69" s="54">
        <v>16</v>
      </c>
      <c r="J69" s="54">
        <v>3</v>
      </c>
      <c r="K69" s="54">
        <v>3</v>
      </c>
      <c r="L69" s="54">
        <v>2</v>
      </c>
      <c r="M69" s="54">
        <v>1</v>
      </c>
      <c r="N69" s="54">
        <v>0</v>
      </c>
      <c r="O69" s="54">
        <v>16</v>
      </c>
      <c r="P69" s="55">
        <v>16</v>
      </c>
      <c r="Q69" s="56">
        <v>0.1875</v>
      </c>
      <c r="R69" s="57">
        <v>0.125</v>
      </c>
      <c r="S69" s="57">
        <v>6.25E-2</v>
      </c>
      <c r="T69" s="57">
        <v>0</v>
      </c>
      <c r="U69" s="58">
        <v>0</v>
      </c>
      <c r="V69" s="57">
        <v>0</v>
      </c>
      <c r="W69" s="58">
        <v>0</v>
      </c>
      <c r="X69" s="57">
        <v>0</v>
      </c>
      <c r="Y69" s="58">
        <v>0</v>
      </c>
      <c r="Z69" s="57">
        <v>0</v>
      </c>
      <c r="AA69" s="58">
        <v>0</v>
      </c>
      <c r="AB69" s="57">
        <v>0</v>
      </c>
      <c r="AC69" s="58">
        <v>2</v>
      </c>
      <c r="AD69" s="57">
        <v>6.2353858144972721E-4</v>
      </c>
      <c r="AE69" s="59">
        <v>4.4883303411131061E-4</v>
      </c>
      <c r="AF69" s="60">
        <v>0</v>
      </c>
      <c r="AG69" s="59">
        <v>1.0799136069114472E-3</v>
      </c>
      <c r="AH69" s="60">
        <v>1.0799136069114472E-3</v>
      </c>
    </row>
    <row r="70" spans="1:34" x14ac:dyDescent="0.35">
      <c r="A70" t="s">
        <v>95</v>
      </c>
      <c r="B70" s="53" t="s">
        <v>96</v>
      </c>
      <c r="C70" s="53" t="s">
        <v>736</v>
      </c>
      <c r="D70" s="53" t="s">
        <v>737</v>
      </c>
      <c r="E70" s="53" t="s">
        <v>657</v>
      </c>
      <c r="F70" s="53" t="s">
        <v>641</v>
      </c>
      <c r="G70" s="53" t="s">
        <v>636</v>
      </c>
      <c r="H70" s="53" t="s">
        <v>738</v>
      </c>
      <c r="I70" s="54">
        <v>19</v>
      </c>
      <c r="J70" s="54">
        <v>2</v>
      </c>
      <c r="K70" s="54">
        <v>1</v>
      </c>
      <c r="L70" s="54">
        <v>1</v>
      </c>
      <c r="M70" s="54">
        <v>0</v>
      </c>
      <c r="N70" s="54">
        <v>0</v>
      </c>
      <c r="O70" s="54">
        <v>20</v>
      </c>
      <c r="P70" s="55">
        <v>19.5</v>
      </c>
      <c r="Q70" s="56">
        <v>5.128205128205128E-2</v>
      </c>
      <c r="R70" s="57">
        <v>5.128205128205128E-2</v>
      </c>
      <c r="S70" s="57">
        <v>0</v>
      </c>
      <c r="T70" s="57">
        <v>0</v>
      </c>
      <c r="U70" s="58">
        <v>0</v>
      </c>
      <c r="V70" s="57">
        <v>0</v>
      </c>
      <c r="W70" s="58">
        <v>0</v>
      </c>
      <c r="X70" s="57">
        <v>0</v>
      </c>
      <c r="Y70" s="58">
        <v>0</v>
      </c>
      <c r="Z70" s="57">
        <v>0</v>
      </c>
      <c r="AA70" s="58">
        <v>0</v>
      </c>
      <c r="AB70" s="57">
        <v>0</v>
      </c>
      <c r="AC70" s="58">
        <v>1</v>
      </c>
      <c r="AD70" s="57">
        <v>3.1176929072486361E-4</v>
      </c>
      <c r="AE70" s="59">
        <v>0</v>
      </c>
      <c r="AF70" s="60">
        <v>0</v>
      </c>
      <c r="AG70" s="59">
        <v>5.3995680345572358E-4</v>
      </c>
      <c r="AH70" s="60">
        <v>5.3995680345572358E-4</v>
      </c>
    </row>
    <row r="71" spans="1:34" x14ac:dyDescent="0.35">
      <c r="A71" t="s">
        <v>97</v>
      </c>
      <c r="B71" s="61" t="s">
        <v>98</v>
      </c>
      <c r="C71" s="53" t="s">
        <v>99</v>
      </c>
      <c r="D71" s="53" t="s">
        <v>666</v>
      </c>
      <c r="E71" s="53" t="s">
        <v>629</v>
      </c>
      <c r="F71" s="53" t="s">
        <v>635</v>
      </c>
      <c r="G71" s="53" t="s">
        <v>654</v>
      </c>
      <c r="H71" s="53" t="s">
        <v>739</v>
      </c>
      <c r="I71" s="54">
        <v>16</v>
      </c>
      <c r="J71" s="54">
        <v>1</v>
      </c>
      <c r="K71" s="54">
        <v>0</v>
      </c>
      <c r="L71" s="54">
        <v>0</v>
      </c>
      <c r="M71" s="54">
        <v>0</v>
      </c>
      <c r="N71" s="54">
        <v>0</v>
      </c>
      <c r="O71" s="54">
        <v>17</v>
      </c>
      <c r="P71" s="55">
        <v>16.5</v>
      </c>
      <c r="Q71" s="56">
        <v>0</v>
      </c>
      <c r="R71" s="57">
        <v>0</v>
      </c>
      <c r="S71" s="57">
        <v>0</v>
      </c>
      <c r="T71" s="57">
        <v>0</v>
      </c>
      <c r="U71" s="58" t="s">
        <v>981</v>
      </c>
      <c r="V71" s="57">
        <v>0</v>
      </c>
      <c r="W71" s="58">
        <v>0</v>
      </c>
      <c r="X71" s="57">
        <v>0</v>
      </c>
      <c r="Y71" s="58">
        <v>0</v>
      </c>
      <c r="Z71" s="57">
        <v>0</v>
      </c>
      <c r="AA71" s="58">
        <v>0</v>
      </c>
      <c r="AB71" s="57">
        <v>0</v>
      </c>
      <c r="AC71" s="58">
        <v>0</v>
      </c>
      <c r="AD71" s="57">
        <v>0</v>
      </c>
      <c r="AE71" s="59">
        <v>0</v>
      </c>
      <c r="AF71" s="60">
        <v>0</v>
      </c>
      <c r="AG71" s="59">
        <v>0</v>
      </c>
      <c r="AH71" s="60">
        <v>0</v>
      </c>
    </row>
    <row r="72" spans="1:34" x14ac:dyDescent="0.35">
      <c r="A72" t="s">
        <v>100</v>
      </c>
      <c r="B72" s="53" t="s">
        <v>101</v>
      </c>
      <c r="C72" s="53" t="s">
        <v>740</v>
      </c>
      <c r="D72" s="53" t="s">
        <v>651</v>
      </c>
      <c r="E72" s="53" t="s">
        <v>629</v>
      </c>
      <c r="F72" s="53" t="s">
        <v>630</v>
      </c>
      <c r="G72" s="53" t="s">
        <v>654</v>
      </c>
      <c r="H72" s="53" t="s">
        <v>705</v>
      </c>
      <c r="I72" s="54">
        <v>16</v>
      </c>
      <c r="J72" s="54">
        <v>1</v>
      </c>
      <c r="K72" s="54">
        <v>0</v>
      </c>
      <c r="L72" s="54">
        <v>0</v>
      </c>
      <c r="M72" s="54">
        <v>0</v>
      </c>
      <c r="N72" s="54">
        <v>0</v>
      </c>
      <c r="O72" s="54">
        <v>17</v>
      </c>
      <c r="P72" s="55">
        <v>16.5</v>
      </c>
      <c r="Q72" s="56">
        <v>0</v>
      </c>
      <c r="R72" s="57">
        <v>0</v>
      </c>
      <c r="S72" s="57">
        <v>0</v>
      </c>
      <c r="T72" s="57">
        <v>0</v>
      </c>
      <c r="U72" s="58" t="s">
        <v>981</v>
      </c>
      <c r="V72" s="57">
        <v>0</v>
      </c>
      <c r="W72" s="58">
        <v>0</v>
      </c>
      <c r="X72" s="57">
        <v>0</v>
      </c>
      <c r="Y72" s="58">
        <v>0</v>
      </c>
      <c r="Z72" s="57">
        <v>0</v>
      </c>
      <c r="AA72" s="58">
        <v>0</v>
      </c>
      <c r="AB72" s="57">
        <v>0</v>
      </c>
      <c r="AC72" s="58">
        <v>0</v>
      </c>
      <c r="AD72" s="57">
        <v>0</v>
      </c>
      <c r="AE72" s="59">
        <v>0</v>
      </c>
      <c r="AF72" s="60">
        <v>0</v>
      </c>
      <c r="AG72" s="59">
        <v>0</v>
      </c>
      <c r="AH72" s="60">
        <v>0</v>
      </c>
    </row>
    <row r="73" spans="1:34" x14ac:dyDescent="0.35">
      <c r="A73" t="s">
        <v>102</v>
      </c>
      <c r="B73" s="61" t="s">
        <v>103</v>
      </c>
      <c r="C73" s="53" t="s">
        <v>104</v>
      </c>
      <c r="D73" s="53" t="s">
        <v>707</v>
      </c>
      <c r="E73" s="53" t="s">
        <v>629</v>
      </c>
      <c r="F73" s="53" t="s">
        <v>635</v>
      </c>
      <c r="G73" s="53" t="s">
        <v>654</v>
      </c>
      <c r="H73" s="53" t="s">
        <v>708</v>
      </c>
      <c r="I73" s="54">
        <v>13</v>
      </c>
      <c r="J73" s="54">
        <v>7</v>
      </c>
      <c r="K73" s="54">
        <v>3</v>
      </c>
      <c r="L73" s="54">
        <v>3</v>
      </c>
      <c r="M73" s="54">
        <v>0</v>
      </c>
      <c r="N73" s="54">
        <v>0</v>
      </c>
      <c r="O73" s="54">
        <v>17</v>
      </c>
      <c r="P73" s="55">
        <v>15</v>
      </c>
      <c r="Q73" s="56">
        <v>0.2</v>
      </c>
      <c r="R73" s="57">
        <v>0.2</v>
      </c>
      <c r="S73" s="57">
        <v>0</v>
      </c>
      <c r="T73" s="57">
        <v>0</v>
      </c>
      <c r="U73" s="58">
        <v>0</v>
      </c>
      <c r="V73" s="57">
        <v>0</v>
      </c>
      <c r="W73" s="58">
        <v>0</v>
      </c>
      <c r="X73" s="57">
        <v>0</v>
      </c>
      <c r="Y73" s="58">
        <v>0</v>
      </c>
      <c r="Z73" s="57">
        <v>0</v>
      </c>
      <c r="AA73" s="58">
        <v>0</v>
      </c>
      <c r="AB73" s="57">
        <v>0</v>
      </c>
      <c r="AC73" s="58">
        <v>3</v>
      </c>
      <c r="AD73" s="57">
        <v>9.3530787217459082E-4</v>
      </c>
      <c r="AE73" s="59">
        <v>8.9766606822262122E-4</v>
      </c>
      <c r="AF73" s="60">
        <v>8.9766606822262122E-4</v>
      </c>
      <c r="AG73" s="59">
        <v>5.3995680345572358E-4</v>
      </c>
      <c r="AH73" s="60">
        <v>5.3995680345572358E-4</v>
      </c>
    </row>
    <row r="74" spans="1:34" x14ac:dyDescent="0.35">
      <c r="A74" t="s">
        <v>105</v>
      </c>
      <c r="B74" s="53" t="s">
        <v>106</v>
      </c>
      <c r="C74" s="53" t="s">
        <v>741</v>
      </c>
      <c r="D74" s="53" t="s">
        <v>622</v>
      </c>
      <c r="E74" s="53" t="s">
        <v>623</v>
      </c>
      <c r="F74" s="53" t="s">
        <v>624</v>
      </c>
      <c r="G74" s="53" t="s">
        <v>654</v>
      </c>
      <c r="H74" s="53" t="s">
        <v>626</v>
      </c>
      <c r="I74" s="54">
        <v>16</v>
      </c>
      <c r="J74" s="54">
        <v>3</v>
      </c>
      <c r="K74" s="54">
        <v>3</v>
      </c>
      <c r="L74" s="54">
        <v>3</v>
      </c>
      <c r="M74" s="54">
        <v>0</v>
      </c>
      <c r="N74" s="54">
        <v>0</v>
      </c>
      <c r="O74" s="54">
        <v>16</v>
      </c>
      <c r="P74" s="55">
        <v>16</v>
      </c>
      <c r="Q74" s="56">
        <v>0.1875</v>
      </c>
      <c r="R74" s="57">
        <v>0.1875</v>
      </c>
      <c r="S74" s="57">
        <v>0</v>
      </c>
      <c r="T74" s="57">
        <v>0</v>
      </c>
      <c r="U74" s="58">
        <v>0</v>
      </c>
      <c r="V74" s="57">
        <v>0</v>
      </c>
      <c r="W74" s="58">
        <v>0</v>
      </c>
      <c r="X74" s="57">
        <v>0</v>
      </c>
      <c r="Y74" s="58">
        <v>0</v>
      </c>
      <c r="Z74" s="57">
        <v>0</v>
      </c>
      <c r="AA74" s="58" t="s">
        <v>981</v>
      </c>
      <c r="AB74" s="57">
        <v>0</v>
      </c>
      <c r="AC74" s="58">
        <v>3</v>
      </c>
      <c r="AD74" s="57">
        <v>9.3530787217459082E-4</v>
      </c>
      <c r="AE74" s="59">
        <v>8.9766606822262122E-4</v>
      </c>
      <c r="AF74" s="60">
        <v>8.9766606822262122E-4</v>
      </c>
      <c r="AG74" s="59">
        <v>5.3995680345572358E-4</v>
      </c>
      <c r="AH74" s="60">
        <v>5.3995680345572358E-4</v>
      </c>
    </row>
    <row r="75" spans="1:34" x14ac:dyDescent="0.35">
      <c r="A75" t="s">
        <v>107</v>
      </c>
      <c r="B75" s="61" t="s">
        <v>108</v>
      </c>
      <c r="C75" s="53" t="s">
        <v>742</v>
      </c>
      <c r="D75" s="53" t="s">
        <v>691</v>
      </c>
      <c r="E75" s="53" t="s">
        <v>657</v>
      </c>
      <c r="F75" s="53" t="s">
        <v>658</v>
      </c>
      <c r="G75" s="53" t="s">
        <v>668</v>
      </c>
      <c r="H75" s="53" t="s">
        <v>632</v>
      </c>
      <c r="I75" s="54">
        <v>15</v>
      </c>
      <c r="J75" s="54">
        <v>0</v>
      </c>
      <c r="K75" s="54">
        <v>0</v>
      </c>
      <c r="L75" s="54">
        <v>0</v>
      </c>
      <c r="M75" s="54">
        <v>0</v>
      </c>
      <c r="N75" s="54">
        <v>0</v>
      </c>
      <c r="O75" s="54">
        <v>15</v>
      </c>
      <c r="P75" s="55">
        <v>15</v>
      </c>
      <c r="Q75" s="56">
        <v>0</v>
      </c>
      <c r="R75" s="57">
        <v>0</v>
      </c>
      <c r="S75" s="57">
        <v>0</v>
      </c>
      <c r="T75" s="57">
        <v>0</v>
      </c>
      <c r="U75" s="58">
        <v>0</v>
      </c>
      <c r="V75" s="57">
        <v>0</v>
      </c>
      <c r="W75" s="58" t="s">
        <v>981</v>
      </c>
      <c r="X75" s="57">
        <v>0</v>
      </c>
      <c r="Y75" s="58">
        <v>0</v>
      </c>
      <c r="Z75" s="57">
        <v>0</v>
      </c>
      <c r="AA75" s="58">
        <v>0</v>
      </c>
      <c r="AB75" s="57">
        <v>0</v>
      </c>
      <c r="AC75" s="58">
        <v>0</v>
      </c>
      <c r="AD75" s="57">
        <v>0</v>
      </c>
      <c r="AE75" s="59">
        <v>0</v>
      </c>
      <c r="AF75" s="60">
        <v>0</v>
      </c>
      <c r="AG75" s="59">
        <v>0</v>
      </c>
      <c r="AH75" s="60">
        <v>0</v>
      </c>
    </row>
    <row r="76" spans="1:34" x14ac:dyDescent="0.35">
      <c r="A76" t="s">
        <v>109</v>
      </c>
      <c r="B76" s="53" t="s">
        <v>110</v>
      </c>
      <c r="C76" s="53" t="s">
        <v>743</v>
      </c>
      <c r="D76" s="53" t="s">
        <v>684</v>
      </c>
      <c r="E76" s="53" t="s">
        <v>623</v>
      </c>
      <c r="F76" s="53" t="s">
        <v>662</v>
      </c>
      <c r="G76" s="53" t="s">
        <v>654</v>
      </c>
      <c r="H76" s="53" t="s">
        <v>685</v>
      </c>
      <c r="I76" s="54">
        <v>19</v>
      </c>
      <c r="J76" s="54">
        <v>0</v>
      </c>
      <c r="K76" s="54">
        <v>0</v>
      </c>
      <c r="L76" s="54">
        <v>0</v>
      </c>
      <c r="M76" s="54">
        <v>0</v>
      </c>
      <c r="N76" s="54">
        <v>0</v>
      </c>
      <c r="O76" s="54">
        <v>19</v>
      </c>
      <c r="P76" s="55">
        <v>19</v>
      </c>
      <c r="Q76" s="56">
        <v>0</v>
      </c>
      <c r="R76" s="57">
        <v>0</v>
      </c>
      <c r="S76" s="57">
        <v>0</v>
      </c>
      <c r="T76" s="57">
        <v>0</v>
      </c>
      <c r="U76" s="58">
        <v>0</v>
      </c>
      <c r="V76" s="57">
        <v>0</v>
      </c>
      <c r="W76" s="58">
        <v>0</v>
      </c>
      <c r="X76" s="57">
        <v>0</v>
      </c>
      <c r="Y76" s="58">
        <v>0</v>
      </c>
      <c r="Z76" s="57">
        <v>0</v>
      </c>
      <c r="AA76" s="58">
        <v>0</v>
      </c>
      <c r="AB76" s="57">
        <v>0</v>
      </c>
      <c r="AC76" s="58">
        <v>0</v>
      </c>
      <c r="AD76" s="57">
        <v>0</v>
      </c>
      <c r="AE76" s="59">
        <v>0</v>
      </c>
      <c r="AF76" s="60">
        <v>0</v>
      </c>
      <c r="AG76" s="59">
        <v>0</v>
      </c>
      <c r="AH76" s="60">
        <v>0</v>
      </c>
    </row>
    <row r="77" spans="1:34" x14ac:dyDescent="0.35">
      <c r="A77" t="s">
        <v>111</v>
      </c>
      <c r="B77" s="61" t="s">
        <v>112</v>
      </c>
      <c r="C77" s="53" t="s">
        <v>744</v>
      </c>
      <c r="D77" s="53" t="s">
        <v>651</v>
      </c>
      <c r="E77" s="53" t="s">
        <v>629</v>
      </c>
      <c r="F77" s="53" t="s">
        <v>630</v>
      </c>
      <c r="G77" s="53" t="s">
        <v>654</v>
      </c>
      <c r="H77" s="53" t="s">
        <v>652</v>
      </c>
      <c r="I77" s="54">
        <v>14</v>
      </c>
      <c r="J77" s="54">
        <v>0</v>
      </c>
      <c r="K77" s="54">
        <v>2</v>
      </c>
      <c r="L77" s="54">
        <v>2</v>
      </c>
      <c r="M77" s="54">
        <v>0</v>
      </c>
      <c r="N77" s="54">
        <v>0</v>
      </c>
      <c r="O77" s="54">
        <v>12</v>
      </c>
      <c r="P77" s="55">
        <v>13</v>
      </c>
      <c r="Q77" s="56">
        <v>0.15384615384615385</v>
      </c>
      <c r="R77" s="57">
        <v>0.15384615384615385</v>
      </c>
      <c r="S77" s="57">
        <v>0</v>
      </c>
      <c r="T77" s="57">
        <v>0</v>
      </c>
      <c r="U77" s="58">
        <v>0</v>
      </c>
      <c r="V77" s="57">
        <v>0</v>
      </c>
      <c r="W77" s="58" t="s">
        <v>981</v>
      </c>
      <c r="X77" s="57">
        <v>0</v>
      </c>
      <c r="Y77" s="58">
        <v>0</v>
      </c>
      <c r="Z77" s="57">
        <v>0</v>
      </c>
      <c r="AA77" s="58">
        <v>0</v>
      </c>
      <c r="AB77" s="57">
        <v>0</v>
      </c>
      <c r="AC77" s="58">
        <v>2</v>
      </c>
      <c r="AD77" s="57">
        <v>6.2353858144972721E-4</v>
      </c>
      <c r="AE77" s="59">
        <v>4.4883303411131061E-4</v>
      </c>
      <c r="AF77" s="60">
        <v>4.4883303411131061E-4</v>
      </c>
      <c r="AG77" s="59">
        <v>5.3995680345572358E-4</v>
      </c>
      <c r="AH77" s="60">
        <v>5.3995680345572358E-4</v>
      </c>
    </row>
    <row r="78" spans="1:34" x14ac:dyDescent="0.35">
      <c r="A78" t="s">
        <v>113</v>
      </c>
      <c r="B78" s="53" t="s">
        <v>114</v>
      </c>
      <c r="C78" s="53" t="s">
        <v>745</v>
      </c>
      <c r="D78" s="53" t="s">
        <v>661</v>
      </c>
      <c r="E78" s="53" t="s">
        <v>657</v>
      </c>
      <c r="F78" s="53" t="s">
        <v>662</v>
      </c>
      <c r="G78" s="53" t="s">
        <v>654</v>
      </c>
      <c r="H78" s="53" t="s">
        <v>632</v>
      </c>
      <c r="I78" s="54">
        <v>19</v>
      </c>
      <c r="J78" s="54">
        <v>2</v>
      </c>
      <c r="K78" s="54">
        <v>0</v>
      </c>
      <c r="L78" s="54">
        <v>0</v>
      </c>
      <c r="M78" s="54">
        <v>0</v>
      </c>
      <c r="N78" s="54">
        <v>0</v>
      </c>
      <c r="O78" s="54">
        <v>21</v>
      </c>
      <c r="P78" s="55">
        <v>20</v>
      </c>
      <c r="Q78" s="56">
        <v>0</v>
      </c>
      <c r="R78" s="57">
        <v>0</v>
      </c>
      <c r="S78" s="57">
        <v>0</v>
      </c>
      <c r="T78" s="57">
        <v>0</v>
      </c>
      <c r="U78" s="58">
        <v>0</v>
      </c>
      <c r="V78" s="57">
        <v>0</v>
      </c>
      <c r="W78" s="58">
        <v>0</v>
      </c>
      <c r="X78" s="57">
        <v>0</v>
      </c>
      <c r="Y78" s="58">
        <v>0</v>
      </c>
      <c r="Z78" s="57">
        <v>0</v>
      </c>
      <c r="AA78" s="58">
        <v>0</v>
      </c>
      <c r="AB78" s="57">
        <v>0</v>
      </c>
      <c r="AC78" s="58">
        <v>0</v>
      </c>
      <c r="AD78" s="57">
        <v>0</v>
      </c>
      <c r="AE78" s="59">
        <v>0</v>
      </c>
      <c r="AF78" s="60">
        <v>0</v>
      </c>
      <c r="AG78" s="59">
        <v>0</v>
      </c>
      <c r="AH78" s="60">
        <v>0</v>
      </c>
    </row>
    <row r="79" spans="1:34" x14ac:dyDescent="0.35">
      <c r="A79" t="s">
        <v>115</v>
      </c>
      <c r="B79" s="61" t="s">
        <v>116</v>
      </c>
      <c r="C79" s="53" t="s">
        <v>117</v>
      </c>
      <c r="D79" s="53" t="s">
        <v>670</v>
      </c>
      <c r="E79" s="53" t="s">
        <v>657</v>
      </c>
      <c r="F79" s="53" t="s">
        <v>641</v>
      </c>
      <c r="G79" s="53" t="s">
        <v>631</v>
      </c>
      <c r="H79" s="53" t="s">
        <v>671</v>
      </c>
      <c r="I79" s="54">
        <v>22</v>
      </c>
      <c r="J79" s="54">
        <v>3</v>
      </c>
      <c r="K79" s="54">
        <v>2</v>
      </c>
      <c r="L79" s="54">
        <v>2</v>
      </c>
      <c r="M79" s="54">
        <v>0</v>
      </c>
      <c r="N79" s="54">
        <v>0</v>
      </c>
      <c r="O79" s="54">
        <v>23</v>
      </c>
      <c r="P79" s="55">
        <v>22.5</v>
      </c>
      <c r="Q79" s="56">
        <v>8.8888888888888892E-2</v>
      </c>
      <c r="R79" s="57">
        <v>8.8888888888888892E-2</v>
      </c>
      <c r="S79" s="57">
        <v>0</v>
      </c>
      <c r="T79" s="57">
        <v>0</v>
      </c>
      <c r="U79" s="58">
        <v>0</v>
      </c>
      <c r="V79" s="57">
        <v>0</v>
      </c>
      <c r="W79" s="58" t="s">
        <v>981</v>
      </c>
      <c r="X79" s="57">
        <v>0</v>
      </c>
      <c r="Y79" s="58">
        <v>0</v>
      </c>
      <c r="Z79" s="57">
        <v>0</v>
      </c>
      <c r="AA79" s="58">
        <v>0</v>
      </c>
      <c r="AB79" s="57">
        <v>0</v>
      </c>
      <c r="AC79" s="58">
        <v>2</v>
      </c>
      <c r="AD79" s="57">
        <v>6.2353858144972721E-4</v>
      </c>
      <c r="AE79" s="59">
        <v>0</v>
      </c>
      <c r="AF79" s="60">
        <v>0</v>
      </c>
      <c r="AG79" s="59">
        <v>1.0799136069114472E-3</v>
      </c>
      <c r="AH79" s="60">
        <v>1.0799136069114472E-3</v>
      </c>
    </row>
    <row r="80" spans="1:34" x14ac:dyDescent="0.35">
      <c r="A80" t="s">
        <v>118</v>
      </c>
      <c r="B80" s="53" t="s">
        <v>119</v>
      </c>
      <c r="C80" s="53" t="s">
        <v>746</v>
      </c>
      <c r="D80" s="53" t="s">
        <v>656</v>
      </c>
      <c r="E80" s="53" t="s">
        <v>657</v>
      </c>
      <c r="F80" s="53" t="s">
        <v>658</v>
      </c>
      <c r="G80" s="53" t="s">
        <v>625</v>
      </c>
      <c r="H80" s="53" t="s">
        <v>632</v>
      </c>
      <c r="I80" s="54">
        <v>47</v>
      </c>
      <c r="J80" s="54">
        <v>5</v>
      </c>
      <c r="K80" s="54">
        <v>8</v>
      </c>
      <c r="L80" s="54">
        <v>8</v>
      </c>
      <c r="M80" s="54">
        <v>0</v>
      </c>
      <c r="N80" s="54">
        <v>0</v>
      </c>
      <c r="O80" s="54">
        <v>44</v>
      </c>
      <c r="P80" s="55">
        <v>45.5</v>
      </c>
      <c r="Q80" s="56">
        <v>0.17582417582417584</v>
      </c>
      <c r="R80" s="57">
        <v>0.17582417582417584</v>
      </c>
      <c r="S80" s="57">
        <v>0</v>
      </c>
      <c r="T80" s="57">
        <v>0</v>
      </c>
      <c r="U80" s="58">
        <v>0</v>
      </c>
      <c r="V80" s="57">
        <v>0</v>
      </c>
      <c r="W80" s="58">
        <v>0</v>
      </c>
      <c r="X80" s="57">
        <v>0</v>
      </c>
      <c r="Y80" s="58">
        <v>0</v>
      </c>
      <c r="Z80" s="57">
        <v>0</v>
      </c>
      <c r="AA80" s="58">
        <v>0</v>
      </c>
      <c r="AB80" s="57">
        <v>0</v>
      </c>
      <c r="AC80" s="58">
        <v>8</v>
      </c>
      <c r="AD80" s="57">
        <v>2.4941543257989088E-3</v>
      </c>
      <c r="AE80" s="59">
        <v>0</v>
      </c>
      <c r="AF80" s="60">
        <v>0</v>
      </c>
      <c r="AG80" s="59">
        <v>4.3196544276457886E-3</v>
      </c>
      <c r="AH80" s="60">
        <v>4.3196544276457886E-3</v>
      </c>
    </row>
    <row r="81" spans="1:34" x14ac:dyDescent="0.35">
      <c r="A81" t="s">
        <v>120</v>
      </c>
      <c r="B81" s="61" t="s">
        <v>121</v>
      </c>
      <c r="C81" s="53" t="s">
        <v>747</v>
      </c>
      <c r="D81" s="53" t="s">
        <v>673</v>
      </c>
      <c r="E81" s="53" t="s">
        <v>623</v>
      </c>
      <c r="F81" s="53" t="s">
        <v>641</v>
      </c>
      <c r="G81" s="53" t="s">
        <v>636</v>
      </c>
      <c r="H81" s="53" t="s">
        <v>748</v>
      </c>
      <c r="I81" s="54">
        <v>26</v>
      </c>
      <c r="J81" s="54">
        <v>1</v>
      </c>
      <c r="K81" s="54">
        <v>1</v>
      </c>
      <c r="L81" s="54">
        <v>1</v>
      </c>
      <c r="M81" s="54">
        <v>0</v>
      </c>
      <c r="N81" s="54">
        <v>0</v>
      </c>
      <c r="O81" s="54">
        <v>26</v>
      </c>
      <c r="P81" s="55">
        <v>26</v>
      </c>
      <c r="Q81" s="56">
        <v>3.8461538461538464E-2</v>
      </c>
      <c r="R81" s="57">
        <v>3.8461538461538464E-2</v>
      </c>
      <c r="S81" s="57">
        <v>0</v>
      </c>
      <c r="T81" s="57">
        <v>0</v>
      </c>
      <c r="U81" s="58">
        <v>0</v>
      </c>
      <c r="V81" s="57">
        <v>0</v>
      </c>
      <c r="W81" s="58" t="s">
        <v>981</v>
      </c>
      <c r="X81" s="57">
        <v>0</v>
      </c>
      <c r="Y81" s="58">
        <v>0</v>
      </c>
      <c r="Z81" s="57">
        <v>0</v>
      </c>
      <c r="AA81" s="58">
        <v>0</v>
      </c>
      <c r="AB81" s="57">
        <v>0</v>
      </c>
      <c r="AC81" s="58">
        <v>1</v>
      </c>
      <c r="AD81" s="57">
        <v>3.1176929072486361E-4</v>
      </c>
      <c r="AE81" s="59">
        <v>0</v>
      </c>
      <c r="AF81" s="60">
        <v>0</v>
      </c>
      <c r="AG81" s="59">
        <v>5.3995680345572358E-4</v>
      </c>
      <c r="AH81" s="60">
        <v>5.3995680345572358E-4</v>
      </c>
    </row>
    <row r="82" spans="1:34" x14ac:dyDescent="0.35">
      <c r="A82" t="s">
        <v>124</v>
      </c>
      <c r="B82" s="53" t="s">
        <v>125</v>
      </c>
      <c r="C82" s="53" t="s">
        <v>749</v>
      </c>
      <c r="D82" s="53" t="s">
        <v>661</v>
      </c>
      <c r="E82" s="53" t="s">
        <v>657</v>
      </c>
      <c r="F82" s="53" t="s">
        <v>662</v>
      </c>
      <c r="G82" s="53" t="s">
        <v>654</v>
      </c>
      <c r="H82" s="53" t="s">
        <v>632</v>
      </c>
      <c r="I82" s="54">
        <v>17</v>
      </c>
      <c r="J82" s="54">
        <v>2</v>
      </c>
      <c r="K82" s="54">
        <v>2</v>
      </c>
      <c r="L82" s="54">
        <v>2</v>
      </c>
      <c r="M82" s="54">
        <v>0</v>
      </c>
      <c r="N82" s="54">
        <v>0</v>
      </c>
      <c r="O82" s="54">
        <v>17</v>
      </c>
      <c r="P82" s="55">
        <v>17</v>
      </c>
      <c r="Q82" s="56">
        <v>0.11764705882352941</v>
      </c>
      <c r="R82" s="57">
        <v>0.11764705882352941</v>
      </c>
      <c r="S82" s="57">
        <v>0</v>
      </c>
      <c r="T82" s="57">
        <v>0</v>
      </c>
      <c r="U82" s="58">
        <v>0</v>
      </c>
      <c r="V82" s="57">
        <v>0</v>
      </c>
      <c r="W82" s="58">
        <v>0</v>
      </c>
      <c r="X82" s="57">
        <v>0</v>
      </c>
      <c r="Y82" s="58">
        <v>0</v>
      </c>
      <c r="Z82" s="57">
        <v>0</v>
      </c>
      <c r="AA82" s="58">
        <v>0</v>
      </c>
      <c r="AB82" s="57">
        <v>0</v>
      </c>
      <c r="AC82" s="58">
        <v>2</v>
      </c>
      <c r="AD82" s="57">
        <v>6.2353858144972721E-4</v>
      </c>
      <c r="AE82" s="59">
        <v>4.4883303411131061E-4</v>
      </c>
      <c r="AF82" s="60">
        <v>4.4883303411131061E-4</v>
      </c>
      <c r="AG82" s="59">
        <v>5.3995680345572358E-4</v>
      </c>
      <c r="AH82" s="60">
        <v>5.3995680345572358E-4</v>
      </c>
    </row>
    <row r="83" spans="1:34" x14ac:dyDescent="0.35">
      <c r="A83" t="s">
        <v>126</v>
      </c>
      <c r="B83" s="61" t="s">
        <v>127</v>
      </c>
      <c r="C83" s="53" t="s">
        <v>750</v>
      </c>
      <c r="D83" s="53" t="s">
        <v>628</v>
      </c>
      <c r="E83" s="53" t="s">
        <v>629</v>
      </c>
      <c r="F83" s="53" t="s">
        <v>630</v>
      </c>
      <c r="G83" s="53" t="s">
        <v>654</v>
      </c>
      <c r="H83" s="53" t="s">
        <v>632</v>
      </c>
      <c r="I83" s="54">
        <v>26</v>
      </c>
      <c r="J83" s="54">
        <v>5</v>
      </c>
      <c r="K83" s="54">
        <v>7</v>
      </c>
      <c r="L83" s="54">
        <v>7</v>
      </c>
      <c r="M83" s="54">
        <v>0</v>
      </c>
      <c r="N83" s="54">
        <v>0</v>
      </c>
      <c r="O83" s="54">
        <v>24</v>
      </c>
      <c r="P83" s="55">
        <v>25</v>
      </c>
      <c r="Q83" s="56">
        <v>0.28000000000000003</v>
      </c>
      <c r="R83" s="57">
        <v>0.28000000000000003</v>
      </c>
      <c r="S83" s="57">
        <v>0</v>
      </c>
      <c r="T83" s="57">
        <v>0</v>
      </c>
      <c r="U83" s="58">
        <v>0</v>
      </c>
      <c r="V83" s="57">
        <v>0</v>
      </c>
      <c r="W83" s="58">
        <v>0</v>
      </c>
      <c r="X83" s="57">
        <v>0</v>
      </c>
      <c r="Y83" s="58" t="s">
        <v>981</v>
      </c>
      <c r="Z83" s="57">
        <v>0</v>
      </c>
      <c r="AA83" s="58">
        <v>0</v>
      </c>
      <c r="AB83" s="57">
        <v>0</v>
      </c>
      <c r="AC83" s="58">
        <v>7</v>
      </c>
      <c r="AD83" s="57">
        <v>2.182385035074045E-3</v>
      </c>
      <c r="AE83" s="59">
        <v>4.4883303411131061E-4</v>
      </c>
      <c r="AF83" s="60">
        <v>4.4883303411131061E-4</v>
      </c>
      <c r="AG83" s="59">
        <v>3.2397408207343412E-3</v>
      </c>
      <c r="AH83" s="60">
        <v>3.2397408207343412E-3</v>
      </c>
    </row>
    <row r="84" spans="1:34" x14ac:dyDescent="0.35">
      <c r="A84" t="s">
        <v>128</v>
      </c>
      <c r="B84" s="53" t="s">
        <v>129</v>
      </c>
      <c r="C84" s="53" t="s">
        <v>751</v>
      </c>
      <c r="D84" s="53" t="s">
        <v>678</v>
      </c>
      <c r="E84" s="53" t="s">
        <v>623</v>
      </c>
      <c r="F84" s="53" t="s">
        <v>624</v>
      </c>
      <c r="G84" s="53" t="s">
        <v>636</v>
      </c>
      <c r="H84" s="53" t="s">
        <v>679</v>
      </c>
      <c r="I84" s="54">
        <v>24</v>
      </c>
      <c r="J84" s="54">
        <v>3</v>
      </c>
      <c r="K84" s="54">
        <v>2</v>
      </c>
      <c r="L84" s="54">
        <v>2</v>
      </c>
      <c r="M84" s="54">
        <v>0</v>
      </c>
      <c r="N84" s="54">
        <v>0</v>
      </c>
      <c r="O84" s="54">
        <v>25</v>
      </c>
      <c r="P84" s="55">
        <v>24.5</v>
      </c>
      <c r="Q84" s="56">
        <v>8.1632653061224483E-2</v>
      </c>
      <c r="R84" s="57">
        <v>8.1632653061224483E-2</v>
      </c>
      <c r="S84" s="57">
        <v>0</v>
      </c>
      <c r="T84" s="57">
        <v>0</v>
      </c>
      <c r="U84" s="58">
        <v>0</v>
      </c>
      <c r="V84" s="57">
        <v>0</v>
      </c>
      <c r="W84" s="58" t="s">
        <v>981</v>
      </c>
      <c r="X84" s="57">
        <v>0</v>
      </c>
      <c r="Y84" s="58" t="s">
        <v>981</v>
      </c>
      <c r="Z84" s="57">
        <v>0</v>
      </c>
      <c r="AA84" s="58">
        <v>0</v>
      </c>
      <c r="AB84" s="57">
        <v>0</v>
      </c>
      <c r="AC84" s="58">
        <v>2</v>
      </c>
      <c r="AD84" s="57">
        <v>6.2353858144972721E-4</v>
      </c>
      <c r="AE84" s="59">
        <v>8.9766606822262122E-4</v>
      </c>
      <c r="AF84" s="60">
        <v>8.9766606822262122E-4</v>
      </c>
      <c r="AG84" s="59">
        <v>0</v>
      </c>
      <c r="AH84" s="60">
        <v>0</v>
      </c>
    </row>
    <row r="85" spans="1:34" x14ac:dyDescent="0.35">
      <c r="A85" t="s">
        <v>130</v>
      </c>
      <c r="B85" s="61" t="s">
        <v>131</v>
      </c>
      <c r="C85" s="53" t="s">
        <v>132</v>
      </c>
      <c r="D85" s="53" t="s">
        <v>670</v>
      </c>
      <c r="E85" s="53" t="s">
        <v>657</v>
      </c>
      <c r="F85" s="53" t="s">
        <v>641</v>
      </c>
      <c r="G85" s="53" t="s">
        <v>654</v>
      </c>
      <c r="H85" s="53" t="s">
        <v>752</v>
      </c>
      <c r="I85" s="54">
        <v>12</v>
      </c>
      <c r="J85" s="54">
        <v>0</v>
      </c>
      <c r="K85" s="54">
        <v>0</v>
      </c>
      <c r="L85" s="54">
        <v>0</v>
      </c>
      <c r="M85" s="54">
        <v>0</v>
      </c>
      <c r="N85" s="54">
        <v>0</v>
      </c>
      <c r="O85" s="54">
        <v>12</v>
      </c>
      <c r="P85" s="55">
        <v>12</v>
      </c>
      <c r="Q85" s="56">
        <v>0</v>
      </c>
      <c r="R85" s="57">
        <v>0</v>
      </c>
      <c r="S85" s="57">
        <v>0</v>
      </c>
      <c r="T85" s="57">
        <v>0</v>
      </c>
      <c r="U85" s="58">
        <v>0</v>
      </c>
      <c r="V85" s="57">
        <v>0</v>
      </c>
      <c r="W85" s="58" t="s">
        <v>981</v>
      </c>
      <c r="X85" s="57">
        <v>0</v>
      </c>
      <c r="Y85" s="58">
        <v>0</v>
      </c>
      <c r="Z85" s="57">
        <v>0</v>
      </c>
      <c r="AA85" s="58" t="s">
        <v>981</v>
      </c>
      <c r="AB85" s="57">
        <v>0</v>
      </c>
      <c r="AC85" s="58">
        <v>0</v>
      </c>
      <c r="AD85" s="57">
        <v>0</v>
      </c>
      <c r="AE85" s="59">
        <v>0</v>
      </c>
      <c r="AF85" s="60">
        <v>0</v>
      </c>
      <c r="AG85" s="59">
        <v>0</v>
      </c>
      <c r="AH85" s="60">
        <v>0</v>
      </c>
    </row>
    <row r="86" spans="1:34" x14ac:dyDescent="0.35">
      <c r="A86" t="s">
        <v>135</v>
      </c>
      <c r="B86" s="53" t="s">
        <v>136</v>
      </c>
      <c r="C86" s="53" t="s">
        <v>753</v>
      </c>
      <c r="D86" s="53" t="s">
        <v>651</v>
      </c>
      <c r="E86" s="53" t="s">
        <v>629</v>
      </c>
      <c r="F86" s="53" t="s">
        <v>630</v>
      </c>
      <c r="G86" s="53" t="s">
        <v>668</v>
      </c>
      <c r="H86" s="53" t="s">
        <v>652</v>
      </c>
      <c r="I86" s="54">
        <v>12</v>
      </c>
      <c r="J86" s="54">
        <v>0</v>
      </c>
      <c r="K86" s="54">
        <v>0</v>
      </c>
      <c r="L86" s="54">
        <v>0</v>
      </c>
      <c r="M86" s="54">
        <v>0</v>
      </c>
      <c r="N86" s="54">
        <v>0</v>
      </c>
      <c r="O86" s="54">
        <v>12</v>
      </c>
      <c r="P86" s="55">
        <v>12</v>
      </c>
      <c r="Q86" s="56">
        <v>0</v>
      </c>
      <c r="R86" s="57">
        <v>0</v>
      </c>
      <c r="S86" s="57">
        <v>0</v>
      </c>
      <c r="T86" s="57">
        <v>0</v>
      </c>
      <c r="U86" s="58" t="s">
        <v>981</v>
      </c>
      <c r="V86" s="57">
        <v>0</v>
      </c>
      <c r="W86" s="58">
        <v>0</v>
      </c>
      <c r="X86" s="57">
        <v>0</v>
      </c>
      <c r="Y86" s="58">
        <v>0</v>
      </c>
      <c r="Z86" s="57">
        <v>0</v>
      </c>
      <c r="AA86" s="58" t="s">
        <v>981</v>
      </c>
      <c r="AB86" s="57">
        <v>0</v>
      </c>
      <c r="AC86" s="58">
        <v>0</v>
      </c>
      <c r="AD86" s="57">
        <v>0</v>
      </c>
      <c r="AE86" s="59">
        <v>0</v>
      </c>
      <c r="AF86" s="60">
        <v>0</v>
      </c>
      <c r="AG86" s="59">
        <v>0</v>
      </c>
      <c r="AH86" s="60">
        <v>0</v>
      </c>
    </row>
    <row r="87" spans="1:34" x14ac:dyDescent="0.35">
      <c r="A87" t="s">
        <v>137</v>
      </c>
      <c r="B87" s="61" t="s">
        <v>138</v>
      </c>
      <c r="C87" s="53" t="s">
        <v>139</v>
      </c>
      <c r="D87" s="53" t="s">
        <v>684</v>
      </c>
      <c r="E87" s="53" t="s">
        <v>623</v>
      </c>
      <c r="F87" s="53" t="s">
        <v>662</v>
      </c>
      <c r="G87" s="53" t="s">
        <v>636</v>
      </c>
      <c r="H87" s="53" t="s">
        <v>685</v>
      </c>
      <c r="I87" s="54">
        <v>17</v>
      </c>
      <c r="J87" s="54">
        <v>0</v>
      </c>
      <c r="K87" s="54">
        <v>1</v>
      </c>
      <c r="L87" s="54">
        <v>1</v>
      </c>
      <c r="M87" s="54">
        <v>0</v>
      </c>
      <c r="N87" s="54">
        <v>0</v>
      </c>
      <c r="O87" s="54">
        <v>16</v>
      </c>
      <c r="P87" s="55">
        <v>16.5</v>
      </c>
      <c r="Q87" s="56">
        <v>6.0606060606060608E-2</v>
      </c>
      <c r="R87" s="57">
        <v>6.0606060606060608E-2</v>
      </c>
      <c r="S87" s="57">
        <v>0</v>
      </c>
      <c r="T87" s="57">
        <v>0</v>
      </c>
      <c r="U87" s="58">
        <v>0</v>
      </c>
      <c r="V87" s="57">
        <v>0</v>
      </c>
      <c r="W87" s="58">
        <v>0</v>
      </c>
      <c r="X87" s="57">
        <v>0</v>
      </c>
      <c r="Y87" s="58">
        <v>0</v>
      </c>
      <c r="Z87" s="57">
        <v>0</v>
      </c>
      <c r="AA87" s="58">
        <v>0</v>
      </c>
      <c r="AB87" s="57">
        <v>0</v>
      </c>
      <c r="AC87" s="58">
        <v>1</v>
      </c>
      <c r="AD87" s="57">
        <v>3.1176929072486361E-4</v>
      </c>
      <c r="AE87" s="59">
        <v>4.4883303411131061E-4</v>
      </c>
      <c r="AF87" s="60">
        <v>4.4883303411131061E-4</v>
      </c>
      <c r="AG87" s="59">
        <v>0</v>
      </c>
      <c r="AH87" s="60">
        <v>0</v>
      </c>
    </row>
    <row r="88" spans="1:34" x14ac:dyDescent="0.35">
      <c r="A88" t="s">
        <v>140</v>
      </c>
      <c r="B88" s="53" t="s">
        <v>141</v>
      </c>
      <c r="C88" s="53" t="s">
        <v>142</v>
      </c>
      <c r="D88" s="53" t="s">
        <v>640</v>
      </c>
      <c r="E88" s="53" t="s">
        <v>623</v>
      </c>
      <c r="F88" s="53" t="s">
        <v>641</v>
      </c>
      <c r="G88" s="53" t="s">
        <v>636</v>
      </c>
      <c r="H88" s="53" t="s">
        <v>754</v>
      </c>
      <c r="I88" s="54">
        <v>20</v>
      </c>
      <c r="J88" s="54">
        <v>5</v>
      </c>
      <c r="K88" s="54">
        <v>4</v>
      </c>
      <c r="L88" s="54">
        <v>3</v>
      </c>
      <c r="M88" s="54">
        <v>1</v>
      </c>
      <c r="N88" s="54">
        <v>0</v>
      </c>
      <c r="O88" s="54">
        <v>21</v>
      </c>
      <c r="P88" s="55">
        <v>20.5</v>
      </c>
      <c r="Q88" s="56">
        <v>0.1951219512195122</v>
      </c>
      <c r="R88" s="57">
        <v>0.14634146341463414</v>
      </c>
      <c r="S88" s="57">
        <v>4.878048780487805E-2</v>
      </c>
      <c r="T88" s="57">
        <v>0</v>
      </c>
      <c r="U88" s="58">
        <v>0</v>
      </c>
      <c r="V88" s="57">
        <v>0</v>
      </c>
      <c r="W88" s="58">
        <v>0</v>
      </c>
      <c r="X88" s="57">
        <v>0</v>
      </c>
      <c r="Y88" s="58">
        <v>0</v>
      </c>
      <c r="Z88" s="57">
        <v>0</v>
      </c>
      <c r="AA88" s="58">
        <v>0</v>
      </c>
      <c r="AB88" s="57">
        <v>0</v>
      </c>
      <c r="AC88" s="58">
        <v>3</v>
      </c>
      <c r="AD88" s="57">
        <v>9.3530787217459082E-4</v>
      </c>
      <c r="AE88" s="59">
        <v>1.7953321364452424E-3</v>
      </c>
      <c r="AF88" s="60">
        <v>1.3464991023339318E-3</v>
      </c>
      <c r="AG88" s="59">
        <v>0</v>
      </c>
      <c r="AH88" s="60">
        <v>0</v>
      </c>
    </row>
    <row r="89" spans="1:34" x14ac:dyDescent="0.35">
      <c r="A89" t="s">
        <v>143</v>
      </c>
      <c r="B89" s="61" t="s">
        <v>144</v>
      </c>
      <c r="C89" s="53" t="s">
        <v>755</v>
      </c>
      <c r="D89" s="53" t="s">
        <v>640</v>
      </c>
      <c r="E89" s="53" t="s">
        <v>623</v>
      </c>
      <c r="F89" s="53" t="s">
        <v>641</v>
      </c>
      <c r="G89" s="53" t="s">
        <v>654</v>
      </c>
      <c r="H89" s="53" t="s">
        <v>754</v>
      </c>
      <c r="I89" s="54">
        <v>11</v>
      </c>
      <c r="J89" s="54">
        <v>0</v>
      </c>
      <c r="K89" s="54">
        <v>0</v>
      </c>
      <c r="L89" s="54">
        <v>0</v>
      </c>
      <c r="M89" s="54">
        <v>0</v>
      </c>
      <c r="N89" s="54">
        <v>0</v>
      </c>
      <c r="O89" s="54">
        <v>11</v>
      </c>
      <c r="P89" s="55">
        <v>11</v>
      </c>
      <c r="Q89" s="56">
        <v>0</v>
      </c>
      <c r="R89" s="57">
        <v>0</v>
      </c>
      <c r="S89" s="57">
        <v>0</v>
      </c>
      <c r="T89" s="57">
        <v>0</v>
      </c>
      <c r="U89" s="58">
        <v>0</v>
      </c>
      <c r="V89" s="57">
        <v>0</v>
      </c>
      <c r="W89" s="58">
        <v>0</v>
      </c>
      <c r="X89" s="57">
        <v>0</v>
      </c>
      <c r="Y89" s="58">
        <v>0</v>
      </c>
      <c r="Z89" s="57">
        <v>0</v>
      </c>
      <c r="AA89" s="58">
        <v>0</v>
      </c>
      <c r="AB89" s="57">
        <v>0</v>
      </c>
      <c r="AC89" s="58">
        <v>0</v>
      </c>
      <c r="AD89" s="57">
        <v>0</v>
      </c>
      <c r="AE89" s="59">
        <v>0</v>
      </c>
      <c r="AF89" s="60">
        <v>0</v>
      </c>
      <c r="AG89" s="59">
        <v>0</v>
      </c>
      <c r="AH89" s="60">
        <v>0</v>
      </c>
    </row>
    <row r="90" spans="1:34" x14ac:dyDescent="0.35">
      <c r="A90" t="s">
        <v>145</v>
      </c>
      <c r="B90" s="53" t="s">
        <v>146</v>
      </c>
      <c r="C90" s="53" t="s">
        <v>756</v>
      </c>
      <c r="D90" s="53" t="s">
        <v>737</v>
      </c>
      <c r="E90" s="53" t="s">
        <v>657</v>
      </c>
      <c r="F90" s="53" t="s">
        <v>641</v>
      </c>
      <c r="G90" s="53" t="s">
        <v>636</v>
      </c>
      <c r="H90" s="53" t="s">
        <v>757</v>
      </c>
      <c r="I90" s="54">
        <v>21</v>
      </c>
      <c r="J90" s="54">
        <v>2</v>
      </c>
      <c r="K90" s="54">
        <v>3</v>
      </c>
      <c r="L90" s="54">
        <v>3</v>
      </c>
      <c r="M90" s="54">
        <v>0</v>
      </c>
      <c r="N90" s="54">
        <v>0</v>
      </c>
      <c r="O90" s="54">
        <v>20</v>
      </c>
      <c r="P90" s="55">
        <v>20.5</v>
      </c>
      <c r="Q90" s="56">
        <v>0.14634146341463414</v>
      </c>
      <c r="R90" s="57">
        <v>0.14634146341463414</v>
      </c>
      <c r="S90" s="57">
        <v>0</v>
      </c>
      <c r="T90" s="57">
        <v>0</v>
      </c>
      <c r="U90" s="58">
        <v>0</v>
      </c>
      <c r="V90" s="57">
        <v>0</v>
      </c>
      <c r="W90" s="58">
        <v>0</v>
      </c>
      <c r="X90" s="57">
        <v>0</v>
      </c>
      <c r="Y90" s="58">
        <v>1</v>
      </c>
      <c r="Z90" s="57">
        <v>3.7453183520599251E-3</v>
      </c>
      <c r="AA90" s="58">
        <v>0</v>
      </c>
      <c r="AB90" s="57">
        <v>0</v>
      </c>
      <c r="AC90" s="58">
        <v>2</v>
      </c>
      <c r="AD90" s="57">
        <v>6.2353858144972721E-4</v>
      </c>
      <c r="AE90" s="59">
        <v>4.4883303411131061E-4</v>
      </c>
      <c r="AF90" s="60">
        <v>4.4883303411131061E-4</v>
      </c>
      <c r="AG90" s="59">
        <v>1.0799136069114472E-3</v>
      </c>
      <c r="AH90" s="60">
        <v>1.0799136069114472E-3</v>
      </c>
    </row>
    <row r="91" spans="1:34" x14ac:dyDescent="0.35">
      <c r="A91" t="s">
        <v>147</v>
      </c>
      <c r="B91" s="61" t="s">
        <v>148</v>
      </c>
      <c r="C91" s="53" t="s">
        <v>758</v>
      </c>
      <c r="D91" s="53" t="s">
        <v>661</v>
      </c>
      <c r="E91" s="53" t="s">
        <v>657</v>
      </c>
      <c r="F91" s="53" t="s">
        <v>662</v>
      </c>
      <c r="G91" s="53" t="s">
        <v>636</v>
      </c>
      <c r="H91" s="53" t="s">
        <v>632</v>
      </c>
      <c r="I91" s="54">
        <v>17</v>
      </c>
      <c r="J91" s="54">
        <v>7</v>
      </c>
      <c r="K91" s="54">
        <v>7</v>
      </c>
      <c r="L91" s="54">
        <v>5</v>
      </c>
      <c r="M91" s="54">
        <v>2</v>
      </c>
      <c r="N91" s="54">
        <v>0</v>
      </c>
      <c r="O91" s="54">
        <v>17</v>
      </c>
      <c r="P91" s="55">
        <v>17</v>
      </c>
      <c r="Q91" s="56">
        <v>0.41176470588235292</v>
      </c>
      <c r="R91" s="57">
        <v>0.29411764705882354</v>
      </c>
      <c r="S91" s="57">
        <v>0.11764705882352941</v>
      </c>
      <c r="T91" s="57">
        <v>0</v>
      </c>
      <c r="U91" s="58">
        <v>0</v>
      </c>
      <c r="V91" s="57">
        <v>0</v>
      </c>
      <c r="W91" s="58" t="s">
        <v>981</v>
      </c>
      <c r="X91" s="57">
        <v>0</v>
      </c>
      <c r="Y91" s="58">
        <v>0</v>
      </c>
      <c r="Z91" s="57">
        <v>0</v>
      </c>
      <c r="AA91" s="58">
        <v>0</v>
      </c>
      <c r="AB91" s="57">
        <v>0</v>
      </c>
      <c r="AC91" s="58">
        <v>5</v>
      </c>
      <c r="AD91" s="57">
        <v>1.558846453624318E-3</v>
      </c>
      <c r="AE91" s="59">
        <v>0</v>
      </c>
      <c r="AF91" s="60">
        <v>0</v>
      </c>
      <c r="AG91" s="59">
        <v>3.7796976241900645E-3</v>
      </c>
      <c r="AH91" s="60">
        <v>2.6997840172786176E-3</v>
      </c>
    </row>
    <row r="92" spans="1:34" x14ac:dyDescent="0.35">
      <c r="A92" t="s">
        <v>149</v>
      </c>
      <c r="B92" s="53" t="s">
        <v>150</v>
      </c>
      <c r="C92" s="53" t="s">
        <v>759</v>
      </c>
      <c r="D92" s="53" t="s">
        <v>648</v>
      </c>
      <c r="E92" s="53" t="s">
        <v>623</v>
      </c>
      <c r="F92" s="53" t="s">
        <v>624</v>
      </c>
      <c r="G92" s="53" t="s">
        <v>654</v>
      </c>
      <c r="H92" s="53" t="s">
        <v>725</v>
      </c>
      <c r="I92" s="54">
        <v>14</v>
      </c>
      <c r="J92" s="54">
        <v>3</v>
      </c>
      <c r="K92" s="54">
        <v>1</v>
      </c>
      <c r="L92" s="54">
        <v>1</v>
      </c>
      <c r="M92" s="54">
        <v>0</v>
      </c>
      <c r="N92" s="54">
        <v>0</v>
      </c>
      <c r="O92" s="54">
        <v>16</v>
      </c>
      <c r="P92" s="55">
        <v>15</v>
      </c>
      <c r="Q92" s="56">
        <v>6.6666666666666666E-2</v>
      </c>
      <c r="R92" s="57">
        <v>6.6666666666666666E-2</v>
      </c>
      <c r="S92" s="57">
        <v>0</v>
      </c>
      <c r="T92" s="57">
        <v>0</v>
      </c>
      <c r="U92" s="58">
        <v>0</v>
      </c>
      <c r="V92" s="57">
        <v>0</v>
      </c>
      <c r="W92" s="58" t="s">
        <v>981</v>
      </c>
      <c r="X92" s="57">
        <v>0</v>
      </c>
      <c r="Y92" s="58">
        <v>0</v>
      </c>
      <c r="Z92" s="57">
        <v>0</v>
      </c>
      <c r="AA92" s="58">
        <v>0</v>
      </c>
      <c r="AB92" s="57">
        <v>0</v>
      </c>
      <c r="AC92" s="58">
        <v>1</v>
      </c>
      <c r="AD92" s="57">
        <v>3.1176929072486361E-4</v>
      </c>
      <c r="AE92" s="59">
        <v>0</v>
      </c>
      <c r="AF92" s="60">
        <v>0</v>
      </c>
      <c r="AG92" s="59">
        <v>5.3995680345572358E-4</v>
      </c>
      <c r="AH92" s="60">
        <v>5.3995680345572358E-4</v>
      </c>
    </row>
    <row r="93" spans="1:34" x14ac:dyDescent="0.35">
      <c r="A93" t="s">
        <v>151</v>
      </c>
      <c r="B93" s="61" t="s">
        <v>152</v>
      </c>
      <c r="C93" s="53" t="s">
        <v>760</v>
      </c>
      <c r="D93" s="53" t="s">
        <v>691</v>
      </c>
      <c r="E93" s="53" t="s">
        <v>657</v>
      </c>
      <c r="F93" s="53" t="s">
        <v>658</v>
      </c>
      <c r="G93" s="53" t="s">
        <v>654</v>
      </c>
      <c r="H93" s="53" t="s">
        <v>632</v>
      </c>
      <c r="I93" s="54">
        <v>21</v>
      </c>
      <c r="J93" s="54">
        <v>2</v>
      </c>
      <c r="K93" s="54">
        <v>1</v>
      </c>
      <c r="L93" s="54">
        <v>1</v>
      </c>
      <c r="M93" s="54">
        <v>0</v>
      </c>
      <c r="N93" s="54">
        <v>0</v>
      </c>
      <c r="O93" s="54">
        <v>22</v>
      </c>
      <c r="P93" s="55">
        <v>21.5</v>
      </c>
      <c r="Q93" s="56">
        <v>4.6511627906976744E-2</v>
      </c>
      <c r="R93" s="57">
        <v>4.6511627906976744E-2</v>
      </c>
      <c r="S93" s="57">
        <v>0</v>
      </c>
      <c r="T93" s="57">
        <v>0</v>
      </c>
      <c r="U93" s="58">
        <v>0</v>
      </c>
      <c r="V93" s="57">
        <v>0</v>
      </c>
      <c r="W93" s="58">
        <v>0</v>
      </c>
      <c r="X93" s="57">
        <v>0</v>
      </c>
      <c r="Y93" s="58">
        <v>0</v>
      </c>
      <c r="Z93" s="57">
        <v>0</v>
      </c>
      <c r="AA93" s="58" t="s">
        <v>981</v>
      </c>
      <c r="AB93" s="57">
        <v>0</v>
      </c>
      <c r="AC93" s="58">
        <v>1</v>
      </c>
      <c r="AD93" s="57">
        <v>3.1176929072486361E-4</v>
      </c>
      <c r="AE93" s="59">
        <v>0</v>
      </c>
      <c r="AF93" s="60">
        <v>0</v>
      </c>
      <c r="AG93" s="59">
        <v>5.3995680345572358E-4</v>
      </c>
      <c r="AH93" s="60">
        <v>5.3995680345572358E-4</v>
      </c>
    </row>
    <row r="94" spans="1:34" x14ac:dyDescent="0.35">
      <c r="A94" t="s">
        <v>153</v>
      </c>
      <c r="B94" s="53" t="s">
        <v>154</v>
      </c>
      <c r="C94" s="53" t="s">
        <v>761</v>
      </c>
      <c r="D94" s="53" t="s">
        <v>762</v>
      </c>
      <c r="E94" s="53" t="s">
        <v>629</v>
      </c>
      <c r="F94" s="53" t="s">
        <v>646</v>
      </c>
      <c r="G94" s="53" t="s">
        <v>654</v>
      </c>
      <c r="H94" s="53" t="s">
        <v>763</v>
      </c>
      <c r="I94" s="54">
        <v>18</v>
      </c>
      <c r="J94" s="54">
        <v>3</v>
      </c>
      <c r="K94" s="54">
        <v>0</v>
      </c>
      <c r="L94" s="54">
        <v>0</v>
      </c>
      <c r="M94" s="54">
        <v>0</v>
      </c>
      <c r="N94" s="54">
        <v>0</v>
      </c>
      <c r="O94" s="54">
        <v>21</v>
      </c>
      <c r="P94" s="55">
        <v>19.5</v>
      </c>
      <c r="Q94" s="56">
        <v>0</v>
      </c>
      <c r="R94" s="57">
        <v>0</v>
      </c>
      <c r="S94" s="57">
        <v>0</v>
      </c>
      <c r="T94" s="57">
        <v>0</v>
      </c>
      <c r="U94" s="58">
        <v>0</v>
      </c>
      <c r="V94" s="57">
        <v>0</v>
      </c>
      <c r="W94" s="58">
        <v>0</v>
      </c>
      <c r="X94" s="57">
        <v>0</v>
      </c>
      <c r="Y94" s="58" t="s">
        <v>981</v>
      </c>
      <c r="Z94" s="57">
        <v>0</v>
      </c>
      <c r="AA94" s="58">
        <v>0</v>
      </c>
      <c r="AB94" s="57">
        <v>0</v>
      </c>
      <c r="AC94" s="58">
        <v>0</v>
      </c>
      <c r="AD94" s="57">
        <v>0</v>
      </c>
      <c r="AE94" s="59">
        <v>0</v>
      </c>
      <c r="AF94" s="60">
        <v>0</v>
      </c>
      <c r="AG94" s="59">
        <v>0</v>
      </c>
      <c r="AH94" s="60">
        <v>0</v>
      </c>
    </row>
    <row r="95" spans="1:34" x14ac:dyDescent="0.35">
      <c r="A95" t="s">
        <v>155</v>
      </c>
      <c r="B95" s="61" t="s">
        <v>156</v>
      </c>
      <c r="C95" s="53" t="s">
        <v>764</v>
      </c>
      <c r="D95" s="53" t="s">
        <v>663</v>
      </c>
      <c r="E95" s="53" t="s">
        <v>629</v>
      </c>
      <c r="F95" s="53" t="s">
        <v>646</v>
      </c>
      <c r="G95" s="53" t="s">
        <v>636</v>
      </c>
      <c r="H95" s="53" t="s">
        <v>639</v>
      </c>
      <c r="I95" s="54">
        <v>22</v>
      </c>
      <c r="J95" s="54">
        <v>2</v>
      </c>
      <c r="K95" s="54">
        <v>3</v>
      </c>
      <c r="L95" s="54">
        <v>3</v>
      </c>
      <c r="M95" s="54">
        <v>0</v>
      </c>
      <c r="N95" s="54">
        <v>0</v>
      </c>
      <c r="O95" s="54">
        <v>21</v>
      </c>
      <c r="P95" s="55">
        <v>21.5</v>
      </c>
      <c r="Q95" s="56">
        <v>0.13953488372093023</v>
      </c>
      <c r="R95" s="57">
        <v>0.13953488372093023</v>
      </c>
      <c r="S95" s="57">
        <v>0</v>
      </c>
      <c r="T95" s="57">
        <v>0</v>
      </c>
      <c r="U95" s="58">
        <v>0</v>
      </c>
      <c r="V95" s="57">
        <v>0</v>
      </c>
      <c r="W95" s="58" t="s">
        <v>981</v>
      </c>
      <c r="X95" s="57">
        <v>0</v>
      </c>
      <c r="Y95" s="58">
        <v>1</v>
      </c>
      <c r="Z95" s="57">
        <v>3.7453183520599251E-3</v>
      </c>
      <c r="AA95" s="58">
        <v>0</v>
      </c>
      <c r="AB95" s="57">
        <v>0</v>
      </c>
      <c r="AC95" s="58">
        <v>2</v>
      </c>
      <c r="AD95" s="57">
        <v>6.2353858144972721E-4</v>
      </c>
      <c r="AE95" s="59">
        <v>8.9766606822262122E-4</v>
      </c>
      <c r="AF95" s="60">
        <v>8.9766606822262122E-4</v>
      </c>
      <c r="AG95" s="59">
        <v>5.3995680345572358E-4</v>
      </c>
      <c r="AH95" s="60">
        <v>5.3995680345572358E-4</v>
      </c>
    </row>
    <row r="96" spans="1:34" x14ac:dyDescent="0.35">
      <c r="A96" t="s">
        <v>157</v>
      </c>
      <c r="B96" s="53" t="s">
        <v>158</v>
      </c>
      <c r="C96" s="53" t="s">
        <v>765</v>
      </c>
      <c r="D96" s="53" t="s">
        <v>670</v>
      </c>
      <c r="E96" s="53" t="s">
        <v>657</v>
      </c>
      <c r="F96" s="53" t="s">
        <v>641</v>
      </c>
      <c r="G96" s="53" t="s">
        <v>668</v>
      </c>
      <c r="H96" s="53" t="s">
        <v>671</v>
      </c>
      <c r="I96" s="54">
        <v>14</v>
      </c>
      <c r="J96" s="54">
        <v>2</v>
      </c>
      <c r="K96" s="54">
        <v>3</v>
      </c>
      <c r="L96" s="54">
        <v>3</v>
      </c>
      <c r="M96" s="54">
        <v>0</v>
      </c>
      <c r="N96" s="54">
        <v>0</v>
      </c>
      <c r="O96" s="54">
        <v>13</v>
      </c>
      <c r="P96" s="55">
        <v>13.5</v>
      </c>
      <c r="Q96" s="56">
        <v>0.22222222222222221</v>
      </c>
      <c r="R96" s="57">
        <v>0.22222222222222221</v>
      </c>
      <c r="S96" s="57">
        <v>0</v>
      </c>
      <c r="T96" s="57">
        <v>0</v>
      </c>
      <c r="U96" s="58">
        <v>1</v>
      </c>
      <c r="V96" s="57">
        <v>5.763688760806916E-3</v>
      </c>
      <c r="W96" s="58">
        <v>0</v>
      </c>
      <c r="X96" s="57">
        <v>0</v>
      </c>
      <c r="Y96" s="58" t="s">
        <v>981</v>
      </c>
      <c r="Z96" s="57">
        <v>0</v>
      </c>
      <c r="AA96" s="58">
        <v>0</v>
      </c>
      <c r="AB96" s="57">
        <v>0</v>
      </c>
      <c r="AC96" s="58">
        <v>2</v>
      </c>
      <c r="AD96" s="57">
        <v>6.2353858144972721E-4</v>
      </c>
      <c r="AE96" s="59">
        <v>4.4883303411131061E-4</v>
      </c>
      <c r="AF96" s="60">
        <v>4.4883303411131061E-4</v>
      </c>
      <c r="AG96" s="59">
        <v>1.0799136069114472E-3</v>
      </c>
      <c r="AH96" s="60">
        <v>1.0799136069114472E-3</v>
      </c>
    </row>
    <row r="97" spans="1:34" x14ac:dyDescent="0.35">
      <c r="A97" t="s">
        <v>159</v>
      </c>
      <c r="B97" s="61" t="s">
        <v>160</v>
      </c>
      <c r="C97" s="53" t="s">
        <v>766</v>
      </c>
      <c r="D97" s="53" t="s">
        <v>678</v>
      </c>
      <c r="E97" s="53" t="s">
        <v>623</v>
      </c>
      <c r="F97" s="53" t="s">
        <v>624</v>
      </c>
      <c r="G97" s="53" t="s">
        <v>654</v>
      </c>
      <c r="H97" s="53" t="s">
        <v>679</v>
      </c>
      <c r="I97" s="54">
        <v>11</v>
      </c>
      <c r="J97" s="54">
        <v>7</v>
      </c>
      <c r="K97" s="54">
        <v>4</v>
      </c>
      <c r="L97" s="54">
        <v>4</v>
      </c>
      <c r="M97" s="54">
        <v>0</v>
      </c>
      <c r="N97" s="54">
        <v>0</v>
      </c>
      <c r="O97" s="54">
        <v>14</v>
      </c>
      <c r="P97" s="55">
        <v>12.5</v>
      </c>
      <c r="Q97" s="56">
        <v>0.32</v>
      </c>
      <c r="R97" s="57">
        <v>0.32</v>
      </c>
      <c r="S97" s="57">
        <v>0</v>
      </c>
      <c r="T97" s="57">
        <v>0</v>
      </c>
      <c r="U97" s="58" t="s">
        <v>981</v>
      </c>
      <c r="V97" s="57">
        <v>0</v>
      </c>
      <c r="W97" s="58">
        <v>0</v>
      </c>
      <c r="X97" s="57">
        <v>0</v>
      </c>
      <c r="Y97" s="58" t="s">
        <v>981</v>
      </c>
      <c r="Z97" s="57">
        <v>0</v>
      </c>
      <c r="AA97" s="58">
        <v>0</v>
      </c>
      <c r="AB97" s="57">
        <v>0</v>
      </c>
      <c r="AC97" s="58">
        <v>4</v>
      </c>
      <c r="AD97" s="57">
        <v>1.2470771628994544E-3</v>
      </c>
      <c r="AE97" s="59">
        <v>4.4883303411131061E-4</v>
      </c>
      <c r="AF97" s="60">
        <v>4.4883303411131061E-4</v>
      </c>
      <c r="AG97" s="59">
        <v>1.6198704103671706E-3</v>
      </c>
      <c r="AH97" s="60">
        <v>1.6198704103671706E-3</v>
      </c>
    </row>
    <row r="98" spans="1:34" x14ac:dyDescent="0.35">
      <c r="A98" t="s">
        <v>161</v>
      </c>
      <c r="B98" s="53" t="s">
        <v>162</v>
      </c>
      <c r="C98" s="53" t="s">
        <v>767</v>
      </c>
      <c r="D98" s="53" t="s">
        <v>622</v>
      </c>
      <c r="E98" s="53" t="s">
        <v>623</v>
      </c>
      <c r="F98" s="53" t="s">
        <v>624</v>
      </c>
      <c r="G98" s="53" t="s">
        <v>654</v>
      </c>
      <c r="H98" s="53" t="s">
        <v>649</v>
      </c>
      <c r="I98" s="54">
        <v>19</v>
      </c>
      <c r="J98" s="54">
        <v>3</v>
      </c>
      <c r="K98" s="54">
        <v>5</v>
      </c>
      <c r="L98" s="54">
        <v>5</v>
      </c>
      <c r="M98" s="54">
        <v>0</v>
      </c>
      <c r="N98" s="54">
        <v>0</v>
      </c>
      <c r="O98" s="54">
        <v>17</v>
      </c>
      <c r="P98" s="55">
        <v>18</v>
      </c>
      <c r="Q98" s="56">
        <v>0.27777777777777779</v>
      </c>
      <c r="R98" s="57">
        <v>0.27777777777777779</v>
      </c>
      <c r="S98" s="57">
        <v>0</v>
      </c>
      <c r="T98" s="57">
        <v>0</v>
      </c>
      <c r="U98" s="58" t="s">
        <v>981</v>
      </c>
      <c r="V98" s="57">
        <v>0</v>
      </c>
      <c r="W98" s="58">
        <v>0</v>
      </c>
      <c r="X98" s="57">
        <v>0</v>
      </c>
      <c r="Y98" s="58">
        <v>0</v>
      </c>
      <c r="Z98" s="57">
        <v>0</v>
      </c>
      <c r="AA98" s="58">
        <v>0</v>
      </c>
      <c r="AB98" s="57">
        <v>0</v>
      </c>
      <c r="AC98" s="58">
        <v>5</v>
      </c>
      <c r="AD98" s="57">
        <v>1.558846453624318E-3</v>
      </c>
      <c r="AE98" s="59">
        <v>0</v>
      </c>
      <c r="AF98" s="60">
        <v>0</v>
      </c>
      <c r="AG98" s="59">
        <v>2.6997840172786176E-3</v>
      </c>
      <c r="AH98" s="60">
        <v>2.6997840172786176E-3</v>
      </c>
    </row>
    <row r="99" spans="1:34" x14ac:dyDescent="0.35">
      <c r="A99" t="s">
        <v>163</v>
      </c>
      <c r="B99" s="61" t="s">
        <v>164</v>
      </c>
      <c r="C99" s="53" t="s">
        <v>768</v>
      </c>
      <c r="D99" s="53" t="s">
        <v>634</v>
      </c>
      <c r="E99" s="53" t="s">
        <v>629</v>
      </c>
      <c r="F99" s="53" t="s">
        <v>635</v>
      </c>
      <c r="G99" s="53" t="s">
        <v>654</v>
      </c>
      <c r="H99" s="53" t="s">
        <v>637</v>
      </c>
      <c r="I99" s="54">
        <v>18</v>
      </c>
      <c r="J99" s="54">
        <v>2</v>
      </c>
      <c r="K99" s="54">
        <v>4</v>
      </c>
      <c r="L99" s="54">
        <v>4</v>
      </c>
      <c r="M99" s="54">
        <v>0</v>
      </c>
      <c r="N99" s="54">
        <v>0</v>
      </c>
      <c r="O99" s="54">
        <v>16</v>
      </c>
      <c r="P99" s="55">
        <v>17</v>
      </c>
      <c r="Q99" s="56">
        <v>0.23529411764705882</v>
      </c>
      <c r="R99" s="57">
        <v>0.23529411764705882</v>
      </c>
      <c r="S99" s="57">
        <v>0</v>
      </c>
      <c r="T99" s="57">
        <v>0</v>
      </c>
      <c r="U99" s="58">
        <v>0</v>
      </c>
      <c r="V99" s="57">
        <v>0</v>
      </c>
      <c r="W99" s="58" t="s">
        <v>981</v>
      </c>
      <c r="X99" s="57">
        <v>0</v>
      </c>
      <c r="Y99" s="58">
        <v>0</v>
      </c>
      <c r="Z99" s="57">
        <v>0</v>
      </c>
      <c r="AA99" s="58">
        <v>0</v>
      </c>
      <c r="AB99" s="57">
        <v>0</v>
      </c>
      <c r="AC99" s="58">
        <v>4</v>
      </c>
      <c r="AD99" s="57">
        <v>1.2470771628994544E-3</v>
      </c>
      <c r="AE99" s="59">
        <v>0</v>
      </c>
      <c r="AF99" s="60">
        <v>0</v>
      </c>
      <c r="AG99" s="59">
        <v>2.1598272138228943E-3</v>
      </c>
      <c r="AH99" s="60">
        <v>2.1598272138228943E-3</v>
      </c>
    </row>
    <row r="100" spans="1:34" x14ac:dyDescent="0.35">
      <c r="A100" t="s">
        <v>165</v>
      </c>
      <c r="B100" s="53" t="s">
        <v>166</v>
      </c>
      <c r="C100" s="53" t="s">
        <v>769</v>
      </c>
      <c r="D100" s="53" t="s">
        <v>648</v>
      </c>
      <c r="E100" s="53" t="s">
        <v>623</v>
      </c>
      <c r="F100" s="53" t="s">
        <v>624</v>
      </c>
      <c r="G100" s="53" t="s">
        <v>636</v>
      </c>
      <c r="H100" s="53" t="s">
        <v>649</v>
      </c>
      <c r="I100" s="54">
        <v>20</v>
      </c>
      <c r="J100" s="54">
        <v>3</v>
      </c>
      <c r="K100" s="54">
        <v>2</v>
      </c>
      <c r="L100" s="54">
        <v>2</v>
      </c>
      <c r="M100" s="54">
        <v>0</v>
      </c>
      <c r="N100" s="54">
        <v>0</v>
      </c>
      <c r="O100" s="54">
        <v>21</v>
      </c>
      <c r="P100" s="55">
        <v>20.5</v>
      </c>
      <c r="Q100" s="56">
        <v>9.7560975609756101E-2</v>
      </c>
      <c r="R100" s="57">
        <v>9.7560975609756101E-2</v>
      </c>
      <c r="S100" s="57">
        <v>0</v>
      </c>
      <c r="T100" s="57">
        <v>0</v>
      </c>
      <c r="U100" s="58">
        <v>0</v>
      </c>
      <c r="V100" s="57">
        <v>0</v>
      </c>
      <c r="W100" s="58">
        <v>0</v>
      </c>
      <c r="X100" s="57">
        <v>0</v>
      </c>
      <c r="Y100" s="58">
        <v>0</v>
      </c>
      <c r="Z100" s="57">
        <v>0</v>
      </c>
      <c r="AA100" s="58">
        <v>0</v>
      </c>
      <c r="AB100" s="57">
        <v>0</v>
      </c>
      <c r="AC100" s="58">
        <v>2</v>
      </c>
      <c r="AD100" s="57">
        <v>6.2353858144972721E-4</v>
      </c>
      <c r="AE100" s="59">
        <v>0</v>
      </c>
      <c r="AF100" s="60">
        <v>0</v>
      </c>
      <c r="AG100" s="59">
        <v>1.0799136069114472E-3</v>
      </c>
      <c r="AH100" s="60">
        <v>1.0799136069114472E-3</v>
      </c>
    </row>
    <row r="101" spans="1:34" x14ac:dyDescent="0.35">
      <c r="A101" t="s">
        <v>167</v>
      </c>
      <c r="B101" s="61" t="s">
        <v>168</v>
      </c>
      <c r="C101" s="53" t="s">
        <v>770</v>
      </c>
      <c r="D101" s="53" t="s">
        <v>640</v>
      </c>
      <c r="E101" s="53" t="s">
        <v>623</v>
      </c>
      <c r="F101" s="53" t="s">
        <v>641</v>
      </c>
      <c r="G101" s="53" t="s">
        <v>636</v>
      </c>
      <c r="H101" s="53" t="s">
        <v>754</v>
      </c>
      <c r="I101" s="54">
        <v>22</v>
      </c>
      <c r="J101" s="54">
        <v>0</v>
      </c>
      <c r="K101" s="54">
        <v>0</v>
      </c>
      <c r="L101" s="54">
        <v>0</v>
      </c>
      <c r="M101" s="54">
        <v>0</v>
      </c>
      <c r="N101" s="54">
        <v>0</v>
      </c>
      <c r="O101" s="54">
        <v>22</v>
      </c>
      <c r="P101" s="55">
        <v>22</v>
      </c>
      <c r="Q101" s="56">
        <v>0</v>
      </c>
      <c r="R101" s="57">
        <v>0</v>
      </c>
      <c r="S101" s="57">
        <v>0</v>
      </c>
      <c r="T101" s="57">
        <v>0</v>
      </c>
      <c r="U101" s="58">
        <v>0</v>
      </c>
      <c r="V101" s="57">
        <v>0</v>
      </c>
      <c r="W101" s="58">
        <v>0</v>
      </c>
      <c r="X101" s="57">
        <v>0</v>
      </c>
      <c r="Y101" s="58">
        <v>0</v>
      </c>
      <c r="Z101" s="57">
        <v>0</v>
      </c>
      <c r="AA101" s="58">
        <v>0</v>
      </c>
      <c r="AB101" s="57">
        <v>0</v>
      </c>
      <c r="AC101" s="58">
        <v>0</v>
      </c>
      <c r="AD101" s="57">
        <v>0</v>
      </c>
      <c r="AE101" s="59">
        <v>0</v>
      </c>
      <c r="AF101" s="60">
        <v>0</v>
      </c>
      <c r="AG101" s="59">
        <v>0</v>
      </c>
      <c r="AH101" s="60">
        <v>0</v>
      </c>
    </row>
    <row r="102" spans="1:34" x14ac:dyDescent="0.35">
      <c r="A102" t="s">
        <v>169</v>
      </c>
      <c r="B102" s="53" t="s">
        <v>170</v>
      </c>
      <c r="C102" s="53" t="s">
        <v>771</v>
      </c>
      <c r="D102" s="53" t="s">
        <v>670</v>
      </c>
      <c r="E102" s="53" t="s">
        <v>657</v>
      </c>
      <c r="F102" s="53" t="s">
        <v>641</v>
      </c>
      <c r="G102" s="53" t="s">
        <v>631</v>
      </c>
      <c r="H102" s="53" t="s">
        <v>772</v>
      </c>
      <c r="I102" s="54">
        <v>26</v>
      </c>
      <c r="J102" s="54">
        <v>2</v>
      </c>
      <c r="K102" s="54">
        <v>2</v>
      </c>
      <c r="L102" s="54">
        <v>2</v>
      </c>
      <c r="M102" s="54">
        <v>0</v>
      </c>
      <c r="N102" s="54">
        <v>0</v>
      </c>
      <c r="O102" s="54">
        <v>26</v>
      </c>
      <c r="P102" s="55">
        <v>26</v>
      </c>
      <c r="Q102" s="56">
        <v>7.6923076923076927E-2</v>
      </c>
      <c r="R102" s="57">
        <v>7.6923076923076927E-2</v>
      </c>
      <c r="S102" s="57">
        <v>0</v>
      </c>
      <c r="T102" s="57">
        <v>0</v>
      </c>
      <c r="U102" s="58" t="s">
        <v>981</v>
      </c>
      <c r="V102" s="57">
        <v>0</v>
      </c>
      <c r="W102" s="58">
        <v>0</v>
      </c>
      <c r="X102" s="57">
        <v>0</v>
      </c>
      <c r="Y102" s="58">
        <v>0</v>
      </c>
      <c r="Z102" s="57">
        <v>0</v>
      </c>
      <c r="AA102" s="58">
        <v>0</v>
      </c>
      <c r="AB102" s="57">
        <v>0</v>
      </c>
      <c r="AC102" s="58">
        <v>2</v>
      </c>
      <c r="AD102" s="57">
        <v>6.2353858144972721E-4</v>
      </c>
      <c r="AE102" s="59">
        <v>0</v>
      </c>
      <c r="AF102" s="60">
        <v>0</v>
      </c>
      <c r="AG102" s="59">
        <v>1.0799136069114472E-3</v>
      </c>
      <c r="AH102" s="60">
        <v>1.0799136069114472E-3</v>
      </c>
    </row>
    <row r="103" spans="1:34" x14ac:dyDescent="0.35">
      <c r="A103" t="s">
        <v>171</v>
      </c>
      <c r="B103" s="61" t="s">
        <v>172</v>
      </c>
      <c r="C103" s="53" t="s">
        <v>773</v>
      </c>
      <c r="D103" s="53" t="s">
        <v>661</v>
      </c>
      <c r="E103" s="53" t="s">
        <v>657</v>
      </c>
      <c r="F103" s="53" t="s">
        <v>662</v>
      </c>
      <c r="G103" s="53" t="s">
        <v>654</v>
      </c>
      <c r="H103" s="53" t="s">
        <v>632</v>
      </c>
      <c r="I103" s="54">
        <v>20</v>
      </c>
      <c r="J103" s="54">
        <v>2</v>
      </c>
      <c r="K103" s="54">
        <v>0</v>
      </c>
      <c r="L103" s="54">
        <v>0</v>
      </c>
      <c r="M103" s="54">
        <v>0</v>
      </c>
      <c r="N103" s="54">
        <v>0</v>
      </c>
      <c r="O103" s="54">
        <v>22</v>
      </c>
      <c r="P103" s="55">
        <v>21</v>
      </c>
      <c r="Q103" s="56">
        <v>0</v>
      </c>
      <c r="R103" s="57">
        <v>0</v>
      </c>
      <c r="S103" s="57">
        <v>0</v>
      </c>
      <c r="T103" s="57">
        <v>0</v>
      </c>
      <c r="U103" s="58">
        <v>0</v>
      </c>
      <c r="V103" s="57">
        <v>0</v>
      </c>
      <c r="W103" s="58" t="s">
        <v>981</v>
      </c>
      <c r="X103" s="57">
        <v>0</v>
      </c>
      <c r="Y103" s="58">
        <v>0</v>
      </c>
      <c r="Z103" s="57">
        <v>0</v>
      </c>
      <c r="AA103" s="58">
        <v>0</v>
      </c>
      <c r="AB103" s="57">
        <v>0</v>
      </c>
      <c r="AC103" s="58">
        <v>0</v>
      </c>
      <c r="AD103" s="57">
        <v>0</v>
      </c>
      <c r="AE103" s="59">
        <v>0</v>
      </c>
      <c r="AF103" s="60">
        <v>0</v>
      </c>
      <c r="AG103" s="59">
        <v>0</v>
      </c>
      <c r="AH103" s="60">
        <v>0</v>
      </c>
    </row>
    <row r="104" spans="1:34" x14ac:dyDescent="0.35">
      <c r="A104" t="s">
        <v>173</v>
      </c>
      <c r="B104" s="53" t="s">
        <v>174</v>
      </c>
      <c r="C104" s="53" t="s">
        <v>774</v>
      </c>
      <c r="D104" s="53" t="s">
        <v>656</v>
      </c>
      <c r="E104" s="53" t="s">
        <v>657</v>
      </c>
      <c r="F104" s="53" t="s">
        <v>658</v>
      </c>
      <c r="G104" s="53" t="s">
        <v>668</v>
      </c>
      <c r="H104" s="53" t="s">
        <v>632</v>
      </c>
      <c r="I104" s="54">
        <v>18</v>
      </c>
      <c r="J104" s="54">
        <v>4</v>
      </c>
      <c r="K104" s="54">
        <v>1</v>
      </c>
      <c r="L104" s="54">
        <v>1</v>
      </c>
      <c r="M104" s="54">
        <v>0</v>
      </c>
      <c r="N104" s="54">
        <v>0</v>
      </c>
      <c r="O104" s="54">
        <v>21</v>
      </c>
      <c r="P104" s="55">
        <v>19.5</v>
      </c>
      <c r="Q104" s="56">
        <v>5.128205128205128E-2</v>
      </c>
      <c r="R104" s="57">
        <v>5.128205128205128E-2</v>
      </c>
      <c r="S104" s="57">
        <v>0</v>
      </c>
      <c r="T104" s="57">
        <v>0</v>
      </c>
      <c r="U104" s="58">
        <v>0</v>
      </c>
      <c r="V104" s="57">
        <v>0</v>
      </c>
      <c r="W104" s="58">
        <v>0</v>
      </c>
      <c r="X104" s="57">
        <v>0</v>
      </c>
      <c r="Y104" s="58">
        <v>0</v>
      </c>
      <c r="Z104" s="57">
        <v>0</v>
      </c>
      <c r="AA104" s="58">
        <v>0</v>
      </c>
      <c r="AB104" s="57">
        <v>0</v>
      </c>
      <c r="AC104" s="58">
        <v>1</v>
      </c>
      <c r="AD104" s="57">
        <v>3.1176929072486361E-4</v>
      </c>
      <c r="AE104" s="59">
        <v>4.4883303411131061E-4</v>
      </c>
      <c r="AF104" s="60">
        <v>4.4883303411131061E-4</v>
      </c>
      <c r="AG104" s="59">
        <v>0</v>
      </c>
      <c r="AH104" s="60">
        <v>0</v>
      </c>
    </row>
    <row r="105" spans="1:34" x14ac:dyDescent="0.35">
      <c r="A105" t="s">
        <v>175</v>
      </c>
      <c r="B105" s="61" t="s">
        <v>176</v>
      </c>
      <c r="C105" s="53" t="s">
        <v>177</v>
      </c>
      <c r="D105" s="53" t="s">
        <v>707</v>
      </c>
      <c r="E105" s="53" t="s">
        <v>629</v>
      </c>
      <c r="F105" s="53" t="s">
        <v>635</v>
      </c>
      <c r="G105" s="53" t="s">
        <v>668</v>
      </c>
      <c r="H105" s="53" t="s">
        <v>710</v>
      </c>
      <c r="I105" s="54">
        <v>13</v>
      </c>
      <c r="J105" s="54">
        <v>2</v>
      </c>
      <c r="K105" s="54">
        <v>1</v>
      </c>
      <c r="L105" s="54">
        <v>1</v>
      </c>
      <c r="M105" s="54">
        <v>0</v>
      </c>
      <c r="N105" s="54">
        <v>0</v>
      </c>
      <c r="O105" s="54">
        <v>14</v>
      </c>
      <c r="P105" s="55">
        <v>13.5</v>
      </c>
      <c r="Q105" s="56">
        <v>7.407407407407407E-2</v>
      </c>
      <c r="R105" s="57">
        <v>7.407407407407407E-2</v>
      </c>
      <c r="S105" s="57">
        <v>0</v>
      </c>
      <c r="T105" s="57">
        <v>0</v>
      </c>
      <c r="U105" s="58" t="s">
        <v>981</v>
      </c>
      <c r="V105" s="57">
        <v>0</v>
      </c>
      <c r="W105" s="58">
        <v>0</v>
      </c>
      <c r="X105" s="57">
        <v>0</v>
      </c>
      <c r="Y105" s="58">
        <v>0</v>
      </c>
      <c r="Z105" s="57">
        <v>0</v>
      </c>
      <c r="AA105" s="58" t="s">
        <v>981</v>
      </c>
      <c r="AB105" s="57">
        <v>0</v>
      </c>
      <c r="AC105" s="58">
        <v>1</v>
      </c>
      <c r="AD105" s="57">
        <v>3.1176929072486361E-4</v>
      </c>
      <c r="AE105" s="59">
        <v>0</v>
      </c>
      <c r="AF105" s="60">
        <v>0</v>
      </c>
      <c r="AG105" s="59">
        <v>5.3995680345572358E-4</v>
      </c>
      <c r="AH105" s="60">
        <v>5.3995680345572358E-4</v>
      </c>
    </row>
    <row r="106" spans="1:34" x14ac:dyDescent="0.35">
      <c r="A106" t="s">
        <v>178</v>
      </c>
      <c r="B106" s="53" t="s">
        <v>179</v>
      </c>
      <c r="C106" s="53" t="s">
        <v>180</v>
      </c>
      <c r="D106" s="53" t="s">
        <v>684</v>
      </c>
      <c r="E106" s="53" t="s">
        <v>623</v>
      </c>
      <c r="F106" s="53" t="s">
        <v>662</v>
      </c>
      <c r="G106" s="53" t="s">
        <v>636</v>
      </c>
      <c r="H106" s="53" t="s">
        <v>775</v>
      </c>
      <c r="I106" s="54">
        <v>17</v>
      </c>
      <c r="J106" s="54">
        <v>1</v>
      </c>
      <c r="K106" s="54">
        <v>0</v>
      </c>
      <c r="L106" s="54">
        <v>0</v>
      </c>
      <c r="M106" s="54">
        <v>0</v>
      </c>
      <c r="N106" s="54">
        <v>0</v>
      </c>
      <c r="O106" s="54">
        <v>18</v>
      </c>
      <c r="P106" s="55">
        <v>17.5</v>
      </c>
      <c r="Q106" s="56">
        <v>0</v>
      </c>
      <c r="R106" s="57">
        <v>0</v>
      </c>
      <c r="S106" s="57">
        <v>0</v>
      </c>
      <c r="T106" s="57">
        <v>0</v>
      </c>
      <c r="U106" s="58">
        <v>0</v>
      </c>
      <c r="V106" s="57">
        <v>0</v>
      </c>
      <c r="W106" s="58">
        <v>0</v>
      </c>
      <c r="X106" s="57">
        <v>0</v>
      </c>
      <c r="Y106" s="58">
        <v>0</v>
      </c>
      <c r="Z106" s="57">
        <v>0</v>
      </c>
      <c r="AA106" s="58">
        <v>0</v>
      </c>
      <c r="AB106" s="57">
        <v>0</v>
      </c>
      <c r="AC106" s="58">
        <v>0</v>
      </c>
      <c r="AD106" s="57">
        <v>0</v>
      </c>
      <c r="AE106" s="59">
        <v>0</v>
      </c>
      <c r="AF106" s="60">
        <v>0</v>
      </c>
      <c r="AG106" s="59">
        <v>0</v>
      </c>
      <c r="AH106" s="60">
        <v>0</v>
      </c>
    </row>
    <row r="107" spans="1:34" x14ac:dyDescent="0.35">
      <c r="A107" t="s">
        <v>181</v>
      </c>
      <c r="B107" s="61" t="s">
        <v>182</v>
      </c>
      <c r="C107" s="53" t="s">
        <v>776</v>
      </c>
      <c r="D107" s="53" t="s">
        <v>678</v>
      </c>
      <c r="E107" s="53" t="s">
        <v>623</v>
      </c>
      <c r="F107" s="53" t="s">
        <v>624</v>
      </c>
      <c r="G107" s="53" t="s">
        <v>625</v>
      </c>
      <c r="H107" s="53" t="s">
        <v>679</v>
      </c>
      <c r="I107" s="54">
        <v>36</v>
      </c>
      <c r="J107" s="54">
        <v>9</v>
      </c>
      <c r="K107" s="54">
        <v>3</v>
      </c>
      <c r="L107" s="54">
        <v>3</v>
      </c>
      <c r="M107" s="54">
        <v>0</v>
      </c>
      <c r="N107" s="54">
        <v>0</v>
      </c>
      <c r="O107" s="54">
        <v>42</v>
      </c>
      <c r="P107" s="55">
        <v>39</v>
      </c>
      <c r="Q107" s="56">
        <v>7.6923076923076927E-2</v>
      </c>
      <c r="R107" s="57">
        <v>7.6923076923076927E-2</v>
      </c>
      <c r="S107" s="57">
        <v>0</v>
      </c>
      <c r="T107" s="57">
        <v>0</v>
      </c>
      <c r="U107" s="58">
        <v>0</v>
      </c>
      <c r="V107" s="57">
        <v>0</v>
      </c>
      <c r="W107" s="58">
        <v>0</v>
      </c>
      <c r="X107" s="57">
        <v>0</v>
      </c>
      <c r="Y107" s="58">
        <v>0</v>
      </c>
      <c r="Z107" s="57">
        <v>0</v>
      </c>
      <c r="AA107" s="58">
        <v>0</v>
      </c>
      <c r="AB107" s="57">
        <v>0</v>
      </c>
      <c r="AC107" s="58">
        <v>3</v>
      </c>
      <c r="AD107" s="57">
        <v>9.3530787217459082E-4</v>
      </c>
      <c r="AE107" s="59">
        <v>0</v>
      </c>
      <c r="AF107" s="60">
        <v>0</v>
      </c>
      <c r="AG107" s="59">
        <v>1.6198704103671706E-3</v>
      </c>
      <c r="AH107" s="60">
        <v>1.6198704103671706E-3</v>
      </c>
    </row>
    <row r="108" spans="1:34" x14ac:dyDescent="0.35">
      <c r="A108" t="s">
        <v>183</v>
      </c>
      <c r="B108" s="53" t="s">
        <v>184</v>
      </c>
      <c r="C108" s="53" t="s">
        <v>185</v>
      </c>
      <c r="D108" s="53" t="s">
        <v>648</v>
      </c>
      <c r="E108" s="53" t="s">
        <v>623</v>
      </c>
      <c r="F108" s="53" t="s">
        <v>624</v>
      </c>
      <c r="G108" s="53" t="s">
        <v>654</v>
      </c>
      <c r="H108" s="53" t="s">
        <v>725</v>
      </c>
      <c r="I108" s="54">
        <v>15</v>
      </c>
      <c r="J108" s="54">
        <v>2</v>
      </c>
      <c r="K108" s="54">
        <v>1</v>
      </c>
      <c r="L108" s="54">
        <v>1</v>
      </c>
      <c r="M108" s="54">
        <v>0</v>
      </c>
      <c r="N108" s="54">
        <v>0</v>
      </c>
      <c r="O108" s="54">
        <v>16</v>
      </c>
      <c r="P108" s="55">
        <v>15.5</v>
      </c>
      <c r="Q108" s="56">
        <v>6.4516129032258063E-2</v>
      </c>
      <c r="R108" s="57">
        <v>6.4516129032258063E-2</v>
      </c>
      <c r="S108" s="57">
        <v>0</v>
      </c>
      <c r="T108" s="57">
        <v>0</v>
      </c>
      <c r="U108" s="58">
        <v>0</v>
      </c>
      <c r="V108" s="57">
        <v>0</v>
      </c>
      <c r="W108" s="58">
        <v>0</v>
      </c>
      <c r="X108" s="57">
        <v>0</v>
      </c>
      <c r="Y108" s="58">
        <v>0</v>
      </c>
      <c r="Z108" s="57">
        <v>0</v>
      </c>
      <c r="AA108" s="58" t="s">
        <v>981</v>
      </c>
      <c r="AB108" s="57">
        <v>0</v>
      </c>
      <c r="AC108" s="58">
        <v>1</v>
      </c>
      <c r="AD108" s="57">
        <v>3.1176929072486361E-4</v>
      </c>
      <c r="AE108" s="59">
        <v>0</v>
      </c>
      <c r="AF108" s="60">
        <v>0</v>
      </c>
      <c r="AG108" s="59">
        <v>5.3995680345572358E-4</v>
      </c>
      <c r="AH108" s="60">
        <v>5.3995680345572358E-4</v>
      </c>
    </row>
    <row r="109" spans="1:34" x14ac:dyDescent="0.35">
      <c r="A109" t="s">
        <v>186</v>
      </c>
      <c r="B109" s="61" t="s">
        <v>187</v>
      </c>
      <c r="C109" s="53" t="s">
        <v>188</v>
      </c>
      <c r="D109" s="53" t="s">
        <v>648</v>
      </c>
      <c r="E109" s="53" t="s">
        <v>623</v>
      </c>
      <c r="F109" s="53" t="s">
        <v>624</v>
      </c>
      <c r="G109" s="53" t="s">
        <v>642</v>
      </c>
      <c r="H109" s="53" t="s">
        <v>649</v>
      </c>
      <c r="I109" s="54">
        <v>14</v>
      </c>
      <c r="J109" s="54">
        <v>1</v>
      </c>
      <c r="K109" s="54">
        <v>1</v>
      </c>
      <c r="L109" s="54">
        <v>1</v>
      </c>
      <c r="M109" s="54">
        <v>0</v>
      </c>
      <c r="N109" s="54">
        <v>0</v>
      </c>
      <c r="O109" s="54">
        <v>14</v>
      </c>
      <c r="P109" s="55">
        <v>14</v>
      </c>
      <c r="Q109" s="56">
        <v>7.1428571428571425E-2</v>
      </c>
      <c r="R109" s="57">
        <v>7.1428571428571425E-2</v>
      </c>
      <c r="S109" s="57">
        <v>0</v>
      </c>
      <c r="T109" s="57">
        <v>0</v>
      </c>
      <c r="U109" s="58">
        <v>0</v>
      </c>
      <c r="V109" s="57">
        <v>0</v>
      </c>
      <c r="W109" s="58">
        <v>0</v>
      </c>
      <c r="X109" s="57">
        <v>0</v>
      </c>
      <c r="Y109" s="58">
        <v>0</v>
      </c>
      <c r="Z109" s="57">
        <v>0</v>
      </c>
      <c r="AA109" s="58" t="s">
        <v>981</v>
      </c>
      <c r="AB109" s="57">
        <v>0</v>
      </c>
      <c r="AC109" s="58">
        <v>1</v>
      </c>
      <c r="AD109" s="57">
        <v>3.1176929072486361E-4</v>
      </c>
      <c r="AE109" s="59">
        <v>0</v>
      </c>
      <c r="AF109" s="60">
        <v>0</v>
      </c>
      <c r="AG109" s="59">
        <v>5.3995680345572358E-4</v>
      </c>
      <c r="AH109" s="60">
        <v>5.3995680345572358E-4</v>
      </c>
    </row>
    <row r="110" spans="1:34" x14ac:dyDescent="0.35">
      <c r="A110" t="s">
        <v>189</v>
      </c>
      <c r="B110" s="53" t="s">
        <v>190</v>
      </c>
      <c r="C110" s="53" t="s">
        <v>777</v>
      </c>
      <c r="D110" s="53" t="s">
        <v>640</v>
      </c>
      <c r="E110" s="53" t="s">
        <v>623</v>
      </c>
      <c r="F110" s="53" t="s">
        <v>641</v>
      </c>
      <c r="G110" s="53" t="s">
        <v>654</v>
      </c>
      <c r="H110" s="53" t="s">
        <v>754</v>
      </c>
      <c r="I110" s="54">
        <v>14</v>
      </c>
      <c r="J110" s="54">
        <v>0</v>
      </c>
      <c r="K110" s="54">
        <v>1</v>
      </c>
      <c r="L110" s="54">
        <v>1</v>
      </c>
      <c r="M110" s="54">
        <v>0</v>
      </c>
      <c r="N110" s="54">
        <v>0</v>
      </c>
      <c r="O110" s="54">
        <v>13</v>
      </c>
      <c r="P110" s="55">
        <v>13.5</v>
      </c>
      <c r="Q110" s="56">
        <v>7.407407407407407E-2</v>
      </c>
      <c r="R110" s="57">
        <v>7.407407407407407E-2</v>
      </c>
      <c r="S110" s="57">
        <v>0</v>
      </c>
      <c r="T110" s="57">
        <v>0</v>
      </c>
      <c r="U110" s="58">
        <v>0</v>
      </c>
      <c r="V110" s="57">
        <v>0</v>
      </c>
      <c r="W110" s="58">
        <v>0</v>
      </c>
      <c r="X110" s="57">
        <v>0</v>
      </c>
      <c r="Y110" s="58" t="s">
        <v>981</v>
      </c>
      <c r="Z110" s="57">
        <v>0</v>
      </c>
      <c r="AA110" s="58">
        <v>0</v>
      </c>
      <c r="AB110" s="57">
        <v>0</v>
      </c>
      <c r="AC110" s="58">
        <v>1</v>
      </c>
      <c r="AD110" s="57">
        <v>3.1176929072486361E-4</v>
      </c>
      <c r="AE110" s="59">
        <v>4.4883303411131061E-4</v>
      </c>
      <c r="AF110" s="60">
        <v>4.4883303411131061E-4</v>
      </c>
      <c r="AG110" s="59">
        <v>0</v>
      </c>
      <c r="AH110" s="60">
        <v>0</v>
      </c>
    </row>
    <row r="111" spans="1:34" x14ac:dyDescent="0.35">
      <c r="A111" t="s">
        <v>191</v>
      </c>
      <c r="B111" s="61" t="s">
        <v>192</v>
      </c>
      <c r="C111" s="53" t="s">
        <v>778</v>
      </c>
      <c r="D111" s="53" t="s">
        <v>673</v>
      </c>
      <c r="E111" s="53" t="s">
        <v>623</v>
      </c>
      <c r="F111" s="53" t="s">
        <v>641</v>
      </c>
      <c r="G111" s="53" t="s">
        <v>654</v>
      </c>
      <c r="H111" s="53" t="s">
        <v>779</v>
      </c>
      <c r="I111" s="54">
        <v>16</v>
      </c>
      <c r="J111" s="54">
        <v>0</v>
      </c>
      <c r="K111" s="54">
        <v>0</v>
      </c>
      <c r="L111" s="54">
        <v>0</v>
      </c>
      <c r="M111" s="54">
        <v>0</v>
      </c>
      <c r="N111" s="54">
        <v>0</v>
      </c>
      <c r="O111" s="54">
        <v>16</v>
      </c>
      <c r="P111" s="55">
        <v>16</v>
      </c>
      <c r="Q111" s="56">
        <v>0</v>
      </c>
      <c r="R111" s="57">
        <v>0</v>
      </c>
      <c r="S111" s="57">
        <v>0</v>
      </c>
      <c r="T111" s="57">
        <v>0</v>
      </c>
      <c r="U111" s="58">
        <v>0</v>
      </c>
      <c r="V111" s="57">
        <v>0</v>
      </c>
      <c r="W111" s="58" t="s">
        <v>981</v>
      </c>
      <c r="X111" s="57">
        <v>0</v>
      </c>
      <c r="Y111" s="58">
        <v>0</v>
      </c>
      <c r="Z111" s="57">
        <v>0</v>
      </c>
      <c r="AA111" s="58">
        <v>0</v>
      </c>
      <c r="AB111" s="57">
        <v>0</v>
      </c>
      <c r="AC111" s="58">
        <v>0</v>
      </c>
      <c r="AD111" s="57">
        <v>0</v>
      </c>
      <c r="AE111" s="59">
        <v>0</v>
      </c>
      <c r="AF111" s="60">
        <v>0</v>
      </c>
      <c r="AG111" s="59">
        <v>0</v>
      </c>
      <c r="AH111" s="60">
        <v>0</v>
      </c>
    </row>
    <row r="112" spans="1:34" x14ac:dyDescent="0.35">
      <c r="A112" t="s">
        <v>193</v>
      </c>
      <c r="B112" s="53" t="s">
        <v>194</v>
      </c>
      <c r="C112" s="53" t="s">
        <v>780</v>
      </c>
      <c r="D112" s="53" t="s">
        <v>670</v>
      </c>
      <c r="E112" s="53" t="s">
        <v>657</v>
      </c>
      <c r="F112" s="53" t="s">
        <v>641</v>
      </c>
      <c r="G112" s="53" t="s">
        <v>654</v>
      </c>
      <c r="H112" s="53" t="s">
        <v>676</v>
      </c>
      <c r="I112" s="54">
        <v>18</v>
      </c>
      <c r="J112" s="54">
        <v>0</v>
      </c>
      <c r="K112" s="54">
        <v>0</v>
      </c>
      <c r="L112" s="54">
        <v>0</v>
      </c>
      <c r="M112" s="54">
        <v>0</v>
      </c>
      <c r="N112" s="54">
        <v>0</v>
      </c>
      <c r="O112" s="54">
        <v>18</v>
      </c>
      <c r="P112" s="55">
        <v>18</v>
      </c>
      <c r="Q112" s="56">
        <v>0</v>
      </c>
      <c r="R112" s="57">
        <v>0</v>
      </c>
      <c r="S112" s="57">
        <v>0</v>
      </c>
      <c r="T112" s="57">
        <v>0</v>
      </c>
      <c r="U112" s="58">
        <v>0</v>
      </c>
      <c r="V112" s="57">
        <v>0</v>
      </c>
      <c r="W112" s="58" t="s">
        <v>981</v>
      </c>
      <c r="X112" s="57">
        <v>0</v>
      </c>
      <c r="Y112" s="58">
        <v>0</v>
      </c>
      <c r="Z112" s="57">
        <v>0</v>
      </c>
      <c r="AA112" s="58">
        <v>0</v>
      </c>
      <c r="AB112" s="57">
        <v>0</v>
      </c>
      <c r="AC112" s="58">
        <v>0</v>
      </c>
      <c r="AD112" s="57">
        <v>0</v>
      </c>
      <c r="AE112" s="59">
        <v>0</v>
      </c>
      <c r="AF112" s="60">
        <v>0</v>
      </c>
      <c r="AG112" s="59">
        <v>0</v>
      </c>
      <c r="AH112" s="60">
        <v>0</v>
      </c>
    </row>
    <row r="113" spans="1:34" x14ac:dyDescent="0.35">
      <c r="A113" t="s">
        <v>195</v>
      </c>
      <c r="B113" s="61" t="s">
        <v>196</v>
      </c>
      <c r="C113" s="53" t="s">
        <v>781</v>
      </c>
      <c r="D113" s="53" t="s">
        <v>670</v>
      </c>
      <c r="E113" s="53" t="s">
        <v>657</v>
      </c>
      <c r="F113" s="53" t="s">
        <v>641</v>
      </c>
      <c r="G113" s="53" t="s">
        <v>636</v>
      </c>
      <c r="H113" s="53" t="s">
        <v>676</v>
      </c>
      <c r="I113" s="54">
        <v>22</v>
      </c>
      <c r="J113" s="54">
        <v>4</v>
      </c>
      <c r="K113" s="54">
        <v>3</v>
      </c>
      <c r="L113" s="54">
        <v>1</v>
      </c>
      <c r="M113" s="54">
        <v>1</v>
      </c>
      <c r="N113" s="54">
        <v>1</v>
      </c>
      <c r="O113" s="54">
        <v>23</v>
      </c>
      <c r="P113" s="55">
        <v>22.5</v>
      </c>
      <c r="Q113" s="56">
        <v>0.13333333333333333</v>
      </c>
      <c r="R113" s="57">
        <v>4.4444444444444446E-2</v>
      </c>
      <c r="S113" s="57">
        <v>4.4444444444444446E-2</v>
      </c>
      <c r="T113" s="57">
        <v>4.4444444444444446E-2</v>
      </c>
      <c r="U113" s="58">
        <v>0</v>
      </c>
      <c r="V113" s="57">
        <v>0</v>
      </c>
      <c r="W113" s="58" t="s">
        <v>981</v>
      </c>
      <c r="X113" s="57">
        <v>0</v>
      </c>
      <c r="Y113" s="58">
        <v>0</v>
      </c>
      <c r="Z113" s="57">
        <v>0</v>
      </c>
      <c r="AA113" s="58">
        <v>0</v>
      </c>
      <c r="AB113" s="57">
        <v>0</v>
      </c>
      <c r="AC113" s="58">
        <v>1</v>
      </c>
      <c r="AD113" s="57">
        <v>3.1176929072486361E-4</v>
      </c>
      <c r="AE113" s="59">
        <v>8.9766606822262122E-4</v>
      </c>
      <c r="AF113" s="60">
        <v>0</v>
      </c>
      <c r="AG113" s="59">
        <v>5.3995680345572358E-4</v>
      </c>
      <c r="AH113" s="60">
        <v>5.3995680345572358E-4</v>
      </c>
    </row>
    <row r="114" spans="1:34" x14ac:dyDescent="0.35">
      <c r="A114" t="s">
        <v>197</v>
      </c>
      <c r="B114" s="53" t="s">
        <v>198</v>
      </c>
      <c r="C114" s="53" t="s">
        <v>782</v>
      </c>
      <c r="D114" s="53" t="s">
        <v>645</v>
      </c>
      <c r="E114" s="53" t="s">
        <v>629</v>
      </c>
      <c r="F114" s="53" t="s">
        <v>646</v>
      </c>
      <c r="G114" s="53" t="s">
        <v>654</v>
      </c>
      <c r="H114" s="53" t="s">
        <v>632</v>
      </c>
      <c r="I114" s="54">
        <v>14</v>
      </c>
      <c r="J114" s="54">
        <v>2</v>
      </c>
      <c r="K114" s="54">
        <v>2</v>
      </c>
      <c r="L114" s="54">
        <v>2</v>
      </c>
      <c r="M114" s="54">
        <v>0</v>
      </c>
      <c r="N114" s="54">
        <v>0</v>
      </c>
      <c r="O114" s="54">
        <v>14</v>
      </c>
      <c r="P114" s="55">
        <v>14</v>
      </c>
      <c r="Q114" s="56">
        <v>0.14285714285714285</v>
      </c>
      <c r="R114" s="57">
        <v>0.14285714285714285</v>
      </c>
      <c r="S114" s="57">
        <v>0</v>
      </c>
      <c r="T114" s="57">
        <v>0</v>
      </c>
      <c r="U114" s="58" t="s">
        <v>981</v>
      </c>
      <c r="V114" s="57">
        <v>0</v>
      </c>
      <c r="W114" s="58">
        <v>0</v>
      </c>
      <c r="X114" s="57">
        <v>0</v>
      </c>
      <c r="Y114" s="58">
        <v>0</v>
      </c>
      <c r="Z114" s="57">
        <v>0</v>
      </c>
      <c r="AA114" s="58" t="s">
        <v>981</v>
      </c>
      <c r="AB114" s="57">
        <v>0</v>
      </c>
      <c r="AC114" s="58">
        <v>2</v>
      </c>
      <c r="AD114" s="57">
        <v>6.2353858144972721E-4</v>
      </c>
      <c r="AE114" s="59">
        <v>0</v>
      </c>
      <c r="AF114" s="60">
        <v>0</v>
      </c>
      <c r="AG114" s="59">
        <v>1.0799136069114472E-3</v>
      </c>
      <c r="AH114" s="60">
        <v>1.0799136069114472E-3</v>
      </c>
    </row>
    <row r="115" spans="1:34" x14ac:dyDescent="0.35">
      <c r="A115" t="s">
        <v>199</v>
      </c>
      <c r="B115" s="61" t="s">
        <v>200</v>
      </c>
      <c r="C115" s="53" t="s">
        <v>783</v>
      </c>
      <c r="D115" s="53" t="s">
        <v>737</v>
      </c>
      <c r="E115" s="53" t="s">
        <v>657</v>
      </c>
      <c r="F115" s="53" t="s">
        <v>641</v>
      </c>
      <c r="G115" s="53" t="s">
        <v>654</v>
      </c>
      <c r="H115" s="53" t="s">
        <v>738</v>
      </c>
      <c r="I115" s="54">
        <v>10</v>
      </c>
      <c r="J115" s="54">
        <v>5</v>
      </c>
      <c r="K115" s="54">
        <v>2</v>
      </c>
      <c r="L115" s="54">
        <v>2</v>
      </c>
      <c r="M115" s="54">
        <v>0</v>
      </c>
      <c r="N115" s="54">
        <v>0</v>
      </c>
      <c r="O115" s="54">
        <v>13</v>
      </c>
      <c r="P115" s="55">
        <v>11.5</v>
      </c>
      <c r="Q115" s="56">
        <v>0.17391304347826086</v>
      </c>
      <c r="R115" s="57">
        <v>0.17391304347826086</v>
      </c>
      <c r="S115" s="57">
        <v>0</v>
      </c>
      <c r="T115" s="57">
        <v>0</v>
      </c>
      <c r="U115" s="58">
        <v>0</v>
      </c>
      <c r="V115" s="57">
        <v>0</v>
      </c>
      <c r="W115" s="58" t="s">
        <v>981</v>
      </c>
      <c r="X115" s="57">
        <v>0</v>
      </c>
      <c r="Y115" s="58" t="s">
        <v>981</v>
      </c>
      <c r="Z115" s="57">
        <v>0</v>
      </c>
      <c r="AA115" s="58">
        <v>0</v>
      </c>
      <c r="AB115" s="57">
        <v>0</v>
      </c>
      <c r="AC115" s="58">
        <v>2</v>
      </c>
      <c r="AD115" s="57">
        <v>6.2353858144972721E-4</v>
      </c>
      <c r="AE115" s="59">
        <v>0</v>
      </c>
      <c r="AF115" s="60">
        <v>0</v>
      </c>
      <c r="AG115" s="59">
        <v>1.0799136069114472E-3</v>
      </c>
      <c r="AH115" s="60">
        <v>1.0799136069114472E-3</v>
      </c>
    </row>
    <row r="116" spans="1:34" x14ac:dyDescent="0.35">
      <c r="A116" t="s">
        <v>201</v>
      </c>
      <c r="B116" s="53" t="s">
        <v>202</v>
      </c>
      <c r="C116" s="53" t="s">
        <v>203</v>
      </c>
      <c r="D116" s="53" t="s">
        <v>628</v>
      </c>
      <c r="E116" s="53" t="s">
        <v>629</v>
      </c>
      <c r="F116" s="53" t="s">
        <v>630</v>
      </c>
      <c r="G116" s="53" t="s">
        <v>631</v>
      </c>
      <c r="H116" s="53" t="s">
        <v>784</v>
      </c>
      <c r="I116" s="54">
        <v>27</v>
      </c>
      <c r="J116" s="54">
        <v>8</v>
      </c>
      <c r="K116" s="54">
        <v>4</v>
      </c>
      <c r="L116" s="54">
        <v>4</v>
      </c>
      <c r="M116" s="54">
        <v>0</v>
      </c>
      <c r="N116" s="54">
        <v>0</v>
      </c>
      <c r="O116" s="54">
        <v>31</v>
      </c>
      <c r="P116" s="55">
        <v>29</v>
      </c>
      <c r="Q116" s="56">
        <v>0.13793103448275862</v>
      </c>
      <c r="R116" s="57">
        <v>0.13793103448275862</v>
      </c>
      <c r="S116" s="57">
        <v>0</v>
      </c>
      <c r="T116" s="57">
        <v>0</v>
      </c>
      <c r="U116" s="58" t="s">
        <v>981</v>
      </c>
      <c r="V116" s="57">
        <v>0</v>
      </c>
      <c r="W116" s="58">
        <v>0</v>
      </c>
      <c r="X116" s="57">
        <v>0</v>
      </c>
      <c r="Y116" s="58">
        <v>0</v>
      </c>
      <c r="Z116" s="57">
        <v>0</v>
      </c>
      <c r="AA116" s="58">
        <v>0</v>
      </c>
      <c r="AB116" s="57">
        <v>0</v>
      </c>
      <c r="AC116" s="58">
        <v>4</v>
      </c>
      <c r="AD116" s="57">
        <v>1.2470771628994544E-3</v>
      </c>
      <c r="AE116" s="59">
        <v>4.4883303411131061E-4</v>
      </c>
      <c r="AF116" s="60">
        <v>4.4883303411131061E-4</v>
      </c>
      <c r="AG116" s="59">
        <v>1.6198704103671706E-3</v>
      </c>
      <c r="AH116" s="60">
        <v>1.6198704103671706E-3</v>
      </c>
    </row>
    <row r="117" spans="1:34" x14ac:dyDescent="0.35">
      <c r="A117" t="s">
        <v>204</v>
      </c>
      <c r="B117" s="61" t="s">
        <v>205</v>
      </c>
      <c r="C117" s="53" t="s">
        <v>785</v>
      </c>
      <c r="D117" s="53" t="s">
        <v>634</v>
      </c>
      <c r="E117" s="53" t="s">
        <v>629</v>
      </c>
      <c r="F117" s="53" t="s">
        <v>635</v>
      </c>
      <c r="G117" s="53" t="s">
        <v>668</v>
      </c>
      <c r="H117" s="53" t="s">
        <v>637</v>
      </c>
      <c r="I117" s="54">
        <v>15</v>
      </c>
      <c r="J117" s="54">
        <v>0</v>
      </c>
      <c r="K117" s="54">
        <v>2</v>
      </c>
      <c r="L117" s="54">
        <v>2</v>
      </c>
      <c r="M117" s="54">
        <v>0</v>
      </c>
      <c r="N117" s="54">
        <v>0</v>
      </c>
      <c r="O117" s="54">
        <v>13</v>
      </c>
      <c r="P117" s="55">
        <v>14</v>
      </c>
      <c r="Q117" s="56">
        <v>0.14285714285714285</v>
      </c>
      <c r="R117" s="57">
        <v>0.14285714285714285</v>
      </c>
      <c r="S117" s="57">
        <v>0</v>
      </c>
      <c r="T117" s="57">
        <v>0</v>
      </c>
      <c r="U117" s="58">
        <v>0</v>
      </c>
      <c r="V117" s="57">
        <v>0</v>
      </c>
      <c r="W117" s="58" t="s">
        <v>981</v>
      </c>
      <c r="X117" s="57">
        <v>0</v>
      </c>
      <c r="Y117" s="58">
        <v>0</v>
      </c>
      <c r="Z117" s="57">
        <v>0</v>
      </c>
      <c r="AA117" s="58">
        <v>0</v>
      </c>
      <c r="AB117" s="57">
        <v>0</v>
      </c>
      <c r="AC117" s="58">
        <v>2</v>
      </c>
      <c r="AD117" s="57">
        <v>6.2353858144972721E-4</v>
      </c>
      <c r="AE117" s="59">
        <v>0</v>
      </c>
      <c r="AF117" s="60">
        <v>0</v>
      </c>
      <c r="AG117" s="59">
        <v>1.0799136069114472E-3</v>
      </c>
      <c r="AH117" s="60">
        <v>1.0799136069114472E-3</v>
      </c>
    </row>
    <row r="118" spans="1:34" x14ac:dyDescent="0.35">
      <c r="A118" t="s">
        <v>206</v>
      </c>
      <c r="B118" s="53" t="s">
        <v>207</v>
      </c>
      <c r="C118" s="53" t="s">
        <v>786</v>
      </c>
      <c r="D118" s="53" t="s">
        <v>666</v>
      </c>
      <c r="E118" s="53" t="s">
        <v>629</v>
      </c>
      <c r="F118" s="53" t="s">
        <v>630</v>
      </c>
      <c r="G118" s="53" t="s">
        <v>668</v>
      </c>
      <c r="H118" s="53" t="s">
        <v>652</v>
      </c>
      <c r="I118" s="54">
        <v>11</v>
      </c>
      <c r="J118" s="54">
        <v>1</v>
      </c>
      <c r="K118" s="54">
        <v>0</v>
      </c>
      <c r="L118" s="54">
        <v>0</v>
      </c>
      <c r="M118" s="54">
        <v>0</v>
      </c>
      <c r="N118" s="54">
        <v>0</v>
      </c>
      <c r="O118" s="54">
        <v>12</v>
      </c>
      <c r="P118" s="55">
        <v>11.5</v>
      </c>
      <c r="Q118" s="56">
        <v>0</v>
      </c>
      <c r="R118" s="57">
        <v>0</v>
      </c>
      <c r="S118" s="57">
        <v>0</v>
      </c>
      <c r="T118" s="57">
        <v>0</v>
      </c>
      <c r="U118" s="58">
        <v>0</v>
      </c>
      <c r="V118" s="57">
        <v>0</v>
      </c>
      <c r="W118" s="58" t="s">
        <v>981</v>
      </c>
      <c r="X118" s="57">
        <v>0</v>
      </c>
      <c r="Y118" s="58">
        <v>0</v>
      </c>
      <c r="Z118" s="57">
        <v>0</v>
      </c>
      <c r="AA118" s="58">
        <v>0</v>
      </c>
      <c r="AB118" s="57">
        <v>0</v>
      </c>
      <c r="AC118" s="58">
        <v>0</v>
      </c>
      <c r="AD118" s="57">
        <v>0</v>
      </c>
      <c r="AE118" s="59">
        <v>0</v>
      </c>
      <c r="AF118" s="60">
        <v>0</v>
      </c>
      <c r="AG118" s="59">
        <v>0</v>
      </c>
      <c r="AH118" s="60">
        <v>0</v>
      </c>
    </row>
    <row r="119" spans="1:34" x14ac:dyDescent="0.35">
      <c r="A119" t="s">
        <v>208</v>
      </c>
      <c r="B119" s="61" t="s">
        <v>209</v>
      </c>
      <c r="C119" s="53" t="s">
        <v>210</v>
      </c>
      <c r="D119" s="53" t="s">
        <v>640</v>
      </c>
      <c r="E119" s="53" t="s">
        <v>623</v>
      </c>
      <c r="F119" s="53" t="s">
        <v>624</v>
      </c>
      <c r="G119" s="53" t="s">
        <v>636</v>
      </c>
      <c r="H119" s="53" t="s">
        <v>787</v>
      </c>
      <c r="I119" s="54">
        <v>24</v>
      </c>
      <c r="J119" s="54">
        <v>1</v>
      </c>
      <c r="K119" s="54">
        <v>1</v>
      </c>
      <c r="L119" s="54">
        <v>1</v>
      </c>
      <c r="M119" s="54">
        <v>0</v>
      </c>
      <c r="N119" s="54">
        <v>0</v>
      </c>
      <c r="O119" s="54">
        <v>24</v>
      </c>
      <c r="P119" s="55">
        <v>24</v>
      </c>
      <c r="Q119" s="56">
        <v>4.1666666666666664E-2</v>
      </c>
      <c r="R119" s="57">
        <v>4.1666666666666664E-2</v>
      </c>
      <c r="S119" s="57">
        <v>0</v>
      </c>
      <c r="T119" s="57">
        <v>0</v>
      </c>
      <c r="U119" s="58">
        <v>0</v>
      </c>
      <c r="V119" s="57">
        <v>0</v>
      </c>
      <c r="W119" s="58">
        <v>0</v>
      </c>
      <c r="X119" s="57">
        <v>0</v>
      </c>
      <c r="Y119" s="58">
        <v>0</v>
      </c>
      <c r="Z119" s="57">
        <v>0</v>
      </c>
      <c r="AA119" s="58">
        <v>0</v>
      </c>
      <c r="AB119" s="57">
        <v>0</v>
      </c>
      <c r="AC119" s="58">
        <v>1</v>
      </c>
      <c r="AD119" s="57">
        <v>3.1176929072486361E-4</v>
      </c>
      <c r="AE119" s="59">
        <v>0</v>
      </c>
      <c r="AF119" s="60">
        <v>0</v>
      </c>
      <c r="AG119" s="59">
        <v>5.3995680345572358E-4</v>
      </c>
      <c r="AH119" s="60">
        <v>5.3995680345572358E-4</v>
      </c>
    </row>
    <row r="120" spans="1:34" x14ac:dyDescent="0.35">
      <c r="A120" t="s">
        <v>211</v>
      </c>
      <c r="B120" s="53" t="s">
        <v>212</v>
      </c>
      <c r="C120" s="53" t="s">
        <v>788</v>
      </c>
      <c r="D120" s="53" t="s">
        <v>691</v>
      </c>
      <c r="E120" s="53" t="s">
        <v>657</v>
      </c>
      <c r="F120" s="53" t="s">
        <v>658</v>
      </c>
      <c r="G120" s="53" t="s">
        <v>654</v>
      </c>
      <c r="H120" s="53" t="s">
        <v>632</v>
      </c>
      <c r="I120" s="54">
        <v>25</v>
      </c>
      <c r="J120" s="54">
        <v>1</v>
      </c>
      <c r="K120" s="54">
        <v>2</v>
      </c>
      <c r="L120" s="54">
        <v>1</v>
      </c>
      <c r="M120" s="54">
        <v>0</v>
      </c>
      <c r="N120" s="54">
        <v>1</v>
      </c>
      <c r="O120" s="54">
        <v>24</v>
      </c>
      <c r="P120" s="55">
        <v>24.5</v>
      </c>
      <c r="Q120" s="56">
        <v>8.1632653061224483E-2</v>
      </c>
      <c r="R120" s="57">
        <v>4.0816326530612242E-2</v>
      </c>
      <c r="S120" s="57">
        <v>0</v>
      </c>
      <c r="T120" s="57">
        <v>4.0816326530612242E-2</v>
      </c>
      <c r="U120" s="58">
        <v>0</v>
      </c>
      <c r="V120" s="57">
        <v>0</v>
      </c>
      <c r="W120" s="58">
        <v>0</v>
      </c>
      <c r="X120" s="57">
        <v>0</v>
      </c>
      <c r="Y120" s="58">
        <v>0</v>
      </c>
      <c r="Z120" s="57">
        <v>0</v>
      </c>
      <c r="AA120" s="58">
        <v>0</v>
      </c>
      <c r="AB120" s="57">
        <v>0</v>
      </c>
      <c r="AC120" s="58">
        <v>1</v>
      </c>
      <c r="AD120" s="57">
        <v>3.1176929072486361E-4</v>
      </c>
      <c r="AE120" s="59">
        <v>4.4883303411131061E-4</v>
      </c>
      <c r="AF120" s="60">
        <v>0</v>
      </c>
      <c r="AG120" s="59">
        <v>5.3995680345572358E-4</v>
      </c>
      <c r="AH120" s="60">
        <v>5.3995680345572358E-4</v>
      </c>
    </row>
    <row r="121" spans="1:34" x14ac:dyDescent="0.35">
      <c r="A121" t="s">
        <v>215</v>
      </c>
      <c r="B121" s="61" t="s">
        <v>216</v>
      </c>
      <c r="C121" s="53" t="s">
        <v>217</v>
      </c>
      <c r="D121" s="53" t="s">
        <v>640</v>
      </c>
      <c r="E121" s="53" t="s">
        <v>623</v>
      </c>
      <c r="F121" s="53" t="s">
        <v>624</v>
      </c>
      <c r="G121" s="53" t="s">
        <v>654</v>
      </c>
      <c r="H121" s="53" t="s">
        <v>789</v>
      </c>
      <c r="I121" s="54">
        <v>17</v>
      </c>
      <c r="J121" s="54">
        <v>1</v>
      </c>
      <c r="K121" s="54">
        <v>2</v>
      </c>
      <c r="L121" s="54">
        <v>2</v>
      </c>
      <c r="M121" s="54">
        <v>0</v>
      </c>
      <c r="N121" s="54">
        <v>0</v>
      </c>
      <c r="O121" s="54">
        <v>16</v>
      </c>
      <c r="P121" s="55">
        <v>16.5</v>
      </c>
      <c r="Q121" s="56">
        <v>0.12121212121212122</v>
      </c>
      <c r="R121" s="57">
        <v>0.12121212121212122</v>
      </c>
      <c r="S121" s="57">
        <v>0</v>
      </c>
      <c r="T121" s="57">
        <v>0</v>
      </c>
      <c r="U121" s="58">
        <v>0</v>
      </c>
      <c r="V121" s="57">
        <v>0</v>
      </c>
      <c r="W121" s="58">
        <v>0</v>
      </c>
      <c r="X121" s="57">
        <v>0</v>
      </c>
      <c r="Y121" s="58" t="s">
        <v>981</v>
      </c>
      <c r="Z121" s="57">
        <v>0</v>
      </c>
      <c r="AA121" s="58">
        <v>0</v>
      </c>
      <c r="AB121" s="57">
        <v>0</v>
      </c>
      <c r="AC121" s="58">
        <v>2</v>
      </c>
      <c r="AD121" s="57">
        <v>6.2353858144972721E-4</v>
      </c>
      <c r="AE121" s="59">
        <v>4.4883303411131061E-4</v>
      </c>
      <c r="AF121" s="60">
        <v>4.4883303411131061E-4</v>
      </c>
      <c r="AG121" s="59">
        <v>5.3995680345572358E-4</v>
      </c>
      <c r="AH121" s="60">
        <v>5.3995680345572358E-4</v>
      </c>
    </row>
    <row r="122" spans="1:34" x14ac:dyDescent="0.35">
      <c r="A122" t="s">
        <v>218</v>
      </c>
      <c r="B122" s="53" t="s">
        <v>219</v>
      </c>
      <c r="C122" s="53" t="s">
        <v>790</v>
      </c>
      <c r="D122" s="53" t="s">
        <v>661</v>
      </c>
      <c r="E122" s="53" t="s">
        <v>657</v>
      </c>
      <c r="F122" s="53" t="s">
        <v>662</v>
      </c>
      <c r="G122" s="53" t="s">
        <v>625</v>
      </c>
      <c r="H122" s="53" t="s">
        <v>632</v>
      </c>
      <c r="I122" s="54">
        <v>36</v>
      </c>
      <c r="J122" s="54">
        <v>3</v>
      </c>
      <c r="K122" s="54">
        <v>2</v>
      </c>
      <c r="L122" s="54">
        <v>2</v>
      </c>
      <c r="M122" s="54">
        <v>0</v>
      </c>
      <c r="N122" s="54">
        <v>0</v>
      </c>
      <c r="O122" s="54">
        <v>37</v>
      </c>
      <c r="P122" s="55">
        <v>36.5</v>
      </c>
      <c r="Q122" s="56">
        <v>5.4794520547945202E-2</v>
      </c>
      <c r="R122" s="57">
        <v>5.4794520547945202E-2</v>
      </c>
      <c r="S122" s="57">
        <v>0</v>
      </c>
      <c r="T122" s="57">
        <v>0</v>
      </c>
      <c r="U122" s="58">
        <v>0</v>
      </c>
      <c r="V122" s="57">
        <v>0</v>
      </c>
      <c r="W122" s="58">
        <v>0</v>
      </c>
      <c r="X122" s="57">
        <v>0</v>
      </c>
      <c r="Y122" s="58">
        <v>0</v>
      </c>
      <c r="Z122" s="57">
        <v>0</v>
      </c>
      <c r="AA122" s="58">
        <v>0</v>
      </c>
      <c r="AB122" s="57">
        <v>0</v>
      </c>
      <c r="AC122" s="58">
        <v>2</v>
      </c>
      <c r="AD122" s="57">
        <v>6.2353858144972721E-4</v>
      </c>
      <c r="AE122" s="59">
        <v>0</v>
      </c>
      <c r="AF122" s="60">
        <v>0</v>
      </c>
      <c r="AG122" s="59">
        <v>1.0799136069114472E-3</v>
      </c>
      <c r="AH122" s="60">
        <v>1.0799136069114472E-3</v>
      </c>
    </row>
    <row r="123" spans="1:34" x14ac:dyDescent="0.35">
      <c r="A123" t="s">
        <v>220</v>
      </c>
      <c r="B123" s="61" t="s">
        <v>221</v>
      </c>
      <c r="C123" s="53" t="s">
        <v>791</v>
      </c>
      <c r="D123" s="53" t="s">
        <v>648</v>
      </c>
      <c r="E123" s="53" t="s">
        <v>623</v>
      </c>
      <c r="F123" s="53" t="s">
        <v>624</v>
      </c>
      <c r="G123" s="53" t="s">
        <v>668</v>
      </c>
      <c r="H123" s="53" t="s">
        <v>649</v>
      </c>
      <c r="I123" s="54">
        <v>12</v>
      </c>
      <c r="J123" s="54">
        <v>1</v>
      </c>
      <c r="K123" s="54">
        <v>0</v>
      </c>
      <c r="L123" s="54">
        <v>0</v>
      </c>
      <c r="M123" s="54">
        <v>0</v>
      </c>
      <c r="N123" s="54">
        <v>0</v>
      </c>
      <c r="O123" s="54">
        <v>13</v>
      </c>
      <c r="P123" s="55">
        <v>12.5</v>
      </c>
      <c r="Q123" s="56">
        <v>0</v>
      </c>
      <c r="R123" s="57">
        <v>0</v>
      </c>
      <c r="S123" s="57">
        <v>0</v>
      </c>
      <c r="T123" s="57">
        <v>0</v>
      </c>
      <c r="U123" s="58">
        <v>0</v>
      </c>
      <c r="V123" s="57">
        <v>0</v>
      </c>
      <c r="W123" s="58">
        <v>0</v>
      </c>
      <c r="X123" s="57">
        <v>0</v>
      </c>
      <c r="Y123" s="58">
        <v>0</v>
      </c>
      <c r="Z123" s="57">
        <v>0</v>
      </c>
      <c r="AA123" s="58">
        <v>0</v>
      </c>
      <c r="AB123" s="57">
        <v>0</v>
      </c>
      <c r="AC123" s="58">
        <v>0</v>
      </c>
      <c r="AD123" s="57">
        <v>0</v>
      </c>
      <c r="AE123" s="59">
        <v>0</v>
      </c>
      <c r="AF123" s="60">
        <v>0</v>
      </c>
      <c r="AG123" s="59">
        <v>0</v>
      </c>
      <c r="AH123" s="60">
        <v>0</v>
      </c>
    </row>
    <row r="124" spans="1:34" x14ac:dyDescent="0.35">
      <c r="A124" t="s">
        <v>222</v>
      </c>
      <c r="B124" s="53" t="s">
        <v>223</v>
      </c>
      <c r="C124" s="53" t="s">
        <v>224</v>
      </c>
      <c r="D124" s="53" t="s">
        <v>684</v>
      </c>
      <c r="E124" s="53" t="s">
        <v>623</v>
      </c>
      <c r="F124" s="53" t="s">
        <v>662</v>
      </c>
      <c r="G124" s="53" t="s">
        <v>642</v>
      </c>
      <c r="H124" s="53" t="s">
        <v>792</v>
      </c>
      <c r="I124" s="54">
        <v>9</v>
      </c>
      <c r="J124" s="54">
        <v>0</v>
      </c>
      <c r="K124" s="54">
        <v>0</v>
      </c>
      <c r="L124" s="54">
        <v>0</v>
      </c>
      <c r="M124" s="54">
        <v>0</v>
      </c>
      <c r="N124" s="54">
        <v>0</v>
      </c>
      <c r="O124" s="54">
        <v>9</v>
      </c>
      <c r="P124" s="55">
        <v>9</v>
      </c>
      <c r="Q124" s="56">
        <v>0</v>
      </c>
      <c r="R124" s="57">
        <v>0</v>
      </c>
      <c r="S124" s="57">
        <v>0</v>
      </c>
      <c r="T124" s="57">
        <v>0</v>
      </c>
      <c r="U124" s="58">
        <v>0</v>
      </c>
      <c r="V124" s="57">
        <v>0</v>
      </c>
      <c r="W124" s="58">
        <v>0</v>
      </c>
      <c r="X124" s="57">
        <v>0</v>
      </c>
      <c r="Y124" s="58">
        <v>0</v>
      </c>
      <c r="Z124" s="57">
        <v>0</v>
      </c>
      <c r="AA124" s="58" t="s">
        <v>981</v>
      </c>
      <c r="AB124" s="57">
        <v>0</v>
      </c>
      <c r="AC124" s="58">
        <v>0</v>
      </c>
      <c r="AD124" s="57">
        <v>0</v>
      </c>
      <c r="AE124" s="59">
        <v>0</v>
      </c>
      <c r="AF124" s="60">
        <v>0</v>
      </c>
      <c r="AG124" s="59">
        <v>0</v>
      </c>
      <c r="AH124" s="60" t="s">
        <v>599</v>
      </c>
    </row>
    <row r="125" spans="1:34" x14ac:dyDescent="0.35">
      <c r="A125" t="s">
        <v>228</v>
      </c>
      <c r="B125" s="53" t="s">
        <v>229</v>
      </c>
      <c r="C125" s="53" t="s">
        <v>793</v>
      </c>
      <c r="D125" s="53" t="s">
        <v>762</v>
      </c>
      <c r="E125" s="53" t="s">
        <v>629</v>
      </c>
      <c r="F125" s="53" t="s">
        <v>646</v>
      </c>
      <c r="G125" s="53" t="s">
        <v>668</v>
      </c>
      <c r="H125" s="53" t="s">
        <v>763</v>
      </c>
      <c r="I125" s="54">
        <v>14</v>
      </c>
      <c r="J125" s="54">
        <v>2</v>
      </c>
      <c r="K125" s="54">
        <v>0</v>
      </c>
      <c r="L125" s="54">
        <v>0</v>
      </c>
      <c r="M125" s="54">
        <v>0</v>
      </c>
      <c r="N125" s="54">
        <v>0</v>
      </c>
      <c r="O125" s="54">
        <v>16</v>
      </c>
      <c r="P125" s="55">
        <v>15</v>
      </c>
      <c r="Q125" s="56">
        <v>0</v>
      </c>
      <c r="R125" s="57">
        <v>0</v>
      </c>
      <c r="S125" s="57">
        <v>0</v>
      </c>
      <c r="T125" s="57">
        <v>0</v>
      </c>
      <c r="U125" s="58">
        <v>0</v>
      </c>
      <c r="V125" s="57">
        <v>0</v>
      </c>
      <c r="W125" s="58">
        <v>0</v>
      </c>
      <c r="X125" s="57">
        <v>0</v>
      </c>
      <c r="Y125" s="58">
        <v>0</v>
      </c>
      <c r="Z125" s="57">
        <v>0</v>
      </c>
      <c r="AA125" s="58" t="s">
        <v>981</v>
      </c>
      <c r="AB125" s="57">
        <v>0</v>
      </c>
      <c r="AC125" s="58">
        <v>0</v>
      </c>
      <c r="AD125" s="57">
        <v>0</v>
      </c>
      <c r="AE125" s="59">
        <v>0</v>
      </c>
      <c r="AF125" s="60">
        <v>0</v>
      </c>
      <c r="AG125" s="59">
        <v>0</v>
      </c>
      <c r="AH125" s="60">
        <v>0</v>
      </c>
    </row>
    <row r="126" spans="1:34" x14ac:dyDescent="0.35">
      <c r="A126" t="s">
        <v>230</v>
      </c>
      <c r="B126" s="61" t="s">
        <v>231</v>
      </c>
      <c r="C126" s="53" t="s">
        <v>794</v>
      </c>
      <c r="D126" s="53" t="s">
        <v>684</v>
      </c>
      <c r="E126" s="53" t="s">
        <v>623</v>
      </c>
      <c r="F126" s="53" t="s">
        <v>662</v>
      </c>
      <c r="G126" s="53" t="s">
        <v>668</v>
      </c>
      <c r="H126" s="53" t="s">
        <v>795</v>
      </c>
      <c r="I126" s="54">
        <v>15</v>
      </c>
      <c r="J126" s="54">
        <v>0</v>
      </c>
      <c r="K126" s="54">
        <v>0</v>
      </c>
      <c r="L126" s="54">
        <v>0</v>
      </c>
      <c r="M126" s="54">
        <v>0</v>
      </c>
      <c r="N126" s="54">
        <v>0</v>
      </c>
      <c r="O126" s="54">
        <v>15</v>
      </c>
      <c r="P126" s="55">
        <v>15</v>
      </c>
      <c r="Q126" s="56">
        <v>0</v>
      </c>
      <c r="R126" s="57">
        <v>0</v>
      </c>
      <c r="S126" s="57">
        <v>0</v>
      </c>
      <c r="T126" s="57">
        <v>0</v>
      </c>
      <c r="U126" s="58">
        <v>0</v>
      </c>
      <c r="V126" s="57">
        <v>0</v>
      </c>
      <c r="W126" s="58">
        <v>0</v>
      </c>
      <c r="X126" s="57">
        <v>0</v>
      </c>
      <c r="Y126" s="58">
        <v>0</v>
      </c>
      <c r="Z126" s="57">
        <v>0</v>
      </c>
      <c r="AA126" s="58">
        <v>0</v>
      </c>
      <c r="AB126" s="57">
        <v>0</v>
      </c>
      <c r="AC126" s="58">
        <v>0</v>
      </c>
      <c r="AD126" s="57">
        <v>0</v>
      </c>
      <c r="AE126" s="59">
        <v>0</v>
      </c>
      <c r="AF126" s="60">
        <v>0</v>
      </c>
      <c r="AG126" s="59">
        <v>0</v>
      </c>
      <c r="AH126" s="60">
        <v>0</v>
      </c>
    </row>
    <row r="127" spans="1:34" x14ac:dyDescent="0.35">
      <c r="A127" t="s">
        <v>232</v>
      </c>
      <c r="B127" s="53" t="s">
        <v>233</v>
      </c>
      <c r="C127" s="53" t="s">
        <v>234</v>
      </c>
      <c r="D127" s="53" t="s">
        <v>684</v>
      </c>
      <c r="E127" s="53" t="s">
        <v>623</v>
      </c>
      <c r="F127" s="53" t="s">
        <v>662</v>
      </c>
      <c r="G127" s="53" t="s">
        <v>654</v>
      </c>
      <c r="H127" s="53" t="s">
        <v>795</v>
      </c>
      <c r="I127" s="54">
        <v>17</v>
      </c>
      <c r="J127" s="54">
        <v>0</v>
      </c>
      <c r="K127" s="54">
        <v>1</v>
      </c>
      <c r="L127" s="54">
        <v>1</v>
      </c>
      <c r="M127" s="54">
        <v>0</v>
      </c>
      <c r="N127" s="54">
        <v>0</v>
      </c>
      <c r="O127" s="54">
        <v>16</v>
      </c>
      <c r="P127" s="55">
        <v>16.5</v>
      </c>
      <c r="Q127" s="56">
        <v>6.0606060606060608E-2</v>
      </c>
      <c r="R127" s="57">
        <v>6.0606060606060608E-2</v>
      </c>
      <c r="S127" s="57">
        <v>0</v>
      </c>
      <c r="T127" s="57">
        <v>0</v>
      </c>
      <c r="U127" s="58">
        <v>0</v>
      </c>
      <c r="V127" s="57">
        <v>0</v>
      </c>
      <c r="W127" s="58" t="s">
        <v>981</v>
      </c>
      <c r="X127" s="57">
        <v>0</v>
      </c>
      <c r="Y127" s="58">
        <v>0</v>
      </c>
      <c r="Z127" s="57">
        <v>0</v>
      </c>
      <c r="AA127" s="58">
        <v>0</v>
      </c>
      <c r="AB127" s="57">
        <v>0</v>
      </c>
      <c r="AC127" s="58">
        <v>1</v>
      </c>
      <c r="AD127" s="57">
        <v>3.1176929072486361E-4</v>
      </c>
      <c r="AE127" s="59">
        <v>4.4883303411131061E-4</v>
      </c>
      <c r="AF127" s="60">
        <v>4.4883303411131061E-4</v>
      </c>
      <c r="AG127" s="59">
        <v>0</v>
      </c>
      <c r="AH127" s="60">
        <v>0</v>
      </c>
    </row>
    <row r="128" spans="1:34" x14ac:dyDescent="0.35">
      <c r="A128" t="s">
        <v>235</v>
      </c>
      <c r="B128" s="61" t="s">
        <v>236</v>
      </c>
      <c r="C128" s="53" t="s">
        <v>796</v>
      </c>
      <c r="D128" s="53" t="s">
        <v>707</v>
      </c>
      <c r="E128" s="53" t="s">
        <v>629</v>
      </c>
      <c r="F128" s="53" t="s">
        <v>635</v>
      </c>
      <c r="G128" s="53" t="s">
        <v>654</v>
      </c>
      <c r="H128" s="53" t="s">
        <v>710</v>
      </c>
      <c r="I128" s="54">
        <v>14</v>
      </c>
      <c r="J128" s="54">
        <v>4</v>
      </c>
      <c r="K128" s="54">
        <v>3</v>
      </c>
      <c r="L128" s="54">
        <v>3</v>
      </c>
      <c r="M128" s="54">
        <v>0</v>
      </c>
      <c r="N128" s="54">
        <v>0</v>
      </c>
      <c r="O128" s="54">
        <v>15</v>
      </c>
      <c r="P128" s="55">
        <v>14.5</v>
      </c>
      <c r="Q128" s="56">
        <v>0.20689655172413793</v>
      </c>
      <c r="R128" s="57">
        <v>0.20689655172413793</v>
      </c>
      <c r="S128" s="57">
        <v>0</v>
      </c>
      <c r="T128" s="57">
        <v>0</v>
      </c>
      <c r="U128" s="58">
        <v>0</v>
      </c>
      <c r="V128" s="57">
        <v>0</v>
      </c>
      <c r="W128" s="58">
        <v>0</v>
      </c>
      <c r="X128" s="57">
        <v>0</v>
      </c>
      <c r="Y128" s="58" t="s">
        <v>981</v>
      </c>
      <c r="Z128" s="57">
        <v>0</v>
      </c>
      <c r="AA128" s="58">
        <v>0</v>
      </c>
      <c r="AB128" s="57">
        <v>0</v>
      </c>
      <c r="AC128" s="58">
        <v>3</v>
      </c>
      <c r="AD128" s="57">
        <v>9.3530787217459082E-4</v>
      </c>
      <c r="AE128" s="59">
        <v>8.9766606822262122E-4</v>
      </c>
      <c r="AF128" s="60">
        <v>8.9766606822262122E-4</v>
      </c>
      <c r="AG128" s="59">
        <v>5.3995680345572358E-4</v>
      </c>
      <c r="AH128" s="60">
        <v>5.3995680345572358E-4</v>
      </c>
    </row>
    <row r="129" spans="1:34" x14ac:dyDescent="0.35">
      <c r="A129" t="s">
        <v>237</v>
      </c>
      <c r="B129" s="53" t="s">
        <v>238</v>
      </c>
      <c r="C129" s="53" t="s">
        <v>797</v>
      </c>
      <c r="D129" s="53" t="s">
        <v>661</v>
      </c>
      <c r="E129" s="53" t="s">
        <v>657</v>
      </c>
      <c r="F129" s="53" t="s">
        <v>662</v>
      </c>
      <c r="G129" s="53" t="s">
        <v>631</v>
      </c>
      <c r="H129" s="53" t="s">
        <v>632</v>
      </c>
      <c r="I129" s="54">
        <v>41</v>
      </c>
      <c r="J129" s="54">
        <v>2</v>
      </c>
      <c r="K129" s="54">
        <v>6</v>
      </c>
      <c r="L129" s="54">
        <v>6</v>
      </c>
      <c r="M129" s="54">
        <v>0</v>
      </c>
      <c r="N129" s="54">
        <v>0</v>
      </c>
      <c r="O129" s="54">
        <v>37</v>
      </c>
      <c r="P129" s="55">
        <v>39</v>
      </c>
      <c r="Q129" s="56">
        <v>0.15384615384615385</v>
      </c>
      <c r="R129" s="57">
        <v>0.15384615384615385</v>
      </c>
      <c r="S129" s="57">
        <v>0</v>
      </c>
      <c r="T129" s="57">
        <v>0</v>
      </c>
      <c r="U129" s="58">
        <v>0</v>
      </c>
      <c r="V129" s="57">
        <v>0</v>
      </c>
      <c r="W129" s="58">
        <v>0</v>
      </c>
      <c r="X129" s="57">
        <v>0</v>
      </c>
      <c r="Y129" s="58">
        <v>0</v>
      </c>
      <c r="Z129" s="57">
        <v>0</v>
      </c>
      <c r="AA129" s="58">
        <v>1</v>
      </c>
      <c r="AB129" s="57">
        <v>3.9761431411530811E-3</v>
      </c>
      <c r="AC129" s="58">
        <v>5</v>
      </c>
      <c r="AD129" s="57">
        <v>1.558846453624318E-3</v>
      </c>
      <c r="AE129" s="59">
        <v>8.9766606822262122E-4</v>
      </c>
      <c r="AF129" s="60">
        <v>8.9766606822262122E-4</v>
      </c>
      <c r="AG129" s="59">
        <v>2.1598272138228943E-3</v>
      </c>
      <c r="AH129" s="60">
        <v>2.1598272138228943E-3</v>
      </c>
    </row>
    <row r="130" spans="1:34" x14ac:dyDescent="0.35">
      <c r="A130" t="s">
        <v>239</v>
      </c>
      <c r="B130" s="61" t="s">
        <v>240</v>
      </c>
      <c r="C130" s="53" t="s">
        <v>798</v>
      </c>
      <c r="D130" s="53" t="s">
        <v>628</v>
      </c>
      <c r="E130" s="53" t="s">
        <v>629</v>
      </c>
      <c r="F130" s="53" t="s">
        <v>646</v>
      </c>
      <c r="G130" s="53" t="s">
        <v>636</v>
      </c>
      <c r="H130" s="53" t="s">
        <v>632</v>
      </c>
      <c r="I130" s="54">
        <v>24</v>
      </c>
      <c r="J130" s="54">
        <v>2</v>
      </c>
      <c r="K130" s="54">
        <v>1</v>
      </c>
      <c r="L130" s="54">
        <v>1</v>
      </c>
      <c r="M130" s="54">
        <v>0</v>
      </c>
      <c r="N130" s="54">
        <v>0</v>
      </c>
      <c r="O130" s="54">
        <v>25</v>
      </c>
      <c r="P130" s="55">
        <v>24.5</v>
      </c>
      <c r="Q130" s="56">
        <v>4.0816326530612242E-2</v>
      </c>
      <c r="R130" s="57">
        <v>4.0816326530612242E-2</v>
      </c>
      <c r="S130" s="57">
        <v>0</v>
      </c>
      <c r="T130" s="57">
        <v>0</v>
      </c>
      <c r="U130" s="58">
        <v>0</v>
      </c>
      <c r="V130" s="57">
        <v>0</v>
      </c>
      <c r="W130" s="58" t="s">
        <v>981</v>
      </c>
      <c r="X130" s="57">
        <v>0</v>
      </c>
      <c r="Y130" s="58" t="s">
        <v>981</v>
      </c>
      <c r="Z130" s="57">
        <v>0</v>
      </c>
      <c r="AA130" s="58">
        <v>0</v>
      </c>
      <c r="AB130" s="57">
        <v>0</v>
      </c>
      <c r="AC130" s="58">
        <v>1</v>
      </c>
      <c r="AD130" s="57">
        <v>3.1176929072486361E-4</v>
      </c>
      <c r="AE130" s="59">
        <v>0</v>
      </c>
      <c r="AF130" s="60">
        <v>0</v>
      </c>
      <c r="AG130" s="59">
        <v>5.3995680345572358E-4</v>
      </c>
      <c r="AH130" s="60">
        <v>5.3995680345572358E-4</v>
      </c>
    </row>
    <row r="131" spans="1:34" x14ac:dyDescent="0.35">
      <c r="A131" t="s">
        <v>241</v>
      </c>
      <c r="B131" s="53" t="s">
        <v>242</v>
      </c>
      <c r="C131" s="53" t="s">
        <v>799</v>
      </c>
      <c r="D131" s="53" t="s">
        <v>622</v>
      </c>
      <c r="E131" s="53" t="s">
        <v>623</v>
      </c>
      <c r="F131" s="53" t="s">
        <v>624</v>
      </c>
      <c r="G131" s="53" t="s">
        <v>668</v>
      </c>
      <c r="H131" s="53" t="s">
        <v>800</v>
      </c>
      <c r="I131" s="54">
        <v>14</v>
      </c>
      <c r="J131" s="54">
        <v>2</v>
      </c>
      <c r="K131" s="54">
        <v>2</v>
      </c>
      <c r="L131" s="54">
        <v>2</v>
      </c>
      <c r="M131" s="54">
        <v>0</v>
      </c>
      <c r="N131" s="54">
        <v>0</v>
      </c>
      <c r="O131" s="54">
        <v>14</v>
      </c>
      <c r="P131" s="55">
        <v>14</v>
      </c>
      <c r="Q131" s="56">
        <v>0.14285714285714285</v>
      </c>
      <c r="R131" s="57">
        <v>0.14285714285714285</v>
      </c>
      <c r="S131" s="57">
        <v>0</v>
      </c>
      <c r="T131" s="57">
        <v>0</v>
      </c>
      <c r="U131" s="58">
        <v>0</v>
      </c>
      <c r="V131" s="57">
        <v>0</v>
      </c>
      <c r="W131" s="58" t="s">
        <v>981</v>
      </c>
      <c r="X131" s="57">
        <v>0</v>
      </c>
      <c r="Y131" s="58" t="s">
        <v>981</v>
      </c>
      <c r="Z131" s="57">
        <v>0</v>
      </c>
      <c r="AA131" s="58">
        <v>0</v>
      </c>
      <c r="AB131" s="57">
        <v>0</v>
      </c>
      <c r="AC131" s="58">
        <v>2</v>
      </c>
      <c r="AD131" s="57">
        <v>6.2353858144972721E-4</v>
      </c>
      <c r="AE131" s="59">
        <v>0</v>
      </c>
      <c r="AF131" s="60">
        <v>0</v>
      </c>
      <c r="AG131" s="59">
        <v>1.0799136069114472E-3</v>
      </c>
      <c r="AH131" s="60">
        <v>1.0799136069114472E-3</v>
      </c>
    </row>
    <row r="132" spans="1:34" x14ac:dyDescent="0.35">
      <c r="A132" t="s">
        <v>243</v>
      </c>
      <c r="B132" s="61" t="s">
        <v>244</v>
      </c>
      <c r="C132" s="53" t="s">
        <v>801</v>
      </c>
      <c r="D132" s="53" t="s">
        <v>707</v>
      </c>
      <c r="E132" s="53" t="s">
        <v>629</v>
      </c>
      <c r="F132" s="53" t="s">
        <v>635</v>
      </c>
      <c r="G132" s="53" t="s">
        <v>631</v>
      </c>
      <c r="H132" s="53" t="s">
        <v>710</v>
      </c>
      <c r="I132" s="54">
        <v>25</v>
      </c>
      <c r="J132" s="54">
        <v>5</v>
      </c>
      <c r="K132" s="54">
        <v>2</v>
      </c>
      <c r="L132" s="54">
        <v>1</v>
      </c>
      <c r="M132" s="54">
        <v>1</v>
      </c>
      <c r="N132" s="54">
        <v>0</v>
      </c>
      <c r="O132" s="54">
        <v>28</v>
      </c>
      <c r="P132" s="55">
        <v>26.5</v>
      </c>
      <c r="Q132" s="56">
        <v>7.5471698113207544E-2</v>
      </c>
      <c r="R132" s="57">
        <v>3.7735849056603772E-2</v>
      </c>
      <c r="S132" s="57">
        <v>3.7735849056603772E-2</v>
      </c>
      <c r="T132" s="57">
        <v>0</v>
      </c>
      <c r="U132" s="58">
        <v>0</v>
      </c>
      <c r="V132" s="57">
        <v>0</v>
      </c>
      <c r="W132" s="58">
        <v>0</v>
      </c>
      <c r="X132" s="57">
        <v>0</v>
      </c>
      <c r="Y132" s="58">
        <v>0</v>
      </c>
      <c r="Z132" s="57">
        <v>0</v>
      </c>
      <c r="AA132" s="58">
        <v>0</v>
      </c>
      <c r="AB132" s="57">
        <v>0</v>
      </c>
      <c r="AC132" s="58">
        <v>1</v>
      </c>
      <c r="AD132" s="57">
        <v>3.1176929072486361E-4</v>
      </c>
      <c r="AE132" s="59">
        <v>0</v>
      </c>
      <c r="AF132" s="60">
        <v>0</v>
      </c>
      <c r="AG132" s="59">
        <v>1.0799136069114472E-3</v>
      </c>
      <c r="AH132" s="60">
        <v>5.3995680345572358E-4</v>
      </c>
    </row>
    <row r="133" spans="1:34" x14ac:dyDescent="0.35">
      <c r="A133" t="s">
        <v>245</v>
      </c>
      <c r="B133" s="53" t="s">
        <v>246</v>
      </c>
      <c r="C133" s="53" t="s">
        <v>802</v>
      </c>
      <c r="D133" s="53" t="s">
        <v>678</v>
      </c>
      <c r="E133" s="53" t="s">
        <v>623</v>
      </c>
      <c r="F133" s="53" t="s">
        <v>624</v>
      </c>
      <c r="G133" s="53" t="s">
        <v>654</v>
      </c>
      <c r="H133" s="53" t="s">
        <v>679</v>
      </c>
      <c r="I133" s="54">
        <v>16</v>
      </c>
      <c r="J133" s="54">
        <v>6</v>
      </c>
      <c r="K133" s="54">
        <v>3</v>
      </c>
      <c r="L133" s="54">
        <v>3</v>
      </c>
      <c r="M133" s="54">
        <v>0</v>
      </c>
      <c r="N133" s="54">
        <v>0</v>
      </c>
      <c r="O133" s="54">
        <v>19</v>
      </c>
      <c r="P133" s="55">
        <v>17.5</v>
      </c>
      <c r="Q133" s="56">
        <v>0.17142857142857143</v>
      </c>
      <c r="R133" s="57">
        <v>0.17142857142857143</v>
      </c>
      <c r="S133" s="57">
        <v>0</v>
      </c>
      <c r="T133" s="57">
        <v>0</v>
      </c>
      <c r="U133" s="58">
        <v>0</v>
      </c>
      <c r="V133" s="57">
        <v>0</v>
      </c>
      <c r="W133" s="58" t="s">
        <v>981</v>
      </c>
      <c r="X133" s="57">
        <v>0</v>
      </c>
      <c r="Y133" s="58">
        <v>0</v>
      </c>
      <c r="Z133" s="57">
        <v>0</v>
      </c>
      <c r="AA133" s="58">
        <v>0</v>
      </c>
      <c r="AB133" s="57">
        <v>0</v>
      </c>
      <c r="AC133" s="58">
        <v>3</v>
      </c>
      <c r="AD133" s="57">
        <v>9.3530787217459082E-4</v>
      </c>
      <c r="AE133" s="59">
        <v>0</v>
      </c>
      <c r="AF133" s="60">
        <v>0</v>
      </c>
      <c r="AG133" s="59">
        <v>1.6198704103671706E-3</v>
      </c>
      <c r="AH133" s="60">
        <v>1.6198704103671706E-3</v>
      </c>
    </row>
    <row r="134" spans="1:34" x14ac:dyDescent="0.35">
      <c r="A134" t="s">
        <v>247</v>
      </c>
      <c r="B134" s="61" t="s">
        <v>248</v>
      </c>
      <c r="C134" s="53" t="s">
        <v>249</v>
      </c>
      <c r="D134" s="53" t="s">
        <v>634</v>
      </c>
      <c r="E134" s="53" t="s">
        <v>629</v>
      </c>
      <c r="F134" s="53" t="s">
        <v>635</v>
      </c>
      <c r="G134" s="53" t="s">
        <v>668</v>
      </c>
      <c r="H134" s="53" t="s">
        <v>637</v>
      </c>
      <c r="I134" s="54">
        <v>15</v>
      </c>
      <c r="J134" s="54">
        <v>2</v>
      </c>
      <c r="K134" s="54">
        <v>0</v>
      </c>
      <c r="L134" s="54">
        <v>0</v>
      </c>
      <c r="M134" s="54">
        <v>0</v>
      </c>
      <c r="N134" s="54">
        <v>0</v>
      </c>
      <c r="O134" s="54">
        <v>17</v>
      </c>
      <c r="P134" s="55">
        <v>16</v>
      </c>
      <c r="Q134" s="56">
        <v>0</v>
      </c>
      <c r="R134" s="57">
        <v>0</v>
      </c>
      <c r="S134" s="57">
        <v>0</v>
      </c>
      <c r="T134" s="57">
        <v>0</v>
      </c>
      <c r="U134" s="58">
        <v>0</v>
      </c>
      <c r="V134" s="57">
        <v>0</v>
      </c>
      <c r="W134" s="58" t="s">
        <v>981</v>
      </c>
      <c r="X134" s="57">
        <v>0</v>
      </c>
      <c r="Y134" s="58" t="s">
        <v>981</v>
      </c>
      <c r="Z134" s="57">
        <v>0</v>
      </c>
      <c r="AA134" s="58">
        <v>0</v>
      </c>
      <c r="AB134" s="57">
        <v>0</v>
      </c>
      <c r="AC134" s="58">
        <v>0</v>
      </c>
      <c r="AD134" s="57">
        <v>0</v>
      </c>
      <c r="AE134" s="59">
        <v>0</v>
      </c>
      <c r="AF134" s="60">
        <v>0</v>
      </c>
      <c r="AG134" s="59">
        <v>0</v>
      </c>
      <c r="AH134" s="60">
        <v>0</v>
      </c>
    </row>
    <row r="135" spans="1:34" x14ac:dyDescent="0.35">
      <c r="A135" t="s">
        <v>250</v>
      </c>
      <c r="B135" s="53" t="s">
        <v>251</v>
      </c>
      <c r="C135" s="53" t="s">
        <v>803</v>
      </c>
      <c r="D135" s="53" t="s">
        <v>634</v>
      </c>
      <c r="E135" s="53" t="s">
        <v>629</v>
      </c>
      <c r="F135" s="53" t="s">
        <v>635</v>
      </c>
      <c r="G135" s="53" t="s">
        <v>668</v>
      </c>
      <c r="H135" s="53" t="s">
        <v>637</v>
      </c>
      <c r="I135" s="54">
        <v>14</v>
      </c>
      <c r="J135" s="54">
        <v>0</v>
      </c>
      <c r="K135" s="54">
        <v>1</v>
      </c>
      <c r="L135" s="54">
        <v>1</v>
      </c>
      <c r="M135" s="54">
        <v>0</v>
      </c>
      <c r="N135" s="54">
        <v>0</v>
      </c>
      <c r="O135" s="54">
        <v>13</v>
      </c>
      <c r="P135" s="55">
        <v>13.5</v>
      </c>
      <c r="Q135" s="56">
        <v>7.407407407407407E-2</v>
      </c>
      <c r="R135" s="57">
        <v>7.407407407407407E-2</v>
      </c>
      <c r="S135" s="57">
        <v>0</v>
      </c>
      <c r="T135" s="57">
        <v>0</v>
      </c>
      <c r="U135" s="58">
        <v>0</v>
      </c>
      <c r="V135" s="57">
        <v>0</v>
      </c>
      <c r="W135" s="58">
        <v>0</v>
      </c>
      <c r="X135" s="57">
        <v>0</v>
      </c>
      <c r="Y135" s="58">
        <v>0</v>
      </c>
      <c r="Z135" s="57">
        <v>0</v>
      </c>
      <c r="AA135" s="58" t="s">
        <v>981</v>
      </c>
      <c r="AB135" s="57">
        <v>0</v>
      </c>
      <c r="AC135" s="58">
        <v>1</v>
      </c>
      <c r="AD135" s="57">
        <v>3.1176929072486361E-4</v>
      </c>
      <c r="AE135" s="59">
        <v>4.4883303411131061E-4</v>
      </c>
      <c r="AF135" s="60">
        <v>4.4883303411131061E-4</v>
      </c>
      <c r="AG135" s="59">
        <v>0</v>
      </c>
      <c r="AH135" s="60">
        <v>0</v>
      </c>
    </row>
    <row r="136" spans="1:34" x14ac:dyDescent="0.35">
      <c r="A136" t="s">
        <v>252</v>
      </c>
      <c r="B136" s="61" t="s">
        <v>253</v>
      </c>
      <c r="C136" s="53" t="s">
        <v>804</v>
      </c>
      <c r="D136" s="53" t="s">
        <v>656</v>
      </c>
      <c r="E136" s="53" t="s">
        <v>657</v>
      </c>
      <c r="F136" s="53" t="s">
        <v>658</v>
      </c>
      <c r="G136" s="53" t="s">
        <v>636</v>
      </c>
      <c r="H136" s="53" t="s">
        <v>718</v>
      </c>
      <c r="I136" s="54">
        <v>23</v>
      </c>
      <c r="J136" s="54">
        <v>2</v>
      </c>
      <c r="K136" s="54">
        <v>4</v>
      </c>
      <c r="L136" s="54">
        <v>4</v>
      </c>
      <c r="M136" s="54">
        <v>0</v>
      </c>
      <c r="N136" s="54">
        <v>0</v>
      </c>
      <c r="O136" s="54">
        <v>21</v>
      </c>
      <c r="P136" s="55">
        <v>22</v>
      </c>
      <c r="Q136" s="56">
        <v>0.18181818181818182</v>
      </c>
      <c r="R136" s="57">
        <v>0.18181818181818182</v>
      </c>
      <c r="S136" s="57">
        <v>0</v>
      </c>
      <c r="T136" s="57">
        <v>0</v>
      </c>
      <c r="U136" s="58" t="s">
        <v>981</v>
      </c>
      <c r="V136" s="57">
        <v>0</v>
      </c>
      <c r="W136" s="58">
        <v>0</v>
      </c>
      <c r="X136" s="57">
        <v>0</v>
      </c>
      <c r="Y136" s="58">
        <v>0</v>
      </c>
      <c r="Z136" s="57">
        <v>0</v>
      </c>
      <c r="AA136" s="58">
        <v>0</v>
      </c>
      <c r="AB136" s="57">
        <v>0</v>
      </c>
      <c r="AC136" s="58">
        <v>4</v>
      </c>
      <c r="AD136" s="57">
        <v>1.2470771628994544E-3</v>
      </c>
      <c r="AE136" s="59">
        <v>4.4883303411131061E-4</v>
      </c>
      <c r="AF136" s="60">
        <v>4.4883303411131061E-4</v>
      </c>
      <c r="AG136" s="59">
        <v>1.6198704103671706E-3</v>
      </c>
      <c r="AH136" s="60">
        <v>1.6198704103671706E-3</v>
      </c>
    </row>
    <row r="137" spans="1:34" x14ac:dyDescent="0.35">
      <c r="A137" t="s">
        <v>256</v>
      </c>
      <c r="B137" s="53" t="s">
        <v>257</v>
      </c>
      <c r="C137" s="53" t="s">
        <v>805</v>
      </c>
      <c r="D137" s="53" t="s">
        <v>651</v>
      </c>
      <c r="E137" s="53" t="s">
        <v>629</v>
      </c>
      <c r="F137" s="53" t="s">
        <v>630</v>
      </c>
      <c r="G137" s="53" t="s">
        <v>668</v>
      </c>
      <c r="H137" s="53" t="s">
        <v>705</v>
      </c>
      <c r="I137" s="54">
        <v>13</v>
      </c>
      <c r="J137" s="54">
        <v>2</v>
      </c>
      <c r="K137" s="54">
        <v>2</v>
      </c>
      <c r="L137" s="54">
        <v>2</v>
      </c>
      <c r="M137" s="54">
        <v>0</v>
      </c>
      <c r="N137" s="54">
        <v>0</v>
      </c>
      <c r="O137" s="54">
        <v>13</v>
      </c>
      <c r="P137" s="55">
        <v>13</v>
      </c>
      <c r="Q137" s="56">
        <v>0.15384615384615385</v>
      </c>
      <c r="R137" s="57">
        <v>0.15384615384615385</v>
      </c>
      <c r="S137" s="57">
        <v>0</v>
      </c>
      <c r="T137" s="57">
        <v>0</v>
      </c>
      <c r="U137" s="58">
        <v>0</v>
      </c>
      <c r="V137" s="57">
        <v>0</v>
      </c>
      <c r="W137" s="58" t="s">
        <v>981</v>
      </c>
      <c r="X137" s="57">
        <v>0</v>
      </c>
      <c r="Y137" s="58" t="s">
        <v>981</v>
      </c>
      <c r="Z137" s="57">
        <v>0</v>
      </c>
      <c r="AA137" s="58">
        <v>0</v>
      </c>
      <c r="AB137" s="57">
        <v>0</v>
      </c>
      <c r="AC137" s="58">
        <v>2</v>
      </c>
      <c r="AD137" s="57">
        <v>6.2353858144972721E-4</v>
      </c>
      <c r="AE137" s="59">
        <v>4.4883303411131061E-4</v>
      </c>
      <c r="AF137" s="60">
        <v>4.4883303411131061E-4</v>
      </c>
      <c r="AG137" s="59">
        <v>5.3995680345572358E-4</v>
      </c>
      <c r="AH137" s="60">
        <v>5.3995680345572358E-4</v>
      </c>
    </row>
    <row r="138" spans="1:34" x14ac:dyDescent="0.35">
      <c r="A138" t="s">
        <v>258</v>
      </c>
      <c r="B138" s="61" t="s">
        <v>259</v>
      </c>
      <c r="C138" s="53" t="s">
        <v>806</v>
      </c>
      <c r="D138" s="53" t="s">
        <v>691</v>
      </c>
      <c r="E138" s="53" t="s">
        <v>657</v>
      </c>
      <c r="F138" s="53" t="s">
        <v>658</v>
      </c>
      <c r="G138" s="53" t="s">
        <v>668</v>
      </c>
      <c r="H138" s="53" t="s">
        <v>632</v>
      </c>
      <c r="I138" s="54">
        <v>15</v>
      </c>
      <c r="J138" s="54">
        <v>1</v>
      </c>
      <c r="K138" s="54">
        <v>1</v>
      </c>
      <c r="L138" s="54">
        <v>1</v>
      </c>
      <c r="M138" s="54">
        <v>0</v>
      </c>
      <c r="N138" s="54">
        <v>0</v>
      </c>
      <c r="O138" s="54">
        <v>15</v>
      </c>
      <c r="P138" s="55">
        <v>15</v>
      </c>
      <c r="Q138" s="56">
        <v>6.6666666666666666E-2</v>
      </c>
      <c r="R138" s="57">
        <v>6.6666666666666666E-2</v>
      </c>
      <c r="S138" s="57">
        <v>0</v>
      </c>
      <c r="T138" s="57">
        <v>0</v>
      </c>
      <c r="U138" s="58">
        <v>0</v>
      </c>
      <c r="V138" s="57">
        <v>0</v>
      </c>
      <c r="W138" s="58">
        <v>0</v>
      </c>
      <c r="X138" s="57">
        <v>0</v>
      </c>
      <c r="Y138" s="58">
        <v>0</v>
      </c>
      <c r="Z138" s="57">
        <v>0</v>
      </c>
      <c r="AA138" s="58" t="s">
        <v>981</v>
      </c>
      <c r="AB138" s="57">
        <v>0</v>
      </c>
      <c r="AC138" s="58">
        <v>1</v>
      </c>
      <c r="AD138" s="57">
        <v>3.1176929072486361E-4</v>
      </c>
      <c r="AE138" s="59">
        <v>0</v>
      </c>
      <c r="AF138" s="60">
        <v>0</v>
      </c>
      <c r="AG138" s="59">
        <v>5.3995680345572358E-4</v>
      </c>
      <c r="AH138" s="60">
        <v>5.3995680345572358E-4</v>
      </c>
    </row>
    <row r="139" spans="1:34" x14ac:dyDescent="0.35">
      <c r="A139" t="s">
        <v>260</v>
      </c>
      <c r="B139" s="53" t="s">
        <v>261</v>
      </c>
      <c r="C139" s="53" t="s">
        <v>807</v>
      </c>
      <c r="D139" s="53" t="s">
        <v>656</v>
      </c>
      <c r="E139" s="53" t="s">
        <v>657</v>
      </c>
      <c r="F139" s="53" t="s">
        <v>658</v>
      </c>
      <c r="G139" s="53" t="s">
        <v>636</v>
      </c>
      <c r="H139" s="53" t="s">
        <v>808</v>
      </c>
      <c r="I139" s="54">
        <v>23</v>
      </c>
      <c r="J139" s="54">
        <v>3</v>
      </c>
      <c r="K139" s="54">
        <v>1</v>
      </c>
      <c r="L139" s="54">
        <v>1</v>
      </c>
      <c r="M139" s="54">
        <v>0</v>
      </c>
      <c r="N139" s="54">
        <v>0</v>
      </c>
      <c r="O139" s="54">
        <v>25</v>
      </c>
      <c r="P139" s="55">
        <v>24</v>
      </c>
      <c r="Q139" s="56">
        <v>4.1666666666666664E-2</v>
      </c>
      <c r="R139" s="57">
        <v>4.1666666666666664E-2</v>
      </c>
      <c r="S139" s="57">
        <v>0</v>
      </c>
      <c r="T139" s="57">
        <v>0</v>
      </c>
      <c r="U139" s="58">
        <v>0</v>
      </c>
      <c r="V139" s="57">
        <v>0</v>
      </c>
      <c r="W139" s="58">
        <v>0</v>
      </c>
      <c r="X139" s="57">
        <v>0</v>
      </c>
      <c r="Y139" s="58">
        <v>0</v>
      </c>
      <c r="Z139" s="57">
        <v>0</v>
      </c>
      <c r="AA139" s="58">
        <v>0</v>
      </c>
      <c r="AB139" s="57">
        <v>0</v>
      </c>
      <c r="AC139" s="58">
        <v>1</v>
      </c>
      <c r="AD139" s="57">
        <v>3.1176929072486361E-4</v>
      </c>
      <c r="AE139" s="59">
        <v>0</v>
      </c>
      <c r="AF139" s="60">
        <v>0</v>
      </c>
      <c r="AG139" s="59">
        <v>5.3995680345572358E-4</v>
      </c>
      <c r="AH139" s="60">
        <v>5.3995680345572358E-4</v>
      </c>
    </row>
    <row r="140" spans="1:34" x14ac:dyDescent="0.35">
      <c r="A140" t="s">
        <v>262</v>
      </c>
      <c r="B140" s="61" t="s">
        <v>263</v>
      </c>
      <c r="C140" s="53" t="s">
        <v>809</v>
      </c>
      <c r="D140" s="53" t="s">
        <v>663</v>
      </c>
      <c r="E140" s="53" t="s">
        <v>629</v>
      </c>
      <c r="F140" s="53" t="s">
        <v>646</v>
      </c>
      <c r="G140" s="53" t="s">
        <v>668</v>
      </c>
      <c r="H140" s="53" t="s">
        <v>810</v>
      </c>
      <c r="I140" s="54">
        <v>11</v>
      </c>
      <c r="J140" s="54">
        <v>0</v>
      </c>
      <c r="K140" s="54">
        <v>0</v>
      </c>
      <c r="L140" s="54">
        <v>0</v>
      </c>
      <c r="M140" s="54">
        <v>0</v>
      </c>
      <c r="N140" s="54">
        <v>0</v>
      </c>
      <c r="O140" s="54">
        <v>11</v>
      </c>
      <c r="P140" s="55">
        <v>11</v>
      </c>
      <c r="Q140" s="56">
        <v>0</v>
      </c>
      <c r="R140" s="57">
        <v>0</v>
      </c>
      <c r="S140" s="57">
        <v>0</v>
      </c>
      <c r="T140" s="57">
        <v>0</v>
      </c>
      <c r="U140" s="58">
        <v>0</v>
      </c>
      <c r="V140" s="57">
        <v>0</v>
      </c>
      <c r="W140" s="58" t="s">
        <v>981</v>
      </c>
      <c r="X140" s="57">
        <v>0</v>
      </c>
      <c r="Y140" s="58">
        <v>0</v>
      </c>
      <c r="Z140" s="57">
        <v>0</v>
      </c>
      <c r="AA140" s="58" t="s">
        <v>981</v>
      </c>
      <c r="AB140" s="57">
        <v>0</v>
      </c>
      <c r="AC140" s="58">
        <v>0</v>
      </c>
      <c r="AD140" s="57">
        <v>0</v>
      </c>
      <c r="AE140" s="59">
        <v>0</v>
      </c>
      <c r="AF140" s="60">
        <v>0</v>
      </c>
      <c r="AG140" s="59">
        <v>0</v>
      </c>
      <c r="AH140" s="60">
        <v>0</v>
      </c>
    </row>
    <row r="141" spans="1:34" x14ac:dyDescent="0.35">
      <c r="A141" t="s">
        <v>264</v>
      </c>
      <c r="B141" s="53" t="s">
        <v>265</v>
      </c>
      <c r="C141" s="53" t="s">
        <v>811</v>
      </c>
      <c r="D141" s="53" t="s">
        <v>678</v>
      </c>
      <c r="E141" s="53" t="s">
        <v>623</v>
      </c>
      <c r="F141" s="53" t="s">
        <v>624</v>
      </c>
      <c r="G141" s="53" t="s">
        <v>654</v>
      </c>
      <c r="H141" s="53" t="s">
        <v>689</v>
      </c>
      <c r="I141" s="54">
        <v>17</v>
      </c>
      <c r="J141" s="54">
        <v>1</v>
      </c>
      <c r="K141" s="54">
        <v>0</v>
      </c>
      <c r="L141" s="54">
        <v>0</v>
      </c>
      <c r="M141" s="54">
        <v>0</v>
      </c>
      <c r="N141" s="54">
        <v>0</v>
      </c>
      <c r="O141" s="54">
        <v>18</v>
      </c>
      <c r="P141" s="55">
        <v>17.5</v>
      </c>
      <c r="Q141" s="56">
        <v>0</v>
      </c>
      <c r="R141" s="57">
        <v>0</v>
      </c>
      <c r="S141" s="57">
        <v>0</v>
      </c>
      <c r="T141" s="57">
        <v>0</v>
      </c>
      <c r="U141" s="58">
        <v>0</v>
      </c>
      <c r="V141" s="57">
        <v>0</v>
      </c>
      <c r="W141" s="58" t="s">
        <v>981</v>
      </c>
      <c r="X141" s="57">
        <v>0</v>
      </c>
      <c r="Y141" s="58">
        <v>0</v>
      </c>
      <c r="Z141" s="57">
        <v>0</v>
      </c>
      <c r="AA141" s="58">
        <v>0</v>
      </c>
      <c r="AB141" s="57">
        <v>0</v>
      </c>
      <c r="AC141" s="58">
        <v>0</v>
      </c>
      <c r="AD141" s="57">
        <v>0</v>
      </c>
      <c r="AE141" s="59">
        <v>0</v>
      </c>
      <c r="AF141" s="60">
        <v>0</v>
      </c>
      <c r="AG141" s="59">
        <v>0</v>
      </c>
      <c r="AH141" s="60">
        <v>0</v>
      </c>
    </row>
    <row r="142" spans="1:34" x14ac:dyDescent="0.35">
      <c r="A142" t="s">
        <v>266</v>
      </c>
      <c r="B142" s="61" t="s">
        <v>267</v>
      </c>
      <c r="C142" s="53" t="s">
        <v>812</v>
      </c>
      <c r="D142" s="53" t="s">
        <v>634</v>
      </c>
      <c r="E142" s="53" t="s">
        <v>629</v>
      </c>
      <c r="F142" s="53" t="s">
        <v>635</v>
      </c>
      <c r="G142" s="53" t="s">
        <v>636</v>
      </c>
      <c r="H142" s="53" t="s">
        <v>637</v>
      </c>
      <c r="I142" s="54">
        <v>24</v>
      </c>
      <c r="J142" s="54">
        <v>1</v>
      </c>
      <c r="K142" s="54">
        <v>0</v>
      </c>
      <c r="L142" s="54">
        <v>0</v>
      </c>
      <c r="M142" s="54">
        <v>0</v>
      </c>
      <c r="N142" s="54">
        <v>0</v>
      </c>
      <c r="O142" s="54">
        <v>25</v>
      </c>
      <c r="P142" s="55">
        <v>24.5</v>
      </c>
      <c r="Q142" s="56">
        <v>0</v>
      </c>
      <c r="R142" s="57">
        <v>0</v>
      </c>
      <c r="S142" s="57">
        <v>0</v>
      </c>
      <c r="T142" s="57">
        <v>0</v>
      </c>
      <c r="U142" s="58">
        <v>0</v>
      </c>
      <c r="V142" s="57">
        <v>0</v>
      </c>
      <c r="W142" s="58">
        <v>0</v>
      </c>
      <c r="X142" s="57">
        <v>0</v>
      </c>
      <c r="Y142" s="58">
        <v>0</v>
      </c>
      <c r="Z142" s="57">
        <v>0</v>
      </c>
      <c r="AA142" s="58">
        <v>0</v>
      </c>
      <c r="AB142" s="57">
        <v>0</v>
      </c>
      <c r="AC142" s="58">
        <v>0</v>
      </c>
      <c r="AD142" s="57">
        <v>0</v>
      </c>
      <c r="AE142" s="59">
        <v>0</v>
      </c>
      <c r="AF142" s="60">
        <v>0</v>
      </c>
      <c r="AG142" s="59">
        <v>0</v>
      </c>
      <c r="AH142" s="60">
        <v>0</v>
      </c>
    </row>
    <row r="143" spans="1:34" x14ac:dyDescent="0.35">
      <c r="A143" t="s">
        <v>268</v>
      </c>
      <c r="B143" s="53" t="s">
        <v>269</v>
      </c>
      <c r="C143" s="53" t="s">
        <v>270</v>
      </c>
      <c r="D143" s="53" t="s">
        <v>666</v>
      </c>
      <c r="E143" s="53" t="s">
        <v>629</v>
      </c>
      <c r="F143" s="53" t="s">
        <v>635</v>
      </c>
      <c r="G143" s="53" t="s">
        <v>654</v>
      </c>
      <c r="H143" s="53" t="s">
        <v>637</v>
      </c>
      <c r="I143" s="54">
        <v>14</v>
      </c>
      <c r="J143" s="54">
        <v>1</v>
      </c>
      <c r="K143" s="54">
        <v>0</v>
      </c>
      <c r="L143" s="54">
        <v>0</v>
      </c>
      <c r="M143" s="54">
        <v>0</v>
      </c>
      <c r="N143" s="54">
        <v>0</v>
      </c>
      <c r="O143" s="54">
        <v>15</v>
      </c>
      <c r="P143" s="55">
        <v>14.5</v>
      </c>
      <c r="Q143" s="56">
        <v>0</v>
      </c>
      <c r="R143" s="57">
        <v>0</v>
      </c>
      <c r="S143" s="57">
        <v>0</v>
      </c>
      <c r="T143" s="57">
        <v>0</v>
      </c>
      <c r="U143" s="58">
        <v>0</v>
      </c>
      <c r="V143" s="57">
        <v>0</v>
      </c>
      <c r="W143" s="58">
        <v>0</v>
      </c>
      <c r="X143" s="57">
        <v>0</v>
      </c>
      <c r="Y143" s="58">
        <v>0</v>
      </c>
      <c r="Z143" s="57">
        <v>0</v>
      </c>
      <c r="AA143" s="58">
        <v>0</v>
      </c>
      <c r="AB143" s="57">
        <v>0</v>
      </c>
      <c r="AC143" s="58">
        <v>0</v>
      </c>
      <c r="AD143" s="57">
        <v>0</v>
      </c>
      <c r="AE143" s="59">
        <v>0</v>
      </c>
      <c r="AF143" s="60">
        <v>0</v>
      </c>
      <c r="AG143" s="59">
        <v>0</v>
      </c>
      <c r="AH143" s="60">
        <v>0</v>
      </c>
    </row>
    <row r="144" spans="1:34" x14ac:dyDescent="0.35">
      <c r="A144" t="s">
        <v>271</v>
      </c>
      <c r="B144" s="61" t="s">
        <v>272</v>
      </c>
      <c r="C144" s="53" t="s">
        <v>813</v>
      </c>
      <c r="D144" s="53" t="s">
        <v>666</v>
      </c>
      <c r="E144" s="53" t="s">
        <v>629</v>
      </c>
      <c r="F144" s="53" t="s">
        <v>635</v>
      </c>
      <c r="G144" s="53" t="s">
        <v>654</v>
      </c>
      <c r="H144" s="53" t="s">
        <v>739</v>
      </c>
      <c r="I144" s="54">
        <v>13</v>
      </c>
      <c r="J144" s="54">
        <v>2</v>
      </c>
      <c r="K144" s="54">
        <v>0</v>
      </c>
      <c r="L144" s="54">
        <v>0</v>
      </c>
      <c r="M144" s="54">
        <v>0</v>
      </c>
      <c r="N144" s="54">
        <v>0</v>
      </c>
      <c r="O144" s="54">
        <v>15</v>
      </c>
      <c r="P144" s="55">
        <v>14</v>
      </c>
      <c r="Q144" s="56">
        <v>0</v>
      </c>
      <c r="R144" s="57">
        <v>0</v>
      </c>
      <c r="S144" s="57">
        <v>0</v>
      </c>
      <c r="T144" s="57">
        <v>0</v>
      </c>
      <c r="U144" s="58">
        <v>0</v>
      </c>
      <c r="V144" s="57">
        <v>0</v>
      </c>
      <c r="W144" s="58">
        <v>0</v>
      </c>
      <c r="X144" s="57">
        <v>0</v>
      </c>
      <c r="Y144" s="58">
        <v>0</v>
      </c>
      <c r="Z144" s="57">
        <v>0</v>
      </c>
      <c r="AA144" s="58" t="s">
        <v>981</v>
      </c>
      <c r="AB144" s="57">
        <v>0</v>
      </c>
      <c r="AC144" s="58">
        <v>0</v>
      </c>
      <c r="AD144" s="57">
        <v>0</v>
      </c>
      <c r="AE144" s="59">
        <v>0</v>
      </c>
      <c r="AF144" s="60">
        <v>0</v>
      </c>
      <c r="AG144" s="59">
        <v>0</v>
      </c>
      <c r="AH144" s="60">
        <v>0</v>
      </c>
    </row>
    <row r="145" spans="1:34" x14ac:dyDescent="0.35">
      <c r="A145" t="s">
        <v>273</v>
      </c>
      <c r="B145" s="53" t="s">
        <v>274</v>
      </c>
      <c r="C145" s="53" t="s">
        <v>275</v>
      </c>
      <c r="D145" s="53" t="s">
        <v>663</v>
      </c>
      <c r="E145" s="53" t="s">
        <v>629</v>
      </c>
      <c r="F145" s="53" t="s">
        <v>646</v>
      </c>
      <c r="G145" s="53" t="s">
        <v>636</v>
      </c>
      <c r="H145" s="53" t="s">
        <v>639</v>
      </c>
      <c r="I145" s="54">
        <v>21</v>
      </c>
      <c r="J145" s="54">
        <v>8</v>
      </c>
      <c r="K145" s="54">
        <v>7</v>
      </c>
      <c r="L145" s="54">
        <v>7</v>
      </c>
      <c r="M145" s="54">
        <v>0</v>
      </c>
      <c r="N145" s="54">
        <v>0</v>
      </c>
      <c r="O145" s="54">
        <v>22</v>
      </c>
      <c r="P145" s="55">
        <v>21.5</v>
      </c>
      <c r="Q145" s="56">
        <v>0.32558139534883723</v>
      </c>
      <c r="R145" s="57">
        <v>0.32558139534883723</v>
      </c>
      <c r="S145" s="57">
        <v>0</v>
      </c>
      <c r="T145" s="57">
        <v>0</v>
      </c>
      <c r="U145" s="58" t="s">
        <v>981</v>
      </c>
      <c r="V145" s="57">
        <v>0</v>
      </c>
      <c r="W145" s="58" t="s">
        <v>981</v>
      </c>
      <c r="X145" s="57">
        <v>0</v>
      </c>
      <c r="Y145" s="58">
        <v>1</v>
      </c>
      <c r="Z145" s="57">
        <v>3.7453183520599251E-3</v>
      </c>
      <c r="AA145" s="58">
        <v>0</v>
      </c>
      <c r="AB145" s="57">
        <v>0</v>
      </c>
      <c r="AC145" s="58">
        <v>6</v>
      </c>
      <c r="AD145" s="57">
        <v>1.8706157443491816E-3</v>
      </c>
      <c r="AE145" s="59">
        <v>1.7953321364452424E-3</v>
      </c>
      <c r="AF145" s="60">
        <v>1.7953321364452424E-3</v>
      </c>
      <c r="AG145" s="59">
        <v>1.6198704103671706E-3</v>
      </c>
      <c r="AH145" s="60">
        <v>1.6198704103671706E-3</v>
      </c>
    </row>
    <row r="146" spans="1:34" x14ac:dyDescent="0.35">
      <c r="A146" t="s">
        <v>276</v>
      </c>
      <c r="B146" s="61" t="s">
        <v>277</v>
      </c>
      <c r="C146" s="53" t="s">
        <v>814</v>
      </c>
      <c r="D146" s="53" t="s">
        <v>707</v>
      </c>
      <c r="E146" s="53" t="s">
        <v>629</v>
      </c>
      <c r="F146" s="53" t="s">
        <v>635</v>
      </c>
      <c r="G146" s="53" t="s">
        <v>631</v>
      </c>
      <c r="H146" s="53" t="s">
        <v>710</v>
      </c>
      <c r="I146" s="54">
        <v>22</v>
      </c>
      <c r="J146" s="54">
        <v>1</v>
      </c>
      <c r="K146" s="54">
        <v>1</v>
      </c>
      <c r="L146" s="54">
        <v>1</v>
      </c>
      <c r="M146" s="54">
        <v>0</v>
      </c>
      <c r="N146" s="54">
        <v>0</v>
      </c>
      <c r="O146" s="54">
        <v>22</v>
      </c>
      <c r="P146" s="55">
        <v>22</v>
      </c>
      <c r="Q146" s="56">
        <v>4.5454545454545456E-2</v>
      </c>
      <c r="R146" s="57">
        <v>4.5454545454545456E-2</v>
      </c>
      <c r="S146" s="57">
        <v>0</v>
      </c>
      <c r="T146" s="57">
        <v>0</v>
      </c>
      <c r="U146" s="58">
        <v>0</v>
      </c>
      <c r="V146" s="57">
        <v>0</v>
      </c>
      <c r="W146" s="58">
        <v>0</v>
      </c>
      <c r="X146" s="57">
        <v>0</v>
      </c>
      <c r="Y146" s="58">
        <v>1</v>
      </c>
      <c r="Z146" s="57">
        <v>3.7453183520599251E-3</v>
      </c>
      <c r="AA146" s="58">
        <v>0</v>
      </c>
      <c r="AB146" s="57">
        <v>0</v>
      </c>
      <c r="AC146" s="58">
        <v>0</v>
      </c>
      <c r="AD146" s="57">
        <v>0</v>
      </c>
      <c r="AE146" s="59">
        <v>4.4883303411131061E-4</v>
      </c>
      <c r="AF146" s="60">
        <v>4.4883303411131061E-4</v>
      </c>
      <c r="AG146" s="59">
        <v>0</v>
      </c>
      <c r="AH146" s="60">
        <v>0</v>
      </c>
    </row>
    <row r="147" spans="1:34" x14ac:dyDescent="0.35">
      <c r="A147" t="s">
        <v>278</v>
      </c>
      <c r="B147" s="53" t="s">
        <v>279</v>
      </c>
      <c r="C147" s="53" t="s">
        <v>815</v>
      </c>
      <c r="D147" s="53" t="s">
        <v>661</v>
      </c>
      <c r="E147" s="53" t="s">
        <v>657</v>
      </c>
      <c r="F147" s="53" t="s">
        <v>662</v>
      </c>
      <c r="G147" s="53" t="s">
        <v>625</v>
      </c>
      <c r="H147" s="53" t="s">
        <v>632</v>
      </c>
      <c r="I147" s="54">
        <v>67</v>
      </c>
      <c r="J147" s="54">
        <v>7</v>
      </c>
      <c r="K147" s="54">
        <v>12</v>
      </c>
      <c r="L147" s="54">
        <v>11</v>
      </c>
      <c r="M147" s="54">
        <v>1</v>
      </c>
      <c r="N147" s="54">
        <v>0</v>
      </c>
      <c r="O147" s="54">
        <v>62</v>
      </c>
      <c r="P147" s="55">
        <v>64.5</v>
      </c>
      <c r="Q147" s="56">
        <v>0.18604651162790697</v>
      </c>
      <c r="R147" s="57">
        <v>0.17054263565891473</v>
      </c>
      <c r="S147" s="57">
        <v>1.5503875968992248E-2</v>
      </c>
      <c r="T147" s="57">
        <v>0</v>
      </c>
      <c r="U147" s="58">
        <v>0</v>
      </c>
      <c r="V147" s="57">
        <v>0</v>
      </c>
      <c r="W147" s="58">
        <v>0</v>
      </c>
      <c r="X147" s="57">
        <v>0</v>
      </c>
      <c r="Y147" s="58">
        <v>0</v>
      </c>
      <c r="Z147" s="57">
        <v>0</v>
      </c>
      <c r="AA147" s="58">
        <v>0</v>
      </c>
      <c r="AB147" s="57">
        <v>0</v>
      </c>
      <c r="AC147" s="58">
        <v>11</v>
      </c>
      <c r="AD147" s="57">
        <v>3.4294621979734994E-3</v>
      </c>
      <c r="AE147" s="59">
        <v>2.6929982046678637E-3</v>
      </c>
      <c r="AF147" s="60">
        <v>2.6929982046678637E-3</v>
      </c>
      <c r="AG147" s="59">
        <v>3.2397408207343412E-3</v>
      </c>
      <c r="AH147" s="60">
        <v>2.6997840172786176E-3</v>
      </c>
    </row>
    <row r="148" spans="1:34" x14ac:dyDescent="0.35">
      <c r="A148" t="s">
        <v>280</v>
      </c>
      <c r="B148" s="61" t="s">
        <v>281</v>
      </c>
      <c r="C148" s="53" t="s">
        <v>816</v>
      </c>
      <c r="D148" s="53" t="s">
        <v>691</v>
      </c>
      <c r="E148" s="53" t="s">
        <v>657</v>
      </c>
      <c r="F148" s="53" t="s">
        <v>658</v>
      </c>
      <c r="G148" s="53" t="s">
        <v>631</v>
      </c>
      <c r="H148" s="53" t="s">
        <v>632</v>
      </c>
      <c r="I148" s="54">
        <v>34</v>
      </c>
      <c r="J148" s="54">
        <v>6</v>
      </c>
      <c r="K148" s="54">
        <v>6</v>
      </c>
      <c r="L148" s="54">
        <v>6</v>
      </c>
      <c r="M148" s="54">
        <v>0</v>
      </c>
      <c r="N148" s="54">
        <v>0</v>
      </c>
      <c r="O148" s="54">
        <v>34</v>
      </c>
      <c r="P148" s="55">
        <v>34</v>
      </c>
      <c r="Q148" s="56">
        <v>0.17647058823529413</v>
      </c>
      <c r="R148" s="57">
        <v>0.17647058823529413</v>
      </c>
      <c r="S148" s="57">
        <v>0</v>
      </c>
      <c r="T148" s="57">
        <v>0</v>
      </c>
      <c r="U148" s="58">
        <v>0</v>
      </c>
      <c r="V148" s="57">
        <v>0</v>
      </c>
      <c r="W148" s="58">
        <v>0</v>
      </c>
      <c r="X148" s="57">
        <v>0</v>
      </c>
      <c r="Y148" s="58">
        <v>0</v>
      </c>
      <c r="Z148" s="57">
        <v>0</v>
      </c>
      <c r="AA148" s="58">
        <v>0</v>
      </c>
      <c r="AB148" s="57">
        <v>0</v>
      </c>
      <c r="AC148" s="58">
        <v>6</v>
      </c>
      <c r="AD148" s="57">
        <v>1.8706157443491816E-3</v>
      </c>
      <c r="AE148" s="59">
        <v>0</v>
      </c>
      <c r="AF148" s="60">
        <v>0</v>
      </c>
      <c r="AG148" s="59">
        <v>3.2397408207343412E-3</v>
      </c>
      <c r="AH148" s="60">
        <v>3.2397408207343412E-3</v>
      </c>
    </row>
    <row r="149" spans="1:34" x14ac:dyDescent="0.35">
      <c r="A149" t="s">
        <v>282</v>
      </c>
      <c r="B149" s="53" t="s">
        <v>283</v>
      </c>
      <c r="C149" s="53" t="s">
        <v>817</v>
      </c>
      <c r="D149" s="53" t="s">
        <v>645</v>
      </c>
      <c r="E149" s="53" t="s">
        <v>629</v>
      </c>
      <c r="F149" s="53" t="s">
        <v>646</v>
      </c>
      <c r="G149" s="53" t="s">
        <v>668</v>
      </c>
      <c r="H149" s="53" t="s">
        <v>632</v>
      </c>
      <c r="I149" s="54">
        <v>13</v>
      </c>
      <c r="J149" s="54">
        <v>2</v>
      </c>
      <c r="K149" s="54">
        <v>2</v>
      </c>
      <c r="L149" s="54">
        <v>2</v>
      </c>
      <c r="M149" s="54">
        <v>0</v>
      </c>
      <c r="N149" s="54">
        <v>0</v>
      </c>
      <c r="O149" s="54">
        <v>13</v>
      </c>
      <c r="P149" s="55">
        <v>13</v>
      </c>
      <c r="Q149" s="56">
        <v>0.15384615384615385</v>
      </c>
      <c r="R149" s="57">
        <v>0.15384615384615385</v>
      </c>
      <c r="S149" s="57">
        <v>0</v>
      </c>
      <c r="T149" s="57">
        <v>0</v>
      </c>
      <c r="U149" s="58">
        <v>0</v>
      </c>
      <c r="V149" s="57">
        <v>0</v>
      </c>
      <c r="W149" s="58" t="s">
        <v>981</v>
      </c>
      <c r="X149" s="57">
        <v>0</v>
      </c>
      <c r="Y149" s="58">
        <v>0</v>
      </c>
      <c r="Z149" s="57">
        <v>0</v>
      </c>
      <c r="AA149" s="58">
        <v>0</v>
      </c>
      <c r="AB149" s="57">
        <v>0</v>
      </c>
      <c r="AC149" s="58">
        <v>2</v>
      </c>
      <c r="AD149" s="57">
        <v>6.2353858144972721E-4</v>
      </c>
      <c r="AE149" s="59">
        <v>0</v>
      </c>
      <c r="AF149" s="60">
        <v>0</v>
      </c>
      <c r="AG149" s="59">
        <v>1.0799136069114472E-3</v>
      </c>
      <c r="AH149" s="60">
        <v>1.0799136069114472E-3</v>
      </c>
    </row>
    <row r="150" spans="1:34" x14ac:dyDescent="0.35">
      <c r="A150" t="s">
        <v>284</v>
      </c>
      <c r="B150" s="61" t="s">
        <v>285</v>
      </c>
      <c r="C150" s="53" t="s">
        <v>818</v>
      </c>
      <c r="D150" s="53" t="s">
        <v>661</v>
      </c>
      <c r="E150" s="53" t="s">
        <v>657</v>
      </c>
      <c r="F150" s="53" t="s">
        <v>662</v>
      </c>
      <c r="G150" s="53" t="s">
        <v>625</v>
      </c>
      <c r="H150" s="53" t="s">
        <v>632</v>
      </c>
      <c r="I150" s="54">
        <v>58</v>
      </c>
      <c r="J150" s="54">
        <v>1</v>
      </c>
      <c r="K150" s="54">
        <v>3</v>
      </c>
      <c r="L150" s="54">
        <v>3</v>
      </c>
      <c r="M150" s="54">
        <v>0</v>
      </c>
      <c r="N150" s="54">
        <v>0</v>
      </c>
      <c r="O150" s="54">
        <v>56</v>
      </c>
      <c r="P150" s="55">
        <v>57</v>
      </c>
      <c r="Q150" s="56">
        <v>5.2631578947368418E-2</v>
      </c>
      <c r="R150" s="57">
        <v>5.2631578947368418E-2</v>
      </c>
      <c r="S150" s="57">
        <v>0</v>
      </c>
      <c r="T150" s="57">
        <v>0</v>
      </c>
      <c r="U150" s="58">
        <v>0</v>
      </c>
      <c r="V150" s="57">
        <v>0</v>
      </c>
      <c r="W150" s="58">
        <v>0</v>
      </c>
      <c r="X150" s="57">
        <v>0</v>
      </c>
      <c r="Y150" s="58">
        <v>0</v>
      </c>
      <c r="Z150" s="57">
        <v>0</v>
      </c>
      <c r="AA150" s="58">
        <v>0</v>
      </c>
      <c r="AB150" s="57">
        <v>0</v>
      </c>
      <c r="AC150" s="58">
        <v>3</v>
      </c>
      <c r="AD150" s="57">
        <v>9.3530787217459082E-4</v>
      </c>
      <c r="AE150" s="59">
        <v>0</v>
      </c>
      <c r="AF150" s="60">
        <v>0</v>
      </c>
      <c r="AG150" s="59">
        <v>1.6198704103671706E-3</v>
      </c>
      <c r="AH150" s="60">
        <v>1.6198704103671706E-3</v>
      </c>
    </row>
    <row r="151" spans="1:34" x14ac:dyDescent="0.35">
      <c r="A151" t="s">
        <v>286</v>
      </c>
      <c r="B151" s="53" t="s">
        <v>287</v>
      </c>
      <c r="C151" s="53" t="s">
        <v>819</v>
      </c>
      <c r="D151" s="53" t="s">
        <v>640</v>
      </c>
      <c r="E151" s="53" t="s">
        <v>623</v>
      </c>
      <c r="F151" s="53" t="s">
        <v>641</v>
      </c>
      <c r="G151" s="53" t="s">
        <v>668</v>
      </c>
      <c r="H151" s="53" t="s">
        <v>754</v>
      </c>
      <c r="I151" s="54">
        <v>13</v>
      </c>
      <c r="J151" s="54">
        <v>0</v>
      </c>
      <c r="K151" s="54">
        <v>0</v>
      </c>
      <c r="L151" s="54">
        <v>0</v>
      </c>
      <c r="M151" s="54">
        <v>0</v>
      </c>
      <c r="N151" s="54">
        <v>0</v>
      </c>
      <c r="O151" s="54">
        <v>13</v>
      </c>
      <c r="P151" s="55">
        <v>13</v>
      </c>
      <c r="Q151" s="56">
        <v>0</v>
      </c>
      <c r="R151" s="57">
        <v>0</v>
      </c>
      <c r="S151" s="57">
        <v>0</v>
      </c>
      <c r="T151" s="57">
        <v>0</v>
      </c>
      <c r="U151" s="58">
        <v>0</v>
      </c>
      <c r="V151" s="57">
        <v>0</v>
      </c>
      <c r="W151" s="58">
        <v>0</v>
      </c>
      <c r="X151" s="57">
        <v>0</v>
      </c>
      <c r="Y151" s="58" t="s">
        <v>981</v>
      </c>
      <c r="Z151" s="57">
        <v>0</v>
      </c>
      <c r="AA151" s="58">
        <v>0</v>
      </c>
      <c r="AB151" s="57">
        <v>0</v>
      </c>
      <c r="AC151" s="58">
        <v>0</v>
      </c>
      <c r="AD151" s="57">
        <v>0</v>
      </c>
      <c r="AE151" s="59">
        <v>0</v>
      </c>
      <c r="AF151" s="60">
        <v>0</v>
      </c>
      <c r="AG151" s="59">
        <v>0</v>
      </c>
      <c r="AH151" s="60">
        <v>0</v>
      </c>
    </row>
    <row r="152" spans="1:34" x14ac:dyDescent="0.35">
      <c r="A152" t="s">
        <v>290</v>
      </c>
      <c r="B152" s="53" t="s">
        <v>291</v>
      </c>
      <c r="C152" s="53" t="s">
        <v>292</v>
      </c>
      <c r="D152" s="53" t="s">
        <v>663</v>
      </c>
      <c r="E152" s="53" t="s">
        <v>629</v>
      </c>
      <c r="F152" s="53" t="s">
        <v>646</v>
      </c>
      <c r="G152" s="53" t="s">
        <v>668</v>
      </c>
      <c r="H152" s="53" t="s">
        <v>639</v>
      </c>
      <c r="I152" s="54">
        <v>13</v>
      </c>
      <c r="J152" s="54">
        <v>4</v>
      </c>
      <c r="K152" s="54">
        <v>2</v>
      </c>
      <c r="L152" s="54">
        <v>1</v>
      </c>
      <c r="M152" s="54">
        <v>1</v>
      </c>
      <c r="N152" s="54">
        <v>0</v>
      </c>
      <c r="O152" s="54">
        <v>15</v>
      </c>
      <c r="P152" s="55">
        <v>14</v>
      </c>
      <c r="Q152" s="56">
        <v>0.14285714285714285</v>
      </c>
      <c r="R152" s="57">
        <v>7.1428571428571425E-2</v>
      </c>
      <c r="S152" s="57">
        <v>7.1428571428571425E-2</v>
      </c>
      <c r="T152" s="57">
        <v>0</v>
      </c>
      <c r="U152" s="58">
        <v>0</v>
      </c>
      <c r="V152" s="57">
        <v>0</v>
      </c>
      <c r="W152" s="58" t="s">
        <v>981</v>
      </c>
      <c r="X152" s="57">
        <v>0</v>
      </c>
      <c r="Y152" s="58" t="s">
        <v>981</v>
      </c>
      <c r="Z152" s="57">
        <v>0</v>
      </c>
      <c r="AA152" s="58">
        <v>0</v>
      </c>
      <c r="AB152" s="57">
        <v>0</v>
      </c>
      <c r="AC152" s="58">
        <v>1</v>
      </c>
      <c r="AD152" s="57">
        <v>3.1176929072486361E-4</v>
      </c>
      <c r="AE152" s="59">
        <v>4.4883303411131061E-4</v>
      </c>
      <c r="AF152" s="60">
        <v>0</v>
      </c>
      <c r="AG152" s="59">
        <v>5.3995680345572358E-4</v>
      </c>
      <c r="AH152" s="60">
        <v>5.3995680345572358E-4</v>
      </c>
    </row>
    <row r="153" spans="1:34" x14ac:dyDescent="0.35">
      <c r="A153" t="s">
        <v>293</v>
      </c>
      <c r="B153" s="61" t="s">
        <v>294</v>
      </c>
      <c r="C153" s="53" t="s">
        <v>821</v>
      </c>
      <c r="D153" s="53" t="s">
        <v>634</v>
      </c>
      <c r="E153" s="53" t="s">
        <v>629</v>
      </c>
      <c r="F153" s="53" t="s">
        <v>635</v>
      </c>
      <c r="G153" s="53" t="s">
        <v>654</v>
      </c>
      <c r="H153" s="53" t="s">
        <v>637</v>
      </c>
      <c r="I153" s="54">
        <v>14</v>
      </c>
      <c r="J153" s="54">
        <v>0</v>
      </c>
      <c r="K153" s="54">
        <v>0</v>
      </c>
      <c r="L153" s="54">
        <v>0</v>
      </c>
      <c r="M153" s="54">
        <v>0</v>
      </c>
      <c r="N153" s="54">
        <v>0</v>
      </c>
      <c r="O153" s="54">
        <v>14</v>
      </c>
      <c r="P153" s="55">
        <v>14</v>
      </c>
      <c r="Q153" s="56">
        <v>0</v>
      </c>
      <c r="R153" s="57">
        <v>0</v>
      </c>
      <c r="S153" s="57">
        <v>0</v>
      </c>
      <c r="T153" s="57">
        <v>0</v>
      </c>
      <c r="U153" s="58">
        <v>0</v>
      </c>
      <c r="V153" s="57">
        <v>0</v>
      </c>
      <c r="W153" s="58">
        <v>0</v>
      </c>
      <c r="X153" s="57">
        <v>0</v>
      </c>
      <c r="Y153" s="58">
        <v>0</v>
      </c>
      <c r="Z153" s="57">
        <v>0</v>
      </c>
      <c r="AA153" s="58" t="s">
        <v>981</v>
      </c>
      <c r="AB153" s="57">
        <v>0</v>
      </c>
      <c r="AC153" s="58">
        <v>0</v>
      </c>
      <c r="AD153" s="57">
        <v>0</v>
      </c>
      <c r="AE153" s="59">
        <v>0</v>
      </c>
      <c r="AF153" s="60">
        <v>0</v>
      </c>
      <c r="AG153" s="59">
        <v>0</v>
      </c>
      <c r="AH153" s="60">
        <v>0</v>
      </c>
    </row>
    <row r="154" spans="1:34" x14ac:dyDescent="0.35">
      <c r="A154" t="s">
        <v>295</v>
      </c>
      <c r="B154" s="53" t="s">
        <v>296</v>
      </c>
      <c r="C154" s="53" t="s">
        <v>822</v>
      </c>
      <c r="D154" s="53" t="s">
        <v>651</v>
      </c>
      <c r="E154" s="53" t="s">
        <v>629</v>
      </c>
      <c r="F154" s="53" t="s">
        <v>630</v>
      </c>
      <c r="G154" s="53" t="s">
        <v>654</v>
      </c>
      <c r="H154" s="53" t="s">
        <v>705</v>
      </c>
      <c r="I154" s="54">
        <v>17</v>
      </c>
      <c r="J154" s="54">
        <v>4</v>
      </c>
      <c r="K154" s="54">
        <v>4</v>
      </c>
      <c r="L154" s="54">
        <v>4</v>
      </c>
      <c r="M154" s="54">
        <v>0</v>
      </c>
      <c r="N154" s="54">
        <v>0</v>
      </c>
      <c r="O154" s="54">
        <v>17</v>
      </c>
      <c r="P154" s="55">
        <v>17</v>
      </c>
      <c r="Q154" s="56">
        <v>0.23529411764705882</v>
      </c>
      <c r="R154" s="57">
        <v>0.23529411764705882</v>
      </c>
      <c r="S154" s="57">
        <v>0</v>
      </c>
      <c r="T154" s="57">
        <v>0</v>
      </c>
      <c r="U154" s="58">
        <v>0</v>
      </c>
      <c r="V154" s="57">
        <v>0</v>
      </c>
      <c r="W154" s="58" t="s">
        <v>981</v>
      </c>
      <c r="X154" s="57">
        <v>0</v>
      </c>
      <c r="Y154" s="58" t="s">
        <v>981</v>
      </c>
      <c r="Z154" s="57">
        <v>0</v>
      </c>
      <c r="AA154" s="58">
        <v>0</v>
      </c>
      <c r="AB154" s="57">
        <v>0</v>
      </c>
      <c r="AC154" s="58">
        <v>4</v>
      </c>
      <c r="AD154" s="57">
        <v>1.2470771628994544E-3</v>
      </c>
      <c r="AE154" s="59">
        <v>8.9766606822262122E-4</v>
      </c>
      <c r="AF154" s="60">
        <v>8.9766606822262122E-4</v>
      </c>
      <c r="AG154" s="59">
        <v>1.0799136069114472E-3</v>
      </c>
      <c r="AH154" s="60">
        <v>1.0799136069114472E-3</v>
      </c>
    </row>
    <row r="155" spans="1:34" x14ac:dyDescent="0.35">
      <c r="A155" t="s">
        <v>297</v>
      </c>
      <c r="B155" s="61" t="s">
        <v>298</v>
      </c>
      <c r="C155" s="53" t="s">
        <v>299</v>
      </c>
      <c r="D155" s="53" t="s">
        <v>762</v>
      </c>
      <c r="E155" s="53" t="s">
        <v>629</v>
      </c>
      <c r="F155" s="53" t="s">
        <v>646</v>
      </c>
      <c r="G155" s="53" t="s">
        <v>654</v>
      </c>
      <c r="H155" s="53" t="s">
        <v>823</v>
      </c>
      <c r="I155" s="54">
        <v>21</v>
      </c>
      <c r="J155" s="54">
        <v>1</v>
      </c>
      <c r="K155" s="54">
        <v>2</v>
      </c>
      <c r="L155" s="54">
        <v>2</v>
      </c>
      <c r="M155" s="54">
        <v>0</v>
      </c>
      <c r="N155" s="54">
        <v>0</v>
      </c>
      <c r="O155" s="54">
        <v>20</v>
      </c>
      <c r="P155" s="55">
        <v>20.5</v>
      </c>
      <c r="Q155" s="56">
        <v>9.7560975609756101E-2</v>
      </c>
      <c r="R155" s="57">
        <v>9.7560975609756101E-2</v>
      </c>
      <c r="S155" s="57">
        <v>0</v>
      </c>
      <c r="T155" s="57">
        <v>0</v>
      </c>
      <c r="U155" s="58">
        <v>0</v>
      </c>
      <c r="V155" s="57">
        <v>0</v>
      </c>
      <c r="W155" s="58">
        <v>0</v>
      </c>
      <c r="X155" s="57">
        <v>0</v>
      </c>
      <c r="Y155" s="58" t="s">
        <v>981</v>
      </c>
      <c r="Z155" s="57">
        <v>0</v>
      </c>
      <c r="AA155" s="58">
        <v>0</v>
      </c>
      <c r="AB155" s="57">
        <v>0</v>
      </c>
      <c r="AC155" s="58">
        <v>2</v>
      </c>
      <c r="AD155" s="57">
        <v>6.2353858144972721E-4</v>
      </c>
      <c r="AE155" s="59">
        <v>4.4883303411131061E-4</v>
      </c>
      <c r="AF155" s="60">
        <v>4.4883303411131061E-4</v>
      </c>
      <c r="AG155" s="59">
        <v>5.3995680345572358E-4</v>
      </c>
      <c r="AH155" s="60">
        <v>5.3995680345572358E-4</v>
      </c>
    </row>
    <row r="156" spans="1:34" x14ac:dyDescent="0.35">
      <c r="A156" t="s">
        <v>300</v>
      </c>
      <c r="B156" s="53" t="s">
        <v>301</v>
      </c>
      <c r="C156" s="53" t="s">
        <v>824</v>
      </c>
      <c r="D156" s="53" t="s">
        <v>737</v>
      </c>
      <c r="E156" s="53" t="s">
        <v>657</v>
      </c>
      <c r="F156" s="53" t="s">
        <v>641</v>
      </c>
      <c r="G156" s="53" t="s">
        <v>668</v>
      </c>
      <c r="H156" s="53" t="s">
        <v>738</v>
      </c>
      <c r="I156" s="54">
        <v>10</v>
      </c>
      <c r="J156" s="54">
        <v>1</v>
      </c>
      <c r="K156" s="54">
        <v>0</v>
      </c>
      <c r="L156" s="54">
        <v>0</v>
      </c>
      <c r="M156" s="54">
        <v>0</v>
      </c>
      <c r="N156" s="54">
        <v>0</v>
      </c>
      <c r="O156" s="54">
        <v>11</v>
      </c>
      <c r="P156" s="55">
        <v>10.5</v>
      </c>
      <c r="Q156" s="56">
        <v>0</v>
      </c>
      <c r="R156" s="57">
        <v>0</v>
      </c>
      <c r="S156" s="57">
        <v>0</v>
      </c>
      <c r="T156" s="57">
        <v>0</v>
      </c>
      <c r="U156" s="58">
        <v>0</v>
      </c>
      <c r="V156" s="57">
        <v>0</v>
      </c>
      <c r="W156" s="58" t="s">
        <v>981</v>
      </c>
      <c r="X156" s="57">
        <v>0</v>
      </c>
      <c r="Y156" s="58">
        <v>0</v>
      </c>
      <c r="Z156" s="57">
        <v>0</v>
      </c>
      <c r="AA156" s="58">
        <v>0</v>
      </c>
      <c r="AB156" s="57">
        <v>0</v>
      </c>
      <c r="AC156" s="58">
        <v>0</v>
      </c>
      <c r="AD156" s="57">
        <v>0</v>
      </c>
      <c r="AE156" s="59">
        <v>0</v>
      </c>
      <c r="AF156" s="60">
        <v>0</v>
      </c>
      <c r="AG156" s="59">
        <v>0</v>
      </c>
      <c r="AH156" s="60">
        <v>0</v>
      </c>
    </row>
    <row r="157" spans="1:34" x14ac:dyDescent="0.35">
      <c r="A157" t="s">
        <v>302</v>
      </c>
      <c r="B157" s="61" t="s">
        <v>303</v>
      </c>
      <c r="C157" s="53" t="s">
        <v>304</v>
      </c>
      <c r="D157" s="53" t="s">
        <v>737</v>
      </c>
      <c r="E157" s="53" t="s">
        <v>657</v>
      </c>
      <c r="F157" s="53" t="s">
        <v>641</v>
      </c>
      <c r="G157" s="53" t="s">
        <v>668</v>
      </c>
      <c r="H157" s="53" t="s">
        <v>738</v>
      </c>
      <c r="I157" s="54">
        <v>12</v>
      </c>
      <c r="J157" s="54">
        <v>2</v>
      </c>
      <c r="K157" s="54">
        <v>4</v>
      </c>
      <c r="L157" s="54">
        <v>4</v>
      </c>
      <c r="M157" s="54">
        <v>0</v>
      </c>
      <c r="N157" s="54">
        <v>0</v>
      </c>
      <c r="O157" s="54">
        <v>10</v>
      </c>
      <c r="P157" s="55">
        <v>11</v>
      </c>
      <c r="Q157" s="56">
        <v>0.36363636363636365</v>
      </c>
      <c r="R157" s="57">
        <v>0.36363636363636365</v>
      </c>
      <c r="S157" s="57">
        <v>0</v>
      </c>
      <c r="T157" s="57">
        <v>0</v>
      </c>
      <c r="U157" s="58">
        <v>0</v>
      </c>
      <c r="V157" s="57">
        <v>0</v>
      </c>
      <c r="W157" s="58">
        <v>0</v>
      </c>
      <c r="X157" s="57">
        <v>0</v>
      </c>
      <c r="Y157" s="58">
        <v>0</v>
      </c>
      <c r="Z157" s="57">
        <v>0</v>
      </c>
      <c r="AA157" s="58" t="s">
        <v>981</v>
      </c>
      <c r="AB157" s="57">
        <v>0</v>
      </c>
      <c r="AC157" s="58">
        <v>4</v>
      </c>
      <c r="AD157" s="57">
        <v>1.2470771628994544E-3</v>
      </c>
      <c r="AE157" s="59">
        <v>4.4883303411131061E-4</v>
      </c>
      <c r="AF157" s="60">
        <v>4.4883303411131061E-4</v>
      </c>
      <c r="AG157" s="59">
        <v>1.6198704103671706E-3</v>
      </c>
      <c r="AH157" s="60">
        <v>1.6198704103671706E-3</v>
      </c>
    </row>
    <row r="158" spans="1:34" x14ac:dyDescent="0.35">
      <c r="A158" t="s">
        <v>305</v>
      </c>
      <c r="B158" s="53" t="s">
        <v>306</v>
      </c>
      <c r="C158" s="53" t="s">
        <v>825</v>
      </c>
      <c r="D158" s="53" t="s">
        <v>622</v>
      </c>
      <c r="E158" s="53" t="s">
        <v>623</v>
      </c>
      <c r="F158" s="53" t="s">
        <v>624</v>
      </c>
      <c r="G158" s="53" t="s">
        <v>654</v>
      </c>
      <c r="H158" s="53" t="s">
        <v>826</v>
      </c>
      <c r="I158" s="54">
        <v>15</v>
      </c>
      <c r="J158" s="54">
        <v>1</v>
      </c>
      <c r="K158" s="54">
        <v>1</v>
      </c>
      <c r="L158" s="54">
        <v>1</v>
      </c>
      <c r="M158" s="54">
        <v>0</v>
      </c>
      <c r="N158" s="54">
        <v>0</v>
      </c>
      <c r="O158" s="54">
        <v>15</v>
      </c>
      <c r="P158" s="55">
        <v>15</v>
      </c>
      <c r="Q158" s="56">
        <v>6.6666666666666666E-2</v>
      </c>
      <c r="R158" s="57">
        <v>6.6666666666666666E-2</v>
      </c>
      <c r="S158" s="57">
        <v>0</v>
      </c>
      <c r="T158" s="57">
        <v>0</v>
      </c>
      <c r="U158" s="58">
        <v>0</v>
      </c>
      <c r="V158" s="57">
        <v>0</v>
      </c>
      <c r="W158" s="58">
        <v>0</v>
      </c>
      <c r="X158" s="57">
        <v>0</v>
      </c>
      <c r="Y158" s="58" t="s">
        <v>981</v>
      </c>
      <c r="Z158" s="57">
        <v>0</v>
      </c>
      <c r="AA158" s="58" t="s">
        <v>981</v>
      </c>
      <c r="AB158" s="57">
        <v>0</v>
      </c>
      <c r="AC158" s="58">
        <v>1</v>
      </c>
      <c r="AD158" s="57">
        <v>3.1176929072486361E-4</v>
      </c>
      <c r="AE158" s="59">
        <v>0</v>
      </c>
      <c r="AF158" s="60">
        <v>0</v>
      </c>
      <c r="AG158" s="59">
        <v>5.3995680345572358E-4</v>
      </c>
      <c r="AH158" s="60">
        <v>5.3995680345572358E-4</v>
      </c>
    </row>
    <row r="159" spans="1:34" x14ac:dyDescent="0.35">
      <c r="A159" t="s">
        <v>307</v>
      </c>
      <c r="B159" s="61" t="s">
        <v>308</v>
      </c>
      <c r="C159" s="53" t="s">
        <v>827</v>
      </c>
      <c r="D159" s="53" t="s">
        <v>656</v>
      </c>
      <c r="E159" s="53" t="s">
        <v>657</v>
      </c>
      <c r="F159" s="53" t="s">
        <v>658</v>
      </c>
      <c r="G159" s="53" t="s">
        <v>668</v>
      </c>
      <c r="H159" s="53" t="s">
        <v>718</v>
      </c>
      <c r="I159" s="54">
        <v>13</v>
      </c>
      <c r="J159" s="54">
        <v>4</v>
      </c>
      <c r="K159" s="54">
        <v>2</v>
      </c>
      <c r="L159" s="54">
        <v>2</v>
      </c>
      <c r="M159" s="54">
        <v>0</v>
      </c>
      <c r="N159" s="54">
        <v>0</v>
      </c>
      <c r="O159" s="54">
        <v>15</v>
      </c>
      <c r="P159" s="55">
        <v>14</v>
      </c>
      <c r="Q159" s="56">
        <v>0.14285714285714285</v>
      </c>
      <c r="R159" s="57">
        <v>0.14285714285714285</v>
      </c>
      <c r="S159" s="57">
        <v>0</v>
      </c>
      <c r="T159" s="57">
        <v>0</v>
      </c>
      <c r="U159" s="58">
        <v>0</v>
      </c>
      <c r="V159" s="57">
        <v>0</v>
      </c>
      <c r="W159" s="58">
        <v>0</v>
      </c>
      <c r="X159" s="57">
        <v>0</v>
      </c>
      <c r="Y159" s="58">
        <v>0</v>
      </c>
      <c r="Z159" s="57">
        <v>0</v>
      </c>
      <c r="AA159" s="58" t="s">
        <v>981</v>
      </c>
      <c r="AB159" s="57">
        <v>0</v>
      </c>
      <c r="AC159" s="58">
        <v>2</v>
      </c>
      <c r="AD159" s="57">
        <v>6.2353858144972721E-4</v>
      </c>
      <c r="AE159" s="59">
        <v>0</v>
      </c>
      <c r="AF159" s="60">
        <v>0</v>
      </c>
      <c r="AG159" s="59">
        <v>1.0799136069114472E-3</v>
      </c>
      <c r="AH159" s="60">
        <v>1.0799136069114472E-3</v>
      </c>
    </row>
    <row r="160" spans="1:34" x14ac:dyDescent="0.35">
      <c r="A160" t="s">
        <v>309</v>
      </c>
      <c r="B160" s="53" t="s">
        <v>310</v>
      </c>
      <c r="C160" s="53" t="s">
        <v>828</v>
      </c>
      <c r="D160" s="53" t="s">
        <v>666</v>
      </c>
      <c r="E160" s="53" t="s">
        <v>629</v>
      </c>
      <c r="F160" s="53" t="s">
        <v>635</v>
      </c>
      <c r="G160" s="53" t="s">
        <v>668</v>
      </c>
      <c r="H160" s="53" t="s">
        <v>637</v>
      </c>
      <c r="I160" s="54">
        <v>15</v>
      </c>
      <c r="J160" s="54">
        <v>1</v>
      </c>
      <c r="K160" s="54">
        <v>2</v>
      </c>
      <c r="L160" s="54">
        <v>2</v>
      </c>
      <c r="M160" s="54">
        <v>0</v>
      </c>
      <c r="N160" s="54">
        <v>0</v>
      </c>
      <c r="O160" s="54">
        <v>14</v>
      </c>
      <c r="P160" s="55">
        <v>14.5</v>
      </c>
      <c r="Q160" s="56">
        <v>0.13793103448275862</v>
      </c>
      <c r="R160" s="57">
        <v>0.13793103448275862</v>
      </c>
      <c r="S160" s="57">
        <v>0</v>
      </c>
      <c r="T160" s="57">
        <v>0</v>
      </c>
      <c r="U160" s="58" t="s">
        <v>981</v>
      </c>
      <c r="V160" s="57">
        <v>0</v>
      </c>
      <c r="W160" s="58">
        <v>0</v>
      </c>
      <c r="X160" s="57">
        <v>0</v>
      </c>
      <c r="Y160" s="58">
        <v>0</v>
      </c>
      <c r="Z160" s="57">
        <v>0</v>
      </c>
      <c r="AA160" s="58">
        <v>0</v>
      </c>
      <c r="AB160" s="57">
        <v>0</v>
      </c>
      <c r="AC160" s="58">
        <v>2</v>
      </c>
      <c r="AD160" s="57">
        <v>6.2353858144972721E-4</v>
      </c>
      <c r="AE160" s="59">
        <v>0</v>
      </c>
      <c r="AF160" s="60">
        <v>0</v>
      </c>
      <c r="AG160" s="59">
        <v>1.0799136069114472E-3</v>
      </c>
      <c r="AH160" s="60">
        <v>1.0799136069114472E-3</v>
      </c>
    </row>
    <row r="161" spans="1:34" x14ac:dyDescent="0.35">
      <c r="A161" t="s">
        <v>311</v>
      </c>
      <c r="B161" s="61" t="s">
        <v>312</v>
      </c>
      <c r="C161" s="53" t="s">
        <v>829</v>
      </c>
      <c r="D161" s="53" t="s">
        <v>628</v>
      </c>
      <c r="E161" s="53" t="s">
        <v>629</v>
      </c>
      <c r="F161" s="53" t="s">
        <v>630</v>
      </c>
      <c r="G161" s="53" t="s">
        <v>631</v>
      </c>
      <c r="H161" s="53" t="s">
        <v>632</v>
      </c>
      <c r="I161" s="54">
        <v>31</v>
      </c>
      <c r="J161" s="54">
        <v>3</v>
      </c>
      <c r="K161" s="54">
        <v>4</v>
      </c>
      <c r="L161" s="54">
        <v>4</v>
      </c>
      <c r="M161" s="54">
        <v>0</v>
      </c>
      <c r="N161" s="54">
        <v>0</v>
      </c>
      <c r="O161" s="54">
        <v>30</v>
      </c>
      <c r="P161" s="55">
        <v>30.5</v>
      </c>
      <c r="Q161" s="56">
        <v>0.13114754098360656</v>
      </c>
      <c r="R161" s="57">
        <v>0.13114754098360656</v>
      </c>
      <c r="S161" s="57">
        <v>0</v>
      </c>
      <c r="T161" s="57">
        <v>0</v>
      </c>
      <c r="U161" s="58">
        <v>0</v>
      </c>
      <c r="V161" s="57">
        <v>0</v>
      </c>
      <c r="W161" s="58">
        <v>0</v>
      </c>
      <c r="X161" s="57">
        <v>0</v>
      </c>
      <c r="Y161" s="58">
        <v>0</v>
      </c>
      <c r="Z161" s="57">
        <v>0</v>
      </c>
      <c r="AA161" s="58">
        <v>0</v>
      </c>
      <c r="AB161" s="57">
        <v>0</v>
      </c>
      <c r="AC161" s="58">
        <v>4</v>
      </c>
      <c r="AD161" s="57">
        <v>1.2470771628994544E-3</v>
      </c>
      <c r="AE161" s="59">
        <v>4.4883303411131061E-4</v>
      </c>
      <c r="AF161" s="60">
        <v>4.4883303411131061E-4</v>
      </c>
      <c r="AG161" s="59">
        <v>1.6198704103671706E-3</v>
      </c>
      <c r="AH161" s="60">
        <v>1.6198704103671706E-3</v>
      </c>
    </row>
    <row r="162" spans="1:34" x14ac:dyDescent="0.35">
      <c r="A162" t="s">
        <v>313</v>
      </c>
      <c r="B162" s="53" t="s">
        <v>314</v>
      </c>
      <c r="C162" s="53" t="s">
        <v>830</v>
      </c>
      <c r="D162" s="53" t="s">
        <v>666</v>
      </c>
      <c r="E162" s="53" t="s">
        <v>629</v>
      </c>
      <c r="F162" s="53" t="s">
        <v>635</v>
      </c>
      <c r="G162" s="53" t="s">
        <v>654</v>
      </c>
      <c r="H162" s="53" t="s">
        <v>637</v>
      </c>
      <c r="I162" s="54">
        <v>15</v>
      </c>
      <c r="J162" s="54">
        <v>2</v>
      </c>
      <c r="K162" s="54">
        <v>1</v>
      </c>
      <c r="L162" s="54">
        <v>1</v>
      </c>
      <c r="M162" s="54">
        <v>0</v>
      </c>
      <c r="N162" s="54">
        <v>0</v>
      </c>
      <c r="O162" s="54">
        <v>16</v>
      </c>
      <c r="P162" s="55">
        <v>15.5</v>
      </c>
      <c r="Q162" s="56">
        <v>6.4516129032258063E-2</v>
      </c>
      <c r="R162" s="57">
        <v>6.4516129032258063E-2</v>
      </c>
      <c r="S162" s="57">
        <v>0</v>
      </c>
      <c r="T162" s="57">
        <v>0</v>
      </c>
      <c r="U162" s="58">
        <v>0</v>
      </c>
      <c r="V162" s="57">
        <v>0</v>
      </c>
      <c r="W162" s="58" t="s">
        <v>981</v>
      </c>
      <c r="X162" s="57">
        <v>0</v>
      </c>
      <c r="Y162" s="58">
        <v>0</v>
      </c>
      <c r="Z162" s="57">
        <v>0</v>
      </c>
      <c r="AA162" s="58">
        <v>0</v>
      </c>
      <c r="AB162" s="57">
        <v>0</v>
      </c>
      <c r="AC162" s="58">
        <v>1</v>
      </c>
      <c r="AD162" s="57">
        <v>3.1176929072486361E-4</v>
      </c>
      <c r="AE162" s="59">
        <v>4.4883303411131061E-4</v>
      </c>
      <c r="AF162" s="60">
        <v>4.4883303411131061E-4</v>
      </c>
      <c r="AG162" s="59">
        <v>0</v>
      </c>
      <c r="AH162" s="60">
        <v>0</v>
      </c>
    </row>
    <row r="163" spans="1:34" x14ac:dyDescent="0.35">
      <c r="A163" t="s">
        <v>315</v>
      </c>
      <c r="B163" s="61" t="s">
        <v>316</v>
      </c>
      <c r="C163" s="53" t="s">
        <v>317</v>
      </c>
      <c r="D163" s="53" t="s">
        <v>684</v>
      </c>
      <c r="E163" s="53" t="s">
        <v>623</v>
      </c>
      <c r="F163" s="53" t="s">
        <v>662</v>
      </c>
      <c r="G163" s="53" t="s">
        <v>654</v>
      </c>
      <c r="H163" s="53" t="s">
        <v>831</v>
      </c>
      <c r="I163" s="54">
        <v>16</v>
      </c>
      <c r="J163" s="54">
        <v>2</v>
      </c>
      <c r="K163" s="54">
        <v>1</v>
      </c>
      <c r="L163" s="54">
        <v>1</v>
      </c>
      <c r="M163" s="54">
        <v>0</v>
      </c>
      <c r="N163" s="54">
        <v>0</v>
      </c>
      <c r="O163" s="54">
        <v>17</v>
      </c>
      <c r="P163" s="55">
        <v>16.5</v>
      </c>
      <c r="Q163" s="56">
        <v>6.0606060606060608E-2</v>
      </c>
      <c r="R163" s="57">
        <v>6.0606060606060608E-2</v>
      </c>
      <c r="S163" s="57">
        <v>0</v>
      </c>
      <c r="T163" s="57">
        <v>0</v>
      </c>
      <c r="U163" s="58" t="s">
        <v>981</v>
      </c>
      <c r="V163" s="57">
        <v>0</v>
      </c>
      <c r="W163" s="58">
        <v>0</v>
      </c>
      <c r="X163" s="57">
        <v>0</v>
      </c>
      <c r="Y163" s="58">
        <v>0</v>
      </c>
      <c r="Z163" s="57">
        <v>0</v>
      </c>
      <c r="AA163" s="58">
        <v>0</v>
      </c>
      <c r="AB163" s="57">
        <v>0</v>
      </c>
      <c r="AC163" s="58">
        <v>1</v>
      </c>
      <c r="AD163" s="57">
        <v>3.1176929072486361E-4</v>
      </c>
      <c r="AE163" s="59">
        <v>0</v>
      </c>
      <c r="AF163" s="60">
        <v>0</v>
      </c>
      <c r="AG163" s="59">
        <v>5.3995680345572358E-4</v>
      </c>
      <c r="AH163" s="60">
        <v>5.3995680345572358E-4</v>
      </c>
    </row>
    <row r="164" spans="1:34" x14ac:dyDescent="0.35">
      <c r="A164" t="s">
        <v>318</v>
      </c>
      <c r="B164" s="53" t="s">
        <v>319</v>
      </c>
      <c r="C164" s="53" t="s">
        <v>832</v>
      </c>
      <c r="D164" s="53" t="s">
        <v>678</v>
      </c>
      <c r="E164" s="53" t="s">
        <v>623</v>
      </c>
      <c r="F164" s="53" t="s">
        <v>624</v>
      </c>
      <c r="G164" s="53" t="s">
        <v>625</v>
      </c>
      <c r="H164" s="53" t="s">
        <v>679</v>
      </c>
      <c r="I164" s="54">
        <v>35</v>
      </c>
      <c r="J164" s="54">
        <v>13</v>
      </c>
      <c r="K164" s="54">
        <v>12</v>
      </c>
      <c r="L164" s="54">
        <v>11</v>
      </c>
      <c r="M164" s="54">
        <v>1</v>
      </c>
      <c r="N164" s="54">
        <v>0</v>
      </c>
      <c r="O164" s="54">
        <v>36</v>
      </c>
      <c r="P164" s="55">
        <v>35.5</v>
      </c>
      <c r="Q164" s="56">
        <v>0.3380281690140845</v>
      </c>
      <c r="R164" s="57">
        <v>0.30985915492957744</v>
      </c>
      <c r="S164" s="57">
        <v>2.8169014084507043E-2</v>
      </c>
      <c r="T164" s="57">
        <v>0</v>
      </c>
      <c r="U164" s="58">
        <v>0</v>
      </c>
      <c r="V164" s="57">
        <v>0</v>
      </c>
      <c r="W164" s="58" t="s">
        <v>981</v>
      </c>
      <c r="X164" s="57">
        <v>0</v>
      </c>
      <c r="Y164" s="58">
        <v>0</v>
      </c>
      <c r="Z164" s="57">
        <v>0</v>
      </c>
      <c r="AA164" s="58">
        <v>0</v>
      </c>
      <c r="AB164" s="57">
        <v>0</v>
      </c>
      <c r="AC164" s="58">
        <v>11</v>
      </c>
      <c r="AD164" s="57">
        <v>3.4294621979734994E-3</v>
      </c>
      <c r="AE164" s="59">
        <v>1.3464991023339318E-3</v>
      </c>
      <c r="AF164" s="60">
        <v>1.3464991023339318E-3</v>
      </c>
      <c r="AG164" s="59">
        <v>4.8596112311015119E-3</v>
      </c>
      <c r="AH164" s="60">
        <v>4.3196544276457886E-3</v>
      </c>
    </row>
    <row r="165" spans="1:34" x14ac:dyDescent="0.35">
      <c r="A165" t="s">
        <v>320</v>
      </c>
      <c r="B165" s="61" t="s">
        <v>321</v>
      </c>
      <c r="C165" s="53" t="s">
        <v>833</v>
      </c>
      <c r="D165" s="53" t="s">
        <v>707</v>
      </c>
      <c r="E165" s="53" t="s">
        <v>629</v>
      </c>
      <c r="F165" s="53" t="s">
        <v>635</v>
      </c>
      <c r="G165" s="53" t="s">
        <v>668</v>
      </c>
      <c r="H165" s="53" t="s">
        <v>708</v>
      </c>
      <c r="I165" s="54">
        <v>6</v>
      </c>
      <c r="J165" s="54">
        <v>3</v>
      </c>
      <c r="K165" s="54">
        <v>1</v>
      </c>
      <c r="L165" s="54">
        <v>1</v>
      </c>
      <c r="M165" s="54">
        <v>0</v>
      </c>
      <c r="N165" s="54">
        <v>0</v>
      </c>
      <c r="O165" s="54">
        <v>8</v>
      </c>
      <c r="P165" s="55">
        <v>7</v>
      </c>
      <c r="Q165" s="56">
        <v>0.14285714285714285</v>
      </c>
      <c r="R165" s="57">
        <v>0.14285714285714285</v>
      </c>
      <c r="S165" s="57">
        <v>0</v>
      </c>
      <c r="T165" s="57">
        <v>0</v>
      </c>
      <c r="U165" s="58">
        <v>0</v>
      </c>
      <c r="V165" s="57">
        <v>0</v>
      </c>
      <c r="W165" s="58" t="s">
        <v>981</v>
      </c>
      <c r="X165" s="57">
        <v>0</v>
      </c>
      <c r="Y165" s="58" t="s">
        <v>981</v>
      </c>
      <c r="Z165" s="57">
        <v>0</v>
      </c>
      <c r="AA165" s="58">
        <v>0</v>
      </c>
      <c r="AB165" s="57">
        <v>0</v>
      </c>
      <c r="AC165" s="58">
        <v>1</v>
      </c>
      <c r="AD165" s="57">
        <v>3.1176929072486361E-4</v>
      </c>
      <c r="AE165" s="59">
        <v>4.4883303411131061E-4</v>
      </c>
      <c r="AF165" s="60">
        <v>4.4883303411131061E-4</v>
      </c>
      <c r="AG165" s="59">
        <v>0</v>
      </c>
      <c r="AH165" s="60">
        <v>0</v>
      </c>
    </row>
    <row r="166" spans="1:34" x14ac:dyDescent="0.35">
      <c r="A166" t="s">
        <v>322</v>
      </c>
      <c r="B166" s="53" t="s">
        <v>323</v>
      </c>
      <c r="C166" s="53" t="s">
        <v>834</v>
      </c>
      <c r="D166" s="53" t="s">
        <v>628</v>
      </c>
      <c r="E166" s="53" t="s">
        <v>629</v>
      </c>
      <c r="F166" s="53" t="s">
        <v>630</v>
      </c>
      <c r="G166" s="53" t="s">
        <v>668</v>
      </c>
      <c r="H166" s="53" t="s">
        <v>632</v>
      </c>
      <c r="I166" s="54">
        <v>11</v>
      </c>
      <c r="J166" s="54">
        <v>4</v>
      </c>
      <c r="K166" s="54">
        <v>1</v>
      </c>
      <c r="L166" s="54">
        <v>1</v>
      </c>
      <c r="M166" s="54">
        <v>0</v>
      </c>
      <c r="N166" s="54">
        <v>0</v>
      </c>
      <c r="O166" s="54">
        <v>14</v>
      </c>
      <c r="P166" s="55">
        <v>12.5</v>
      </c>
      <c r="Q166" s="56">
        <v>0.08</v>
      </c>
      <c r="R166" s="57">
        <v>0.08</v>
      </c>
      <c r="S166" s="57">
        <v>0</v>
      </c>
      <c r="T166" s="57">
        <v>0</v>
      </c>
      <c r="U166" s="58">
        <v>0</v>
      </c>
      <c r="V166" s="57">
        <v>0</v>
      </c>
      <c r="W166" s="58" t="s">
        <v>981</v>
      </c>
      <c r="X166" s="57">
        <v>0</v>
      </c>
      <c r="Y166" s="58">
        <v>0</v>
      </c>
      <c r="Z166" s="57">
        <v>0</v>
      </c>
      <c r="AA166" s="58">
        <v>0</v>
      </c>
      <c r="AB166" s="57">
        <v>0</v>
      </c>
      <c r="AC166" s="58">
        <v>0</v>
      </c>
      <c r="AD166" s="57">
        <v>0</v>
      </c>
      <c r="AE166" s="59">
        <v>0</v>
      </c>
      <c r="AF166" s="60">
        <v>0</v>
      </c>
      <c r="AG166" s="59">
        <v>5.3995680345572358E-4</v>
      </c>
      <c r="AH166" s="60">
        <v>5.3995680345572358E-4</v>
      </c>
    </row>
    <row r="167" spans="1:34" x14ac:dyDescent="0.35">
      <c r="A167" t="s">
        <v>324</v>
      </c>
      <c r="B167" s="61" t="s">
        <v>325</v>
      </c>
      <c r="C167" s="53" t="s">
        <v>835</v>
      </c>
      <c r="D167" s="53" t="s">
        <v>663</v>
      </c>
      <c r="E167" s="53" t="s">
        <v>629</v>
      </c>
      <c r="F167" s="53" t="s">
        <v>646</v>
      </c>
      <c r="G167" s="53" t="s">
        <v>631</v>
      </c>
      <c r="H167" s="53" t="s">
        <v>639</v>
      </c>
      <c r="I167" s="54">
        <v>35</v>
      </c>
      <c r="J167" s="54">
        <v>2</v>
      </c>
      <c r="K167" s="54">
        <v>5</v>
      </c>
      <c r="L167" s="54">
        <v>5</v>
      </c>
      <c r="M167" s="54">
        <v>0</v>
      </c>
      <c r="N167" s="54">
        <v>0</v>
      </c>
      <c r="O167" s="54">
        <v>32</v>
      </c>
      <c r="P167" s="55">
        <v>33.5</v>
      </c>
      <c r="Q167" s="56">
        <v>0.14925373134328357</v>
      </c>
      <c r="R167" s="57">
        <v>0.14925373134328357</v>
      </c>
      <c r="S167" s="57">
        <v>0</v>
      </c>
      <c r="T167" s="57">
        <v>0</v>
      </c>
      <c r="U167" s="58">
        <v>0</v>
      </c>
      <c r="V167" s="57">
        <v>0</v>
      </c>
      <c r="W167" s="58">
        <v>0</v>
      </c>
      <c r="X167" s="57">
        <v>0</v>
      </c>
      <c r="Y167" s="58">
        <v>0</v>
      </c>
      <c r="Z167" s="57">
        <v>0</v>
      </c>
      <c r="AA167" s="58">
        <v>0</v>
      </c>
      <c r="AB167" s="57">
        <v>0</v>
      </c>
      <c r="AC167" s="58">
        <v>5</v>
      </c>
      <c r="AD167" s="57">
        <v>1.558846453624318E-3</v>
      </c>
      <c r="AE167" s="59">
        <v>4.4883303411131061E-4</v>
      </c>
      <c r="AF167" s="60">
        <v>4.4883303411131061E-4</v>
      </c>
      <c r="AG167" s="59">
        <v>2.1598272138228943E-3</v>
      </c>
      <c r="AH167" s="60">
        <v>2.1598272138228943E-3</v>
      </c>
    </row>
    <row r="168" spans="1:34" x14ac:dyDescent="0.35">
      <c r="A168" t="s">
        <v>326</v>
      </c>
      <c r="B168" s="53" t="s">
        <v>327</v>
      </c>
      <c r="C168" s="53" t="s">
        <v>836</v>
      </c>
      <c r="D168" s="53" t="s">
        <v>648</v>
      </c>
      <c r="E168" s="53" t="s">
        <v>623</v>
      </c>
      <c r="F168" s="53" t="s">
        <v>624</v>
      </c>
      <c r="G168" s="53" t="s">
        <v>631</v>
      </c>
      <c r="H168" s="53" t="s">
        <v>837</v>
      </c>
      <c r="I168" s="54">
        <v>35</v>
      </c>
      <c r="J168" s="54">
        <v>3</v>
      </c>
      <c r="K168" s="54">
        <v>2</v>
      </c>
      <c r="L168" s="54">
        <v>2</v>
      </c>
      <c r="M168" s="54">
        <v>0</v>
      </c>
      <c r="N168" s="54">
        <v>0</v>
      </c>
      <c r="O168" s="54">
        <v>36</v>
      </c>
      <c r="P168" s="55">
        <v>35.5</v>
      </c>
      <c r="Q168" s="56">
        <v>5.6338028169014086E-2</v>
      </c>
      <c r="R168" s="57">
        <v>5.6338028169014086E-2</v>
      </c>
      <c r="S168" s="57">
        <v>0</v>
      </c>
      <c r="T168" s="57">
        <v>0</v>
      </c>
      <c r="U168" s="58">
        <v>0</v>
      </c>
      <c r="V168" s="57">
        <v>0</v>
      </c>
      <c r="W168" s="58">
        <v>0</v>
      </c>
      <c r="X168" s="57">
        <v>0</v>
      </c>
      <c r="Y168" s="58">
        <v>1</v>
      </c>
      <c r="Z168" s="57">
        <v>3.7453183520599251E-3</v>
      </c>
      <c r="AA168" s="58">
        <v>0</v>
      </c>
      <c r="AB168" s="57">
        <v>0</v>
      </c>
      <c r="AC168" s="58">
        <v>1</v>
      </c>
      <c r="AD168" s="57">
        <v>3.1176929072486361E-4</v>
      </c>
      <c r="AE168" s="59">
        <v>4.4883303411131061E-4</v>
      </c>
      <c r="AF168" s="60">
        <v>4.4883303411131061E-4</v>
      </c>
      <c r="AG168" s="59">
        <v>5.3995680345572358E-4</v>
      </c>
      <c r="AH168" s="60">
        <v>5.3995680345572358E-4</v>
      </c>
    </row>
    <row r="169" spans="1:34" x14ac:dyDescent="0.35">
      <c r="A169" t="s">
        <v>328</v>
      </c>
      <c r="B169" s="61" t="s">
        <v>329</v>
      </c>
      <c r="C169" s="53" t="s">
        <v>838</v>
      </c>
      <c r="D169" s="53" t="s">
        <v>645</v>
      </c>
      <c r="E169" s="53" t="s">
        <v>629</v>
      </c>
      <c r="F169" s="53" t="s">
        <v>646</v>
      </c>
      <c r="G169" s="53" t="s">
        <v>631</v>
      </c>
      <c r="H169" s="53" t="s">
        <v>632</v>
      </c>
      <c r="I169" s="54">
        <v>30</v>
      </c>
      <c r="J169" s="54">
        <v>2</v>
      </c>
      <c r="K169" s="54">
        <v>2</v>
      </c>
      <c r="L169" s="54">
        <v>2</v>
      </c>
      <c r="M169" s="54">
        <v>0</v>
      </c>
      <c r="N169" s="54">
        <v>0</v>
      </c>
      <c r="O169" s="54">
        <v>30</v>
      </c>
      <c r="P169" s="55">
        <v>30</v>
      </c>
      <c r="Q169" s="56">
        <v>6.6666666666666666E-2</v>
      </c>
      <c r="R169" s="57">
        <v>6.6666666666666666E-2</v>
      </c>
      <c r="S169" s="57">
        <v>0</v>
      </c>
      <c r="T169" s="57">
        <v>0</v>
      </c>
      <c r="U169" s="58">
        <v>0</v>
      </c>
      <c r="V169" s="57">
        <v>0</v>
      </c>
      <c r="W169" s="58" t="s">
        <v>981</v>
      </c>
      <c r="X169" s="57">
        <v>0</v>
      </c>
      <c r="Y169" s="58">
        <v>0</v>
      </c>
      <c r="Z169" s="57">
        <v>0</v>
      </c>
      <c r="AA169" s="58">
        <v>0</v>
      </c>
      <c r="AB169" s="57">
        <v>0</v>
      </c>
      <c r="AC169" s="58">
        <v>2</v>
      </c>
      <c r="AD169" s="57">
        <v>6.2353858144972721E-4</v>
      </c>
      <c r="AE169" s="59">
        <v>0</v>
      </c>
      <c r="AF169" s="60">
        <v>0</v>
      </c>
      <c r="AG169" s="59">
        <v>1.0799136069114472E-3</v>
      </c>
      <c r="AH169" s="60">
        <v>1.0799136069114472E-3</v>
      </c>
    </row>
    <row r="170" spans="1:34" x14ac:dyDescent="0.35">
      <c r="A170" t="s">
        <v>330</v>
      </c>
      <c r="B170" s="53" t="s">
        <v>331</v>
      </c>
      <c r="C170" s="53" t="s">
        <v>332</v>
      </c>
      <c r="D170" s="53" t="s">
        <v>762</v>
      </c>
      <c r="E170" s="53" t="s">
        <v>629</v>
      </c>
      <c r="F170" s="53" t="s">
        <v>646</v>
      </c>
      <c r="G170" s="53" t="s">
        <v>636</v>
      </c>
      <c r="H170" s="53" t="s">
        <v>839</v>
      </c>
      <c r="I170" s="54">
        <v>26</v>
      </c>
      <c r="J170" s="54">
        <v>2</v>
      </c>
      <c r="K170" s="54">
        <v>4</v>
      </c>
      <c r="L170" s="54">
        <v>4</v>
      </c>
      <c r="M170" s="54">
        <v>0</v>
      </c>
      <c r="N170" s="54">
        <v>0</v>
      </c>
      <c r="O170" s="54">
        <v>24</v>
      </c>
      <c r="P170" s="55">
        <v>25</v>
      </c>
      <c r="Q170" s="56">
        <v>0.16</v>
      </c>
      <c r="R170" s="57">
        <v>0.16</v>
      </c>
      <c r="S170" s="57">
        <v>0</v>
      </c>
      <c r="T170" s="57">
        <v>0</v>
      </c>
      <c r="U170" s="58">
        <v>0</v>
      </c>
      <c r="V170" s="57">
        <v>0</v>
      </c>
      <c r="W170" s="58" t="s">
        <v>981</v>
      </c>
      <c r="X170" s="57">
        <v>0</v>
      </c>
      <c r="Y170" s="58" t="s">
        <v>981</v>
      </c>
      <c r="Z170" s="57">
        <v>0</v>
      </c>
      <c r="AA170" s="58">
        <v>0</v>
      </c>
      <c r="AB170" s="57">
        <v>0</v>
      </c>
      <c r="AC170" s="58">
        <v>4</v>
      </c>
      <c r="AD170" s="57">
        <v>1.2470771628994544E-3</v>
      </c>
      <c r="AE170" s="59">
        <v>4.4883303411131061E-4</v>
      </c>
      <c r="AF170" s="60">
        <v>4.4883303411131061E-4</v>
      </c>
      <c r="AG170" s="59">
        <v>1.6198704103671706E-3</v>
      </c>
      <c r="AH170" s="60">
        <v>1.6198704103671706E-3</v>
      </c>
    </row>
    <row r="171" spans="1:34" x14ac:dyDescent="0.35">
      <c r="A171" t="s">
        <v>333</v>
      </c>
      <c r="B171" s="61" t="s">
        <v>334</v>
      </c>
      <c r="C171" s="53" t="s">
        <v>840</v>
      </c>
      <c r="D171" s="53" t="s">
        <v>666</v>
      </c>
      <c r="E171" s="53" t="s">
        <v>629</v>
      </c>
      <c r="F171" s="53" t="s">
        <v>630</v>
      </c>
      <c r="G171" s="53" t="s">
        <v>636</v>
      </c>
      <c r="H171" s="53" t="s">
        <v>652</v>
      </c>
      <c r="I171" s="54">
        <v>21</v>
      </c>
      <c r="J171" s="54">
        <v>3</v>
      </c>
      <c r="K171" s="54">
        <v>1</v>
      </c>
      <c r="L171" s="54">
        <v>1</v>
      </c>
      <c r="M171" s="54">
        <v>0</v>
      </c>
      <c r="N171" s="54">
        <v>0</v>
      </c>
      <c r="O171" s="54">
        <v>23</v>
      </c>
      <c r="P171" s="55">
        <v>22</v>
      </c>
      <c r="Q171" s="56">
        <v>4.5454545454545456E-2</v>
      </c>
      <c r="R171" s="57">
        <v>4.5454545454545456E-2</v>
      </c>
      <c r="S171" s="57">
        <v>0</v>
      </c>
      <c r="T171" s="57">
        <v>0</v>
      </c>
      <c r="U171" s="58">
        <v>0</v>
      </c>
      <c r="V171" s="57">
        <v>0</v>
      </c>
      <c r="W171" s="58">
        <v>0</v>
      </c>
      <c r="X171" s="57">
        <v>0</v>
      </c>
      <c r="Y171" s="58">
        <v>0</v>
      </c>
      <c r="Z171" s="57">
        <v>0</v>
      </c>
      <c r="AA171" s="58" t="s">
        <v>981</v>
      </c>
      <c r="AB171" s="57">
        <v>0</v>
      </c>
      <c r="AC171" s="58">
        <v>1</v>
      </c>
      <c r="AD171" s="57">
        <v>3.1176929072486361E-4</v>
      </c>
      <c r="AE171" s="59">
        <v>4.4883303411131061E-4</v>
      </c>
      <c r="AF171" s="60">
        <v>4.4883303411131061E-4</v>
      </c>
      <c r="AG171" s="59">
        <v>0</v>
      </c>
      <c r="AH171" s="60">
        <v>0</v>
      </c>
    </row>
    <row r="172" spans="1:34" x14ac:dyDescent="0.35">
      <c r="A172" t="s">
        <v>335</v>
      </c>
      <c r="B172" s="53" t="s">
        <v>336</v>
      </c>
      <c r="C172" s="53" t="s">
        <v>841</v>
      </c>
      <c r="D172" s="53" t="s">
        <v>622</v>
      </c>
      <c r="E172" s="53" t="s">
        <v>623</v>
      </c>
      <c r="F172" s="53" t="s">
        <v>624</v>
      </c>
      <c r="G172" s="53" t="s">
        <v>636</v>
      </c>
      <c r="H172" s="53" t="s">
        <v>649</v>
      </c>
      <c r="I172" s="54">
        <v>24</v>
      </c>
      <c r="J172" s="54">
        <v>6</v>
      </c>
      <c r="K172" s="54">
        <v>2</v>
      </c>
      <c r="L172" s="54">
        <v>2</v>
      </c>
      <c r="M172" s="54">
        <v>0</v>
      </c>
      <c r="N172" s="54">
        <v>0</v>
      </c>
      <c r="O172" s="54">
        <v>28</v>
      </c>
      <c r="P172" s="55">
        <v>26</v>
      </c>
      <c r="Q172" s="56">
        <v>7.6923076923076927E-2</v>
      </c>
      <c r="R172" s="57">
        <v>7.6923076923076927E-2</v>
      </c>
      <c r="S172" s="57">
        <v>0</v>
      </c>
      <c r="T172" s="57">
        <v>0</v>
      </c>
      <c r="U172" s="58">
        <v>0</v>
      </c>
      <c r="V172" s="57">
        <v>0</v>
      </c>
      <c r="W172" s="58" t="s">
        <v>981</v>
      </c>
      <c r="X172" s="57">
        <v>0</v>
      </c>
      <c r="Y172" s="58">
        <v>0</v>
      </c>
      <c r="Z172" s="57">
        <v>0</v>
      </c>
      <c r="AA172" s="58">
        <v>0</v>
      </c>
      <c r="AB172" s="57">
        <v>0</v>
      </c>
      <c r="AC172" s="58">
        <v>2</v>
      </c>
      <c r="AD172" s="57">
        <v>6.2353858144972721E-4</v>
      </c>
      <c r="AE172" s="59">
        <v>0</v>
      </c>
      <c r="AF172" s="60">
        <v>0</v>
      </c>
      <c r="AG172" s="59">
        <v>1.0799136069114472E-3</v>
      </c>
      <c r="AH172" s="60">
        <v>1.0799136069114472E-3</v>
      </c>
    </row>
    <row r="173" spans="1:34" x14ac:dyDescent="0.35">
      <c r="A173" t="s">
        <v>337</v>
      </c>
      <c r="B173" s="61" t="s">
        <v>338</v>
      </c>
      <c r="C173" s="53" t="s">
        <v>842</v>
      </c>
      <c r="D173" s="53" t="s">
        <v>656</v>
      </c>
      <c r="E173" s="53" t="s">
        <v>657</v>
      </c>
      <c r="F173" s="53" t="s">
        <v>658</v>
      </c>
      <c r="G173" s="53" t="s">
        <v>668</v>
      </c>
      <c r="H173" s="53" t="s">
        <v>843</v>
      </c>
      <c r="I173" s="54">
        <v>14</v>
      </c>
      <c r="J173" s="54">
        <v>1</v>
      </c>
      <c r="K173" s="54">
        <v>0</v>
      </c>
      <c r="L173" s="54">
        <v>0</v>
      </c>
      <c r="M173" s="54">
        <v>0</v>
      </c>
      <c r="N173" s="54">
        <v>0</v>
      </c>
      <c r="O173" s="54">
        <v>15</v>
      </c>
      <c r="P173" s="55">
        <v>14.5</v>
      </c>
      <c r="Q173" s="56">
        <v>0</v>
      </c>
      <c r="R173" s="57">
        <v>0</v>
      </c>
      <c r="S173" s="57">
        <v>0</v>
      </c>
      <c r="T173" s="57">
        <v>0</v>
      </c>
      <c r="U173" s="58" t="s">
        <v>981</v>
      </c>
      <c r="V173" s="57">
        <v>0</v>
      </c>
      <c r="W173" s="58">
        <v>0</v>
      </c>
      <c r="X173" s="57">
        <v>0</v>
      </c>
      <c r="Y173" s="58">
        <v>0</v>
      </c>
      <c r="Z173" s="57">
        <v>0</v>
      </c>
      <c r="AA173" s="58">
        <v>0</v>
      </c>
      <c r="AB173" s="57">
        <v>0</v>
      </c>
      <c r="AC173" s="58">
        <v>0</v>
      </c>
      <c r="AD173" s="57">
        <v>0</v>
      </c>
      <c r="AE173" s="59">
        <v>0</v>
      </c>
      <c r="AF173" s="60">
        <v>0</v>
      </c>
      <c r="AG173" s="59">
        <v>0</v>
      </c>
      <c r="AH173" s="60">
        <v>0</v>
      </c>
    </row>
    <row r="174" spans="1:34" x14ac:dyDescent="0.35">
      <c r="A174" t="s">
        <v>339</v>
      </c>
      <c r="B174" s="53" t="s">
        <v>340</v>
      </c>
      <c r="C174" s="53" t="s">
        <v>844</v>
      </c>
      <c r="D174" s="53" t="s">
        <v>651</v>
      </c>
      <c r="E174" s="53" t="s">
        <v>629</v>
      </c>
      <c r="F174" s="53" t="s">
        <v>630</v>
      </c>
      <c r="G174" s="53" t="s">
        <v>631</v>
      </c>
      <c r="H174" s="53" t="s">
        <v>705</v>
      </c>
      <c r="I174" s="54">
        <v>33</v>
      </c>
      <c r="J174" s="54">
        <v>6</v>
      </c>
      <c r="K174" s="54">
        <v>2</v>
      </c>
      <c r="L174" s="54">
        <v>1</v>
      </c>
      <c r="M174" s="54">
        <v>0</v>
      </c>
      <c r="N174" s="54">
        <v>1</v>
      </c>
      <c r="O174" s="54">
        <v>37</v>
      </c>
      <c r="P174" s="55">
        <v>35</v>
      </c>
      <c r="Q174" s="56">
        <v>5.7142857142857141E-2</v>
      </c>
      <c r="R174" s="57">
        <v>2.8571428571428571E-2</v>
      </c>
      <c r="S174" s="57">
        <v>0</v>
      </c>
      <c r="T174" s="57">
        <v>2.8571428571428571E-2</v>
      </c>
      <c r="U174" s="58">
        <v>0</v>
      </c>
      <c r="V174" s="57">
        <v>0</v>
      </c>
      <c r="W174" s="58" t="s">
        <v>981</v>
      </c>
      <c r="X174" s="57">
        <v>0</v>
      </c>
      <c r="Y174" s="58">
        <v>0</v>
      </c>
      <c r="Z174" s="57">
        <v>0</v>
      </c>
      <c r="AA174" s="58">
        <v>0</v>
      </c>
      <c r="AB174" s="57">
        <v>0</v>
      </c>
      <c r="AC174" s="58">
        <v>1</v>
      </c>
      <c r="AD174" s="57">
        <v>3.1176929072486361E-4</v>
      </c>
      <c r="AE174" s="59">
        <v>4.4883303411131061E-4</v>
      </c>
      <c r="AF174" s="60">
        <v>0</v>
      </c>
      <c r="AG174" s="59">
        <v>5.3995680345572358E-4</v>
      </c>
      <c r="AH174" s="60">
        <v>5.3995680345572358E-4</v>
      </c>
    </row>
    <row r="175" spans="1:34" x14ac:dyDescent="0.35">
      <c r="A175" t="s">
        <v>341</v>
      </c>
      <c r="B175" s="61" t="s">
        <v>342</v>
      </c>
      <c r="C175" s="53" t="s">
        <v>845</v>
      </c>
      <c r="D175" s="53" t="s">
        <v>678</v>
      </c>
      <c r="E175" s="53" t="s">
        <v>623</v>
      </c>
      <c r="F175" s="53" t="s">
        <v>624</v>
      </c>
      <c r="G175" s="53" t="s">
        <v>636</v>
      </c>
      <c r="H175" s="53" t="s">
        <v>679</v>
      </c>
      <c r="I175" s="54">
        <v>27</v>
      </c>
      <c r="J175" s="54">
        <v>3</v>
      </c>
      <c r="K175" s="54">
        <v>6</v>
      </c>
      <c r="L175" s="54">
        <v>6</v>
      </c>
      <c r="M175" s="54">
        <v>0</v>
      </c>
      <c r="N175" s="54">
        <v>0</v>
      </c>
      <c r="O175" s="54">
        <v>24</v>
      </c>
      <c r="P175" s="55">
        <v>25.5</v>
      </c>
      <c r="Q175" s="56">
        <v>0.23529411764705882</v>
      </c>
      <c r="R175" s="57">
        <v>0.23529411764705882</v>
      </c>
      <c r="S175" s="57">
        <v>0</v>
      </c>
      <c r="T175" s="57">
        <v>0</v>
      </c>
      <c r="U175" s="58">
        <v>0</v>
      </c>
      <c r="V175" s="57">
        <v>0</v>
      </c>
      <c r="W175" s="58">
        <v>0</v>
      </c>
      <c r="X175" s="57">
        <v>0</v>
      </c>
      <c r="Y175" s="58">
        <v>0</v>
      </c>
      <c r="Z175" s="57">
        <v>0</v>
      </c>
      <c r="AA175" s="58">
        <v>0</v>
      </c>
      <c r="AB175" s="57">
        <v>0</v>
      </c>
      <c r="AC175" s="58">
        <v>6</v>
      </c>
      <c r="AD175" s="57">
        <v>1.8706157443491816E-3</v>
      </c>
      <c r="AE175" s="59">
        <v>1.7953321364452424E-3</v>
      </c>
      <c r="AF175" s="60">
        <v>1.7953321364452424E-3</v>
      </c>
      <c r="AG175" s="59">
        <v>1.0799136069114472E-3</v>
      </c>
      <c r="AH175" s="60">
        <v>1.0799136069114472E-3</v>
      </c>
    </row>
    <row r="176" spans="1:34" x14ac:dyDescent="0.35">
      <c r="A176" t="s">
        <v>343</v>
      </c>
      <c r="B176" s="53" t="s">
        <v>344</v>
      </c>
      <c r="C176" s="53" t="s">
        <v>846</v>
      </c>
      <c r="D176" s="53" t="s">
        <v>645</v>
      </c>
      <c r="E176" s="53" t="s">
        <v>629</v>
      </c>
      <c r="F176" s="53" t="s">
        <v>646</v>
      </c>
      <c r="G176" s="53" t="s">
        <v>642</v>
      </c>
      <c r="H176" s="53" t="s">
        <v>632</v>
      </c>
      <c r="I176" s="54">
        <v>12</v>
      </c>
      <c r="J176" s="54">
        <v>0</v>
      </c>
      <c r="K176" s="54">
        <v>1</v>
      </c>
      <c r="L176" s="54">
        <v>1</v>
      </c>
      <c r="M176" s="54">
        <v>0</v>
      </c>
      <c r="N176" s="54">
        <v>0</v>
      </c>
      <c r="O176" s="54">
        <v>11</v>
      </c>
      <c r="P176" s="55">
        <v>11.5</v>
      </c>
      <c r="Q176" s="56">
        <v>8.6956521739130432E-2</v>
      </c>
      <c r="R176" s="57">
        <v>8.6956521739130432E-2</v>
      </c>
      <c r="S176" s="57">
        <v>0</v>
      </c>
      <c r="T176" s="57">
        <v>0</v>
      </c>
      <c r="U176" s="58">
        <v>0</v>
      </c>
      <c r="V176" s="57">
        <v>0</v>
      </c>
      <c r="W176" s="58" t="s">
        <v>981</v>
      </c>
      <c r="X176" s="57">
        <v>0</v>
      </c>
      <c r="Y176" s="58" t="s">
        <v>981</v>
      </c>
      <c r="Z176" s="57">
        <v>0</v>
      </c>
      <c r="AA176" s="58" t="s">
        <v>981</v>
      </c>
      <c r="AB176" s="57">
        <v>0</v>
      </c>
      <c r="AC176" s="58">
        <v>1</v>
      </c>
      <c r="AD176" s="57">
        <v>3.1176929072486361E-4</v>
      </c>
      <c r="AE176" s="59">
        <v>4.4883303411131061E-4</v>
      </c>
      <c r="AF176" s="60">
        <v>4.4883303411131061E-4</v>
      </c>
      <c r="AG176" s="59">
        <v>0</v>
      </c>
      <c r="AH176" s="60">
        <v>0</v>
      </c>
    </row>
    <row r="177" spans="1:34" x14ac:dyDescent="0.35">
      <c r="A177" t="s">
        <v>347</v>
      </c>
      <c r="B177" s="61" t="s">
        <v>348</v>
      </c>
      <c r="C177" s="53" t="s">
        <v>847</v>
      </c>
      <c r="D177" s="53" t="s">
        <v>707</v>
      </c>
      <c r="E177" s="53" t="s">
        <v>629</v>
      </c>
      <c r="F177" s="53" t="s">
        <v>635</v>
      </c>
      <c r="G177" s="53" t="s">
        <v>654</v>
      </c>
      <c r="H177" s="53" t="s">
        <v>710</v>
      </c>
      <c r="I177" s="54">
        <v>16</v>
      </c>
      <c r="J177" s="54">
        <v>2</v>
      </c>
      <c r="K177" s="54">
        <v>4</v>
      </c>
      <c r="L177" s="54">
        <v>4</v>
      </c>
      <c r="M177" s="54">
        <v>0</v>
      </c>
      <c r="N177" s="54">
        <v>0</v>
      </c>
      <c r="O177" s="54">
        <v>14</v>
      </c>
      <c r="P177" s="55">
        <v>15</v>
      </c>
      <c r="Q177" s="56">
        <v>0.26666666666666666</v>
      </c>
      <c r="R177" s="57">
        <v>0.26666666666666666</v>
      </c>
      <c r="S177" s="57">
        <v>0</v>
      </c>
      <c r="T177" s="57">
        <v>0</v>
      </c>
      <c r="U177" s="58">
        <v>0</v>
      </c>
      <c r="V177" s="57">
        <v>0</v>
      </c>
      <c r="W177" s="58" t="s">
        <v>981</v>
      </c>
      <c r="X177" s="57">
        <v>0</v>
      </c>
      <c r="Y177" s="58" t="s">
        <v>981</v>
      </c>
      <c r="Z177" s="57">
        <v>0</v>
      </c>
      <c r="AA177" s="58">
        <v>0</v>
      </c>
      <c r="AB177" s="57">
        <v>0</v>
      </c>
      <c r="AC177" s="58">
        <v>4</v>
      </c>
      <c r="AD177" s="57">
        <v>1.2470771628994544E-3</v>
      </c>
      <c r="AE177" s="59">
        <v>1.3464991023339318E-3</v>
      </c>
      <c r="AF177" s="60">
        <v>1.3464991023339318E-3</v>
      </c>
      <c r="AG177" s="59">
        <v>5.3995680345572358E-4</v>
      </c>
      <c r="AH177" s="60">
        <v>5.3995680345572358E-4</v>
      </c>
    </row>
    <row r="178" spans="1:34" x14ac:dyDescent="0.35">
      <c r="A178" t="s">
        <v>349</v>
      </c>
      <c r="B178" s="53" t="s">
        <v>350</v>
      </c>
      <c r="C178" s="53" t="s">
        <v>848</v>
      </c>
      <c r="D178" s="53" t="s">
        <v>648</v>
      </c>
      <c r="E178" s="53" t="s">
        <v>623</v>
      </c>
      <c r="F178" s="53" t="s">
        <v>624</v>
      </c>
      <c r="G178" s="53" t="s">
        <v>625</v>
      </c>
      <c r="H178" s="53" t="s">
        <v>649</v>
      </c>
      <c r="I178" s="54">
        <v>66</v>
      </c>
      <c r="J178" s="54">
        <v>9</v>
      </c>
      <c r="K178" s="54">
        <v>13</v>
      </c>
      <c r="L178" s="54">
        <v>11</v>
      </c>
      <c r="M178" s="54">
        <v>1</v>
      </c>
      <c r="N178" s="54">
        <v>1</v>
      </c>
      <c r="O178" s="54">
        <v>62</v>
      </c>
      <c r="P178" s="55">
        <v>64</v>
      </c>
      <c r="Q178" s="56">
        <v>0.203125</v>
      </c>
      <c r="R178" s="57">
        <v>0.171875</v>
      </c>
      <c r="S178" s="57">
        <v>1.5625E-2</v>
      </c>
      <c r="T178" s="57">
        <v>1.5625E-2</v>
      </c>
      <c r="U178" s="58">
        <v>0</v>
      </c>
      <c r="V178" s="57">
        <v>0</v>
      </c>
      <c r="W178" s="58">
        <v>0</v>
      </c>
      <c r="X178" s="57">
        <v>0</v>
      </c>
      <c r="Y178" s="58">
        <v>0</v>
      </c>
      <c r="Z178" s="57">
        <v>0</v>
      </c>
      <c r="AA178" s="58">
        <v>0</v>
      </c>
      <c r="AB178" s="57">
        <v>0</v>
      </c>
      <c r="AC178" s="58">
        <v>11</v>
      </c>
      <c r="AD178" s="57">
        <v>3.4294621979734994E-3</v>
      </c>
      <c r="AE178" s="59">
        <v>4.039497307001795E-3</v>
      </c>
      <c r="AF178" s="60">
        <v>3.1418312387791743E-3</v>
      </c>
      <c r="AG178" s="59">
        <v>2.1598272138228943E-3</v>
      </c>
      <c r="AH178" s="60">
        <v>2.1598272138228943E-3</v>
      </c>
    </row>
    <row r="179" spans="1:34" x14ac:dyDescent="0.35">
      <c r="A179" t="s">
        <v>351</v>
      </c>
      <c r="B179" s="61" t="s">
        <v>352</v>
      </c>
      <c r="C179" s="53" t="s">
        <v>849</v>
      </c>
      <c r="D179" s="53" t="s">
        <v>661</v>
      </c>
      <c r="E179" s="53" t="s">
        <v>657</v>
      </c>
      <c r="F179" s="53" t="s">
        <v>662</v>
      </c>
      <c r="G179" s="53" t="s">
        <v>636</v>
      </c>
      <c r="H179" s="53" t="s">
        <v>632</v>
      </c>
      <c r="I179" s="54">
        <v>22</v>
      </c>
      <c r="J179" s="54">
        <v>2</v>
      </c>
      <c r="K179" s="54">
        <v>2</v>
      </c>
      <c r="L179" s="54">
        <v>2</v>
      </c>
      <c r="M179" s="54">
        <v>0</v>
      </c>
      <c r="N179" s="54">
        <v>0</v>
      </c>
      <c r="O179" s="54">
        <v>22</v>
      </c>
      <c r="P179" s="55">
        <v>22</v>
      </c>
      <c r="Q179" s="56">
        <v>9.0909090909090912E-2</v>
      </c>
      <c r="R179" s="57">
        <v>9.0909090909090912E-2</v>
      </c>
      <c r="S179" s="57">
        <v>0</v>
      </c>
      <c r="T179" s="57">
        <v>0</v>
      </c>
      <c r="U179" s="58">
        <v>0</v>
      </c>
      <c r="V179" s="57">
        <v>0</v>
      </c>
      <c r="W179" s="58">
        <v>0</v>
      </c>
      <c r="X179" s="57">
        <v>0</v>
      </c>
      <c r="Y179" s="58">
        <v>0</v>
      </c>
      <c r="Z179" s="57">
        <v>0</v>
      </c>
      <c r="AA179" s="58">
        <v>0</v>
      </c>
      <c r="AB179" s="57">
        <v>0</v>
      </c>
      <c r="AC179" s="58">
        <v>2</v>
      </c>
      <c r="AD179" s="57">
        <v>6.2353858144972721E-4</v>
      </c>
      <c r="AE179" s="59">
        <v>0</v>
      </c>
      <c r="AF179" s="60">
        <v>0</v>
      </c>
      <c r="AG179" s="59">
        <v>1.0799136069114472E-3</v>
      </c>
      <c r="AH179" s="60">
        <v>1.0799136069114472E-3</v>
      </c>
    </row>
    <row r="180" spans="1:34" x14ac:dyDescent="0.35">
      <c r="A180" t="s">
        <v>353</v>
      </c>
      <c r="B180" s="53" t="s">
        <v>354</v>
      </c>
      <c r="C180" s="53" t="s">
        <v>850</v>
      </c>
      <c r="D180" s="53" t="s">
        <v>640</v>
      </c>
      <c r="E180" s="53" t="s">
        <v>623</v>
      </c>
      <c r="F180" s="53" t="s">
        <v>624</v>
      </c>
      <c r="G180" s="53" t="s">
        <v>654</v>
      </c>
      <c r="H180" s="53" t="s">
        <v>789</v>
      </c>
      <c r="I180" s="54">
        <v>16</v>
      </c>
      <c r="J180" s="54">
        <v>1</v>
      </c>
      <c r="K180" s="54">
        <v>0</v>
      </c>
      <c r="L180" s="54">
        <v>0</v>
      </c>
      <c r="M180" s="54">
        <v>0</v>
      </c>
      <c r="N180" s="54">
        <v>0</v>
      </c>
      <c r="O180" s="54">
        <v>17</v>
      </c>
      <c r="P180" s="55">
        <v>16.5</v>
      </c>
      <c r="Q180" s="56">
        <v>0</v>
      </c>
      <c r="R180" s="57">
        <v>0</v>
      </c>
      <c r="S180" s="57">
        <v>0</v>
      </c>
      <c r="T180" s="57">
        <v>0</v>
      </c>
      <c r="U180" s="58">
        <v>0</v>
      </c>
      <c r="V180" s="57">
        <v>0</v>
      </c>
      <c r="W180" s="58">
        <v>0</v>
      </c>
      <c r="X180" s="57">
        <v>0</v>
      </c>
      <c r="Y180" s="58">
        <v>0</v>
      </c>
      <c r="Z180" s="57">
        <v>0</v>
      </c>
      <c r="AA180" s="58">
        <v>0</v>
      </c>
      <c r="AB180" s="57">
        <v>0</v>
      </c>
      <c r="AC180" s="58">
        <v>0</v>
      </c>
      <c r="AD180" s="57">
        <v>0</v>
      </c>
      <c r="AE180" s="59">
        <v>0</v>
      </c>
      <c r="AF180" s="60">
        <v>0</v>
      </c>
      <c r="AG180" s="59">
        <v>0</v>
      </c>
      <c r="AH180" s="60">
        <v>0</v>
      </c>
    </row>
    <row r="181" spans="1:34" x14ac:dyDescent="0.35">
      <c r="A181" t="s">
        <v>355</v>
      </c>
      <c r="B181" s="61" t="s">
        <v>356</v>
      </c>
      <c r="C181" s="53" t="s">
        <v>851</v>
      </c>
      <c r="D181" s="53" t="s">
        <v>622</v>
      </c>
      <c r="E181" s="53" t="s">
        <v>623</v>
      </c>
      <c r="F181" s="53" t="s">
        <v>624</v>
      </c>
      <c r="G181" s="53" t="s">
        <v>625</v>
      </c>
      <c r="H181" s="53" t="s">
        <v>649</v>
      </c>
      <c r="I181" s="54">
        <v>45</v>
      </c>
      <c r="J181" s="54">
        <v>6</v>
      </c>
      <c r="K181" s="54">
        <v>7</v>
      </c>
      <c r="L181" s="54">
        <v>6</v>
      </c>
      <c r="M181" s="54">
        <v>1</v>
      </c>
      <c r="N181" s="54">
        <v>0</v>
      </c>
      <c r="O181" s="54">
        <v>44</v>
      </c>
      <c r="P181" s="55">
        <v>44.5</v>
      </c>
      <c r="Q181" s="56">
        <v>0.15730337078651685</v>
      </c>
      <c r="R181" s="57">
        <v>0.1348314606741573</v>
      </c>
      <c r="S181" s="57">
        <v>2.247191011235955E-2</v>
      </c>
      <c r="T181" s="57">
        <v>0</v>
      </c>
      <c r="U181" s="58">
        <v>0</v>
      </c>
      <c r="V181" s="57">
        <v>0</v>
      </c>
      <c r="W181" s="58">
        <v>0</v>
      </c>
      <c r="X181" s="57">
        <v>0</v>
      </c>
      <c r="Y181" s="58">
        <v>1</v>
      </c>
      <c r="Z181" s="57">
        <v>3.7453183520599251E-3</v>
      </c>
      <c r="AA181" s="58">
        <v>0</v>
      </c>
      <c r="AB181" s="57">
        <v>0</v>
      </c>
      <c r="AC181" s="58">
        <v>5</v>
      </c>
      <c r="AD181" s="57">
        <v>1.558846453624318E-3</v>
      </c>
      <c r="AE181" s="59">
        <v>8.9766606822262122E-4</v>
      </c>
      <c r="AF181" s="60">
        <v>8.9766606822262122E-4</v>
      </c>
      <c r="AG181" s="59">
        <v>2.699784017278618E-3</v>
      </c>
      <c r="AH181" s="60">
        <v>2.1598272138228943E-3</v>
      </c>
    </row>
    <row r="182" spans="1:34" x14ac:dyDescent="0.35">
      <c r="A182" t="s">
        <v>357</v>
      </c>
      <c r="B182" s="53" t="s">
        <v>358</v>
      </c>
      <c r="C182" s="53" t="s">
        <v>359</v>
      </c>
      <c r="D182" s="53" t="s">
        <v>640</v>
      </c>
      <c r="E182" s="53" t="s">
        <v>623</v>
      </c>
      <c r="F182" s="53" t="s">
        <v>641</v>
      </c>
      <c r="G182" s="53" t="s">
        <v>668</v>
      </c>
      <c r="H182" s="53" t="s">
        <v>852</v>
      </c>
      <c r="I182" s="54">
        <v>16</v>
      </c>
      <c r="J182" s="54">
        <v>2</v>
      </c>
      <c r="K182" s="54">
        <v>3</v>
      </c>
      <c r="L182" s="54">
        <v>3</v>
      </c>
      <c r="M182" s="54">
        <v>0</v>
      </c>
      <c r="N182" s="54">
        <v>0</v>
      </c>
      <c r="O182" s="54">
        <v>15</v>
      </c>
      <c r="P182" s="55">
        <v>15.5</v>
      </c>
      <c r="Q182" s="56">
        <v>0.19354838709677419</v>
      </c>
      <c r="R182" s="57">
        <v>0.19354838709677419</v>
      </c>
      <c r="S182" s="57">
        <v>0</v>
      </c>
      <c r="T182" s="57">
        <v>0</v>
      </c>
      <c r="U182" s="58">
        <v>0</v>
      </c>
      <c r="V182" s="57">
        <v>0</v>
      </c>
      <c r="W182" s="58" t="s">
        <v>981</v>
      </c>
      <c r="X182" s="57">
        <v>0</v>
      </c>
      <c r="Y182" s="58">
        <v>0</v>
      </c>
      <c r="Z182" s="57">
        <v>0</v>
      </c>
      <c r="AA182" s="58" t="s">
        <v>981</v>
      </c>
      <c r="AB182" s="57">
        <v>0</v>
      </c>
      <c r="AC182" s="58">
        <v>3</v>
      </c>
      <c r="AD182" s="57">
        <v>9.3530787217459082E-4</v>
      </c>
      <c r="AE182" s="59">
        <v>0</v>
      </c>
      <c r="AF182" s="60">
        <v>0</v>
      </c>
      <c r="AG182" s="59">
        <v>1.6198704103671706E-3</v>
      </c>
      <c r="AH182" s="60">
        <v>1.6198704103671706E-3</v>
      </c>
    </row>
    <row r="183" spans="1:34" x14ac:dyDescent="0.35">
      <c r="A183" t="s">
        <v>360</v>
      </c>
      <c r="B183" s="61" t="s">
        <v>361</v>
      </c>
      <c r="C183" s="53" t="s">
        <v>853</v>
      </c>
      <c r="D183" s="53" t="s">
        <v>670</v>
      </c>
      <c r="E183" s="53" t="s">
        <v>657</v>
      </c>
      <c r="F183" s="53" t="s">
        <v>641</v>
      </c>
      <c r="G183" s="53" t="s">
        <v>642</v>
      </c>
      <c r="H183" s="53" t="s">
        <v>671</v>
      </c>
      <c r="I183" s="54">
        <v>15</v>
      </c>
      <c r="J183" s="54">
        <v>1</v>
      </c>
      <c r="K183" s="54">
        <v>0</v>
      </c>
      <c r="L183" s="54">
        <v>0</v>
      </c>
      <c r="M183" s="54">
        <v>0</v>
      </c>
      <c r="N183" s="54">
        <v>0</v>
      </c>
      <c r="O183" s="54">
        <v>16</v>
      </c>
      <c r="P183" s="55">
        <v>15.5</v>
      </c>
      <c r="Q183" s="56">
        <v>0</v>
      </c>
      <c r="R183" s="57">
        <v>0</v>
      </c>
      <c r="S183" s="57">
        <v>0</v>
      </c>
      <c r="T183" s="57">
        <v>0</v>
      </c>
      <c r="U183" s="58">
        <v>0</v>
      </c>
      <c r="V183" s="57">
        <v>0</v>
      </c>
      <c r="W183" s="58">
        <v>0</v>
      </c>
      <c r="X183" s="57">
        <v>0</v>
      </c>
      <c r="Y183" s="58" t="s">
        <v>981</v>
      </c>
      <c r="Z183" s="57">
        <v>0</v>
      </c>
      <c r="AA183" s="58" t="s">
        <v>981</v>
      </c>
      <c r="AB183" s="57">
        <v>0</v>
      </c>
      <c r="AC183" s="58">
        <v>0</v>
      </c>
      <c r="AD183" s="57">
        <v>0</v>
      </c>
      <c r="AE183" s="59">
        <v>0</v>
      </c>
      <c r="AF183" s="60">
        <v>0</v>
      </c>
      <c r="AG183" s="59">
        <v>0</v>
      </c>
      <c r="AH183" s="60">
        <v>0</v>
      </c>
    </row>
    <row r="184" spans="1:34" x14ac:dyDescent="0.35">
      <c r="A184" t="s">
        <v>362</v>
      </c>
      <c r="B184" s="53" t="s">
        <v>363</v>
      </c>
      <c r="C184" s="53" t="s">
        <v>364</v>
      </c>
      <c r="D184" s="53" t="s">
        <v>663</v>
      </c>
      <c r="E184" s="53" t="s">
        <v>629</v>
      </c>
      <c r="F184" s="53" t="s">
        <v>646</v>
      </c>
      <c r="G184" s="53" t="s">
        <v>654</v>
      </c>
      <c r="H184" s="53" t="s">
        <v>810</v>
      </c>
      <c r="I184" s="54">
        <v>21</v>
      </c>
      <c r="J184" s="54">
        <v>4</v>
      </c>
      <c r="K184" s="54">
        <v>9</v>
      </c>
      <c r="L184" s="54">
        <v>9</v>
      </c>
      <c r="M184" s="54">
        <v>0</v>
      </c>
      <c r="N184" s="54">
        <v>0</v>
      </c>
      <c r="O184" s="54">
        <v>16</v>
      </c>
      <c r="P184" s="55">
        <v>18.5</v>
      </c>
      <c r="Q184" s="56">
        <v>0.48648648648648651</v>
      </c>
      <c r="R184" s="57">
        <v>0.48648648648648651</v>
      </c>
      <c r="S184" s="57">
        <v>0</v>
      </c>
      <c r="T184" s="57">
        <v>0</v>
      </c>
      <c r="U184" s="58">
        <v>1</v>
      </c>
      <c r="V184" s="57">
        <v>5.763688760806916E-3</v>
      </c>
      <c r="W184" s="58">
        <v>1</v>
      </c>
      <c r="X184" s="57">
        <v>7.0921985815602835E-3</v>
      </c>
      <c r="Y184" s="58">
        <v>0</v>
      </c>
      <c r="Z184" s="57">
        <v>0</v>
      </c>
      <c r="AA184" s="58" t="s">
        <v>981</v>
      </c>
      <c r="AB184" s="57">
        <v>0</v>
      </c>
      <c r="AC184" s="58">
        <v>7</v>
      </c>
      <c r="AD184" s="57">
        <v>2.182385035074045E-3</v>
      </c>
      <c r="AE184" s="59">
        <v>1.7953321364452424E-3</v>
      </c>
      <c r="AF184" s="60">
        <v>1.7953321364452424E-3</v>
      </c>
      <c r="AG184" s="59">
        <v>2.6997840172786176E-3</v>
      </c>
      <c r="AH184" s="60">
        <v>2.6997840172786176E-3</v>
      </c>
    </row>
    <row r="185" spans="1:34" x14ac:dyDescent="0.35">
      <c r="A185" t="s">
        <v>365</v>
      </c>
      <c r="B185" s="61" t="s">
        <v>366</v>
      </c>
      <c r="C185" s="53" t="s">
        <v>854</v>
      </c>
      <c r="D185" s="53" t="s">
        <v>691</v>
      </c>
      <c r="E185" s="53" t="s">
        <v>657</v>
      </c>
      <c r="F185" s="53" t="s">
        <v>658</v>
      </c>
      <c r="G185" s="53" t="s">
        <v>668</v>
      </c>
      <c r="H185" s="53" t="s">
        <v>632</v>
      </c>
      <c r="I185" s="54">
        <v>20</v>
      </c>
      <c r="J185" s="54">
        <v>4</v>
      </c>
      <c r="K185" s="54">
        <v>3</v>
      </c>
      <c r="L185" s="54">
        <v>3</v>
      </c>
      <c r="M185" s="54">
        <v>0</v>
      </c>
      <c r="N185" s="54">
        <v>0</v>
      </c>
      <c r="O185" s="54">
        <v>21</v>
      </c>
      <c r="P185" s="55">
        <v>20.5</v>
      </c>
      <c r="Q185" s="56">
        <v>0.14634146341463414</v>
      </c>
      <c r="R185" s="57">
        <v>0.14634146341463414</v>
      </c>
      <c r="S185" s="57">
        <v>0</v>
      </c>
      <c r="T185" s="57">
        <v>0</v>
      </c>
      <c r="U185" s="58">
        <v>0</v>
      </c>
      <c r="V185" s="57">
        <v>0</v>
      </c>
      <c r="W185" s="58">
        <v>0</v>
      </c>
      <c r="X185" s="57">
        <v>0</v>
      </c>
      <c r="Y185" s="58">
        <v>0</v>
      </c>
      <c r="Z185" s="57">
        <v>0</v>
      </c>
      <c r="AA185" s="58">
        <v>0</v>
      </c>
      <c r="AB185" s="57">
        <v>0</v>
      </c>
      <c r="AC185" s="58">
        <v>3</v>
      </c>
      <c r="AD185" s="57">
        <v>9.3530787217459082E-4</v>
      </c>
      <c r="AE185" s="59">
        <v>4.4883303411131061E-4</v>
      </c>
      <c r="AF185" s="60">
        <v>4.4883303411131061E-4</v>
      </c>
      <c r="AG185" s="59">
        <v>1.0799136069114472E-3</v>
      </c>
      <c r="AH185" s="60">
        <v>1.0799136069114472E-3</v>
      </c>
    </row>
    <row r="186" spans="1:34" x14ac:dyDescent="0.35">
      <c r="A186" t="s">
        <v>367</v>
      </c>
      <c r="B186" s="53" t="s">
        <v>368</v>
      </c>
      <c r="C186" s="53" t="s">
        <v>855</v>
      </c>
      <c r="D186" s="53" t="s">
        <v>737</v>
      </c>
      <c r="E186" s="53" t="s">
        <v>657</v>
      </c>
      <c r="F186" s="53" t="s">
        <v>641</v>
      </c>
      <c r="G186" s="53" t="s">
        <v>636</v>
      </c>
      <c r="H186" s="53" t="s">
        <v>738</v>
      </c>
      <c r="I186" s="54">
        <v>18</v>
      </c>
      <c r="J186" s="54">
        <v>0</v>
      </c>
      <c r="K186" s="54">
        <v>0</v>
      </c>
      <c r="L186" s="54">
        <v>0</v>
      </c>
      <c r="M186" s="54">
        <v>0</v>
      </c>
      <c r="N186" s="54">
        <v>0</v>
      </c>
      <c r="O186" s="54">
        <v>18</v>
      </c>
      <c r="P186" s="55">
        <v>18</v>
      </c>
      <c r="Q186" s="56">
        <v>0</v>
      </c>
      <c r="R186" s="57">
        <v>0</v>
      </c>
      <c r="S186" s="57">
        <v>0</v>
      </c>
      <c r="T186" s="57">
        <v>0</v>
      </c>
      <c r="U186" s="58">
        <v>0</v>
      </c>
      <c r="V186" s="57">
        <v>0</v>
      </c>
      <c r="W186" s="58">
        <v>0</v>
      </c>
      <c r="X186" s="57">
        <v>0</v>
      </c>
      <c r="Y186" s="58">
        <v>0</v>
      </c>
      <c r="Z186" s="57">
        <v>0</v>
      </c>
      <c r="AA186" s="58">
        <v>0</v>
      </c>
      <c r="AB186" s="57">
        <v>0</v>
      </c>
      <c r="AC186" s="58">
        <v>0</v>
      </c>
      <c r="AD186" s="57">
        <v>0</v>
      </c>
      <c r="AE186" s="59">
        <v>0</v>
      </c>
      <c r="AF186" s="60">
        <v>0</v>
      </c>
      <c r="AG186" s="59">
        <v>0</v>
      </c>
      <c r="AH186" s="60">
        <v>0</v>
      </c>
    </row>
    <row r="187" spans="1:34" x14ac:dyDescent="0.35">
      <c r="A187" t="s">
        <v>369</v>
      </c>
      <c r="B187" s="61" t="s">
        <v>370</v>
      </c>
      <c r="C187" s="53" t="s">
        <v>856</v>
      </c>
      <c r="D187" s="53" t="s">
        <v>684</v>
      </c>
      <c r="E187" s="53" t="s">
        <v>623</v>
      </c>
      <c r="F187" s="53" t="s">
        <v>662</v>
      </c>
      <c r="G187" s="53" t="s">
        <v>654</v>
      </c>
      <c r="H187" s="53" t="s">
        <v>857</v>
      </c>
      <c r="I187" s="54">
        <v>18</v>
      </c>
      <c r="J187" s="54">
        <v>1</v>
      </c>
      <c r="K187" s="54">
        <v>1</v>
      </c>
      <c r="L187" s="54">
        <v>1</v>
      </c>
      <c r="M187" s="54">
        <v>0</v>
      </c>
      <c r="N187" s="54">
        <v>0</v>
      </c>
      <c r="O187" s="54">
        <v>18</v>
      </c>
      <c r="P187" s="55">
        <v>18</v>
      </c>
      <c r="Q187" s="56">
        <v>5.5555555555555552E-2</v>
      </c>
      <c r="R187" s="57">
        <v>5.5555555555555552E-2</v>
      </c>
      <c r="S187" s="57">
        <v>0</v>
      </c>
      <c r="T187" s="57">
        <v>0</v>
      </c>
      <c r="U187" s="58">
        <v>0</v>
      </c>
      <c r="V187" s="57">
        <v>0</v>
      </c>
      <c r="W187" s="58" t="s">
        <v>981</v>
      </c>
      <c r="X187" s="57">
        <v>0</v>
      </c>
      <c r="Y187" s="58">
        <v>0</v>
      </c>
      <c r="Z187" s="57">
        <v>0</v>
      </c>
      <c r="AA187" s="58" t="s">
        <v>981</v>
      </c>
      <c r="AB187" s="57">
        <v>0</v>
      </c>
      <c r="AC187" s="58">
        <v>1</v>
      </c>
      <c r="AD187" s="57">
        <v>3.1176929072486361E-4</v>
      </c>
      <c r="AE187" s="59">
        <v>4.4883303411131061E-4</v>
      </c>
      <c r="AF187" s="60">
        <v>4.4883303411131061E-4</v>
      </c>
      <c r="AG187" s="59">
        <v>0</v>
      </c>
      <c r="AH187" s="60">
        <v>0</v>
      </c>
    </row>
    <row r="188" spans="1:34" x14ac:dyDescent="0.35">
      <c r="A188" t="s">
        <v>371</v>
      </c>
      <c r="B188" s="53" t="s">
        <v>372</v>
      </c>
      <c r="C188" s="53" t="s">
        <v>858</v>
      </c>
      <c r="D188" s="53" t="s">
        <v>640</v>
      </c>
      <c r="E188" s="53" t="s">
        <v>623</v>
      </c>
      <c r="F188" s="53" t="s">
        <v>641</v>
      </c>
      <c r="G188" s="53" t="s">
        <v>668</v>
      </c>
      <c r="H188" s="53" t="s">
        <v>859</v>
      </c>
      <c r="I188" s="54">
        <v>14</v>
      </c>
      <c r="J188" s="54">
        <v>1</v>
      </c>
      <c r="K188" s="54">
        <v>0</v>
      </c>
      <c r="L188" s="54">
        <v>0</v>
      </c>
      <c r="M188" s="54">
        <v>0</v>
      </c>
      <c r="N188" s="54">
        <v>0</v>
      </c>
      <c r="O188" s="54">
        <v>15</v>
      </c>
      <c r="P188" s="55">
        <v>14.5</v>
      </c>
      <c r="Q188" s="56">
        <v>0</v>
      </c>
      <c r="R188" s="57">
        <v>0</v>
      </c>
      <c r="S188" s="57">
        <v>0</v>
      </c>
      <c r="T188" s="57">
        <v>0</v>
      </c>
      <c r="U188" s="58">
        <v>0</v>
      </c>
      <c r="V188" s="57">
        <v>0</v>
      </c>
      <c r="W188" s="58" t="s">
        <v>981</v>
      </c>
      <c r="X188" s="57">
        <v>0</v>
      </c>
      <c r="Y188" s="58">
        <v>0</v>
      </c>
      <c r="Z188" s="57">
        <v>0</v>
      </c>
      <c r="AA188" s="58">
        <v>0</v>
      </c>
      <c r="AB188" s="57">
        <v>0</v>
      </c>
      <c r="AC188" s="58">
        <v>0</v>
      </c>
      <c r="AD188" s="57">
        <v>0</v>
      </c>
      <c r="AE188" s="59">
        <v>0</v>
      </c>
      <c r="AF188" s="60">
        <v>0</v>
      </c>
      <c r="AG188" s="59">
        <v>0</v>
      </c>
      <c r="AH188" s="60">
        <v>0</v>
      </c>
    </row>
    <row r="189" spans="1:34" x14ac:dyDescent="0.35">
      <c r="A189" t="s">
        <v>373</v>
      </c>
      <c r="B189" s="61" t="s">
        <v>374</v>
      </c>
      <c r="C189" s="53" t="s">
        <v>860</v>
      </c>
      <c r="D189" s="53" t="s">
        <v>634</v>
      </c>
      <c r="E189" s="53" t="s">
        <v>629</v>
      </c>
      <c r="F189" s="53" t="s">
        <v>635</v>
      </c>
      <c r="G189" s="53" t="s">
        <v>654</v>
      </c>
      <c r="H189" s="53" t="s">
        <v>637</v>
      </c>
      <c r="I189" s="54">
        <v>15</v>
      </c>
      <c r="J189" s="54">
        <v>1</v>
      </c>
      <c r="K189" s="54">
        <v>2</v>
      </c>
      <c r="L189" s="54">
        <v>2</v>
      </c>
      <c r="M189" s="54">
        <v>0</v>
      </c>
      <c r="N189" s="54">
        <v>0</v>
      </c>
      <c r="O189" s="54">
        <v>14</v>
      </c>
      <c r="P189" s="55">
        <v>14.5</v>
      </c>
      <c r="Q189" s="56">
        <v>0.13793103448275862</v>
      </c>
      <c r="R189" s="57">
        <v>0.13793103448275862</v>
      </c>
      <c r="S189" s="57">
        <v>0</v>
      </c>
      <c r="T189" s="57">
        <v>0</v>
      </c>
      <c r="U189" s="58">
        <v>0</v>
      </c>
      <c r="V189" s="57">
        <v>0</v>
      </c>
      <c r="W189" s="58" t="s">
        <v>981</v>
      </c>
      <c r="X189" s="57">
        <v>0</v>
      </c>
      <c r="Y189" s="58">
        <v>0</v>
      </c>
      <c r="Z189" s="57">
        <v>0</v>
      </c>
      <c r="AA189" s="58">
        <v>1</v>
      </c>
      <c r="AB189" s="57">
        <v>3.9761431411530811E-3</v>
      </c>
      <c r="AC189" s="58">
        <v>1</v>
      </c>
      <c r="AD189" s="57">
        <v>3.1176929072486361E-4</v>
      </c>
      <c r="AE189" s="59">
        <v>4.4883303411131061E-4</v>
      </c>
      <c r="AF189" s="60">
        <v>4.4883303411131061E-4</v>
      </c>
      <c r="AG189" s="59">
        <v>5.3995680345572358E-4</v>
      </c>
      <c r="AH189" s="60">
        <v>5.3995680345572358E-4</v>
      </c>
    </row>
    <row r="190" spans="1:34" x14ac:dyDescent="0.35">
      <c r="A190" t="s">
        <v>375</v>
      </c>
      <c r="B190" s="53" t="s">
        <v>376</v>
      </c>
      <c r="C190" s="53" t="s">
        <v>861</v>
      </c>
      <c r="D190" s="53" t="s">
        <v>678</v>
      </c>
      <c r="E190" s="53" t="s">
        <v>623</v>
      </c>
      <c r="F190" s="53" t="s">
        <v>624</v>
      </c>
      <c r="G190" s="53" t="s">
        <v>636</v>
      </c>
      <c r="H190" s="53" t="s">
        <v>679</v>
      </c>
      <c r="I190" s="54">
        <v>29</v>
      </c>
      <c r="J190" s="54">
        <v>2</v>
      </c>
      <c r="K190" s="54">
        <v>4</v>
      </c>
      <c r="L190" s="54">
        <v>4</v>
      </c>
      <c r="M190" s="54">
        <v>0</v>
      </c>
      <c r="N190" s="54">
        <v>0</v>
      </c>
      <c r="O190" s="54">
        <v>27</v>
      </c>
      <c r="P190" s="55">
        <v>28</v>
      </c>
      <c r="Q190" s="56">
        <v>0.14285714285714285</v>
      </c>
      <c r="R190" s="57">
        <v>0.14285714285714285</v>
      </c>
      <c r="S190" s="57">
        <v>0</v>
      </c>
      <c r="T190" s="57">
        <v>0</v>
      </c>
      <c r="U190" s="58">
        <v>0</v>
      </c>
      <c r="V190" s="57">
        <v>0</v>
      </c>
      <c r="W190" s="58">
        <v>0</v>
      </c>
      <c r="X190" s="57">
        <v>0</v>
      </c>
      <c r="Y190" s="58">
        <v>0</v>
      </c>
      <c r="Z190" s="57">
        <v>0</v>
      </c>
      <c r="AA190" s="58">
        <v>0</v>
      </c>
      <c r="AB190" s="57">
        <v>0</v>
      </c>
      <c r="AC190" s="58">
        <v>4</v>
      </c>
      <c r="AD190" s="57">
        <v>1.2470771628994544E-3</v>
      </c>
      <c r="AE190" s="59">
        <v>0</v>
      </c>
      <c r="AF190" s="60">
        <v>0</v>
      </c>
      <c r="AG190" s="59">
        <v>2.1598272138228943E-3</v>
      </c>
      <c r="AH190" s="60">
        <v>2.1598272138228943E-3</v>
      </c>
    </row>
    <row r="191" spans="1:34" x14ac:dyDescent="0.35">
      <c r="A191" t="s">
        <v>377</v>
      </c>
      <c r="B191" s="61" t="s">
        <v>378</v>
      </c>
      <c r="C191" s="53" t="s">
        <v>862</v>
      </c>
      <c r="D191" s="53" t="s">
        <v>661</v>
      </c>
      <c r="E191" s="53" t="s">
        <v>657</v>
      </c>
      <c r="F191" s="53" t="s">
        <v>662</v>
      </c>
      <c r="G191" s="53" t="s">
        <v>631</v>
      </c>
      <c r="H191" s="53" t="s">
        <v>632</v>
      </c>
      <c r="I191" s="54">
        <v>39</v>
      </c>
      <c r="J191" s="54">
        <v>2</v>
      </c>
      <c r="K191" s="54">
        <v>2</v>
      </c>
      <c r="L191" s="54">
        <v>2</v>
      </c>
      <c r="M191" s="54">
        <v>0</v>
      </c>
      <c r="N191" s="54">
        <v>0</v>
      </c>
      <c r="O191" s="54">
        <v>39</v>
      </c>
      <c r="P191" s="55">
        <v>39</v>
      </c>
      <c r="Q191" s="56">
        <v>5.128205128205128E-2</v>
      </c>
      <c r="R191" s="57">
        <v>5.128205128205128E-2</v>
      </c>
      <c r="S191" s="57">
        <v>0</v>
      </c>
      <c r="T191" s="57">
        <v>0</v>
      </c>
      <c r="U191" s="58">
        <v>0</v>
      </c>
      <c r="V191" s="57">
        <v>0</v>
      </c>
      <c r="W191" s="58" t="s">
        <v>981</v>
      </c>
      <c r="X191" s="57">
        <v>0</v>
      </c>
      <c r="Y191" s="58">
        <v>0</v>
      </c>
      <c r="Z191" s="57">
        <v>0</v>
      </c>
      <c r="AA191" s="58">
        <v>0</v>
      </c>
      <c r="AB191" s="57">
        <v>0</v>
      </c>
      <c r="AC191" s="58">
        <v>2</v>
      </c>
      <c r="AD191" s="57">
        <v>6.2353858144972721E-4</v>
      </c>
      <c r="AE191" s="59">
        <v>0</v>
      </c>
      <c r="AF191" s="60">
        <v>0</v>
      </c>
      <c r="AG191" s="59">
        <v>1.0799136069114472E-3</v>
      </c>
      <c r="AH191" s="60">
        <v>1.0799136069114472E-3</v>
      </c>
    </row>
    <row r="192" spans="1:34" x14ac:dyDescent="0.35">
      <c r="A192" t="s">
        <v>379</v>
      </c>
      <c r="B192" s="53" t="s">
        <v>380</v>
      </c>
      <c r="C192" s="53" t="s">
        <v>381</v>
      </c>
      <c r="D192" s="53" t="s">
        <v>628</v>
      </c>
      <c r="E192" s="53" t="s">
        <v>629</v>
      </c>
      <c r="F192" s="53" t="s">
        <v>630</v>
      </c>
      <c r="G192" s="53" t="s">
        <v>636</v>
      </c>
      <c r="H192" s="53" t="s">
        <v>632</v>
      </c>
      <c r="I192" s="54">
        <v>22</v>
      </c>
      <c r="J192" s="54">
        <v>4</v>
      </c>
      <c r="K192" s="54">
        <v>7</v>
      </c>
      <c r="L192" s="54">
        <v>6</v>
      </c>
      <c r="M192" s="54">
        <v>1</v>
      </c>
      <c r="N192" s="54">
        <v>0</v>
      </c>
      <c r="O192" s="54">
        <v>19</v>
      </c>
      <c r="P192" s="55">
        <v>20.5</v>
      </c>
      <c r="Q192" s="56">
        <v>0.34146341463414637</v>
      </c>
      <c r="R192" s="57">
        <v>0.29268292682926828</v>
      </c>
      <c r="S192" s="57">
        <v>4.878048780487805E-2</v>
      </c>
      <c r="T192" s="57">
        <v>0</v>
      </c>
      <c r="U192" s="58">
        <v>0</v>
      </c>
      <c r="V192" s="57">
        <v>0</v>
      </c>
      <c r="W192" s="58" t="s">
        <v>981</v>
      </c>
      <c r="X192" s="57">
        <v>0</v>
      </c>
      <c r="Y192" s="58">
        <v>0</v>
      </c>
      <c r="Z192" s="57">
        <v>0</v>
      </c>
      <c r="AA192" s="58">
        <v>0</v>
      </c>
      <c r="AB192" s="57">
        <v>0</v>
      </c>
      <c r="AC192" s="58">
        <v>6</v>
      </c>
      <c r="AD192" s="57">
        <v>1.8706157443491816E-3</v>
      </c>
      <c r="AE192" s="59">
        <v>4.4883303411131061E-4</v>
      </c>
      <c r="AF192" s="60">
        <v>4.4883303411131061E-4</v>
      </c>
      <c r="AG192" s="59">
        <v>3.2397408207343412E-3</v>
      </c>
      <c r="AH192" s="60">
        <v>2.6997840172786176E-3</v>
      </c>
    </row>
    <row r="193" spans="1:34" x14ac:dyDescent="0.35">
      <c r="A193" t="s">
        <v>382</v>
      </c>
      <c r="B193" s="61" t="s">
        <v>383</v>
      </c>
      <c r="C193" s="53" t="s">
        <v>384</v>
      </c>
      <c r="D193" s="53" t="s">
        <v>656</v>
      </c>
      <c r="E193" s="53" t="s">
        <v>657</v>
      </c>
      <c r="F193" s="53" t="s">
        <v>658</v>
      </c>
      <c r="G193" s="53" t="s">
        <v>636</v>
      </c>
      <c r="H193" s="53" t="s">
        <v>843</v>
      </c>
      <c r="I193" s="54">
        <v>22</v>
      </c>
      <c r="J193" s="54">
        <v>2</v>
      </c>
      <c r="K193" s="54">
        <v>2</v>
      </c>
      <c r="L193" s="54">
        <v>2</v>
      </c>
      <c r="M193" s="54">
        <v>0</v>
      </c>
      <c r="N193" s="54">
        <v>0</v>
      </c>
      <c r="O193" s="54">
        <v>22</v>
      </c>
      <c r="P193" s="55">
        <v>22</v>
      </c>
      <c r="Q193" s="56">
        <v>9.0909090909090912E-2</v>
      </c>
      <c r="R193" s="57">
        <v>9.0909090909090912E-2</v>
      </c>
      <c r="S193" s="57">
        <v>0</v>
      </c>
      <c r="T193" s="57">
        <v>0</v>
      </c>
      <c r="U193" s="58">
        <v>0</v>
      </c>
      <c r="V193" s="57">
        <v>0</v>
      </c>
      <c r="W193" s="58">
        <v>1</v>
      </c>
      <c r="X193" s="57">
        <v>7.0921985815602835E-3</v>
      </c>
      <c r="Y193" s="58">
        <v>0</v>
      </c>
      <c r="Z193" s="57">
        <v>0</v>
      </c>
      <c r="AA193" s="58" t="s">
        <v>981</v>
      </c>
      <c r="AB193" s="57">
        <v>0</v>
      </c>
      <c r="AC193" s="58">
        <v>1</v>
      </c>
      <c r="AD193" s="57">
        <v>3.1176929072486361E-4</v>
      </c>
      <c r="AE193" s="59">
        <v>4.4883303411131061E-4</v>
      </c>
      <c r="AF193" s="60">
        <v>4.4883303411131061E-4</v>
      </c>
      <c r="AG193" s="59">
        <v>5.3995680345572358E-4</v>
      </c>
      <c r="AH193" s="60">
        <v>5.3995680345572358E-4</v>
      </c>
    </row>
    <row r="194" spans="1:34" x14ac:dyDescent="0.35">
      <c r="A194" t="s">
        <v>385</v>
      </c>
      <c r="B194" s="53" t="s">
        <v>386</v>
      </c>
      <c r="C194" s="53" t="s">
        <v>863</v>
      </c>
      <c r="D194" s="53" t="s">
        <v>663</v>
      </c>
      <c r="E194" s="53" t="s">
        <v>629</v>
      </c>
      <c r="F194" s="53" t="s">
        <v>646</v>
      </c>
      <c r="G194" s="53" t="s">
        <v>631</v>
      </c>
      <c r="H194" s="53" t="s">
        <v>810</v>
      </c>
      <c r="I194" s="54">
        <v>21</v>
      </c>
      <c r="J194" s="54">
        <v>3</v>
      </c>
      <c r="K194" s="54">
        <v>3</v>
      </c>
      <c r="L194" s="54">
        <v>3</v>
      </c>
      <c r="M194" s="54">
        <v>0</v>
      </c>
      <c r="N194" s="54">
        <v>0</v>
      </c>
      <c r="O194" s="54">
        <v>21</v>
      </c>
      <c r="P194" s="55">
        <v>21</v>
      </c>
      <c r="Q194" s="56">
        <v>0.14285714285714285</v>
      </c>
      <c r="R194" s="57">
        <v>0.14285714285714285</v>
      </c>
      <c r="S194" s="57">
        <v>0</v>
      </c>
      <c r="T194" s="57">
        <v>0</v>
      </c>
      <c r="U194" s="58">
        <v>0</v>
      </c>
      <c r="V194" s="57">
        <v>0</v>
      </c>
      <c r="W194" s="58" t="s">
        <v>981</v>
      </c>
      <c r="X194" s="57">
        <v>0</v>
      </c>
      <c r="Y194" s="58">
        <v>0</v>
      </c>
      <c r="Z194" s="57">
        <v>0</v>
      </c>
      <c r="AA194" s="58">
        <v>0</v>
      </c>
      <c r="AB194" s="57">
        <v>0</v>
      </c>
      <c r="AC194" s="58">
        <v>3</v>
      </c>
      <c r="AD194" s="57">
        <v>9.3530787217459082E-4</v>
      </c>
      <c r="AE194" s="59">
        <v>0</v>
      </c>
      <c r="AF194" s="60">
        <v>0</v>
      </c>
      <c r="AG194" s="59">
        <v>1.6198704103671706E-3</v>
      </c>
      <c r="AH194" s="60">
        <v>1.6198704103671706E-3</v>
      </c>
    </row>
    <row r="195" spans="1:34" x14ac:dyDescent="0.35">
      <c r="A195" t="s">
        <v>387</v>
      </c>
      <c r="B195" s="61" t="s">
        <v>388</v>
      </c>
      <c r="C195" s="53" t="s">
        <v>864</v>
      </c>
      <c r="D195" s="53" t="s">
        <v>634</v>
      </c>
      <c r="E195" s="53" t="s">
        <v>629</v>
      </c>
      <c r="F195" s="53" t="s">
        <v>630</v>
      </c>
      <c r="G195" s="53" t="s">
        <v>642</v>
      </c>
      <c r="H195" s="53" t="s">
        <v>734</v>
      </c>
      <c r="I195" s="54">
        <v>15</v>
      </c>
      <c r="J195" s="54">
        <v>2</v>
      </c>
      <c r="K195" s="54">
        <v>2</v>
      </c>
      <c r="L195" s="54">
        <v>2</v>
      </c>
      <c r="M195" s="54">
        <v>0</v>
      </c>
      <c r="N195" s="54">
        <v>0</v>
      </c>
      <c r="O195" s="54">
        <v>15</v>
      </c>
      <c r="P195" s="55">
        <v>15</v>
      </c>
      <c r="Q195" s="56">
        <v>0.13333333333333333</v>
      </c>
      <c r="R195" s="57">
        <v>0.13333333333333333</v>
      </c>
      <c r="S195" s="57">
        <v>0</v>
      </c>
      <c r="T195" s="57">
        <v>0</v>
      </c>
      <c r="U195" s="58" t="s">
        <v>981</v>
      </c>
      <c r="V195" s="57">
        <v>0</v>
      </c>
      <c r="W195" s="58" t="s">
        <v>981</v>
      </c>
      <c r="X195" s="57">
        <v>0</v>
      </c>
      <c r="Y195" s="58">
        <v>0</v>
      </c>
      <c r="Z195" s="57">
        <v>0</v>
      </c>
      <c r="AA195" s="58">
        <v>0</v>
      </c>
      <c r="AB195" s="57">
        <v>0</v>
      </c>
      <c r="AC195" s="58">
        <v>2</v>
      </c>
      <c r="AD195" s="57">
        <v>6.2353858144972721E-4</v>
      </c>
      <c r="AE195" s="59">
        <v>0</v>
      </c>
      <c r="AF195" s="60">
        <v>0</v>
      </c>
      <c r="AG195" s="59">
        <v>1.0799136069114472E-3</v>
      </c>
      <c r="AH195" s="60">
        <v>1.0799136069114472E-3</v>
      </c>
    </row>
    <row r="196" spans="1:34" x14ac:dyDescent="0.35">
      <c r="A196" t="s">
        <v>393</v>
      </c>
      <c r="B196" s="53" t="s">
        <v>394</v>
      </c>
      <c r="C196" s="53" t="s">
        <v>865</v>
      </c>
      <c r="D196" s="53" t="s">
        <v>684</v>
      </c>
      <c r="E196" s="53" t="s">
        <v>623</v>
      </c>
      <c r="F196" s="53" t="s">
        <v>662</v>
      </c>
      <c r="G196" s="53" t="s">
        <v>631</v>
      </c>
      <c r="H196" s="53" t="s">
        <v>685</v>
      </c>
      <c r="I196" s="54">
        <v>25</v>
      </c>
      <c r="J196" s="54">
        <v>1</v>
      </c>
      <c r="K196" s="54">
        <v>2</v>
      </c>
      <c r="L196" s="54">
        <v>2</v>
      </c>
      <c r="M196" s="54">
        <v>0</v>
      </c>
      <c r="N196" s="54">
        <v>0</v>
      </c>
      <c r="O196" s="54">
        <v>24</v>
      </c>
      <c r="P196" s="55">
        <v>24.5</v>
      </c>
      <c r="Q196" s="56">
        <v>8.1632653061224483E-2</v>
      </c>
      <c r="R196" s="57">
        <v>8.1632653061224483E-2</v>
      </c>
      <c r="S196" s="57">
        <v>0</v>
      </c>
      <c r="T196" s="57">
        <v>0</v>
      </c>
      <c r="U196" s="58">
        <v>0</v>
      </c>
      <c r="V196" s="57">
        <v>0</v>
      </c>
      <c r="W196" s="58">
        <v>0</v>
      </c>
      <c r="X196" s="57">
        <v>0</v>
      </c>
      <c r="Y196" s="58">
        <v>0</v>
      </c>
      <c r="Z196" s="57">
        <v>0</v>
      </c>
      <c r="AA196" s="58">
        <v>0</v>
      </c>
      <c r="AB196" s="57">
        <v>0</v>
      </c>
      <c r="AC196" s="58">
        <v>2</v>
      </c>
      <c r="AD196" s="57">
        <v>6.2353858144972721E-4</v>
      </c>
      <c r="AE196" s="59">
        <v>0</v>
      </c>
      <c r="AF196" s="60">
        <v>0</v>
      </c>
      <c r="AG196" s="59">
        <v>1.0799136069114472E-3</v>
      </c>
      <c r="AH196" s="60">
        <v>1.0799136069114472E-3</v>
      </c>
    </row>
    <row r="197" spans="1:34" x14ac:dyDescent="0.35">
      <c r="A197" t="s">
        <v>395</v>
      </c>
      <c r="B197" s="61" t="s">
        <v>396</v>
      </c>
      <c r="C197" s="53" t="s">
        <v>866</v>
      </c>
      <c r="D197" s="53" t="s">
        <v>678</v>
      </c>
      <c r="E197" s="53" t="s">
        <v>623</v>
      </c>
      <c r="F197" s="53" t="s">
        <v>624</v>
      </c>
      <c r="G197" s="53" t="s">
        <v>642</v>
      </c>
      <c r="H197" s="53" t="s">
        <v>679</v>
      </c>
      <c r="I197" s="54">
        <v>10</v>
      </c>
      <c r="J197" s="54">
        <v>0</v>
      </c>
      <c r="K197" s="54">
        <v>1</v>
      </c>
      <c r="L197" s="54">
        <v>1</v>
      </c>
      <c r="M197" s="54">
        <v>0</v>
      </c>
      <c r="N197" s="54">
        <v>0</v>
      </c>
      <c r="O197" s="54">
        <v>9</v>
      </c>
      <c r="P197" s="55">
        <v>9.5</v>
      </c>
      <c r="Q197" s="56">
        <v>0.10526315789473684</v>
      </c>
      <c r="R197" s="57">
        <v>0.10526315789473684</v>
      </c>
      <c r="S197" s="57">
        <v>0</v>
      </c>
      <c r="T197" s="57">
        <v>0</v>
      </c>
      <c r="U197" s="58">
        <v>0</v>
      </c>
      <c r="V197" s="57">
        <v>0</v>
      </c>
      <c r="W197" s="58" t="s">
        <v>981</v>
      </c>
      <c r="X197" s="57">
        <v>0</v>
      </c>
      <c r="Y197" s="58">
        <v>0</v>
      </c>
      <c r="Z197" s="57">
        <v>0</v>
      </c>
      <c r="AA197" s="58">
        <v>0</v>
      </c>
      <c r="AB197" s="57">
        <v>0</v>
      </c>
      <c r="AC197" s="58">
        <v>1</v>
      </c>
      <c r="AD197" s="57">
        <v>3.1176929072486361E-4</v>
      </c>
      <c r="AE197" s="59">
        <v>0</v>
      </c>
      <c r="AF197" s="60">
        <v>0</v>
      </c>
      <c r="AG197" s="59">
        <v>5.3995680345572358E-4</v>
      </c>
      <c r="AH197" s="60">
        <v>5.3995680345572358E-4</v>
      </c>
    </row>
    <row r="198" spans="1:34" x14ac:dyDescent="0.35">
      <c r="A198" t="s">
        <v>397</v>
      </c>
      <c r="B198" s="53" t="s">
        <v>398</v>
      </c>
      <c r="C198" s="53" t="s">
        <v>867</v>
      </c>
      <c r="D198" s="53" t="s">
        <v>634</v>
      </c>
      <c r="E198" s="53" t="s">
        <v>629</v>
      </c>
      <c r="F198" s="53" t="s">
        <v>635</v>
      </c>
      <c r="G198" s="53" t="s">
        <v>625</v>
      </c>
      <c r="H198" s="53" t="s">
        <v>637</v>
      </c>
      <c r="I198" s="54">
        <v>39</v>
      </c>
      <c r="J198" s="54">
        <v>3</v>
      </c>
      <c r="K198" s="54">
        <v>1</v>
      </c>
      <c r="L198" s="54">
        <v>1</v>
      </c>
      <c r="M198" s="54">
        <v>0</v>
      </c>
      <c r="N198" s="54">
        <v>0</v>
      </c>
      <c r="O198" s="54">
        <v>41</v>
      </c>
      <c r="P198" s="55">
        <v>40</v>
      </c>
      <c r="Q198" s="56">
        <v>2.5000000000000001E-2</v>
      </c>
      <c r="R198" s="57">
        <v>2.5000000000000001E-2</v>
      </c>
      <c r="S198" s="57">
        <v>0</v>
      </c>
      <c r="T198" s="57">
        <v>0</v>
      </c>
      <c r="U198" s="58">
        <v>0</v>
      </c>
      <c r="V198" s="57">
        <v>0</v>
      </c>
      <c r="W198" s="58">
        <v>0</v>
      </c>
      <c r="X198" s="57">
        <v>0</v>
      </c>
      <c r="Y198" s="58">
        <v>0</v>
      </c>
      <c r="Z198" s="57">
        <v>0</v>
      </c>
      <c r="AA198" s="58">
        <v>0</v>
      </c>
      <c r="AB198" s="57">
        <v>0</v>
      </c>
      <c r="AC198" s="58">
        <v>1</v>
      </c>
      <c r="AD198" s="57">
        <v>3.1176929072486361E-4</v>
      </c>
      <c r="AE198" s="59">
        <v>0</v>
      </c>
      <c r="AF198" s="60">
        <v>0</v>
      </c>
      <c r="AG198" s="59">
        <v>5.3995680345572358E-4</v>
      </c>
      <c r="AH198" s="60">
        <v>5.3995680345572358E-4</v>
      </c>
    </row>
    <row r="199" spans="1:34" x14ac:dyDescent="0.35">
      <c r="A199" t="s">
        <v>399</v>
      </c>
      <c r="B199" s="61" t="s">
        <v>400</v>
      </c>
      <c r="C199" s="53" t="s">
        <v>868</v>
      </c>
      <c r="D199" s="53" t="s">
        <v>684</v>
      </c>
      <c r="E199" s="53" t="s">
        <v>623</v>
      </c>
      <c r="F199" s="53" t="s">
        <v>662</v>
      </c>
      <c r="G199" s="53" t="s">
        <v>642</v>
      </c>
      <c r="H199" s="53" t="s">
        <v>795</v>
      </c>
      <c r="I199" s="54">
        <v>11</v>
      </c>
      <c r="J199" s="54">
        <v>1</v>
      </c>
      <c r="K199" s="54">
        <v>0</v>
      </c>
      <c r="L199" s="54">
        <v>0</v>
      </c>
      <c r="M199" s="54">
        <v>0</v>
      </c>
      <c r="N199" s="54">
        <v>0</v>
      </c>
      <c r="O199" s="54">
        <v>12</v>
      </c>
      <c r="P199" s="55">
        <v>11.5</v>
      </c>
      <c r="Q199" s="56">
        <v>0</v>
      </c>
      <c r="R199" s="57">
        <v>0</v>
      </c>
      <c r="S199" s="57">
        <v>0</v>
      </c>
      <c r="T199" s="57">
        <v>0</v>
      </c>
      <c r="U199" s="58">
        <v>0</v>
      </c>
      <c r="V199" s="57">
        <v>0</v>
      </c>
      <c r="W199" s="58" t="s">
        <v>981</v>
      </c>
      <c r="X199" s="57">
        <v>0</v>
      </c>
      <c r="Y199" s="58">
        <v>0</v>
      </c>
      <c r="Z199" s="57">
        <v>0</v>
      </c>
      <c r="AA199" s="58">
        <v>0</v>
      </c>
      <c r="AB199" s="57">
        <v>0</v>
      </c>
      <c r="AC199" s="58">
        <v>0</v>
      </c>
      <c r="AD199" s="57">
        <v>0</v>
      </c>
      <c r="AE199" s="59">
        <v>0</v>
      </c>
      <c r="AF199" s="60">
        <v>0</v>
      </c>
      <c r="AG199" s="59">
        <v>0</v>
      </c>
      <c r="AH199" s="60">
        <v>0</v>
      </c>
    </row>
    <row r="200" spans="1:34" x14ac:dyDescent="0.35">
      <c r="A200" t="s">
        <v>401</v>
      </c>
      <c r="B200" s="53" t="s">
        <v>402</v>
      </c>
      <c r="C200" s="53" t="s">
        <v>869</v>
      </c>
      <c r="D200" s="53" t="s">
        <v>691</v>
      </c>
      <c r="E200" s="53" t="s">
        <v>657</v>
      </c>
      <c r="F200" s="53" t="s">
        <v>658</v>
      </c>
      <c r="G200" s="53" t="s">
        <v>668</v>
      </c>
      <c r="H200" s="53" t="s">
        <v>632</v>
      </c>
      <c r="I200" s="54">
        <v>16</v>
      </c>
      <c r="J200" s="54">
        <v>3</v>
      </c>
      <c r="K200" s="54">
        <v>1</v>
      </c>
      <c r="L200" s="54">
        <v>1</v>
      </c>
      <c r="M200" s="54">
        <v>0</v>
      </c>
      <c r="N200" s="54">
        <v>0</v>
      </c>
      <c r="O200" s="54">
        <v>18</v>
      </c>
      <c r="P200" s="55">
        <v>17</v>
      </c>
      <c r="Q200" s="56">
        <v>5.8823529411764705E-2</v>
      </c>
      <c r="R200" s="57">
        <v>5.8823529411764705E-2</v>
      </c>
      <c r="S200" s="57">
        <v>0</v>
      </c>
      <c r="T200" s="57">
        <v>0</v>
      </c>
      <c r="U200" s="58">
        <v>0</v>
      </c>
      <c r="V200" s="57">
        <v>0</v>
      </c>
      <c r="W200" s="58">
        <v>0</v>
      </c>
      <c r="X200" s="57">
        <v>0</v>
      </c>
      <c r="Y200" s="58">
        <v>0</v>
      </c>
      <c r="Z200" s="57">
        <v>0</v>
      </c>
      <c r="AA200" s="58" t="s">
        <v>981</v>
      </c>
      <c r="AB200" s="57">
        <v>0</v>
      </c>
      <c r="AC200" s="58">
        <v>1</v>
      </c>
      <c r="AD200" s="57">
        <v>3.1176929072486361E-4</v>
      </c>
      <c r="AE200" s="59">
        <v>0</v>
      </c>
      <c r="AF200" s="60">
        <v>0</v>
      </c>
      <c r="AG200" s="59">
        <v>5.3995680345572358E-4</v>
      </c>
      <c r="AH200" s="60">
        <v>5.3995680345572358E-4</v>
      </c>
    </row>
    <row r="201" spans="1:34" x14ac:dyDescent="0.35">
      <c r="A201" t="s">
        <v>403</v>
      </c>
      <c r="B201" s="61" t="s">
        <v>404</v>
      </c>
      <c r="C201" s="53" t="s">
        <v>870</v>
      </c>
      <c r="D201" s="53" t="s">
        <v>691</v>
      </c>
      <c r="E201" s="53" t="s">
        <v>657</v>
      </c>
      <c r="F201" s="53" t="s">
        <v>658</v>
      </c>
      <c r="G201" s="53" t="s">
        <v>631</v>
      </c>
      <c r="H201" s="53" t="s">
        <v>632</v>
      </c>
      <c r="I201" s="54">
        <v>38</v>
      </c>
      <c r="J201" s="54">
        <v>3</v>
      </c>
      <c r="K201" s="54">
        <v>1</v>
      </c>
      <c r="L201" s="54">
        <v>1</v>
      </c>
      <c r="M201" s="54">
        <v>0</v>
      </c>
      <c r="N201" s="54">
        <v>0</v>
      </c>
      <c r="O201" s="54">
        <v>40</v>
      </c>
      <c r="P201" s="55">
        <v>39</v>
      </c>
      <c r="Q201" s="56">
        <v>2.564102564102564E-2</v>
      </c>
      <c r="R201" s="57">
        <v>2.564102564102564E-2</v>
      </c>
      <c r="S201" s="57">
        <v>0</v>
      </c>
      <c r="T201" s="57">
        <v>0</v>
      </c>
      <c r="U201" s="58">
        <v>0</v>
      </c>
      <c r="V201" s="57">
        <v>0</v>
      </c>
      <c r="W201" s="58">
        <v>0</v>
      </c>
      <c r="X201" s="57">
        <v>0</v>
      </c>
      <c r="Y201" s="58">
        <v>0</v>
      </c>
      <c r="Z201" s="57">
        <v>0</v>
      </c>
      <c r="AA201" s="58">
        <v>0</v>
      </c>
      <c r="AB201" s="57">
        <v>0</v>
      </c>
      <c r="AC201" s="58">
        <v>1</v>
      </c>
      <c r="AD201" s="57">
        <v>3.1176929072486361E-4</v>
      </c>
      <c r="AE201" s="59">
        <v>4.4883303411131061E-4</v>
      </c>
      <c r="AF201" s="60">
        <v>4.4883303411131061E-4</v>
      </c>
      <c r="AG201" s="59">
        <v>0</v>
      </c>
      <c r="AH201" s="60">
        <v>0</v>
      </c>
    </row>
    <row r="202" spans="1:34" x14ac:dyDescent="0.35">
      <c r="A202" t="s">
        <v>405</v>
      </c>
      <c r="B202" s="53" t="s">
        <v>406</v>
      </c>
      <c r="C202" s="53" t="s">
        <v>871</v>
      </c>
      <c r="D202" s="53" t="s">
        <v>684</v>
      </c>
      <c r="E202" s="53" t="s">
        <v>623</v>
      </c>
      <c r="F202" s="53" t="s">
        <v>662</v>
      </c>
      <c r="G202" s="53" t="s">
        <v>654</v>
      </c>
      <c r="H202" s="53" t="s">
        <v>872</v>
      </c>
      <c r="I202" s="54">
        <v>17</v>
      </c>
      <c r="J202" s="54">
        <v>1</v>
      </c>
      <c r="K202" s="54">
        <v>1</v>
      </c>
      <c r="L202" s="54">
        <v>1</v>
      </c>
      <c r="M202" s="54">
        <v>0</v>
      </c>
      <c r="N202" s="54">
        <v>0</v>
      </c>
      <c r="O202" s="54">
        <v>17</v>
      </c>
      <c r="P202" s="55">
        <v>17</v>
      </c>
      <c r="Q202" s="56">
        <v>5.8823529411764705E-2</v>
      </c>
      <c r="R202" s="57">
        <v>5.8823529411764705E-2</v>
      </c>
      <c r="S202" s="57">
        <v>0</v>
      </c>
      <c r="T202" s="57">
        <v>0</v>
      </c>
      <c r="U202" s="58">
        <v>0</v>
      </c>
      <c r="V202" s="57">
        <v>0</v>
      </c>
      <c r="W202" s="58">
        <v>0</v>
      </c>
      <c r="X202" s="57">
        <v>0</v>
      </c>
      <c r="Y202" s="58">
        <v>0</v>
      </c>
      <c r="Z202" s="57">
        <v>0</v>
      </c>
      <c r="AA202" s="58">
        <v>0</v>
      </c>
      <c r="AB202" s="57">
        <v>0</v>
      </c>
      <c r="AC202" s="58">
        <v>1</v>
      </c>
      <c r="AD202" s="57">
        <v>3.1176929072486361E-4</v>
      </c>
      <c r="AE202" s="59">
        <v>0</v>
      </c>
      <c r="AF202" s="60">
        <v>0</v>
      </c>
      <c r="AG202" s="59">
        <v>5.3995680345572358E-4</v>
      </c>
      <c r="AH202" s="60">
        <v>5.3995680345572358E-4</v>
      </c>
    </row>
    <row r="203" spans="1:34" x14ac:dyDescent="0.35">
      <c r="A203" t="s">
        <v>407</v>
      </c>
      <c r="B203" s="61" t="s">
        <v>408</v>
      </c>
      <c r="C203" s="53" t="s">
        <v>873</v>
      </c>
      <c r="D203" s="53" t="s">
        <v>622</v>
      </c>
      <c r="E203" s="53" t="s">
        <v>623</v>
      </c>
      <c r="F203" s="53" t="s">
        <v>624</v>
      </c>
      <c r="G203" s="53" t="s">
        <v>636</v>
      </c>
      <c r="H203" s="53" t="s">
        <v>730</v>
      </c>
      <c r="I203" s="54">
        <v>18</v>
      </c>
      <c r="J203" s="54">
        <v>2</v>
      </c>
      <c r="K203" s="54">
        <v>4</v>
      </c>
      <c r="L203" s="54">
        <v>4</v>
      </c>
      <c r="M203" s="54">
        <v>0</v>
      </c>
      <c r="N203" s="54">
        <v>0</v>
      </c>
      <c r="O203" s="54">
        <v>16</v>
      </c>
      <c r="P203" s="55">
        <v>17</v>
      </c>
      <c r="Q203" s="56">
        <v>0.23529411764705882</v>
      </c>
      <c r="R203" s="57">
        <v>0.23529411764705882</v>
      </c>
      <c r="S203" s="57">
        <v>0</v>
      </c>
      <c r="T203" s="57">
        <v>0</v>
      </c>
      <c r="U203" s="58">
        <v>0</v>
      </c>
      <c r="V203" s="57">
        <v>0</v>
      </c>
      <c r="W203" s="58">
        <v>0</v>
      </c>
      <c r="X203" s="57">
        <v>0</v>
      </c>
      <c r="Y203" s="58" t="s">
        <v>981</v>
      </c>
      <c r="Z203" s="57">
        <v>0</v>
      </c>
      <c r="AA203" s="58">
        <v>0</v>
      </c>
      <c r="AB203" s="57">
        <v>0</v>
      </c>
      <c r="AC203" s="58">
        <v>4</v>
      </c>
      <c r="AD203" s="57">
        <v>1.2470771628994544E-3</v>
      </c>
      <c r="AE203" s="59">
        <v>0</v>
      </c>
      <c r="AF203" s="60">
        <v>0</v>
      </c>
      <c r="AG203" s="59">
        <v>2.1598272138228943E-3</v>
      </c>
      <c r="AH203" s="60">
        <v>2.1598272138228943E-3</v>
      </c>
    </row>
    <row r="204" spans="1:34" x14ac:dyDescent="0.35">
      <c r="A204" t="s">
        <v>409</v>
      </c>
      <c r="B204" s="53" t="s">
        <v>410</v>
      </c>
      <c r="C204" s="53" t="s">
        <v>874</v>
      </c>
      <c r="D204" s="53" t="s">
        <v>666</v>
      </c>
      <c r="E204" s="53" t="s">
        <v>629</v>
      </c>
      <c r="F204" s="53" t="s">
        <v>635</v>
      </c>
      <c r="G204" s="53" t="s">
        <v>631</v>
      </c>
      <c r="H204" s="53" t="s">
        <v>637</v>
      </c>
      <c r="I204" s="54">
        <v>29</v>
      </c>
      <c r="J204" s="54">
        <v>2</v>
      </c>
      <c r="K204" s="54">
        <v>0</v>
      </c>
      <c r="L204" s="54">
        <v>0</v>
      </c>
      <c r="M204" s="54">
        <v>0</v>
      </c>
      <c r="N204" s="54">
        <v>0</v>
      </c>
      <c r="O204" s="54">
        <v>31</v>
      </c>
      <c r="P204" s="55">
        <v>30</v>
      </c>
      <c r="Q204" s="56">
        <v>0</v>
      </c>
      <c r="R204" s="57">
        <v>0</v>
      </c>
      <c r="S204" s="57">
        <v>0</v>
      </c>
      <c r="T204" s="57">
        <v>0</v>
      </c>
      <c r="U204" s="58">
        <v>0</v>
      </c>
      <c r="V204" s="57">
        <v>0</v>
      </c>
      <c r="W204" s="58">
        <v>0</v>
      </c>
      <c r="X204" s="57">
        <v>0</v>
      </c>
      <c r="Y204" s="58">
        <v>0</v>
      </c>
      <c r="Z204" s="57">
        <v>0</v>
      </c>
      <c r="AA204" s="58" t="s">
        <v>981</v>
      </c>
      <c r="AB204" s="57">
        <v>0</v>
      </c>
      <c r="AC204" s="58">
        <v>0</v>
      </c>
      <c r="AD204" s="57">
        <v>0</v>
      </c>
      <c r="AE204" s="59">
        <v>0</v>
      </c>
      <c r="AF204" s="60">
        <v>0</v>
      </c>
      <c r="AG204" s="59">
        <v>0</v>
      </c>
      <c r="AH204" s="60">
        <v>0</v>
      </c>
    </row>
    <row r="205" spans="1:34" x14ac:dyDescent="0.35">
      <c r="A205" t="s">
        <v>411</v>
      </c>
      <c r="B205" s="61" t="s">
        <v>412</v>
      </c>
      <c r="C205" s="53" t="s">
        <v>875</v>
      </c>
      <c r="D205" s="53" t="s">
        <v>691</v>
      </c>
      <c r="E205" s="53" t="s">
        <v>657</v>
      </c>
      <c r="F205" s="53" t="s">
        <v>658</v>
      </c>
      <c r="G205" s="53" t="s">
        <v>636</v>
      </c>
      <c r="H205" s="53" t="s">
        <v>632</v>
      </c>
      <c r="I205" s="54">
        <v>23</v>
      </c>
      <c r="J205" s="54">
        <v>3</v>
      </c>
      <c r="K205" s="54">
        <v>1</v>
      </c>
      <c r="L205" s="54">
        <v>1</v>
      </c>
      <c r="M205" s="54">
        <v>0</v>
      </c>
      <c r="N205" s="54">
        <v>0</v>
      </c>
      <c r="O205" s="54">
        <v>25</v>
      </c>
      <c r="P205" s="55">
        <v>24</v>
      </c>
      <c r="Q205" s="56">
        <v>4.1666666666666664E-2</v>
      </c>
      <c r="R205" s="57">
        <v>4.1666666666666664E-2</v>
      </c>
      <c r="S205" s="57">
        <v>0</v>
      </c>
      <c r="T205" s="57">
        <v>0</v>
      </c>
      <c r="U205" s="58">
        <v>0</v>
      </c>
      <c r="V205" s="57">
        <v>0</v>
      </c>
      <c r="W205" s="58">
        <v>0</v>
      </c>
      <c r="X205" s="57">
        <v>0</v>
      </c>
      <c r="Y205" s="58">
        <v>0</v>
      </c>
      <c r="Z205" s="57">
        <v>0</v>
      </c>
      <c r="AA205" s="58">
        <v>0</v>
      </c>
      <c r="AB205" s="57">
        <v>0</v>
      </c>
      <c r="AC205" s="58">
        <v>1</v>
      </c>
      <c r="AD205" s="57">
        <v>3.1176929072486361E-4</v>
      </c>
      <c r="AE205" s="59">
        <v>0</v>
      </c>
      <c r="AF205" s="60">
        <v>0</v>
      </c>
      <c r="AG205" s="59">
        <v>5.3995680345572358E-4</v>
      </c>
      <c r="AH205" s="60">
        <v>5.3995680345572358E-4</v>
      </c>
    </row>
    <row r="206" spans="1:34" x14ac:dyDescent="0.35">
      <c r="A206" t="s">
        <v>413</v>
      </c>
      <c r="B206" s="53" t="s">
        <v>414</v>
      </c>
      <c r="C206" s="53" t="s">
        <v>876</v>
      </c>
      <c r="D206" s="53" t="s">
        <v>691</v>
      </c>
      <c r="E206" s="53" t="s">
        <v>657</v>
      </c>
      <c r="F206" s="53" t="s">
        <v>658</v>
      </c>
      <c r="G206" s="53" t="s">
        <v>668</v>
      </c>
      <c r="H206" s="53" t="s">
        <v>632</v>
      </c>
      <c r="I206" s="54">
        <v>14</v>
      </c>
      <c r="J206" s="54">
        <v>1</v>
      </c>
      <c r="K206" s="54">
        <v>0</v>
      </c>
      <c r="L206" s="54">
        <v>0</v>
      </c>
      <c r="M206" s="54">
        <v>0</v>
      </c>
      <c r="N206" s="54">
        <v>0</v>
      </c>
      <c r="O206" s="54">
        <v>15</v>
      </c>
      <c r="P206" s="55">
        <v>14.5</v>
      </c>
      <c r="Q206" s="56">
        <v>0</v>
      </c>
      <c r="R206" s="57">
        <v>0</v>
      </c>
      <c r="S206" s="57">
        <v>0</v>
      </c>
      <c r="T206" s="57">
        <v>0</v>
      </c>
      <c r="U206" s="58">
        <v>0</v>
      </c>
      <c r="V206" s="57">
        <v>0</v>
      </c>
      <c r="W206" s="58">
        <v>0</v>
      </c>
      <c r="X206" s="57">
        <v>0</v>
      </c>
      <c r="Y206" s="58">
        <v>0</v>
      </c>
      <c r="Z206" s="57">
        <v>0</v>
      </c>
      <c r="AA206" s="58">
        <v>0</v>
      </c>
      <c r="AB206" s="57">
        <v>0</v>
      </c>
      <c r="AC206" s="58">
        <v>0</v>
      </c>
      <c r="AD206" s="57">
        <v>0</v>
      </c>
      <c r="AE206" s="59">
        <v>0</v>
      </c>
      <c r="AF206" s="60">
        <v>0</v>
      </c>
      <c r="AG206" s="59">
        <v>0</v>
      </c>
      <c r="AH206" s="60">
        <v>0</v>
      </c>
    </row>
    <row r="207" spans="1:34" x14ac:dyDescent="0.35">
      <c r="A207" t="s">
        <v>415</v>
      </c>
      <c r="B207" s="61" t="s">
        <v>416</v>
      </c>
      <c r="C207" s="53" t="s">
        <v>877</v>
      </c>
      <c r="D207" s="53" t="s">
        <v>666</v>
      </c>
      <c r="E207" s="53" t="s">
        <v>629</v>
      </c>
      <c r="F207" s="53" t="s">
        <v>635</v>
      </c>
      <c r="G207" s="53" t="s">
        <v>668</v>
      </c>
      <c r="H207" s="53" t="s">
        <v>637</v>
      </c>
      <c r="I207" s="54">
        <v>13</v>
      </c>
      <c r="J207" s="54">
        <v>1</v>
      </c>
      <c r="K207" s="54">
        <v>3</v>
      </c>
      <c r="L207" s="54">
        <v>3</v>
      </c>
      <c r="M207" s="54">
        <v>0</v>
      </c>
      <c r="N207" s="54">
        <v>0</v>
      </c>
      <c r="O207" s="54">
        <v>11</v>
      </c>
      <c r="P207" s="55">
        <v>12</v>
      </c>
      <c r="Q207" s="56">
        <v>0.25</v>
      </c>
      <c r="R207" s="57">
        <v>0.25</v>
      </c>
      <c r="S207" s="57">
        <v>0</v>
      </c>
      <c r="T207" s="57">
        <v>0</v>
      </c>
      <c r="U207" s="58" t="s">
        <v>981</v>
      </c>
      <c r="V207" s="57">
        <v>0</v>
      </c>
      <c r="W207" s="58">
        <v>0</v>
      </c>
      <c r="X207" s="57">
        <v>0</v>
      </c>
      <c r="Y207" s="58">
        <v>0</v>
      </c>
      <c r="Z207" s="57">
        <v>0</v>
      </c>
      <c r="AA207" s="58" t="s">
        <v>981</v>
      </c>
      <c r="AB207" s="57">
        <v>0</v>
      </c>
      <c r="AC207" s="58">
        <v>3</v>
      </c>
      <c r="AD207" s="57">
        <v>9.3530787217459082E-4</v>
      </c>
      <c r="AE207" s="59">
        <v>4.4883303411131061E-4</v>
      </c>
      <c r="AF207" s="60">
        <v>4.4883303411131061E-4</v>
      </c>
      <c r="AG207" s="59">
        <v>1.0799136069114472E-3</v>
      </c>
      <c r="AH207" s="60">
        <v>1.0799136069114472E-3</v>
      </c>
    </row>
    <row r="208" spans="1:34" x14ac:dyDescent="0.35">
      <c r="A208" s="62"/>
      <c r="B208" s="62"/>
      <c r="C208" s="62"/>
      <c r="D208" s="62"/>
      <c r="E208" s="62"/>
      <c r="F208" s="62"/>
      <c r="G208" s="62"/>
      <c r="H208" s="62"/>
    </row>
  </sheetData>
  <mergeCells count="3">
    <mergeCell ref="U1:AD1"/>
    <mergeCell ref="AE1:AF1"/>
    <mergeCell ref="AG1:A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3E7D-F2ED-41DB-871A-4A9651800946}">
  <dimension ref="A1:G18"/>
  <sheetViews>
    <sheetView workbookViewId="0">
      <selection activeCell="D23" sqref="D23"/>
    </sheetView>
  </sheetViews>
  <sheetFormatPr defaultRowHeight="14.5" x14ac:dyDescent="0.35"/>
  <cols>
    <col min="1" max="1" width="7.36328125" bestFit="1" customWidth="1"/>
    <col min="2" max="2" width="23.26953125" bestFit="1" customWidth="1"/>
    <col min="3" max="3" width="11.54296875" bestFit="1" customWidth="1"/>
    <col min="4" max="4" width="23.1796875" bestFit="1" customWidth="1"/>
    <col min="5" max="5" width="13.08984375" bestFit="1" customWidth="1"/>
    <col min="6" max="6" width="17.453125" bestFit="1" customWidth="1"/>
    <col min="7" max="7" width="8.453125" bestFit="1" customWidth="1"/>
  </cols>
  <sheetData>
    <row r="1" spans="1:7" x14ac:dyDescent="0.35">
      <c r="A1" s="41" t="s">
        <v>886</v>
      </c>
      <c r="B1" s="41" t="s">
        <v>887</v>
      </c>
      <c r="C1" s="41" t="s">
        <v>602</v>
      </c>
      <c r="D1" s="41" t="s">
        <v>888</v>
      </c>
      <c r="E1" s="42" t="s">
        <v>889</v>
      </c>
      <c r="F1" s="42" t="s">
        <v>890</v>
      </c>
      <c r="G1" s="41" t="s">
        <v>891</v>
      </c>
    </row>
    <row r="2" spans="1:7" x14ac:dyDescent="0.35">
      <c r="A2" s="19">
        <v>64721</v>
      </c>
      <c r="B2" s="19" t="s">
        <v>892</v>
      </c>
      <c r="C2" s="19" t="s">
        <v>276</v>
      </c>
      <c r="D2" s="19" t="s">
        <v>893</v>
      </c>
      <c r="E2" s="43">
        <v>46147</v>
      </c>
      <c r="F2" s="43">
        <v>46145</v>
      </c>
      <c r="G2" s="21">
        <v>-2</v>
      </c>
    </row>
    <row r="3" spans="1:7" x14ac:dyDescent="0.35">
      <c r="A3" s="19">
        <v>94579</v>
      </c>
      <c r="B3" s="19" t="s">
        <v>894</v>
      </c>
      <c r="C3" s="19" t="s">
        <v>30</v>
      </c>
      <c r="D3" s="19" t="s">
        <v>672</v>
      </c>
      <c r="E3" s="43">
        <v>46163</v>
      </c>
      <c r="F3" s="43">
        <v>46162</v>
      </c>
      <c r="G3" s="21">
        <v>-1</v>
      </c>
    </row>
    <row r="4" spans="1:7" x14ac:dyDescent="0.35">
      <c r="A4" s="19">
        <v>96086</v>
      </c>
      <c r="B4" s="19" t="s">
        <v>895</v>
      </c>
      <c r="C4" s="19" t="s">
        <v>155</v>
      </c>
      <c r="D4" s="19" t="s">
        <v>896</v>
      </c>
      <c r="E4" s="43">
        <v>46153</v>
      </c>
      <c r="F4" s="43">
        <v>46152</v>
      </c>
      <c r="G4" s="21">
        <v>-1</v>
      </c>
    </row>
    <row r="5" spans="1:7" x14ac:dyDescent="0.35">
      <c r="A5" s="19">
        <v>97220</v>
      </c>
      <c r="B5" s="19" t="s">
        <v>897</v>
      </c>
      <c r="C5" s="19" t="s">
        <v>382</v>
      </c>
      <c r="D5" s="19" t="s">
        <v>384</v>
      </c>
      <c r="E5" s="43">
        <v>46167</v>
      </c>
      <c r="F5" s="43">
        <v>46165</v>
      </c>
      <c r="G5" s="21">
        <v>-2</v>
      </c>
    </row>
    <row r="6" spans="1:7" x14ac:dyDescent="0.35">
      <c r="A6" s="19">
        <v>97554</v>
      </c>
      <c r="B6" s="19" t="s">
        <v>898</v>
      </c>
      <c r="C6" s="19" t="s">
        <v>76</v>
      </c>
      <c r="D6" s="19" t="s">
        <v>899</v>
      </c>
      <c r="E6" s="43">
        <v>46174</v>
      </c>
      <c r="F6" s="43">
        <v>46173</v>
      </c>
      <c r="G6" s="21">
        <v>-1</v>
      </c>
    </row>
    <row r="7" spans="1:7" x14ac:dyDescent="0.35">
      <c r="A7" s="19">
        <v>98136</v>
      </c>
      <c r="B7" s="19" t="s">
        <v>900</v>
      </c>
      <c r="C7" s="19" t="s">
        <v>173</v>
      </c>
      <c r="D7" s="19" t="s">
        <v>901</v>
      </c>
      <c r="E7" s="43">
        <v>46163</v>
      </c>
      <c r="F7" s="43">
        <v>46161</v>
      </c>
      <c r="G7" s="21">
        <v>-2</v>
      </c>
    </row>
    <row r="8" spans="1:7" x14ac:dyDescent="0.35">
      <c r="A8" s="19">
        <v>98848</v>
      </c>
      <c r="B8" s="19" t="s">
        <v>902</v>
      </c>
      <c r="C8" s="19" t="s">
        <v>379</v>
      </c>
      <c r="D8" s="19" t="s">
        <v>381</v>
      </c>
      <c r="E8" s="43">
        <v>46174</v>
      </c>
      <c r="F8" s="43">
        <v>46173</v>
      </c>
      <c r="G8" s="21">
        <v>-1</v>
      </c>
    </row>
    <row r="9" spans="1:7" x14ac:dyDescent="0.35">
      <c r="A9" s="19">
        <v>99061</v>
      </c>
      <c r="B9" s="19" t="s">
        <v>903</v>
      </c>
      <c r="C9" s="19" t="s">
        <v>297</v>
      </c>
      <c r="D9" s="19" t="s">
        <v>904</v>
      </c>
      <c r="E9" s="43">
        <v>46146</v>
      </c>
      <c r="F9" s="43">
        <v>46144</v>
      </c>
      <c r="G9" s="21">
        <v>-2</v>
      </c>
    </row>
    <row r="10" spans="1:7" x14ac:dyDescent="0.35">
      <c r="A10" s="19">
        <v>99129</v>
      </c>
      <c r="B10" s="19" t="s">
        <v>905</v>
      </c>
      <c r="C10" s="19" t="s">
        <v>17</v>
      </c>
      <c r="D10" s="19" t="s">
        <v>906</v>
      </c>
      <c r="E10" s="43">
        <v>46167</v>
      </c>
      <c r="F10" s="43">
        <v>46166</v>
      </c>
      <c r="G10" s="21">
        <v>-1</v>
      </c>
    </row>
    <row r="11" spans="1:7" x14ac:dyDescent="0.35">
      <c r="A11" s="19">
        <v>99543</v>
      </c>
      <c r="B11" s="19" t="s">
        <v>907</v>
      </c>
      <c r="C11" s="19" t="s">
        <v>195</v>
      </c>
      <c r="D11" s="19" t="s">
        <v>908</v>
      </c>
      <c r="E11" s="43">
        <v>46157</v>
      </c>
      <c r="F11" s="43">
        <v>46156</v>
      </c>
      <c r="G11" s="21">
        <v>-1</v>
      </c>
    </row>
    <row r="12" spans="1:7" x14ac:dyDescent="0.35">
      <c r="A12" s="19">
        <v>100445</v>
      </c>
      <c r="B12" s="19" t="s">
        <v>909</v>
      </c>
      <c r="C12" s="19" t="s">
        <v>347</v>
      </c>
      <c r="D12" s="19" t="s">
        <v>910</v>
      </c>
      <c r="E12" s="43">
        <v>46163</v>
      </c>
      <c r="F12" s="43">
        <v>46159</v>
      </c>
      <c r="G12" s="21">
        <v>-4</v>
      </c>
    </row>
    <row r="13" spans="1:7" x14ac:dyDescent="0.35">
      <c r="A13" s="19">
        <v>100451</v>
      </c>
      <c r="B13" s="19" t="s">
        <v>911</v>
      </c>
      <c r="C13" s="19" t="s">
        <v>349</v>
      </c>
      <c r="D13" s="19" t="s">
        <v>912</v>
      </c>
      <c r="E13" s="43">
        <v>46145</v>
      </c>
      <c r="F13" s="43">
        <v>46144</v>
      </c>
      <c r="G13" s="21">
        <v>-1</v>
      </c>
    </row>
    <row r="14" spans="1:7" x14ac:dyDescent="0.35">
      <c r="A14" s="19">
        <v>100477</v>
      </c>
      <c r="B14" s="19" t="s">
        <v>913</v>
      </c>
      <c r="C14" s="19" t="s">
        <v>252</v>
      </c>
      <c r="D14" s="19" t="s">
        <v>914</v>
      </c>
      <c r="E14" s="43">
        <v>46153</v>
      </c>
      <c r="F14" s="43">
        <v>46152</v>
      </c>
      <c r="G14" s="21">
        <v>-1</v>
      </c>
    </row>
    <row r="15" spans="1:7" x14ac:dyDescent="0.35">
      <c r="A15" s="19">
        <v>100583</v>
      </c>
      <c r="B15" s="19" t="s">
        <v>915</v>
      </c>
      <c r="C15" s="19" t="s">
        <v>28</v>
      </c>
      <c r="D15" s="19" t="s">
        <v>916</v>
      </c>
      <c r="E15" s="43">
        <v>46173</v>
      </c>
      <c r="F15" s="43">
        <v>46168</v>
      </c>
      <c r="G15" s="21">
        <v>-5</v>
      </c>
    </row>
    <row r="16" spans="1:7" x14ac:dyDescent="0.35">
      <c r="A16" s="19">
        <v>100618</v>
      </c>
      <c r="B16" s="19" t="s">
        <v>917</v>
      </c>
      <c r="C16" s="19" t="s">
        <v>347</v>
      </c>
      <c r="D16" s="19" t="s">
        <v>910</v>
      </c>
      <c r="E16" s="43">
        <v>46162</v>
      </c>
      <c r="F16" s="43">
        <v>46161</v>
      </c>
      <c r="G16" s="21">
        <v>-1</v>
      </c>
    </row>
    <row r="17" spans="1:7" x14ac:dyDescent="0.35">
      <c r="A17" s="19">
        <v>100754</v>
      </c>
      <c r="B17" s="19" t="s">
        <v>918</v>
      </c>
      <c r="C17" s="19" t="s">
        <v>93</v>
      </c>
      <c r="D17" s="19" t="s">
        <v>919</v>
      </c>
      <c r="E17" s="43">
        <v>46174</v>
      </c>
      <c r="F17" s="43">
        <v>46173</v>
      </c>
      <c r="G17" s="21">
        <v>-1</v>
      </c>
    </row>
    <row r="18" spans="1:7" x14ac:dyDescent="0.35">
      <c r="A18" s="19">
        <v>100948</v>
      </c>
      <c r="B18" s="19" t="s">
        <v>920</v>
      </c>
      <c r="C18" s="19" t="s">
        <v>51</v>
      </c>
      <c r="D18" s="19" t="s">
        <v>921</v>
      </c>
      <c r="E18" s="43">
        <v>46153</v>
      </c>
      <c r="F18" s="43">
        <v>46152</v>
      </c>
      <c r="G18" s="21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2026 Mayıs Eski Format</vt:lpstr>
      <vt:lpstr>İşten Ayrılanlar</vt:lpstr>
      <vt:lpstr>Güncel Çalışanlar</vt:lpstr>
      <vt:lpstr>TO-Yeni Format MTD-YTD</vt:lpstr>
      <vt:lpstr>Mayıs Detay Tablo</vt:lpstr>
      <vt:lpstr>Yasal Bildirim </vt:lpstr>
    </vt:vector>
  </TitlesOfParts>
  <Company>KOTON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GULSUM KARAYUNLU</dc:creator>
  <cp:lastModifiedBy>GULSUM KARAYUNLU</cp:lastModifiedBy>
  <dcterms:created xsi:type="dcterms:W3CDTF">2026-01-14T06:03:30Z</dcterms:created>
  <dcterms:modified xsi:type="dcterms:W3CDTF">2026-07-01T07:26:32Z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05d7f7-846f-45d9-b03d-c47590278bc6_Enabled">
    <vt:lpwstr>true</vt:lpwstr>
  </property>
  <property fmtid="{D5CDD505-2E9C-101B-9397-08002B2CF9AE}" pid="3" name="MSIP_Label_ae05d7f7-846f-45d9-b03d-c47590278bc6_SetDate">
    <vt:lpwstr>2026-01-14T06:03:32Z</vt:lpwstr>
  </property>
  <property fmtid="{D5CDD505-2E9C-101B-9397-08002B2CF9AE}" pid="4" name="MSIP_Label_ae05d7f7-846f-45d9-b03d-c47590278bc6_Method">
    <vt:lpwstr>Standard</vt:lpwstr>
  </property>
  <property fmtid="{D5CDD505-2E9C-101B-9397-08002B2CF9AE}" pid="5" name="MSIP_Label_ae05d7f7-846f-45d9-b03d-c47590278bc6_Name">
    <vt:lpwstr>ae05d7f7-846f-45d9-b03d-c47590278bc6</vt:lpwstr>
  </property>
  <property fmtid="{D5CDD505-2E9C-101B-9397-08002B2CF9AE}" pid="6" name="MSIP_Label_ae05d7f7-846f-45d9-b03d-c47590278bc6_SiteId">
    <vt:lpwstr>6815e990-47b6-48cd-a457-4bb2f207e2b7</vt:lpwstr>
  </property>
  <property fmtid="{D5CDD505-2E9C-101B-9397-08002B2CF9AE}" pid="7" name="MSIP_Label_ae05d7f7-846f-45d9-b03d-c47590278bc6_ActionId">
    <vt:lpwstr>cee5e72d-1cc8-4e34-9490-bbb9c241bcf7</vt:lpwstr>
  </property>
  <property fmtid="{D5CDD505-2E9C-101B-9397-08002B2CF9AE}" pid="8" name="MSIP_Label_ae05d7f7-846f-45d9-b03d-c47590278bc6_ContentBits">
    <vt:lpwstr>3</vt:lpwstr>
  </property>
  <property fmtid="{D5CDD505-2E9C-101B-9397-08002B2CF9AE}" pid="9" name="MSIP_Label_ae05d7f7-846f-45d9-b03d-c47590278bc6_Tag">
    <vt:lpwstr>10, 3, 0, 1</vt:lpwstr>
  </property>
</Properties>
</file>